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IICA 2\MIDR 2026-2027\P3 - Monitorar objetivos PNDR\"/>
    </mc:Choice>
  </mc:AlternateContent>
  <xr:revisionPtr revIDLastSave="0" documentId="13_ncr:1_{4AF0C351-075E-4346-9DD1-18E011A8C2F6}" xr6:coauthVersionLast="47" xr6:coauthVersionMax="47" xr10:uidLastSave="{00000000-0000-0000-0000-000000000000}"/>
  <bookViews>
    <workbookView xWindow="-120" yWindow="-120" windowWidth="29040" windowHeight="15840" xr2:uid="{B870E58D-1DC8-4443-B296-0228582ED702}"/>
  </bookViews>
  <sheets>
    <sheet name="BancoAjustado" sheetId="2" r:id="rId1"/>
    <sheet name="Base" sheetId="1" r:id="rId2"/>
    <sheet name="Base_Atividades" sheetId="3" r:id="rId3"/>
  </sheets>
  <definedNames>
    <definedName name="_xlnm._FilterDatabase" localSheetId="0" hidden="1">BancoAjustado!$A$1:$J$1332</definedName>
    <definedName name="_xlnm._FilterDatabase" localSheetId="1" hidden="1">Base!$A$1:$B$2398</definedName>
    <definedName name="_xlnm._FilterDatabase" localSheetId="2" hidden="1">Base_Atividades!$A$1:$L$2398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M3" i="2"/>
  <c r="N3" i="2"/>
  <c r="L4" i="2"/>
  <c r="M4" i="2"/>
  <c r="N4" i="2"/>
  <c r="L5" i="2"/>
  <c r="M5" i="2"/>
  <c r="N5" i="2"/>
  <c r="L6" i="2"/>
  <c r="M6" i="2"/>
  <c r="N6" i="2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L36" i="2"/>
  <c r="M36" i="2"/>
  <c r="N36" i="2"/>
  <c r="L37" i="2"/>
  <c r="M37" i="2"/>
  <c r="N37" i="2"/>
  <c r="L38" i="2"/>
  <c r="M38" i="2"/>
  <c r="N38" i="2"/>
  <c r="L39" i="2"/>
  <c r="M39" i="2"/>
  <c r="N39" i="2"/>
  <c r="L40" i="2"/>
  <c r="M40" i="2"/>
  <c r="N40" i="2"/>
  <c r="L41" i="2"/>
  <c r="M41" i="2"/>
  <c r="N41" i="2"/>
  <c r="L42" i="2"/>
  <c r="M42" i="2"/>
  <c r="N42" i="2"/>
  <c r="L43" i="2"/>
  <c r="M43" i="2"/>
  <c r="N43" i="2"/>
  <c r="L44" i="2"/>
  <c r="M44" i="2"/>
  <c r="N44" i="2"/>
  <c r="L45" i="2"/>
  <c r="M45" i="2"/>
  <c r="N45" i="2"/>
  <c r="L46" i="2"/>
  <c r="M46" i="2"/>
  <c r="N46" i="2"/>
  <c r="L47" i="2"/>
  <c r="M47" i="2"/>
  <c r="N47" i="2"/>
  <c r="L48" i="2"/>
  <c r="M48" i="2"/>
  <c r="N48" i="2"/>
  <c r="L49" i="2"/>
  <c r="M49" i="2"/>
  <c r="N49" i="2"/>
  <c r="L50" i="2"/>
  <c r="M50" i="2"/>
  <c r="N50" i="2"/>
  <c r="L51" i="2"/>
  <c r="M51" i="2"/>
  <c r="N51" i="2"/>
  <c r="L52" i="2"/>
  <c r="M52" i="2"/>
  <c r="N52" i="2"/>
  <c r="L53" i="2"/>
  <c r="M53" i="2"/>
  <c r="N53" i="2"/>
  <c r="L54" i="2"/>
  <c r="M54" i="2"/>
  <c r="N54" i="2"/>
  <c r="L55" i="2"/>
  <c r="M55" i="2"/>
  <c r="N55" i="2"/>
  <c r="L56" i="2"/>
  <c r="M56" i="2"/>
  <c r="N56" i="2"/>
  <c r="L57" i="2"/>
  <c r="M57" i="2"/>
  <c r="N57" i="2"/>
  <c r="L58" i="2"/>
  <c r="M58" i="2"/>
  <c r="N58" i="2"/>
  <c r="L59" i="2"/>
  <c r="M59" i="2"/>
  <c r="N59" i="2"/>
  <c r="L60" i="2"/>
  <c r="M60" i="2"/>
  <c r="N60" i="2"/>
  <c r="L61" i="2"/>
  <c r="M61" i="2"/>
  <c r="N61" i="2"/>
  <c r="L62" i="2"/>
  <c r="M62" i="2"/>
  <c r="N62" i="2"/>
  <c r="L63" i="2"/>
  <c r="M63" i="2"/>
  <c r="N63" i="2"/>
  <c r="L64" i="2"/>
  <c r="M64" i="2"/>
  <c r="N64" i="2"/>
  <c r="L65" i="2"/>
  <c r="M65" i="2"/>
  <c r="N65" i="2"/>
  <c r="L66" i="2"/>
  <c r="M66" i="2"/>
  <c r="N66" i="2"/>
  <c r="L67" i="2"/>
  <c r="M67" i="2"/>
  <c r="N67" i="2"/>
  <c r="L68" i="2"/>
  <c r="M68" i="2"/>
  <c r="N68" i="2"/>
  <c r="L69" i="2"/>
  <c r="M69" i="2"/>
  <c r="N69" i="2"/>
  <c r="L70" i="2"/>
  <c r="M70" i="2"/>
  <c r="N70" i="2"/>
  <c r="L71" i="2"/>
  <c r="M71" i="2"/>
  <c r="N71" i="2"/>
  <c r="L72" i="2"/>
  <c r="M72" i="2"/>
  <c r="N72" i="2"/>
  <c r="L73" i="2"/>
  <c r="M73" i="2"/>
  <c r="N73" i="2"/>
  <c r="L74" i="2"/>
  <c r="M74" i="2"/>
  <c r="N74" i="2"/>
  <c r="L75" i="2"/>
  <c r="M75" i="2"/>
  <c r="N75" i="2"/>
  <c r="L76" i="2"/>
  <c r="M76" i="2"/>
  <c r="N76" i="2"/>
  <c r="L77" i="2"/>
  <c r="M77" i="2"/>
  <c r="N77" i="2"/>
  <c r="L78" i="2"/>
  <c r="M78" i="2"/>
  <c r="N78" i="2"/>
  <c r="L79" i="2"/>
  <c r="M79" i="2"/>
  <c r="N79" i="2"/>
  <c r="L80" i="2"/>
  <c r="M80" i="2"/>
  <c r="N80" i="2"/>
  <c r="L81" i="2"/>
  <c r="M81" i="2"/>
  <c r="N81" i="2"/>
  <c r="L82" i="2"/>
  <c r="M82" i="2"/>
  <c r="N82" i="2"/>
  <c r="L83" i="2"/>
  <c r="M83" i="2"/>
  <c r="N83" i="2"/>
  <c r="L84" i="2"/>
  <c r="M84" i="2"/>
  <c r="N84" i="2"/>
  <c r="L85" i="2"/>
  <c r="M85" i="2"/>
  <c r="N85" i="2"/>
  <c r="L86" i="2"/>
  <c r="M86" i="2"/>
  <c r="N86" i="2"/>
  <c r="L87" i="2"/>
  <c r="M87" i="2"/>
  <c r="N87" i="2"/>
  <c r="L88" i="2"/>
  <c r="M88" i="2"/>
  <c r="N88" i="2"/>
  <c r="L89" i="2"/>
  <c r="M89" i="2"/>
  <c r="N89" i="2"/>
  <c r="L90" i="2"/>
  <c r="M90" i="2"/>
  <c r="N90" i="2"/>
  <c r="L91" i="2"/>
  <c r="M91" i="2"/>
  <c r="N91" i="2"/>
  <c r="L92" i="2"/>
  <c r="M92" i="2"/>
  <c r="N92" i="2"/>
  <c r="L93" i="2"/>
  <c r="M93" i="2"/>
  <c r="N93" i="2"/>
  <c r="L94" i="2"/>
  <c r="M94" i="2"/>
  <c r="N94" i="2"/>
  <c r="L95" i="2"/>
  <c r="M95" i="2"/>
  <c r="N95" i="2"/>
  <c r="L96" i="2"/>
  <c r="M96" i="2"/>
  <c r="N96" i="2"/>
  <c r="L97" i="2"/>
  <c r="M97" i="2"/>
  <c r="N97" i="2"/>
  <c r="L98" i="2"/>
  <c r="M98" i="2"/>
  <c r="N98" i="2"/>
  <c r="L99" i="2"/>
  <c r="M99" i="2"/>
  <c r="N99" i="2"/>
  <c r="L100" i="2"/>
  <c r="M100" i="2"/>
  <c r="N100" i="2"/>
  <c r="L101" i="2"/>
  <c r="M101" i="2"/>
  <c r="N101" i="2"/>
  <c r="L102" i="2"/>
  <c r="M102" i="2"/>
  <c r="N102" i="2"/>
  <c r="L103" i="2"/>
  <c r="M103" i="2"/>
  <c r="N103" i="2"/>
  <c r="L104" i="2"/>
  <c r="M104" i="2"/>
  <c r="N104" i="2"/>
  <c r="L105" i="2"/>
  <c r="M105" i="2"/>
  <c r="N105" i="2"/>
  <c r="L106" i="2"/>
  <c r="M106" i="2"/>
  <c r="N106" i="2"/>
  <c r="L107" i="2"/>
  <c r="M107" i="2"/>
  <c r="N107" i="2"/>
  <c r="L108" i="2"/>
  <c r="M108" i="2"/>
  <c r="N108" i="2"/>
  <c r="L109" i="2"/>
  <c r="M109" i="2"/>
  <c r="N109" i="2"/>
  <c r="L110" i="2"/>
  <c r="M110" i="2"/>
  <c r="N110" i="2"/>
  <c r="L111" i="2"/>
  <c r="M111" i="2"/>
  <c r="N111" i="2"/>
  <c r="L112" i="2"/>
  <c r="M112" i="2"/>
  <c r="N112" i="2"/>
  <c r="L113" i="2"/>
  <c r="M113" i="2"/>
  <c r="N113" i="2"/>
  <c r="L114" i="2"/>
  <c r="M114" i="2"/>
  <c r="N114" i="2"/>
  <c r="L115" i="2"/>
  <c r="M115" i="2"/>
  <c r="N115" i="2"/>
  <c r="L116" i="2"/>
  <c r="M116" i="2"/>
  <c r="N116" i="2"/>
  <c r="L117" i="2"/>
  <c r="M117" i="2"/>
  <c r="N117" i="2"/>
  <c r="L118" i="2"/>
  <c r="M118" i="2"/>
  <c r="N118" i="2"/>
  <c r="L119" i="2"/>
  <c r="M119" i="2"/>
  <c r="N119" i="2"/>
  <c r="L120" i="2"/>
  <c r="M120" i="2"/>
  <c r="N120" i="2"/>
  <c r="L121" i="2"/>
  <c r="M121" i="2"/>
  <c r="N121" i="2"/>
  <c r="L122" i="2"/>
  <c r="M122" i="2"/>
  <c r="N122" i="2"/>
  <c r="L123" i="2"/>
  <c r="M123" i="2"/>
  <c r="N123" i="2"/>
  <c r="L124" i="2"/>
  <c r="M124" i="2"/>
  <c r="N124" i="2"/>
  <c r="L125" i="2"/>
  <c r="M125" i="2"/>
  <c r="N125" i="2"/>
  <c r="L126" i="2"/>
  <c r="M126" i="2"/>
  <c r="N126" i="2"/>
  <c r="L127" i="2"/>
  <c r="M127" i="2"/>
  <c r="N127" i="2"/>
  <c r="L128" i="2"/>
  <c r="M128" i="2"/>
  <c r="N128" i="2"/>
  <c r="L129" i="2"/>
  <c r="M129" i="2"/>
  <c r="N129" i="2"/>
  <c r="L130" i="2"/>
  <c r="M130" i="2"/>
  <c r="N130" i="2"/>
  <c r="L131" i="2"/>
  <c r="M131" i="2"/>
  <c r="N131" i="2"/>
  <c r="L132" i="2"/>
  <c r="M132" i="2"/>
  <c r="N132" i="2"/>
  <c r="L133" i="2"/>
  <c r="M133" i="2"/>
  <c r="N133" i="2"/>
  <c r="L134" i="2"/>
  <c r="M134" i="2"/>
  <c r="N134" i="2"/>
  <c r="L135" i="2"/>
  <c r="M135" i="2"/>
  <c r="N135" i="2"/>
  <c r="L136" i="2"/>
  <c r="M136" i="2"/>
  <c r="N136" i="2"/>
  <c r="L137" i="2"/>
  <c r="M137" i="2"/>
  <c r="N137" i="2"/>
  <c r="L138" i="2"/>
  <c r="M138" i="2"/>
  <c r="N138" i="2"/>
  <c r="L139" i="2"/>
  <c r="M139" i="2"/>
  <c r="N139" i="2"/>
  <c r="L140" i="2"/>
  <c r="M140" i="2"/>
  <c r="N140" i="2"/>
  <c r="L141" i="2"/>
  <c r="M141" i="2"/>
  <c r="N141" i="2"/>
  <c r="L142" i="2"/>
  <c r="M142" i="2"/>
  <c r="N142" i="2"/>
  <c r="L143" i="2"/>
  <c r="M143" i="2"/>
  <c r="N143" i="2"/>
  <c r="L144" i="2"/>
  <c r="M144" i="2"/>
  <c r="N144" i="2"/>
  <c r="L145" i="2"/>
  <c r="M145" i="2"/>
  <c r="N145" i="2"/>
  <c r="L146" i="2"/>
  <c r="M146" i="2"/>
  <c r="N146" i="2"/>
  <c r="L147" i="2"/>
  <c r="M147" i="2"/>
  <c r="N147" i="2"/>
  <c r="L148" i="2"/>
  <c r="M148" i="2"/>
  <c r="N148" i="2"/>
  <c r="L149" i="2"/>
  <c r="M149" i="2"/>
  <c r="N149" i="2"/>
  <c r="L150" i="2"/>
  <c r="M150" i="2"/>
  <c r="N150" i="2"/>
  <c r="L151" i="2"/>
  <c r="M151" i="2"/>
  <c r="N151" i="2"/>
  <c r="L152" i="2"/>
  <c r="M152" i="2"/>
  <c r="N152" i="2"/>
  <c r="L153" i="2"/>
  <c r="M153" i="2"/>
  <c r="N153" i="2"/>
  <c r="L154" i="2"/>
  <c r="M154" i="2"/>
  <c r="N154" i="2"/>
  <c r="L155" i="2"/>
  <c r="M155" i="2"/>
  <c r="N155" i="2"/>
  <c r="L156" i="2"/>
  <c r="M156" i="2"/>
  <c r="N156" i="2"/>
  <c r="L157" i="2"/>
  <c r="M157" i="2"/>
  <c r="N157" i="2"/>
  <c r="L158" i="2"/>
  <c r="M158" i="2"/>
  <c r="N158" i="2"/>
  <c r="L159" i="2"/>
  <c r="M159" i="2"/>
  <c r="N159" i="2"/>
  <c r="L160" i="2"/>
  <c r="M160" i="2"/>
  <c r="N160" i="2"/>
  <c r="L161" i="2"/>
  <c r="M161" i="2"/>
  <c r="N161" i="2"/>
  <c r="L162" i="2"/>
  <c r="M162" i="2"/>
  <c r="N162" i="2"/>
  <c r="L163" i="2"/>
  <c r="M163" i="2"/>
  <c r="N163" i="2"/>
  <c r="L164" i="2"/>
  <c r="M164" i="2"/>
  <c r="N164" i="2"/>
  <c r="L165" i="2"/>
  <c r="M165" i="2"/>
  <c r="N165" i="2"/>
  <c r="L166" i="2"/>
  <c r="M166" i="2"/>
  <c r="N166" i="2"/>
  <c r="L167" i="2"/>
  <c r="M167" i="2"/>
  <c r="N167" i="2"/>
  <c r="L168" i="2"/>
  <c r="M168" i="2"/>
  <c r="N168" i="2"/>
  <c r="L169" i="2"/>
  <c r="M169" i="2"/>
  <c r="N169" i="2"/>
  <c r="L170" i="2"/>
  <c r="M170" i="2"/>
  <c r="N170" i="2"/>
  <c r="L171" i="2"/>
  <c r="M171" i="2"/>
  <c r="N171" i="2"/>
  <c r="L172" i="2"/>
  <c r="M172" i="2"/>
  <c r="N172" i="2"/>
  <c r="L173" i="2"/>
  <c r="M173" i="2"/>
  <c r="N173" i="2"/>
  <c r="L174" i="2"/>
  <c r="M174" i="2"/>
  <c r="N174" i="2"/>
  <c r="L175" i="2"/>
  <c r="M175" i="2"/>
  <c r="N175" i="2"/>
  <c r="L176" i="2"/>
  <c r="M176" i="2"/>
  <c r="N176" i="2"/>
  <c r="L177" i="2"/>
  <c r="M177" i="2"/>
  <c r="N177" i="2"/>
  <c r="L178" i="2"/>
  <c r="M178" i="2"/>
  <c r="N178" i="2"/>
  <c r="L179" i="2"/>
  <c r="M179" i="2"/>
  <c r="N179" i="2"/>
  <c r="L180" i="2"/>
  <c r="M180" i="2"/>
  <c r="N180" i="2"/>
  <c r="L181" i="2"/>
  <c r="M181" i="2"/>
  <c r="N181" i="2"/>
  <c r="L182" i="2"/>
  <c r="M182" i="2"/>
  <c r="N182" i="2"/>
  <c r="L183" i="2"/>
  <c r="M183" i="2"/>
  <c r="N183" i="2"/>
  <c r="L184" i="2"/>
  <c r="M184" i="2"/>
  <c r="N184" i="2"/>
  <c r="L185" i="2"/>
  <c r="M185" i="2"/>
  <c r="N185" i="2"/>
  <c r="L186" i="2"/>
  <c r="M186" i="2"/>
  <c r="N186" i="2"/>
  <c r="L187" i="2"/>
  <c r="M187" i="2"/>
  <c r="N187" i="2"/>
  <c r="L188" i="2"/>
  <c r="M188" i="2"/>
  <c r="N188" i="2"/>
  <c r="L189" i="2"/>
  <c r="M189" i="2"/>
  <c r="N189" i="2"/>
  <c r="L190" i="2"/>
  <c r="M190" i="2"/>
  <c r="N190" i="2"/>
  <c r="L191" i="2"/>
  <c r="M191" i="2"/>
  <c r="N191" i="2"/>
  <c r="L192" i="2"/>
  <c r="M192" i="2"/>
  <c r="N192" i="2"/>
  <c r="L193" i="2"/>
  <c r="M193" i="2"/>
  <c r="N193" i="2"/>
  <c r="L194" i="2"/>
  <c r="M194" i="2"/>
  <c r="N194" i="2"/>
  <c r="L195" i="2"/>
  <c r="M195" i="2"/>
  <c r="N195" i="2"/>
  <c r="L196" i="2"/>
  <c r="M196" i="2"/>
  <c r="N196" i="2"/>
  <c r="L197" i="2"/>
  <c r="M197" i="2"/>
  <c r="N197" i="2"/>
  <c r="L198" i="2"/>
  <c r="M198" i="2"/>
  <c r="N198" i="2"/>
  <c r="L199" i="2"/>
  <c r="M199" i="2"/>
  <c r="N199" i="2"/>
  <c r="L200" i="2"/>
  <c r="M200" i="2"/>
  <c r="N200" i="2"/>
  <c r="L201" i="2"/>
  <c r="M201" i="2"/>
  <c r="N201" i="2"/>
  <c r="L202" i="2"/>
  <c r="M202" i="2"/>
  <c r="N202" i="2"/>
  <c r="L203" i="2"/>
  <c r="M203" i="2"/>
  <c r="N203" i="2"/>
  <c r="L204" i="2"/>
  <c r="M204" i="2"/>
  <c r="N204" i="2"/>
  <c r="L205" i="2"/>
  <c r="M205" i="2"/>
  <c r="N205" i="2"/>
  <c r="L206" i="2"/>
  <c r="M206" i="2"/>
  <c r="N206" i="2"/>
  <c r="L207" i="2"/>
  <c r="M207" i="2"/>
  <c r="N207" i="2"/>
  <c r="L208" i="2"/>
  <c r="M208" i="2"/>
  <c r="N208" i="2"/>
  <c r="L209" i="2"/>
  <c r="M209" i="2"/>
  <c r="N209" i="2"/>
  <c r="L210" i="2"/>
  <c r="M210" i="2"/>
  <c r="N210" i="2"/>
  <c r="L211" i="2"/>
  <c r="M211" i="2"/>
  <c r="N211" i="2"/>
  <c r="L212" i="2"/>
  <c r="M212" i="2"/>
  <c r="N212" i="2"/>
  <c r="L213" i="2"/>
  <c r="M213" i="2"/>
  <c r="N213" i="2"/>
  <c r="L214" i="2"/>
  <c r="M214" i="2"/>
  <c r="N214" i="2"/>
  <c r="L215" i="2"/>
  <c r="M215" i="2"/>
  <c r="N215" i="2"/>
  <c r="L216" i="2"/>
  <c r="M216" i="2"/>
  <c r="N216" i="2"/>
  <c r="L217" i="2"/>
  <c r="M217" i="2"/>
  <c r="N217" i="2"/>
  <c r="L218" i="2"/>
  <c r="M218" i="2"/>
  <c r="N218" i="2"/>
  <c r="L219" i="2"/>
  <c r="M219" i="2"/>
  <c r="N219" i="2"/>
  <c r="L220" i="2"/>
  <c r="M220" i="2"/>
  <c r="N220" i="2"/>
  <c r="L221" i="2"/>
  <c r="M221" i="2"/>
  <c r="N221" i="2"/>
  <c r="L222" i="2"/>
  <c r="M222" i="2"/>
  <c r="N222" i="2"/>
  <c r="L223" i="2"/>
  <c r="M223" i="2"/>
  <c r="N223" i="2"/>
  <c r="L224" i="2"/>
  <c r="M224" i="2"/>
  <c r="N224" i="2"/>
  <c r="L225" i="2"/>
  <c r="M225" i="2"/>
  <c r="N225" i="2"/>
  <c r="L226" i="2"/>
  <c r="M226" i="2"/>
  <c r="N226" i="2"/>
  <c r="L227" i="2"/>
  <c r="M227" i="2"/>
  <c r="N227" i="2"/>
  <c r="L228" i="2"/>
  <c r="M228" i="2"/>
  <c r="N228" i="2"/>
  <c r="L229" i="2"/>
  <c r="M229" i="2"/>
  <c r="N229" i="2"/>
  <c r="L230" i="2"/>
  <c r="M230" i="2"/>
  <c r="N230" i="2"/>
  <c r="L231" i="2"/>
  <c r="M231" i="2"/>
  <c r="N231" i="2"/>
  <c r="L232" i="2"/>
  <c r="M232" i="2"/>
  <c r="N232" i="2"/>
  <c r="L233" i="2"/>
  <c r="M233" i="2"/>
  <c r="N233" i="2"/>
  <c r="L234" i="2"/>
  <c r="M234" i="2"/>
  <c r="N234" i="2"/>
  <c r="L235" i="2"/>
  <c r="M235" i="2"/>
  <c r="N235" i="2"/>
  <c r="L236" i="2"/>
  <c r="M236" i="2"/>
  <c r="N236" i="2"/>
  <c r="L237" i="2"/>
  <c r="M237" i="2"/>
  <c r="N237" i="2"/>
  <c r="L238" i="2"/>
  <c r="M238" i="2"/>
  <c r="N238" i="2"/>
  <c r="L239" i="2"/>
  <c r="M239" i="2"/>
  <c r="N239" i="2"/>
  <c r="L240" i="2"/>
  <c r="M240" i="2"/>
  <c r="N240" i="2"/>
  <c r="L241" i="2"/>
  <c r="M241" i="2"/>
  <c r="N241" i="2"/>
  <c r="L242" i="2"/>
  <c r="M242" i="2"/>
  <c r="N242" i="2"/>
  <c r="L243" i="2"/>
  <c r="M243" i="2"/>
  <c r="N243" i="2"/>
  <c r="L244" i="2"/>
  <c r="M244" i="2"/>
  <c r="N244" i="2"/>
  <c r="L245" i="2"/>
  <c r="M245" i="2"/>
  <c r="N245" i="2"/>
  <c r="L246" i="2"/>
  <c r="M246" i="2"/>
  <c r="N246" i="2"/>
  <c r="L247" i="2"/>
  <c r="M247" i="2"/>
  <c r="N247" i="2"/>
  <c r="L248" i="2"/>
  <c r="M248" i="2"/>
  <c r="N248" i="2"/>
  <c r="L249" i="2"/>
  <c r="M249" i="2"/>
  <c r="N249" i="2"/>
  <c r="L250" i="2"/>
  <c r="M250" i="2"/>
  <c r="N250" i="2"/>
  <c r="L251" i="2"/>
  <c r="M251" i="2"/>
  <c r="N251" i="2"/>
  <c r="L252" i="2"/>
  <c r="M252" i="2"/>
  <c r="N252" i="2"/>
  <c r="L253" i="2"/>
  <c r="M253" i="2"/>
  <c r="N253" i="2"/>
  <c r="L254" i="2"/>
  <c r="M254" i="2"/>
  <c r="N254" i="2"/>
  <c r="L255" i="2"/>
  <c r="M255" i="2"/>
  <c r="N255" i="2"/>
  <c r="L256" i="2"/>
  <c r="M256" i="2"/>
  <c r="N256" i="2"/>
  <c r="L257" i="2"/>
  <c r="M257" i="2"/>
  <c r="N257" i="2"/>
  <c r="L258" i="2"/>
  <c r="M258" i="2"/>
  <c r="N258" i="2"/>
  <c r="L259" i="2"/>
  <c r="M259" i="2"/>
  <c r="N259" i="2"/>
  <c r="L260" i="2"/>
  <c r="M260" i="2"/>
  <c r="N260" i="2"/>
  <c r="L261" i="2"/>
  <c r="M261" i="2"/>
  <c r="N261" i="2"/>
  <c r="L262" i="2"/>
  <c r="M262" i="2"/>
  <c r="N262" i="2"/>
  <c r="L263" i="2"/>
  <c r="M263" i="2"/>
  <c r="N263" i="2"/>
  <c r="L264" i="2"/>
  <c r="M264" i="2"/>
  <c r="N264" i="2"/>
  <c r="L265" i="2"/>
  <c r="M265" i="2"/>
  <c r="N265" i="2"/>
  <c r="L266" i="2"/>
  <c r="M266" i="2"/>
  <c r="N266" i="2"/>
  <c r="L267" i="2"/>
  <c r="M267" i="2"/>
  <c r="N267" i="2"/>
  <c r="L268" i="2"/>
  <c r="M268" i="2"/>
  <c r="N268" i="2"/>
  <c r="L269" i="2"/>
  <c r="M269" i="2"/>
  <c r="N269" i="2"/>
  <c r="L270" i="2"/>
  <c r="M270" i="2"/>
  <c r="N270" i="2"/>
  <c r="L271" i="2"/>
  <c r="M271" i="2"/>
  <c r="N271" i="2"/>
  <c r="L272" i="2"/>
  <c r="M272" i="2"/>
  <c r="N272" i="2"/>
  <c r="L273" i="2"/>
  <c r="M273" i="2"/>
  <c r="N273" i="2"/>
  <c r="L274" i="2"/>
  <c r="M274" i="2"/>
  <c r="N274" i="2"/>
  <c r="L275" i="2"/>
  <c r="M275" i="2"/>
  <c r="N275" i="2"/>
  <c r="L276" i="2"/>
  <c r="M276" i="2"/>
  <c r="N276" i="2"/>
  <c r="L277" i="2"/>
  <c r="M277" i="2"/>
  <c r="N277" i="2"/>
  <c r="L278" i="2"/>
  <c r="M278" i="2"/>
  <c r="N278" i="2"/>
  <c r="L279" i="2"/>
  <c r="M279" i="2"/>
  <c r="N279" i="2"/>
  <c r="L280" i="2"/>
  <c r="M280" i="2"/>
  <c r="N280" i="2"/>
  <c r="L281" i="2"/>
  <c r="M281" i="2"/>
  <c r="N281" i="2"/>
  <c r="L282" i="2"/>
  <c r="M282" i="2"/>
  <c r="N282" i="2"/>
  <c r="L283" i="2"/>
  <c r="M283" i="2"/>
  <c r="N283" i="2"/>
  <c r="L284" i="2"/>
  <c r="M284" i="2"/>
  <c r="N284" i="2"/>
  <c r="L285" i="2"/>
  <c r="M285" i="2"/>
  <c r="N285" i="2"/>
  <c r="L286" i="2"/>
  <c r="M286" i="2"/>
  <c r="N286" i="2"/>
  <c r="L287" i="2"/>
  <c r="M287" i="2"/>
  <c r="N287" i="2"/>
  <c r="L288" i="2"/>
  <c r="M288" i="2"/>
  <c r="N288" i="2"/>
  <c r="L289" i="2"/>
  <c r="M289" i="2"/>
  <c r="N289" i="2"/>
  <c r="L290" i="2"/>
  <c r="M290" i="2"/>
  <c r="N290" i="2"/>
  <c r="L291" i="2"/>
  <c r="M291" i="2"/>
  <c r="N291" i="2"/>
  <c r="L292" i="2"/>
  <c r="M292" i="2"/>
  <c r="N292" i="2"/>
  <c r="L293" i="2"/>
  <c r="M293" i="2"/>
  <c r="N293" i="2"/>
  <c r="L294" i="2"/>
  <c r="M294" i="2"/>
  <c r="N294" i="2"/>
  <c r="L295" i="2"/>
  <c r="M295" i="2"/>
  <c r="N295" i="2"/>
  <c r="L296" i="2"/>
  <c r="M296" i="2"/>
  <c r="N296" i="2"/>
  <c r="L297" i="2"/>
  <c r="M297" i="2"/>
  <c r="N297" i="2"/>
  <c r="L298" i="2"/>
  <c r="M298" i="2"/>
  <c r="N298" i="2"/>
  <c r="L299" i="2"/>
  <c r="M299" i="2"/>
  <c r="N299" i="2"/>
  <c r="L300" i="2"/>
  <c r="M300" i="2"/>
  <c r="N300" i="2"/>
  <c r="L301" i="2"/>
  <c r="M301" i="2"/>
  <c r="N301" i="2"/>
  <c r="L302" i="2"/>
  <c r="M302" i="2"/>
  <c r="N302" i="2"/>
  <c r="L303" i="2"/>
  <c r="M303" i="2"/>
  <c r="N303" i="2"/>
  <c r="L304" i="2"/>
  <c r="M304" i="2"/>
  <c r="N304" i="2"/>
  <c r="L305" i="2"/>
  <c r="M305" i="2"/>
  <c r="N305" i="2"/>
  <c r="L306" i="2"/>
  <c r="M306" i="2"/>
  <c r="N306" i="2"/>
  <c r="L307" i="2"/>
  <c r="M307" i="2"/>
  <c r="N307" i="2"/>
  <c r="L308" i="2"/>
  <c r="M308" i="2"/>
  <c r="N308" i="2"/>
  <c r="L309" i="2"/>
  <c r="M309" i="2"/>
  <c r="N309" i="2"/>
  <c r="L310" i="2"/>
  <c r="M310" i="2"/>
  <c r="N310" i="2"/>
  <c r="L311" i="2"/>
  <c r="M311" i="2"/>
  <c r="N311" i="2"/>
  <c r="L312" i="2"/>
  <c r="M312" i="2"/>
  <c r="N312" i="2"/>
  <c r="L313" i="2"/>
  <c r="M313" i="2"/>
  <c r="N313" i="2"/>
  <c r="L314" i="2"/>
  <c r="M314" i="2"/>
  <c r="N314" i="2"/>
  <c r="L315" i="2"/>
  <c r="M315" i="2"/>
  <c r="N315" i="2"/>
  <c r="L316" i="2"/>
  <c r="M316" i="2"/>
  <c r="N316" i="2"/>
  <c r="L317" i="2"/>
  <c r="M317" i="2"/>
  <c r="N317" i="2"/>
  <c r="L318" i="2"/>
  <c r="M318" i="2"/>
  <c r="N318" i="2"/>
  <c r="L319" i="2"/>
  <c r="M319" i="2"/>
  <c r="N319" i="2"/>
  <c r="L320" i="2"/>
  <c r="M320" i="2"/>
  <c r="N320" i="2"/>
  <c r="L321" i="2"/>
  <c r="M321" i="2"/>
  <c r="N321" i="2"/>
  <c r="L322" i="2"/>
  <c r="M322" i="2"/>
  <c r="N322" i="2"/>
  <c r="L323" i="2"/>
  <c r="M323" i="2"/>
  <c r="N323" i="2"/>
  <c r="L324" i="2"/>
  <c r="M324" i="2"/>
  <c r="N324" i="2"/>
  <c r="L325" i="2"/>
  <c r="M325" i="2"/>
  <c r="N325" i="2"/>
  <c r="L326" i="2"/>
  <c r="M326" i="2"/>
  <c r="N326" i="2"/>
  <c r="L327" i="2"/>
  <c r="M327" i="2"/>
  <c r="N327" i="2"/>
  <c r="L328" i="2"/>
  <c r="M328" i="2"/>
  <c r="N328" i="2"/>
  <c r="L329" i="2"/>
  <c r="M329" i="2"/>
  <c r="N329" i="2"/>
  <c r="L330" i="2"/>
  <c r="M330" i="2"/>
  <c r="N330" i="2"/>
  <c r="L331" i="2"/>
  <c r="M331" i="2"/>
  <c r="N331" i="2"/>
  <c r="L332" i="2"/>
  <c r="M332" i="2"/>
  <c r="N332" i="2"/>
  <c r="L333" i="2"/>
  <c r="M333" i="2"/>
  <c r="N333" i="2"/>
  <c r="L334" i="2"/>
  <c r="M334" i="2"/>
  <c r="N334" i="2"/>
  <c r="L335" i="2"/>
  <c r="M335" i="2"/>
  <c r="N335" i="2"/>
  <c r="L336" i="2"/>
  <c r="M336" i="2"/>
  <c r="N336" i="2"/>
  <c r="L337" i="2"/>
  <c r="M337" i="2"/>
  <c r="N337" i="2"/>
  <c r="L338" i="2"/>
  <c r="M338" i="2"/>
  <c r="N338" i="2"/>
  <c r="L339" i="2"/>
  <c r="M339" i="2"/>
  <c r="N339" i="2"/>
  <c r="L340" i="2"/>
  <c r="M340" i="2"/>
  <c r="N340" i="2"/>
  <c r="L341" i="2"/>
  <c r="M341" i="2"/>
  <c r="N341" i="2"/>
  <c r="L342" i="2"/>
  <c r="M342" i="2"/>
  <c r="N342" i="2"/>
  <c r="L343" i="2"/>
  <c r="M343" i="2"/>
  <c r="N343" i="2"/>
  <c r="L344" i="2"/>
  <c r="M344" i="2"/>
  <c r="N344" i="2"/>
  <c r="L345" i="2"/>
  <c r="M345" i="2"/>
  <c r="N345" i="2"/>
  <c r="L346" i="2"/>
  <c r="M346" i="2"/>
  <c r="N346" i="2"/>
  <c r="L347" i="2"/>
  <c r="M347" i="2"/>
  <c r="N347" i="2"/>
  <c r="L348" i="2"/>
  <c r="M348" i="2"/>
  <c r="N348" i="2"/>
  <c r="L349" i="2"/>
  <c r="M349" i="2"/>
  <c r="N349" i="2"/>
  <c r="L350" i="2"/>
  <c r="M350" i="2"/>
  <c r="N350" i="2"/>
  <c r="L351" i="2"/>
  <c r="M351" i="2"/>
  <c r="N351" i="2"/>
  <c r="L352" i="2"/>
  <c r="M352" i="2"/>
  <c r="N352" i="2"/>
  <c r="L353" i="2"/>
  <c r="M353" i="2"/>
  <c r="N353" i="2"/>
  <c r="L354" i="2"/>
  <c r="M354" i="2"/>
  <c r="N354" i="2"/>
  <c r="L355" i="2"/>
  <c r="M355" i="2"/>
  <c r="N355" i="2"/>
  <c r="L356" i="2"/>
  <c r="M356" i="2"/>
  <c r="N356" i="2"/>
  <c r="L357" i="2"/>
  <c r="M357" i="2"/>
  <c r="N357" i="2"/>
  <c r="L358" i="2"/>
  <c r="M358" i="2"/>
  <c r="N358" i="2"/>
  <c r="L359" i="2"/>
  <c r="M359" i="2"/>
  <c r="N359" i="2"/>
  <c r="L360" i="2"/>
  <c r="M360" i="2"/>
  <c r="N360" i="2"/>
  <c r="L361" i="2"/>
  <c r="M361" i="2"/>
  <c r="N361" i="2"/>
  <c r="L362" i="2"/>
  <c r="M362" i="2"/>
  <c r="N362" i="2"/>
  <c r="L363" i="2"/>
  <c r="M363" i="2"/>
  <c r="N363" i="2"/>
  <c r="L364" i="2"/>
  <c r="M364" i="2"/>
  <c r="N364" i="2"/>
  <c r="L365" i="2"/>
  <c r="M365" i="2"/>
  <c r="N365" i="2"/>
  <c r="L366" i="2"/>
  <c r="M366" i="2"/>
  <c r="N366" i="2"/>
  <c r="L367" i="2"/>
  <c r="M367" i="2"/>
  <c r="N367" i="2"/>
  <c r="L368" i="2"/>
  <c r="M368" i="2"/>
  <c r="N368" i="2"/>
  <c r="L369" i="2"/>
  <c r="M369" i="2"/>
  <c r="N369" i="2"/>
  <c r="L370" i="2"/>
  <c r="M370" i="2"/>
  <c r="N370" i="2"/>
  <c r="L371" i="2"/>
  <c r="M371" i="2"/>
  <c r="N371" i="2"/>
  <c r="L372" i="2"/>
  <c r="M372" i="2"/>
  <c r="N372" i="2"/>
  <c r="L373" i="2"/>
  <c r="M373" i="2"/>
  <c r="N373" i="2"/>
  <c r="L374" i="2"/>
  <c r="M374" i="2"/>
  <c r="N374" i="2"/>
  <c r="L375" i="2"/>
  <c r="M375" i="2"/>
  <c r="N375" i="2"/>
  <c r="L376" i="2"/>
  <c r="M376" i="2"/>
  <c r="N376" i="2"/>
  <c r="L377" i="2"/>
  <c r="M377" i="2"/>
  <c r="N377" i="2"/>
  <c r="L378" i="2"/>
  <c r="M378" i="2"/>
  <c r="N378" i="2"/>
  <c r="L379" i="2"/>
  <c r="M379" i="2"/>
  <c r="N379" i="2"/>
  <c r="L380" i="2"/>
  <c r="M380" i="2"/>
  <c r="N380" i="2"/>
  <c r="L381" i="2"/>
  <c r="M381" i="2"/>
  <c r="N381" i="2"/>
  <c r="L382" i="2"/>
  <c r="M382" i="2"/>
  <c r="N382" i="2"/>
  <c r="L383" i="2"/>
  <c r="M383" i="2"/>
  <c r="N383" i="2"/>
  <c r="L384" i="2"/>
  <c r="M384" i="2"/>
  <c r="N384" i="2"/>
  <c r="L385" i="2"/>
  <c r="M385" i="2"/>
  <c r="N385" i="2"/>
  <c r="L386" i="2"/>
  <c r="M386" i="2"/>
  <c r="N386" i="2"/>
  <c r="L387" i="2"/>
  <c r="M387" i="2"/>
  <c r="N387" i="2"/>
  <c r="L388" i="2"/>
  <c r="M388" i="2"/>
  <c r="N388" i="2"/>
  <c r="L389" i="2"/>
  <c r="M389" i="2"/>
  <c r="N389" i="2"/>
  <c r="L390" i="2"/>
  <c r="M390" i="2"/>
  <c r="N390" i="2"/>
  <c r="L391" i="2"/>
  <c r="M391" i="2"/>
  <c r="N391" i="2"/>
  <c r="L392" i="2"/>
  <c r="M392" i="2"/>
  <c r="N392" i="2"/>
  <c r="L393" i="2"/>
  <c r="M393" i="2"/>
  <c r="N393" i="2"/>
  <c r="L394" i="2"/>
  <c r="M394" i="2"/>
  <c r="N394" i="2"/>
  <c r="L395" i="2"/>
  <c r="M395" i="2"/>
  <c r="N395" i="2"/>
  <c r="L396" i="2"/>
  <c r="M396" i="2"/>
  <c r="N396" i="2"/>
  <c r="L397" i="2"/>
  <c r="M397" i="2"/>
  <c r="N397" i="2"/>
  <c r="L398" i="2"/>
  <c r="M398" i="2"/>
  <c r="N398" i="2"/>
  <c r="L399" i="2"/>
  <c r="M399" i="2"/>
  <c r="N399" i="2"/>
  <c r="L400" i="2"/>
  <c r="M400" i="2"/>
  <c r="N400" i="2"/>
  <c r="L401" i="2"/>
  <c r="M401" i="2"/>
  <c r="N401" i="2"/>
  <c r="L402" i="2"/>
  <c r="M402" i="2"/>
  <c r="N402" i="2"/>
  <c r="L403" i="2"/>
  <c r="M403" i="2"/>
  <c r="N403" i="2"/>
  <c r="L404" i="2"/>
  <c r="M404" i="2"/>
  <c r="N404" i="2"/>
  <c r="L405" i="2"/>
  <c r="M405" i="2"/>
  <c r="N405" i="2"/>
  <c r="L406" i="2"/>
  <c r="M406" i="2"/>
  <c r="N406" i="2"/>
  <c r="L407" i="2"/>
  <c r="M407" i="2"/>
  <c r="N407" i="2"/>
  <c r="L408" i="2"/>
  <c r="M408" i="2"/>
  <c r="N408" i="2"/>
  <c r="L409" i="2"/>
  <c r="M409" i="2"/>
  <c r="N409" i="2"/>
  <c r="L410" i="2"/>
  <c r="M410" i="2"/>
  <c r="N410" i="2"/>
  <c r="L411" i="2"/>
  <c r="M411" i="2"/>
  <c r="N411" i="2"/>
  <c r="L412" i="2"/>
  <c r="M412" i="2"/>
  <c r="N412" i="2"/>
  <c r="L413" i="2"/>
  <c r="M413" i="2"/>
  <c r="N413" i="2"/>
  <c r="L414" i="2"/>
  <c r="M414" i="2"/>
  <c r="N414" i="2"/>
  <c r="L415" i="2"/>
  <c r="M415" i="2"/>
  <c r="N415" i="2"/>
  <c r="L416" i="2"/>
  <c r="M416" i="2"/>
  <c r="N416" i="2"/>
  <c r="L417" i="2"/>
  <c r="M417" i="2"/>
  <c r="N417" i="2"/>
  <c r="L418" i="2"/>
  <c r="M418" i="2"/>
  <c r="N418" i="2"/>
  <c r="L419" i="2"/>
  <c r="M419" i="2"/>
  <c r="N419" i="2"/>
  <c r="L420" i="2"/>
  <c r="M420" i="2"/>
  <c r="N420" i="2"/>
  <c r="L421" i="2"/>
  <c r="M421" i="2"/>
  <c r="N421" i="2"/>
  <c r="L422" i="2"/>
  <c r="M422" i="2"/>
  <c r="N422" i="2"/>
  <c r="L423" i="2"/>
  <c r="M423" i="2"/>
  <c r="N423" i="2"/>
  <c r="L424" i="2"/>
  <c r="M424" i="2"/>
  <c r="N424" i="2"/>
  <c r="L425" i="2"/>
  <c r="M425" i="2"/>
  <c r="N425" i="2"/>
  <c r="L426" i="2"/>
  <c r="M426" i="2"/>
  <c r="N426" i="2"/>
  <c r="L427" i="2"/>
  <c r="M427" i="2"/>
  <c r="N427" i="2"/>
  <c r="L428" i="2"/>
  <c r="M428" i="2"/>
  <c r="N428" i="2"/>
  <c r="L429" i="2"/>
  <c r="M429" i="2"/>
  <c r="N429" i="2"/>
  <c r="L430" i="2"/>
  <c r="M430" i="2"/>
  <c r="N430" i="2"/>
  <c r="L431" i="2"/>
  <c r="M431" i="2"/>
  <c r="N431" i="2"/>
  <c r="L432" i="2"/>
  <c r="M432" i="2"/>
  <c r="N432" i="2"/>
  <c r="L433" i="2"/>
  <c r="M433" i="2"/>
  <c r="N433" i="2"/>
  <c r="L434" i="2"/>
  <c r="M434" i="2"/>
  <c r="N434" i="2"/>
  <c r="L435" i="2"/>
  <c r="M435" i="2"/>
  <c r="N435" i="2"/>
  <c r="L436" i="2"/>
  <c r="M436" i="2"/>
  <c r="N436" i="2"/>
  <c r="L437" i="2"/>
  <c r="M437" i="2"/>
  <c r="N437" i="2"/>
  <c r="L438" i="2"/>
  <c r="M438" i="2"/>
  <c r="N438" i="2"/>
  <c r="L439" i="2"/>
  <c r="M439" i="2"/>
  <c r="N439" i="2"/>
  <c r="L440" i="2"/>
  <c r="M440" i="2"/>
  <c r="N440" i="2"/>
  <c r="L441" i="2"/>
  <c r="M441" i="2"/>
  <c r="N441" i="2"/>
  <c r="L442" i="2"/>
  <c r="M442" i="2"/>
  <c r="N442" i="2"/>
  <c r="L443" i="2"/>
  <c r="M443" i="2"/>
  <c r="N443" i="2"/>
  <c r="L444" i="2"/>
  <c r="M444" i="2"/>
  <c r="N444" i="2"/>
  <c r="L445" i="2"/>
  <c r="M445" i="2"/>
  <c r="N445" i="2"/>
  <c r="L446" i="2"/>
  <c r="M446" i="2"/>
  <c r="N446" i="2"/>
  <c r="L447" i="2"/>
  <c r="M447" i="2"/>
  <c r="N447" i="2"/>
  <c r="L448" i="2"/>
  <c r="M448" i="2"/>
  <c r="N448" i="2"/>
  <c r="L449" i="2"/>
  <c r="M449" i="2"/>
  <c r="N449" i="2"/>
  <c r="L450" i="2"/>
  <c r="M450" i="2"/>
  <c r="N450" i="2"/>
  <c r="L451" i="2"/>
  <c r="M451" i="2"/>
  <c r="N451" i="2"/>
  <c r="L452" i="2"/>
  <c r="M452" i="2"/>
  <c r="N452" i="2"/>
  <c r="L453" i="2"/>
  <c r="M453" i="2"/>
  <c r="N453" i="2"/>
  <c r="L454" i="2"/>
  <c r="M454" i="2"/>
  <c r="N454" i="2"/>
  <c r="L455" i="2"/>
  <c r="M455" i="2"/>
  <c r="N455" i="2"/>
  <c r="L456" i="2"/>
  <c r="M456" i="2"/>
  <c r="N456" i="2"/>
  <c r="L457" i="2"/>
  <c r="M457" i="2"/>
  <c r="N457" i="2"/>
  <c r="L458" i="2"/>
  <c r="M458" i="2"/>
  <c r="N458" i="2"/>
  <c r="L459" i="2"/>
  <c r="M459" i="2"/>
  <c r="N459" i="2"/>
  <c r="L460" i="2"/>
  <c r="M460" i="2"/>
  <c r="N460" i="2"/>
  <c r="L461" i="2"/>
  <c r="M461" i="2"/>
  <c r="N461" i="2"/>
  <c r="L462" i="2"/>
  <c r="M462" i="2"/>
  <c r="N462" i="2"/>
  <c r="L463" i="2"/>
  <c r="M463" i="2"/>
  <c r="N463" i="2"/>
  <c r="L464" i="2"/>
  <c r="M464" i="2"/>
  <c r="N464" i="2"/>
  <c r="L465" i="2"/>
  <c r="M465" i="2"/>
  <c r="N465" i="2"/>
  <c r="L466" i="2"/>
  <c r="M466" i="2"/>
  <c r="N466" i="2"/>
  <c r="L467" i="2"/>
  <c r="M467" i="2"/>
  <c r="N467" i="2"/>
  <c r="L468" i="2"/>
  <c r="M468" i="2"/>
  <c r="N468" i="2"/>
  <c r="L469" i="2"/>
  <c r="M469" i="2"/>
  <c r="N469" i="2"/>
  <c r="L470" i="2"/>
  <c r="M470" i="2"/>
  <c r="N470" i="2"/>
  <c r="L471" i="2"/>
  <c r="M471" i="2"/>
  <c r="N471" i="2"/>
  <c r="L472" i="2"/>
  <c r="M472" i="2"/>
  <c r="N472" i="2"/>
  <c r="L473" i="2"/>
  <c r="M473" i="2"/>
  <c r="N473" i="2"/>
  <c r="L474" i="2"/>
  <c r="M474" i="2"/>
  <c r="N474" i="2"/>
  <c r="L475" i="2"/>
  <c r="M475" i="2"/>
  <c r="N475" i="2"/>
  <c r="L476" i="2"/>
  <c r="M476" i="2"/>
  <c r="N476" i="2"/>
  <c r="L477" i="2"/>
  <c r="M477" i="2"/>
  <c r="N477" i="2"/>
  <c r="L478" i="2"/>
  <c r="M478" i="2"/>
  <c r="N478" i="2"/>
  <c r="L479" i="2"/>
  <c r="M479" i="2"/>
  <c r="N479" i="2"/>
  <c r="L480" i="2"/>
  <c r="M480" i="2"/>
  <c r="N480" i="2"/>
  <c r="L481" i="2"/>
  <c r="M481" i="2"/>
  <c r="N481" i="2"/>
  <c r="L482" i="2"/>
  <c r="M482" i="2"/>
  <c r="N482" i="2"/>
  <c r="L483" i="2"/>
  <c r="M483" i="2"/>
  <c r="N483" i="2"/>
  <c r="L484" i="2"/>
  <c r="M484" i="2"/>
  <c r="N484" i="2"/>
  <c r="L485" i="2"/>
  <c r="M485" i="2"/>
  <c r="N485" i="2"/>
  <c r="L486" i="2"/>
  <c r="M486" i="2"/>
  <c r="N486" i="2"/>
  <c r="L487" i="2"/>
  <c r="M487" i="2"/>
  <c r="N487" i="2"/>
  <c r="L488" i="2"/>
  <c r="M488" i="2"/>
  <c r="N488" i="2"/>
  <c r="L489" i="2"/>
  <c r="M489" i="2"/>
  <c r="N489" i="2"/>
  <c r="L490" i="2"/>
  <c r="M490" i="2"/>
  <c r="N490" i="2"/>
  <c r="L491" i="2"/>
  <c r="M491" i="2"/>
  <c r="N491" i="2"/>
  <c r="L492" i="2"/>
  <c r="M492" i="2"/>
  <c r="N492" i="2"/>
  <c r="L493" i="2"/>
  <c r="M493" i="2"/>
  <c r="N493" i="2"/>
  <c r="L494" i="2"/>
  <c r="M494" i="2"/>
  <c r="N494" i="2"/>
  <c r="L495" i="2"/>
  <c r="M495" i="2"/>
  <c r="N495" i="2"/>
  <c r="L496" i="2"/>
  <c r="M496" i="2"/>
  <c r="N496" i="2"/>
  <c r="L497" i="2"/>
  <c r="M497" i="2"/>
  <c r="N497" i="2"/>
  <c r="L498" i="2"/>
  <c r="M498" i="2"/>
  <c r="N498" i="2"/>
  <c r="L499" i="2"/>
  <c r="M499" i="2"/>
  <c r="N499" i="2"/>
  <c r="L500" i="2"/>
  <c r="M500" i="2"/>
  <c r="N500" i="2"/>
  <c r="L501" i="2"/>
  <c r="M501" i="2"/>
  <c r="N501" i="2"/>
  <c r="L502" i="2"/>
  <c r="M502" i="2"/>
  <c r="N502" i="2"/>
  <c r="L503" i="2"/>
  <c r="M503" i="2"/>
  <c r="N503" i="2"/>
  <c r="L504" i="2"/>
  <c r="M504" i="2"/>
  <c r="N504" i="2"/>
  <c r="L505" i="2"/>
  <c r="M505" i="2"/>
  <c r="N505" i="2"/>
  <c r="L506" i="2"/>
  <c r="M506" i="2"/>
  <c r="N506" i="2"/>
  <c r="L507" i="2"/>
  <c r="M507" i="2"/>
  <c r="N507" i="2"/>
  <c r="L508" i="2"/>
  <c r="M508" i="2"/>
  <c r="N508" i="2"/>
  <c r="L509" i="2"/>
  <c r="M509" i="2"/>
  <c r="N509" i="2"/>
  <c r="L510" i="2"/>
  <c r="M510" i="2"/>
  <c r="N510" i="2"/>
  <c r="L511" i="2"/>
  <c r="M511" i="2"/>
  <c r="N511" i="2"/>
  <c r="L512" i="2"/>
  <c r="M512" i="2"/>
  <c r="N512" i="2"/>
  <c r="L513" i="2"/>
  <c r="M513" i="2"/>
  <c r="N513" i="2"/>
  <c r="L514" i="2"/>
  <c r="M514" i="2"/>
  <c r="N514" i="2"/>
  <c r="L515" i="2"/>
  <c r="M515" i="2"/>
  <c r="N515" i="2"/>
  <c r="L516" i="2"/>
  <c r="M516" i="2"/>
  <c r="N516" i="2"/>
  <c r="L517" i="2"/>
  <c r="M517" i="2"/>
  <c r="N517" i="2"/>
  <c r="L518" i="2"/>
  <c r="M518" i="2"/>
  <c r="N518" i="2"/>
  <c r="L519" i="2"/>
  <c r="M519" i="2"/>
  <c r="N519" i="2"/>
  <c r="L520" i="2"/>
  <c r="M520" i="2"/>
  <c r="N520" i="2"/>
  <c r="L521" i="2"/>
  <c r="M521" i="2"/>
  <c r="N521" i="2"/>
  <c r="L522" i="2"/>
  <c r="M522" i="2"/>
  <c r="N522" i="2"/>
  <c r="L523" i="2"/>
  <c r="M523" i="2"/>
  <c r="N523" i="2"/>
  <c r="L524" i="2"/>
  <c r="M524" i="2"/>
  <c r="N524" i="2"/>
  <c r="L525" i="2"/>
  <c r="M525" i="2"/>
  <c r="N525" i="2"/>
  <c r="L526" i="2"/>
  <c r="M526" i="2"/>
  <c r="N526" i="2"/>
  <c r="L527" i="2"/>
  <c r="M527" i="2"/>
  <c r="N527" i="2"/>
  <c r="L528" i="2"/>
  <c r="M528" i="2"/>
  <c r="N528" i="2"/>
  <c r="L529" i="2"/>
  <c r="M529" i="2"/>
  <c r="N529" i="2"/>
  <c r="L530" i="2"/>
  <c r="M530" i="2"/>
  <c r="N530" i="2"/>
  <c r="L531" i="2"/>
  <c r="M531" i="2"/>
  <c r="N531" i="2"/>
  <c r="L532" i="2"/>
  <c r="M532" i="2"/>
  <c r="N532" i="2"/>
  <c r="L533" i="2"/>
  <c r="M533" i="2"/>
  <c r="N533" i="2"/>
  <c r="L534" i="2"/>
  <c r="M534" i="2"/>
  <c r="N534" i="2"/>
  <c r="L535" i="2"/>
  <c r="M535" i="2"/>
  <c r="N535" i="2"/>
  <c r="L536" i="2"/>
  <c r="M536" i="2"/>
  <c r="N536" i="2"/>
  <c r="L537" i="2"/>
  <c r="M537" i="2"/>
  <c r="N537" i="2"/>
  <c r="L538" i="2"/>
  <c r="M538" i="2"/>
  <c r="N538" i="2"/>
  <c r="L539" i="2"/>
  <c r="M539" i="2"/>
  <c r="N539" i="2"/>
  <c r="L540" i="2"/>
  <c r="M540" i="2"/>
  <c r="N540" i="2"/>
  <c r="L541" i="2"/>
  <c r="M541" i="2"/>
  <c r="N541" i="2"/>
  <c r="L542" i="2"/>
  <c r="M542" i="2"/>
  <c r="N542" i="2"/>
  <c r="L543" i="2"/>
  <c r="M543" i="2"/>
  <c r="N543" i="2"/>
  <c r="L544" i="2"/>
  <c r="M544" i="2"/>
  <c r="N544" i="2"/>
  <c r="L545" i="2"/>
  <c r="M545" i="2"/>
  <c r="N545" i="2"/>
  <c r="L546" i="2"/>
  <c r="M546" i="2"/>
  <c r="N546" i="2"/>
  <c r="L547" i="2"/>
  <c r="M547" i="2"/>
  <c r="N547" i="2"/>
  <c r="L548" i="2"/>
  <c r="M548" i="2"/>
  <c r="N548" i="2"/>
  <c r="L549" i="2"/>
  <c r="M549" i="2"/>
  <c r="N549" i="2"/>
  <c r="L550" i="2"/>
  <c r="M550" i="2"/>
  <c r="N550" i="2"/>
  <c r="L551" i="2"/>
  <c r="M551" i="2"/>
  <c r="N551" i="2"/>
  <c r="L552" i="2"/>
  <c r="M552" i="2"/>
  <c r="N552" i="2"/>
  <c r="L553" i="2"/>
  <c r="M553" i="2"/>
  <c r="N553" i="2"/>
  <c r="L554" i="2"/>
  <c r="M554" i="2"/>
  <c r="N554" i="2"/>
  <c r="L555" i="2"/>
  <c r="M555" i="2"/>
  <c r="N555" i="2"/>
  <c r="L556" i="2"/>
  <c r="M556" i="2"/>
  <c r="N556" i="2"/>
  <c r="L557" i="2"/>
  <c r="M557" i="2"/>
  <c r="N557" i="2"/>
  <c r="L558" i="2"/>
  <c r="M558" i="2"/>
  <c r="N558" i="2"/>
  <c r="L559" i="2"/>
  <c r="M559" i="2"/>
  <c r="N559" i="2"/>
  <c r="L560" i="2"/>
  <c r="M560" i="2"/>
  <c r="N560" i="2"/>
  <c r="L561" i="2"/>
  <c r="M561" i="2"/>
  <c r="N561" i="2"/>
  <c r="L562" i="2"/>
  <c r="M562" i="2"/>
  <c r="N562" i="2"/>
  <c r="L563" i="2"/>
  <c r="M563" i="2"/>
  <c r="N563" i="2"/>
  <c r="L564" i="2"/>
  <c r="M564" i="2"/>
  <c r="N564" i="2"/>
  <c r="L565" i="2"/>
  <c r="M565" i="2"/>
  <c r="N565" i="2"/>
  <c r="L566" i="2"/>
  <c r="M566" i="2"/>
  <c r="N566" i="2"/>
  <c r="L567" i="2"/>
  <c r="M567" i="2"/>
  <c r="N567" i="2"/>
  <c r="L568" i="2"/>
  <c r="M568" i="2"/>
  <c r="N568" i="2"/>
  <c r="L569" i="2"/>
  <c r="M569" i="2"/>
  <c r="N569" i="2"/>
  <c r="L570" i="2"/>
  <c r="M570" i="2"/>
  <c r="N570" i="2"/>
  <c r="L571" i="2"/>
  <c r="M571" i="2"/>
  <c r="N571" i="2"/>
  <c r="L572" i="2"/>
  <c r="M572" i="2"/>
  <c r="N572" i="2"/>
  <c r="L573" i="2"/>
  <c r="M573" i="2"/>
  <c r="N573" i="2"/>
  <c r="L574" i="2"/>
  <c r="M574" i="2"/>
  <c r="N574" i="2"/>
  <c r="L575" i="2"/>
  <c r="M575" i="2"/>
  <c r="N575" i="2"/>
  <c r="L576" i="2"/>
  <c r="M576" i="2"/>
  <c r="N576" i="2"/>
  <c r="L577" i="2"/>
  <c r="M577" i="2"/>
  <c r="N577" i="2"/>
  <c r="L578" i="2"/>
  <c r="M578" i="2"/>
  <c r="N578" i="2"/>
  <c r="L579" i="2"/>
  <c r="M579" i="2"/>
  <c r="N579" i="2"/>
  <c r="L580" i="2"/>
  <c r="M580" i="2"/>
  <c r="N580" i="2"/>
  <c r="L581" i="2"/>
  <c r="M581" i="2"/>
  <c r="N581" i="2"/>
  <c r="L582" i="2"/>
  <c r="M582" i="2"/>
  <c r="N582" i="2"/>
  <c r="L583" i="2"/>
  <c r="M583" i="2"/>
  <c r="N583" i="2"/>
  <c r="L584" i="2"/>
  <c r="M584" i="2"/>
  <c r="N584" i="2"/>
  <c r="L585" i="2"/>
  <c r="M585" i="2"/>
  <c r="N585" i="2"/>
  <c r="L586" i="2"/>
  <c r="M586" i="2"/>
  <c r="N586" i="2"/>
  <c r="L587" i="2"/>
  <c r="M587" i="2"/>
  <c r="N587" i="2"/>
  <c r="L588" i="2"/>
  <c r="M588" i="2"/>
  <c r="N588" i="2"/>
  <c r="L589" i="2"/>
  <c r="M589" i="2"/>
  <c r="N589" i="2"/>
  <c r="L590" i="2"/>
  <c r="M590" i="2"/>
  <c r="N590" i="2"/>
  <c r="L591" i="2"/>
  <c r="M591" i="2"/>
  <c r="N591" i="2"/>
  <c r="L592" i="2"/>
  <c r="M592" i="2"/>
  <c r="N592" i="2"/>
  <c r="L593" i="2"/>
  <c r="M593" i="2"/>
  <c r="N593" i="2"/>
  <c r="L594" i="2"/>
  <c r="M594" i="2"/>
  <c r="N594" i="2"/>
  <c r="L595" i="2"/>
  <c r="M595" i="2"/>
  <c r="N595" i="2"/>
  <c r="L596" i="2"/>
  <c r="M596" i="2"/>
  <c r="N596" i="2"/>
  <c r="L597" i="2"/>
  <c r="M597" i="2"/>
  <c r="N597" i="2"/>
  <c r="L598" i="2"/>
  <c r="M598" i="2"/>
  <c r="N598" i="2"/>
  <c r="L599" i="2"/>
  <c r="M599" i="2"/>
  <c r="N599" i="2"/>
  <c r="L600" i="2"/>
  <c r="M600" i="2"/>
  <c r="N600" i="2"/>
  <c r="L601" i="2"/>
  <c r="M601" i="2"/>
  <c r="N601" i="2"/>
  <c r="L602" i="2"/>
  <c r="M602" i="2"/>
  <c r="N602" i="2"/>
  <c r="L603" i="2"/>
  <c r="M603" i="2"/>
  <c r="N603" i="2"/>
  <c r="L604" i="2"/>
  <c r="M604" i="2"/>
  <c r="N604" i="2"/>
  <c r="L605" i="2"/>
  <c r="M605" i="2"/>
  <c r="N605" i="2"/>
  <c r="L606" i="2"/>
  <c r="M606" i="2"/>
  <c r="N606" i="2"/>
  <c r="L607" i="2"/>
  <c r="M607" i="2"/>
  <c r="N607" i="2"/>
  <c r="L608" i="2"/>
  <c r="M608" i="2"/>
  <c r="N608" i="2"/>
  <c r="L609" i="2"/>
  <c r="M609" i="2"/>
  <c r="N609" i="2"/>
  <c r="L610" i="2"/>
  <c r="M610" i="2"/>
  <c r="N610" i="2"/>
  <c r="L611" i="2"/>
  <c r="M611" i="2"/>
  <c r="N611" i="2"/>
  <c r="L612" i="2"/>
  <c r="M612" i="2"/>
  <c r="N612" i="2"/>
  <c r="L613" i="2"/>
  <c r="M613" i="2"/>
  <c r="N613" i="2"/>
  <c r="L614" i="2"/>
  <c r="M614" i="2"/>
  <c r="N614" i="2"/>
  <c r="L615" i="2"/>
  <c r="M615" i="2"/>
  <c r="N615" i="2"/>
  <c r="L616" i="2"/>
  <c r="M616" i="2"/>
  <c r="N616" i="2"/>
  <c r="L617" i="2"/>
  <c r="M617" i="2"/>
  <c r="N617" i="2"/>
  <c r="L618" i="2"/>
  <c r="M618" i="2"/>
  <c r="N618" i="2"/>
  <c r="L619" i="2"/>
  <c r="M619" i="2"/>
  <c r="N619" i="2"/>
  <c r="L620" i="2"/>
  <c r="M620" i="2"/>
  <c r="N620" i="2"/>
  <c r="L621" i="2"/>
  <c r="M621" i="2"/>
  <c r="N621" i="2"/>
  <c r="L622" i="2"/>
  <c r="M622" i="2"/>
  <c r="N622" i="2"/>
  <c r="L623" i="2"/>
  <c r="M623" i="2"/>
  <c r="N623" i="2"/>
  <c r="L624" i="2"/>
  <c r="M624" i="2"/>
  <c r="N624" i="2"/>
  <c r="L625" i="2"/>
  <c r="M625" i="2"/>
  <c r="N625" i="2"/>
  <c r="L626" i="2"/>
  <c r="M626" i="2"/>
  <c r="N626" i="2"/>
  <c r="L627" i="2"/>
  <c r="M627" i="2"/>
  <c r="N627" i="2"/>
  <c r="L628" i="2"/>
  <c r="M628" i="2"/>
  <c r="N628" i="2"/>
  <c r="L629" i="2"/>
  <c r="M629" i="2"/>
  <c r="N629" i="2"/>
  <c r="L630" i="2"/>
  <c r="M630" i="2"/>
  <c r="N630" i="2"/>
  <c r="L631" i="2"/>
  <c r="M631" i="2"/>
  <c r="N631" i="2"/>
  <c r="L632" i="2"/>
  <c r="M632" i="2"/>
  <c r="N632" i="2"/>
  <c r="L633" i="2"/>
  <c r="M633" i="2"/>
  <c r="N633" i="2"/>
  <c r="L634" i="2"/>
  <c r="M634" i="2"/>
  <c r="N634" i="2"/>
  <c r="L635" i="2"/>
  <c r="M635" i="2"/>
  <c r="N635" i="2"/>
  <c r="L636" i="2"/>
  <c r="M636" i="2"/>
  <c r="N636" i="2"/>
  <c r="L637" i="2"/>
  <c r="M637" i="2"/>
  <c r="N637" i="2"/>
  <c r="L638" i="2"/>
  <c r="M638" i="2"/>
  <c r="N638" i="2"/>
  <c r="L639" i="2"/>
  <c r="M639" i="2"/>
  <c r="N639" i="2"/>
  <c r="L640" i="2"/>
  <c r="M640" i="2"/>
  <c r="N640" i="2"/>
  <c r="L641" i="2"/>
  <c r="M641" i="2"/>
  <c r="N641" i="2"/>
  <c r="L642" i="2"/>
  <c r="M642" i="2"/>
  <c r="N642" i="2"/>
  <c r="L643" i="2"/>
  <c r="M643" i="2"/>
  <c r="N643" i="2"/>
  <c r="L644" i="2"/>
  <c r="M644" i="2"/>
  <c r="N644" i="2"/>
  <c r="L645" i="2"/>
  <c r="M645" i="2"/>
  <c r="N645" i="2"/>
  <c r="L646" i="2"/>
  <c r="M646" i="2"/>
  <c r="N646" i="2"/>
  <c r="L647" i="2"/>
  <c r="M647" i="2"/>
  <c r="N647" i="2"/>
  <c r="L648" i="2"/>
  <c r="M648" i="2"/>
  <c r="N648" i="2"/>
  <c r="L649" i="2"/>
  <c r="M649" i="2"/>
  <c r="N649" i="2"/>
  <c r="L650" i="2"/>
  <c r="M650" i="2"/>
  <c r="N650" i="2"/>
  <c r="L651" i="2"/>
  <c r="M651" i="2"/>
  <c r="N651" i="2"/>
  <c r="L652" i="2"/>
  <c r="M652" i="2"/>
  <c r="N652" i="2"/>
  <c r="L653" i="2"/>
  <c r="M653" i="2"/>
  <c r="N653" i="2"/>
  <c r="L654" i="2"/>
  <c r="M654" i="2"/>
  <c r="N654" i="2"/>
  <c r="L655" i="2"/>
  <c r="M655" i="2"/>
  <c r="N655" i="2"/>
  <c r="L656" i="2"/>
  <c r="M656" i="2"/>
  <c r="N656" i="2"/>
  <c r="L657" i="2"/>
  <c r="M657" i="2"/>
  <c r="N657" i="2"/>
  <c r="L658" i="2"/>
  <c r="M658" i="2"/>
  <c r="N658" i="2"/>
  <c r="L659" i="2"/>
  <c r="M659" i="2"/>
  <c r="N659" i="2"/>
  <c r="L660" i="2"/>
  <c r="M660" i="2"/>
  <c r="N660" i="2"/>
  <c r="L661" i="2"/>
  <c r="M661" i="2"/>
  <c r="N661" i="2"/>
  <c r="L662" i="2"/>
  <c r="M662" i="2"/>
  <c r="N662" i="2"/>
  <c r="L663" i="2"/>
  <c r="M663" i="2"/>
  <c r="N663" i="2"/>
  <c r="L664" i="2"/>
  <c r="M664" i="2"/>
  <c r="N664" i="2"/>
  <c r="L665" i="2"/>
  <c r="M665" i="2"/>
  <c r="N665" i="2"/>
  <c r="L666" i="2"/>
  <c r="M666" i="2"/>
  <c r="N666" i="2"/>
  <c r="L667" i="2"/>
  <c r="M667" i="2"/>
  <c r="N667" i="2"/>
  <c r="L668" i="2"/>
  <c r="M668" i="2"/>
  <c r="N668" i="2"/>
  <c r="L669" i="2"/>
  <c r="M669" i="2"/>
  <c r="N669" i="2"/>
  <c r="L670" i="2"/>
  <c r="M670" i="2"/>
  <c r="N670" i="2"/>
  <c r="L671" i="2"/>
  <c r="M671" i="2"/>
  <c r="N671" i="2"/>
  <c r="L672" i="2"/>
  <c r="M672" i="2"/>
  <c r="N672" i="2"/>
  <c r="L673" i="2"/>
  <c r="M673" i="2"/>
  <c r="N673" i="2"/>
  <c r="L674" i="2"/>
  <c r="M674" i="2"/>
  <c r="N674" i="2"/>
  <c r="L675" i="2"/>
  <c r="M675" i="2"/>
  <c r="N675" i="2"/>
  <c r="L676" i="2"/>
  <c r="M676" i="2"/>
  <c r="N676" i="2"/>
  <c r="L677" i="2"/>
  <c r="M677" i="2"/>
  <c r="N677" i="2"/>
  <c r="L678" i="2"/>
  <c r="M678" i="2"/>
  <c r="N678" i="2"/>
  <c r="L679" i="2"/>
  <c r="M679" i="2"/>
  <c r="N679" i="2"/>
  <c r="L680" i="2"/>
  <c r="M680" i="2"/>
  <c r="N680" i="2"/>
  <c r="L681" i="2"/>
  <c r="M681" i="2"/>
  <c r="N681" i="2"/>
  <c r="L682" i="2"/>
  <c r="M682" i="2"/>
  <c r="N682" i="2"/>
  <c r="L683" i="2"/>
  <c r="M683" i="2"/>
  <c r="N683" i="2"/>
  <c r="L684" i="2"/>
  <c r="M684" i="2"/>
  <c r="N684" i="2"/>
  <c r="L685" i="2"/>
  <c r="M685" i="2"/>
  <c r="N685" i="2"/>
  <c r="L686" i="2"/>
  <c r="M686" i="2"/>
  <c r="N686" i="2"/>
  <c r="L687" i="2"/>
  <c r="M687" i="2"/>
  <c r="N687" i="2"/>
  <c r="L688" i="2"/>
  <c r="M688" i="2"/>
  <c r="N688" i="2"/>
  <c r="L689" i="2"/>
  <c r="M689" i="2"/>
  <c r="N689" i="2"/>
  <c r="L690" i="2"/>
  <c r="M690" i="2"/>
  <c r="N690" i="2"/>
  <c r="L691" i="2"/>
  <c r="M691" i="2"/>
  <c r="N691" i="2"/>
  <c r="L692" i="2"/>
  <c r="M692" i="2"/>
  <c r="N692" i="2"/>
  <c r="L693" i="2"/>
  <c r="M693" i="2"/>
  <c r="N693" i="2"/>
  <c r="L694" i="2"/>
  <c r="M694" i="2"/>
  <c r="N694" i="2"/>
  <c r="L695" i="2"/>
  <c r="M695" i="2"/>
  <c r="N695" i="2"/>
  <c r="L696" i="2"/>
  <c r="M696" i="2"/>
  <c r="N696" i="2"/>
  <c r="L697" i="2"/>
  <c r="M697" i="2"/>
  <c r="N697" i="2"/>
  <c r="L698" i="2"/>
  <c r="M698" i="2"/>
  <c r="N698" i="2"/>
  <c r="L699" i="2"/>
  <c r="M699" i="2"/>
  <c r="N699" i="2"/>
  <c r="L700" i="2"/>
  <c r="M700" i="2"/>
  <c r="N700" i="2"/>
  <c r="L701" i="2"/>
  <c r="M701" i="2"/>
  <c r="N701" i="2"/>
  <c r="L702" i="2"/>
  <c r="M702" i="2"/>
  <c r="N702" i="2"/>
  <c r="L703" i="2"/>
  <c r="M703" i="2"/>
  <c r="N703" i="2"/>
  <c r="L704" i="2"/>
  <c r="M704" i="2"/>
  <c r="N704" i="2"/>
  <c r="L705" i="2"/>
  <c r="M705" i="2"/>
  <c r="N705" i="2"/>
  <c r="L706" i="2"/>
  <c r="M706" i="2"/>
  <c r="N706" i="2"/>
  <c r="L707" i="2"/>
  <c r="M707" i="2"/>
  <c r="N707" i="2"/>
  <c r="L708" i="2"/>
  <c r="M708" i="2"/>
  <c r="N708" i="2"/>
  <c r="L709" i="2"/>
  <c r="M709" i="2"/>
  <c r="N709" i="2"/>
  <c r="L710" i="2"/>
  <c r="M710" i="2"/>
  <c r="N710" i="2"/>
  <c r="L711" i="2"/>
  <c r="M711" i="2"/>
  <c r="N711" i="2"/>
  <c r="L712" i="2"/>
  <c r="M712" i="2"/>
  <c r="N712" i="2"/>
  <c r="L713" i="2"/>
  <c r="M713" i="2"/>
  <c r="N713" i="2"/>
  <c r="L714" i="2"/>
  <c r="M714" i="2"/>
  <c r="N714" i="2"/>
  <c r="L715" i="2"/>
  <c r="M715" i="2"/>
  <c r="N715" i="2"/>
  <c r="L716" i="2"/>
  <c r="M716" i="2"/>
  <c r="N716" i="2"/>
  <c r="L717" i="2"/>
  <c r="M717" i="2"/>
  <c r="N717" i="2"/>
  <c r="L718" i="2"/>
  <c r="M718" i="2"/>
  <c r="N718" i="2"/>
  <c r="L719" i="2"/>
  <c r="M719" i="2"/>
  <c r="N719" i="2"/>
  <c r="L720" i="2"/>
  <c r="M720" i="2"/>
  <c r="N720" i="2"/>
  <c r="L721" i="2"/>
  <c r="M721" i="2"/>
  <c r="N721" i="2"/>
  <c r="L722" i="2"/>
  <c r="M722" i="2"/>
  <c r="N722" i="2"/>
  <c r="L723" i="2"/>
  <c r="M723" i="2"/>
  <c r="N723" i="2"/>
  <c r="L724" i="2"/>
  <c r="M724" i="2"/>
  <c r="N724" i="2"/>
  <c r="L725" i="2"/>
  <c r="M725" i="2"/>
  <c r="N725" i="2"/>
  <c r="L726" i="2"/>
  <c r="M726" i="2"/>
  <c r="N726" i="2"/>
  <c r="L727" i="2"/>
  <c r="M727" i="2"/>
  <c r="N727" i="2"/>
  <c r="L728" i="2"/>
  <c r="M728" i="2"/>
  <c r="N728" i="2"/>
  <c r="L729" i="2"/>
  <c r="M729" i="2"/>
  <c r="N729" i="2"/>
  <c r="L730" i="2"/>
  <c r="M730" i="2"/>
  <c r="N730" i="2"/>
  <c r="L731" i="2"/>
  <c r="M731" i="2"/>
  <c r="N731" i="2"/>
  <c r="L732" i="2"/>
  <c r="M732" i="2"/>
  <c r="N732" i="2"/>
  <c r="L733" i="2"/>
  <c r="M733" i="2"/>
  <c r="N733" i="2"/>
  <c r="L734" i="2"/>
  <c r="M734" i="2"/>
  <c r="N734" i="2"/>
  <c r="L735" i="2"/>
  <c r="M735" i="2"/>
  <c r="N735" i="2"/>
  <c r="L736" i="2"/>
  <c r="M736" i="2"/>
  <c r="N736" i="2"/>
  <c r="L737" i="2"/>
  <c r="M737" i="2"/>
  <c r="N737" i="2"/>
  <c r="L738" i="2"/>
  <c r="M738" i="2"/>
  <c r="N738" i="2"/>
  <c r="L739" i="2"/>
  <c r="M739" i="2"/>
  <c r="N739" i="2"/>
  <c r="L740" i="2"/>
  <c r="M740" i="2"/>
  <c r="N740" i="2"/>
  <c r="L741" i="2"/>
  <c r="M741" i="2"/>
  <c r="N741" i="2"/>
  <c r="L742" i="2"/>
  <c r="M742" i="2"/>
  <c r="N742" i="2"/>
  <c r="L743" i="2"/>
  <c r="M743" i="2"/>
  <c r="N743" i="2"/>
  <c r="L744" i="2"/>
  <c r="M744" i="2"/>
  <c r="N744" i="2"/>
  <c r="L745" i="2"/>
  <c r="M745" i="2"/>
  <c r="N745" i="2"/>
  <c r="L746" i="2"/>
  <c r="M746" i="2"/>
  <c r="N746" i="2"/>
  <c r="L747" i="2"/>
  <c r="M747" i="2"/>
  <c r="N747" i="2"/>
  <c r="L748" i="2"/>
  <c r="M748" i="2"/>
  <c r="N748" i="2"/>
  <c r="L749" i="2"/>
  <c r="M749" i="2"/>
  <c r="N749" i="2"/>
  <c r="L750" i="2"/>
  <c r="M750" i="2"/>
  <c r="N750" i="2"/>
  <c r="L751" i="2"/>
  <c r="M751" i="2"/>
  <c r="N751" i="2"/>
  <c r="L752" i="2"/>
  <c r="M752" i="2"/>
  <c r="N752" i="2"/>
  <c r="L753" i="2"/>
  <c r="M753" i="2"/>
  <c r="N753" i="2"/>
  <c r="L754" i="2"/>
  <c r="M754" i="2"/>
  <c r="N754" i="2"/>
  <c r="L755" i="2"/>
  <c r="M755" i="2"/>
  <c r="N755" i="2"/>
  <c r="L756" i="2"/>
  <c r="M756" i="2"/>
  <c r="N756" i="2"/>
  <c r="L757" i="2"/>
  <c r="M757" i="2"/>
  <c r="N757" i="2"/>
  <c r="L758" i="2"/>
  <c r="M758" i="2"/>
  <c r="N758" i="2"/>
  <c r="L759" i="2"/>
  <c r="M759" i="2"/>
  <c r="N759" i="2"/>
  <c r="L760" i="2"/>
  <c r="M760" i="2"/>
  <c r="N760" i="2"/>
  <c r="L761" i="2"/>
  <c r="M761" i="2"/>
  <c r="N761" i="2"/>
  <c r="L762" i="2"/>
  <c r="M762" i="2"/>
  <c r="N762" i="2"/>
  <c r="L763" i="2"/>
  <c r="M763" i="2"/>
  <c r="N763" i="2"/>
  <c r="L764" i="2"/>
  <c r="M764" i="2"/>
  <c r="N764" i="2"/>
  <c r="L765" i="2"/>
  <c r="M765" i="2"/>
  <c r="N765" i="2"/>
  <c r="L766" i="2"/>
  <c r="M766" i="2"/>
  <c r="N766" i="2"/>
  <c r="L767" i="2"/>
  <c r="M767" i="2"/>
  <c r="N767" i="2"/>
  <c r="L768" i="2"/>
  <c r="M768" i="2"/>
  <c r="N768" i="2"/>
  <c r="L769" i="2"/>
  <c r="M769" i="2"/>
  <c r="N769" i="2"/>
  <c r="L770" i="2"/>
  <c r="M770" i="2"/>
  <c r="N770" i="2"/>
  <c r="L771" i="2"/>
  <c r="M771" i="2"/>
  <c r="N771" i="2"/>
  <c r="L772" i="2"/>
  <c r="M772" i="2"/>
  <c r="N772" i="2"/>
  <c r="L773" i="2"/>
  <c r="M773" i="2"/>
  <c r="N773" i="2"/>
  <c r="L774" i="2"/>
  <c r="M774" i="2"/>
  <c r="N774" i="2"/>
  <c r="L775" i="2"/>
  <c r="M775" i="2"/>
  <c r="N775" i="2"/>
  <c r="L776" i="2"/>
  <c r="M776" i="2"/>
  <c r="N776" i="2"/>
  <c r="L777" i="2"/>
  <c r="M777" i="2"/>
  <c r="N777" i="2"/>
  <c r="L778" i="2"/>
  <c r="M778" i="2"/>
  <c r="N778" i="2"/>
  <c r="L779" i="2"/>
  <c r="M779" i="2"/>
  <c r="N779" i="2"/>
  <c r="L780" i="2"/>
  <c r="M780" i="2"/>
  <c r="N780" i="2"/>
  <c r="L781" i="2"/>
  <c r="M781" i="2"/>
  <c r="N781" i="2"/>
  <c r="L782" i="2"/>
  <c r="M782" i="2"/>
  <c r="N782" i="2"/>
  <c r="L783" i="2"/>
  <c r="M783" i="2"/>
  <c r="N783" i="2"/>
  <c r="L784" i="2"/>
  <c r="M784" i="2"/>
  <c r="N784" i="2"/>
  <c r="L785" i="2"/>
  <c r="M785" i="2"/>
  <c r="N785" i="2"/>
  <c r="L786" i="2"/>
  <c r="M786" i="2"/>
  <c r="N786" i="2"/>
  <c r="L787" i="2"/>
  <c r="M787" i="2"/>
  <c r="N787" i="2"/>
  <c r="L788" i="2"/>
  <c r="M788" i="2"/>
  <c r="N788" i="2"/>
  <c r="L789" i="2"/>
  <c r="M789" i="2"/>
  <c r="N789" i="2"/>
  <c r="L790" i="2"/>
  <c r="M790" i="2"/>
  <c r="N790" i="2"/>
  <c r="L791" i="2"/>
  <c r="M791" i="2"/>
  <c r="N791" i="2"/>
  <c r="L792" i="2"/>
  <c r="M792" i="2"/>
  <c r="N792" i="2"/>
  <c r="L793" i="2"/>
  <c r="M793" i="2"/>
  <c r="N793" i="2"/>
  <c r="L794" i="2"/>
  <c r="M794" i="2"/>
  <c r="N794" i="2"/>
  <c r="L795" i="2"/>
  <c r="M795" i="2"/>
  <c r="N795" i="2"/>
  <c r="L796" i="2"/>
  <c r="M796" i="2"/>
  <c r="N796" i="2"/>
  <c r="L797" i="2"/>
  <c r="M797" i="2"/>
  <c r="N797" i="2"/>
  <c r="L798" i="2"/>
  <c r="M798" i="2"/>
  <c r="N798" i="2"/>
  <c r="L799" i="2"/>
  <c r="M799" i="2"/>
  <c r="N799" i="2"/>
  <c r="L800" i="2"/>
  <c r="M800" i="2"/>
  <c r="N800" i="2"/>
  <c r="L801" i="2"/>
  <c r="M801" i="2"/>
  <c r="N801" i="2"/>
  <c r="L802" i="2"/>
  <c r="M802" i="2"/>
  <c r="N802" i="2"/>
  <c r="L803" i="2"/>
  <c r="M803" i="2"/>
  <c r="N803" i="2"/>
  <c r="L804" i="2"/>
  <c r="M804" i="2"/>
  <c r="N804" i="2"/>
  <c r="L805" i="2"/>
  <c r="M805" i="2"/>
  <c r="N805" i="2"/>
  <c r="L806" i="2"/>
  <c r="M806" i="2"/>
  <c r="N806" i="2"/>
  <c r="L807" i="2"/>
  <c r="M807" i="2"/>
  <c r="N807" i="2"/>
  <c r="L808" i="2"/>
  <c r="M808" i="2"/>
  <c r="N808" i="2"/>
  <c r="L809" i="2"/>
  <c r="M809" i="2"/>
  <c r="N809" i="2"/>
  <c r="L810" i="2"/>
  <c r="M810" i="2"/>
  <c r="N810" i="2"/>
  <c r="L811" i="2"/>
  <c r="M811" i="2"/>
  <c r="N811" i="2"/>
  <c r="L812" i="2"/>
  <c r="M812" i="2"/>
  <c r="N812" i="2"/>
  <c r="L813" i="2"/>
  <c r="M813" i="2"/>
  <c r="N813" i="2"/>
  <c r="L814" i="2"/>
  <c r="M814" i="2"/>
  <c r="N814" i="2"/>
  <c r="L815" i="2"/>
  <c r="M815" i="2"/>
  <c r="N815" i="2"/>
  <c r="L816" i="2"/>
  <c r="M816" i="2"/>
  <c r="N816" i="2"/>
  <c r="L817" i="2"/>
  <c r="M817" i="2"/>
  <c r="N817" i="2"/>
  <c r="L818" i="2"/>
  <c r="M818" i="2"/>
  <c r="N818" i="2"/>
  <c r="L819" i="2"/>
  <c r="M819" i="2"/>
  <c r="N819" i="2"/>
  <c r="L820" i="2"/>
  <c r="M820" i="2"/>
  <c r="N820" i="2"/>
  <c r="L821" i="2"/>
  <c r="M821" i="2"/>
  <c r="N821" i="2"/>
  <c r="L822" i="2"/>
  <c r="M822" i="2"/>
  <c r="N822" i="2"/>
  <c r="L823" i="2"/>
  <c r="M823" i="2"/>
  <c r="N823" i="2"/>
  <c r="L824" i="2"/>
  <c r="M824" i="2"/>
  <c r="N824" i="2"/>
  <c r="L825" i="2"/>
  <c r="M825" i="2"/>
  <c r="N825" i="2"/>
  <c r="L826" i="2"/>
  <c r="M826" i="2"/>
  <c r="N826" i="2"/>
  <c r="L827" i="2"/>
  <c r="M827" i="2"/>
  <c r="N827" i="2"/>
  <c r="L828" i="2"/>
  <c r="M828" i="2"/>
  <c r="N828" i="2"/>
  <c r="L829" i="2"/>
  <c r="M829" i="2"/>
  <c r="N829" i="2"/>
  <c r="L830" i="2"/>
  <c r="M830" i="2"/>
  <c r="N830" i="2"/>
  <c r="L831" i="2"/>
  <c r="M831" i="2"/>
  <c r="N831" i="2"/>
  <c r="L832" i="2"/>
  <c r="M832" i="2"/>
  <c r="N832" i="2"/>
  <c r="L833" i="2"/>
  <c r="M833" i="2"/>
  <c r="N833" i="2"/>
  <c r="L834" i="2"/>
  <c r="M834" i="2"/>
  <c r="N834" i="2"/>
  <c r="L835" i="2"/>
  <c r="M835" i="2"/>
  <c r="N835" i="2"/>
  <c r="L836" i="2"/>
  <c r="M836" i="2"/>
  <c r="N836" i="2"/>
  <c r="L837" i="2"/>
  <c r="M837" i="2"/>
  <c r="N837" i="2"/>
  <c r="L838" i="2"/>
  <c r="M838" i="2"/>
  <c r="N838" i="2"/>
  <c r="L839" i="2"/>
  <c r="M839" i="2"/>
  <c r="N839" i="2"/>
  <c r="L840" i="2"/>
  <c r="M840" i="2"/>
  <c r="N840" i="2"/>
  <c r="L841" i="2"/>
  <c r="M841" i="2"/>
  <c r="N841" i="2"/>
  <c r="L842" i="2"/>
  <c r="M842" i="2"/>
  <c r="N842" i="2"/>
  <c r="L843" i="2"/>
  <c r="M843" i="2"/>
  <c r="N843" i="2"/>
  <c r="L844" i="2"/>
  <c r="M844" i="2"/>
  <c r="N844" i="2"/>
  <c r="L845" i="2"/>
  <c r="M845" i="2"/>
  <c r="N845" i="2"/>
  <c r="L846" i="2"/>
  <c r="M846" i="2"/>
  <c r="N846" i="2"/>
  <c r="L847" i="2"/>
  <c r="M847" i="2"/>
  <c r="N847" i="2"/>
  <c r="L848" i="2"/>
  <c r="M848" i="2"/>
  <c r="N848" i="2"/>
  <c r="L849" i="2"/>
  <c r="M849" i="2"/>
  <c r="N849" i="2"/>
  <c r="L850" i="2"/>
  <c r="M850" i="2"/>
  <c r="N850" i="2"/>
  <c r="L851" i="2"/>
  <c r="M851" i="2"/>
  <c r="N851" i="2"/>
  <c r="L852" i="2"/>
  <c r="M852" i="2"/>
  <c r="N852" i="2"/>
  <c r="L853" i="2"/>
  <c r="M853" i="2"/>
  <c r="N853" i="2"/>
  <c r="L854" i="2"/>
  <c r="M854" i="2"/>
  <c r="N854" i="2"/>
  <c r="L855" i="2"/>
  <c r="M855" i="2"/>
  <c r="N855" i="2"/>
  <c r="L856" i="2"/>
  <c r="M856" i="2"/>
  <c r="N856" i="2"/>
  <c r="L857" i="2"/>
  <c r="M857" i="2"/>
  <c r="N857" i="2"/>
  <c r="L858" i="2"/>
  <c r="M858" i="2"/>
  <c r="N858" i="2"/>
  <c r="L859" i="2"/>
  <c r="M859" i="2"/>
  <c r="N859" i="2"/>
  <c r="L860" i="2"/>
  <c r="M860" i="2"/>
  <c r="N860" i="2"/>
  <c r="L861" i="2"/>
  <c r="M861" i="2"/>
  <c r="N861" i="2"/>
  <c r="L862" i="2"/>
  <c r="M862" i="2"/>
  <c r="N862" i="2"/>
  <c r="L863" i="2"/>
  <c r="M863" i="2"/>
  <c r="N863" i="2"/>
  <c r="L864" i="2"/>
  <c r="M864" i="2"/>
  <c r="N864" i="2"/>
  <c r="L865" i="2"/>
  <c r="M865" i="2"/>
  <c r="N865" i="2"/>
  <c r="L866" i="2"/>
  <c r="M866" i="2"/>
  <c r="N866" i="2"/>
  <c r="L867" i="2"/>
  <c r="M867" i="2"/>
  <c r="N867" i="2"/>
  <c r="L868" i="2"/>
  <c r="M868" i="2"/>
  <c r="N868" i="2"/>
  <c r="L869" i="2"/>
  <c r="M869" i="2"/>
  <c r="N869" i="2"/>
  <c r="L870" i="2"/>
  <c r="M870" i="2"/>
  <c r="N870" i="2"/>
  <c r="L871" i="2"/>
  <c r="M871" i="2"/>
  <c r="N871" i="2"/>
  <c r="L872" i="2"/>
  <c r="M872" i="2"/>
  <c r="N872" i="2"/>
  <c r="L873" i="2"/>
  <c r="M873" i="2"/>
  <c r="N873" i="2"/>
  <c r="L874" i="2"/>
  <c r="M874" i="2"/>
  <c r="N874" i="2"/>
  <c r="L875" i="2"/>
  <c r="M875" i="2"/>
  <c r="N875" i="2"/>
  <c r="L876" i="2"/>
  <c r="M876" i="2"/>
  <c r="N876" i="2"/>
  <c r="L877" i="2"/>
  <c r="M877" i="2"/>
  <c r="N877" i="2"/>
  <c r="L878" i="2"/>
  <c r="M878" i="2"/>
  <c r="N878" i="2"/>
  <c r="L879" i="2"/>
  <c r="M879" i="2"/>
  <c r="N879" i="2"/>
  <c r="L880" i="2"/>
  <c r="M880" i="2"/>
  <c r="N880" i="2"/>
  <c r="L881" i="2"/>
  <c r="M881" i="2"/>
  <c r="N881" i="2"/>
  <c r="L882" i="2"/>
  <c r="M882" i="2"/>
  <c r="N882" i="2"/>
  <c r="L883" i="2"/>
  <c r="M883" i="2"/>
  <c r="N883" i="2"/>
  <c r="L884" i="2"/>
  <c r="M884" i="2"/>
  <c r="N884" i="2"/>
  <c r="L885" i="2"/>
  <c r="M885" i="2"/>
  <c r="N885" i="2"/>
  <c r="L886" i="2"/>
  <c r="M886" i="2"/>
  <c r="N886" i="2"/>
  <c r="L887" i="2"/>
  <c r="M887" i="2"/>
  <c r="N887" i="2"/>
  <c r="L888" i="2"/>
  <c r="M888" i="2"/>
  <c r="N888" i="2"/>
  <c r="L889" i="2"/>
  <c r="M889" i="2"/>
  <c r="N889" i="2"/>
  <c r="L890" i="2"/>
  <c r="M890" i="2"/>
  <c r="N890" i="2"/>
  <c r="L891" i="2"/>
  <c r="M891" i="2"/>
  <c r="N891" i="2"/>
  <c r="L892" i="2"/>
  <c r="M892" i="2"/>
  <c r="N892" i="2"/>
  <c r="L893" i="2"/>
  <c r="M893" i="2"/>
  <c r="N893" i="2"/>
  <c r="L894" i="2"/>
  <c r="M894" i="2"/>
  <c r="N894" i="2"/>
  <c r="L895" i="2"/>
  <c r="M895" i="2"/>
  <c r="N895" i="2"/>
  <c r="L896" i="2"/>
  <c r="M896" i="2"/>
  <c r="N896" i="2"/>
  <c r="L897" i="2"/>
  <c r="M897" i="2"/>
  <c r="N897" i="2"/>
  <c r="L898" i="2"/>
  <c r="M898" i="2"/>
  <c r="N898" i="2"/>
  <c r="L899" i="2"/>
  <c r="M899" i="2"/>
  <c r="N899" i="2"/>
  <c r="L900" i="2"/>
  <c r="M900" i="2"/>
  <c r="N900" i="2"/>
  <c r="L901" i="2"/>
  <c r="M901" i="2"/>
  <c r="N901" i="2"/>
  <c r="L902" i="2"/>
  <c r="M902" i="2"/>
  <c r="N902" i="2"/>
  <c r="L903" i="2"/>
  <c r="M903" i="2"/>
  <c r="N903" i="2"/>
  <c r="L904" i="2"/>
  <c r="M904" i="2"/>
  <c r="N904" i="2"/>
  <c r="L905" i="2"/>
  <c r="M905" i="2"/>
  <c r="N905" i="2"/>
  <c r="L906" i="2"/>
  <c r="M906" i="2"/>
  <c r="N906" i="2"/>
  <c r="L907" i="2"/>
  <c r="M907" i="2"/>
  <c r="N907" i="2"/>
  <c r="L908" i="2"/>
  <c r="M908" i="2"/>
  <c r="N908" i="2"/>
  <c r="L909" i="2"/>
  <c r="M909" i="2"/>
  <c r="N909" i="2"/>
  <c r="L910" i="2"/>
  <c r="M910" i="2"/>
  <c r="N910" i="2"/>
  <c r="L911" i="2"/>
  <c r="M911" i="2"/>
  <c r="N911" i="2"/>
  <c r="L912" i="2"/>
  <c r="M912" i="2"/>
  <c r="N912" i="2"/>
  <c r="L913" i="2"/>
  <c r="M913" i="2"/>
  <c r="N913" i="2"/>
  <c r="L914" i="2"/>
  <c r="M914" i="2"/>
  <c r="N914" i="2"/>
  <c r="L915" i="2"/>
  <c r="M915" i="2"/>
  <c r="N915" i="2"/>
  <c r="L916" i="2"/>
  <c r="M916" i="2"/>
  <c r="N916" i="2"/>
  <c r="L917" i="2"/>
  <c r="M917" i="2"/>
  <c r="N917" i="2"/>
  <c r="L918" i="2"/>
  <c r="M918" i="2"/>
  <c r="N918" i="2"/>
  <c r="L919" i="2"/>
  <c r="M919" i="2"/>
  <c r="N919" i="2"/>
  <c r="L920" i="2"/>
  <c r="M920" i="2"/>
  <c r="N920" i="2"/>
  <c r="L921" i="2"/>
  <c r="M921" i="2"/>
  <c r="N921" i="2"/>
  <c r="L922" i="2"/>
  <c r="M922" i="2"/>
  <c r="N922" i="2"/>
  <c r="L923" i="2"/>
  <c r="M923" i="2"/>
  <c r="N923" i="2"/>
  <c r="L924" i="2"/>
  <c r="M924" i="2"/>
  <c r="N924" i="2"/>
  <c r="L925" i="2"/>
  <c r="M925" i="2"/>
  <c r="N925" i="2"/>
  <c r="L926" i="2"/>
  <c r="M926" i="2"/>
  <c r="N926" i="2"/>
  <c r="L927" i="2"/>
  <c r="M927" i="2"/>
  <c r="N927" i="2"/>
  <c r="L928" i="2"/>
  <c r="M928" i="2"/>
  <c r="N928" i="2"/>
  <c r="L929" i="2"/>
  <c r="M929" i="2"/>
  <c r="N929" i="2"/>
  <c r="L930" i="2"/>
  <c r="M930" i="2"/>
  <c r="N930" i="2"/>
  <c r="L931" i="2"/>
  <c r="M931" i="2"/>
  <c r="N931" i="2"/>
  <c r="L932" i="2"/>
  <c r="M932" i="2"/>
  <c r="N932" i="2"/>
  <c r="L933" i="2"/>
  <c r="M933" i="2"/>
  <c r="N933" i="2"/>
  <c r="L934" i="2"/>
  <c r="M934" i="2"/>
  <c r="N934" i="2"/>
  <c r="L935" i="2"/>
  <c r="M935" i="2"/>
  <c r="N935" i="2"/>
  <c r="L936" i="2"/>
  <c r="M936" i="2"/>
  <c r="N936" i="2"/>
  <c r="L937" i="2"/>
  <c r="M937" i="2"/>
  <c r="N937" i="2"/>
  <c r="L938" i="2"/>
  <c r="M938" i="2"/>
  <c r="N938" i="2"/>
  <c r="L939" i="2"/>
  <c r="M939" i="2"/>
  <c r="N939" i="2"/>
  <c r="L940" i="2"/>
  <c r="M940" i="2"/>
  <c r="N940" i="2"/>
  <c r="L941" i="2"/>
  <c r="M941" i="2"/>
  <c r="N941" i="2"/>
  <c r="L942" i="2"/>
  <c r="M942" i="2"/>
  <c r="N942" i="2"/>
  <c r="L943" i="2"/>
  <c r="M943" i="2"/>
  <c r="N943" i="2"/>
  <c r="L944" i="2"/>
  <c r="M944" i="2"/>
  <c r="N944" i="2"/>
  <c r="L945" i="2"/>
  <c r="M945" i="2"/>
  <c r="N945" i="2"/>
  <c r="L946" i="2"/>
  <c r="M946" i="2"/>
  <c r="N946" i="2"/>
  <c r="L947" i="2"/>
  <c r="M947" i="2"/>
  <c r="N947" i="2"/>
  <c r="L948" i="2"/>
  <c r="M948" i="2"/>
  <c r="N948" i="2"/>
  <c r="L949" i="2"/>
  <c r="M949" i="2"/>
  <c r="N949" i="2"/>
  <c r="L950" i="2"/>
  <c r="M950" i="2"/>
  <c r="N950" i="2"/>
  <c r="L951" i="2"/>
  <c r="M951" i="2"/>
  <c r="N951" i="2"/>
  <c r="L952" i="2"/>
  <c r="M952" i="2"/>
  <c r="N952" i="2"/>
  <c r="L953" i="2"/>
  <c r="M953" i="2"/>
  <c r="N953" i="2"/>
  <c r="L954" i="2"/>
  <c r="M954" i="2"/>
  <c r="N954" i="2"/>
  <c r="L955" i="2"/>
  <c r="M955" i="2"/>
  <c r="N955" i="2"/>
  <c r="L956" i="2"/>
  <c r="M956" i="2"/>
  <c r="N956" i="2"/>
  <c r="L957" i="2"/>
  <c r="M957" i="2"/>
  <c r="N957" i="2"/>
  <c r="L958" i="2"/>
  <c r="M958" i="2"/>
  <c r="N958" i="2"/>
  <c r="L959" i="2"/>
  <c r="M959" i="2"/>
  <c r="N959" i="2"/>
  <c r="L960" i="2"/>
  <c r="M960" i="2"/>
  <c r="N960" i="2"/>
  <c r="L961" i="2"/>
  <c r="M961" i="2"/>
  <c r="N961" i="2"/>
  <c r="L962" i="2"/>
  <c r="M962" i="2"/>
  <c r="N962" i="2"/>
  <c r="L963" i="2"/>
  <c r="M963" i="2"/>
  <c r="N963" i="2"/>
  <c r="L964" i="2"/>
  <c r="M964" i="2"/>
  <c r="N964" i="2"/>
  <c r="L965" i="2"/>
  <c r="M965" i="2"/>
  <c r="N965" i="2"/>
  <c r="L966" i="2"/>
  <c r="M966" i="2"/>
  <c r="N966" i="2"/>
  <c r="L967" i="2"/>
  <c r="M967" i="2"/>
  <c r="N967" i="2"/>
  <c r="L968" i="2"/>
  <c r="M968" i="2"/>
  <c r="N968" i="2"/>
  <c r="L969" i="2"/>
  <c r="M969" i="2"/>
  <c r="N969" i="2"/>
  <c r="L970" i="2"/>
  <c r="M970" i="2"/>
  <c r="N970" i="2"/>
  <c r="L971" i="2"/>
  <c r="M971" i="2"/>
  <c r="N971" i="2"/>
  <c r="L972" i="2"/>
  <c r="M972" i="2"/>
  <c r="N972" i="2"/>
  <c r="L973" i="2"/>
  <c r="M973" i="2"/>
  <c r="N973" i="2"/>
  <c r="L974" i="2"/>
  <c r="M974" i="2"/>
  <c r="N974" i="2"/>
  <c r="L975" i="2"/>
  <c r="M975" i="2"/>
  <c r="N975" i="2"/>
  <c r="L976" i="2"/>
  <c r="M976" i="2"/>
  <c r="N976" i="2"/>
  <c r="L977" i="2"/>
  <c r="M977" i="2"/>
  <c r="N977" i="2"/>
  <c r="L978" i="2"/>
  <c r="M978" i="2"/>
  <c r="N978" i="2"/>
  <c r="L979" i="2"/>
  <c r="M979" i="2"/>
  <c r="N979" i="2"/>
  <c r="L980" i="2"/>
  <c r="M980" i="2"/>
  <c r="N980" i="2"/>
  <c r="L981" i="2"/>
  <c r="M981" i="2"/>
  <c r="N981" i="2"/>
  <c r="L982" i="2"/>
  <c r="M982" i="2"/>
  <c r="N982" i="2"/>
  <c r="L983" i="2"/>
  <c r="M983" i="2"/>
  <c r="N983" i="2"/>
  <c r="L984" i="2"/>
  <c r="M984" i="2"/>
  <c r="N984" i="2"/>
  <c r="L985" i="2"/>
  <c r="M985" i="2"/>
  <c r="N985" i="2"/>
  <c r="L986" i="2"/>
  <c r="M986" i="2"/>
  <c r="N986" i="2"/>
  <c r="L987" i="2"/>
  <c r="M987" i="2"/>
  <c r="N987" i="2"/>
  <c r="L988" i="2"/>
  <c r="M988" i="2"/>
  <c r="N988" i="2"/>
  <c r="L989" i="2"/>
  <c r="M989" i="2"/>
  <c r="N989" i="2"/>
  <c r="L990" i="2"/>
  <c r="M990" i="2"/>
  <c r="N990" i="2"/>
  <c r="L991" i="2"/>
  <c r="M991" i="2"/>
  <c r="N991" i="2"/>
  <c r="L992" i="2"/>
  <c r="M992" i="2"/>
  <c r="N992" i="2"/>
  <c r="L993" i="2"/>
  <c r="M993" i="2"/>
  <c r="N993" i="2"/>
  <c r="L994" i="2"/>
  <c r="M994" i="2"/>
  <c r="N994" i="2"/>
  <c r="L995" i="2"/>
  <c r="M995" i="2"/>
  <c r="N995" i="2"/>
  <c r="L996" i="2"/>
  <c r="M996" i="2"/>
  <c r="N996" i="2"/>
  <c r="L997" i="2"/>
  <c r="M997" i="2"/>
  <c r="N997" i="2"/>
  <c r="L998" i="2"/>
  <c r="M998" i="2"/>
  <c r="N998" i="2"/>
  <c r="L999" i="2"/>
  <c r="M999" i="2"/>
  <c r="N999" i="2"/>
  <c r="L1000" i="2"/>
  <c r="M1000" i="2"/>
  <c r="N1000" i="2"/>
  <c r="L1001" i="2"/>
  <c r="M1001" i="2"/>
  <c r="N1001" i="2"/>
  <c r="L1002" i="2"/>
  <c r="M1002" i="2"/>
  <c r="N1002" i="2"/>
  <c r="L1003" i="2"/>
  <c r="M1003" i="2"/>
  <c r="N1003" i="2"/>
  <c r="L1004" i="2"/>
  <c r="M1004" i="2"/>
  <c r="N1004" i="2"/>
  <c r="L1005" i="2"/>
  <c r="M1005" i="2"/>
  <c r="N1005" i="2"/>
  <c r="L1006" i="2"/>
  <c r="M1006" i="2"/>
  <c r="N1006" i="2"/>
  <c r="L1007" i="2"/>
  <c r="M1007" i="2"/>
  <c r="N1007" i="2"/>
  <c r="L1008" i="2"/>
  <c r="M1008" i="2"/>
  <c r="N1008" i="2"/>
  <c r="L1009" i="2"/>
  <c r="M1009" i="2"/>
  <c r="N1009" i="2"/>
  <c r="L1010" i="2"/>
  <c r="M1010" i="2"/>
  <c r="N1010" i="2"/>
  <c r="L1011" i="2"/>
  <c r="M1011" i="2"/>
  <c r="N1011" i="2"/>
  <c r="L1012" i="2"/>
  <c r="M1012" i="2"/>
  <c r="N1012" i="2"/>
  <c r="L1013" i="2"/>
  <c r="M1013" i="2"/>
  <c r="N1013" i="2"/>
  <c r="L1014" i="2"/>
  <c r="M1014" i="2"/>
  <c r="N1014" i="2"/>
  <c r="L1015" i="2"/>
  <c r="M1015" i="2"/>
  <c r="N1015" i="2"/>
  <c r="L1016" i="2"/>
  <c r="M1016" i="2"/>
  <c r="N1016" i="2"/>
  <c r="L1017" i="2"/>
  <c r="M1017" i="2"/>
  <c r="N1017" i="2"/>
  <c r="L1018" i="2"/>
  <c r="M1018" i="2"/>
  <c r="N1018" i="2"/>
  <c r="L1019" i="2"/>
  <c r="M1019" i="2"/>
  <c r="N1019" i="2"/>
  <c r="L1020" i="2"/>
  <c r="M1020" i="2"/>
  <c r="N1020" i="2"/>
  <c r="L1021" i="2"/>
  <c r="M1021" i="2"/>
  <c r="N1021" i="2"/>
  <c r="L1022" i="2"/>
  <c r="M1022" i="2"/>
  <c r="N1022" i="2"/>
  <c r="L1023" i="2"/>
  <c r="M1023" i="2"/>
  <c r="N1023" i="2"/>
  <c r="L1024" i="2"/>
  <c r="M1024" i="2"/>
  <c r="N1024" i="2"/>
  <c r="L1025" i="2"/>
  <c r="M1025" i="2"/>
  <c r="N1025" i="2"/>
  <c r="L1026" i="2"/>
  <c r="M1026" i="2"/>
  <c r="N1026" i="2"/>
  <c r="L1027" i="2"/>
  <c r="M1027" i="2"/>
  <c r="N1027" i="2"/>
  <c r="L1028" i="2"/>
  <c r="M1028" i="2"/>
  <c r="N1028" i="2"/>
  <c r="L1029" i="2"/>
  <c r="M1029" i="2"/>
  <c r="N1029" i="2"/>
  <c r="L1030" i="2"/>
  <c r="M1030" i="2"/>
  <c r="N1030" i="2"/>
  <c r="L1031" i="2"/>
  <c r="M1031" i="2"/>
  <c r="N1031" i="2"/>
  <c r="L1032" i="2"/>
  <c r="M1032" i="2"/>
  <c r="N1032" i="2"/>
  <c r="L1033" i="2"/>
  <c r="M1033" i="2"/>
  <c r="N1033" i="2"/>
  <c r="L1034" i="2"/>
  <c r="M1034" i="2"/>
  <c r="N1034" i="2"/>
  <c r="L1035" i="2"/>
  <c r="M1035" i="2"/>
  <c r="N1035" i="2"/>
  <c r="L1036" i="2"/>
  <c r="M1036" i="2"/>
  <c r="N1036" i="2"/>
  <c r="L1037" i="2"/>
  <c r="M1037" i="2"/>
  <c r="N1037" i="2"/>
  <c r="L1038" i="2"/>
  <c r="M1038" i="2"/>
  <c r="N1038" i="2"/>
  <c r="L1039" i="2"/>
  <c r="M1039" i="2"/>
  <c r="N1039" i="2"/>
  <c r="L1040" i="2"/>
  <c r="M1040" i="2"/>
  <c r="N1040" i="2"/>
  <c r="L1041" i="2"/>
  <c r="M1041" i="2"/>
  <c r="N1041" i="2"/>
  <c r="L1042" i="2"/>
  <c r="M1042" i="2"/>
  <c r="N1042" i="2"/>
  <c r="L1043" i="2"/>
  <c r="M1043" i="2"/>
  <c r="N1043" i="2"/>
  <c r="L1044" i="2"/>
  <c r="M1044" i="2"/>
  <c r="N1044" i="2"/>
  <c r="L1045" i="2"/>
  <c r="M1045" i="2"/>
  <c r="N1045" i="2"/>
  <c r="L1046" i="2"/>
  <c r="M1046" i="2"/>
  <c r="N1046" i="2"/>
  <c r="L1047" i="2"/>
  <c r="M1047" i="2"/>
  <c r="N1047" i="2"/>
  <c r="L1048" i="2"/>
  <c r="M1048" i="2"/>
  <c r="N1048" i="2"/>
  <c r="L1049" i="2"/>
  <c r="M1049" i="2"/>
  <c r="N1049" i="2"/>
  <c r="L1050" i="2"/>
  <c r="M1050" i="2"/>
  <c r="N1050" i="2"/>
  <c r="L1051" i="2"/>
  <c r="M1051" i="2"/>
  <c r="N1051" i="2"/>
  <c r="L1052" i="2"/>
  <c r="M1052" i="2"/>
  <c r="N1052" i="2"/>
  <c r="L1053" i="2"/>
  <c r="M1053" i="2"/>
  <c r="N1053" i="2"/>
  <c r="L1054" i="2"/>
  <c r="M1054" i="2"/>
  <c r="N1054" i="2"/>
  <c r="L1055" i="2"/>
  <c r="M1055" i="2"/>
  <c r="N1055" i="2"/>
  <c r="L1056" i="2"/>
  <c r="M1056" i="2"/>
  <c r="N1056" i="2"/>
  <c r="L1057" i="2"/>
  <c r="M1057" i="2"/>
  <c r="N1057" i="2"/>
  <c r="L1058" i="2"/>
  <c r="M1058" i="2"/>
  <c r="N1058" i="2"/>
  <c r="L1059" i="2"/>
  <c r="M1059" i="2"/>
  <c r="N1059" i="2"/>
  <c r="L1060" i="2"/>
  <c r="M1060" i="2"/>
  <c r="N1060" i="2"/>
  <c r="L1061" i="2"/>
  <c r="M1061" i="2"/>
  <c r="N1061" i="2"/>
  <c r="L1062" i="2"/>
  <c r="M1062" i="2"/>
  <c r="N1062" i="2"/>
  <c r="L1063" i="2"/>
  <c r="M1063" i="2"/>
  <c r="N1063" i="2"/>
  <c r="L1064" i="2"/>
  <c r="M1064" i="2"/>
  <c r="N1064" i="2"/>
  <c r="L1065" i="2"/>
  <c r="M1065" i="2"/>
  <c r="N1065" i="2"/>
  <c r="L1066" i="2"/>
  <c r="M1066" i="2"/>
  <c r="N1066" i="2"/>
  <c r="L1067" i="2"/>
  <c r="M1067" i="2"/>
  <c r="N1067" i="2"/>
  <c r="L1068" i="2"/>
  <c r="M1068" i="2"/>
  <c r="N1068" i="2"/>
  <c r="L1069" i="2"/>
  <c r="M1069" i="2"/>
  <c r="N1069" i="2"/>
  <c r="L1070" i="2"/>
  <c r="M1070" i="2"/>
  <c r="N1070" i="2"/>
  <c r="L1071" i="2"/>
  <c r="M1071" i="2"/>
  <c r="N1071" i="2"/>
  <c r="L1072" i="2"/>
  <c r="M1072" i="2"/>
  <c r="N1072" i="2"/>
  <c r="L1073" i="2"/>
  <c r="M1073" i="2"/>
  <c r="N1073" i="2"/>
  <c r="L1074" i="2"/>
  <c r="M1074" i="2"/>
  <c r="N1074" i="2"/>
  <c r="L1075" i="2"/>
  <c r="M1075" i="2"/>
  <c r="N1075" i="2"/>
  <c r="L1076" i="2"/>
  <c r="M1076" i="2"/>
  <c r="N1076" i="2"/>
  <c r="L1077" i="2"/>
  <c r="M1077" i="2"/>
  <c r="N1077" i="2"/>
  <c r="L1078" i="2"/>
  <c r="M1078" i="2"/>
  <c r="N1078" i="2"/>
  <c r="L1079" i="2"/>
  <c r="M1079" i="2"/>
  <c r="N1079" i="2"/>
  <c r="L1080" i="2"/>
  <c r="M1080" i="2"/>
  <c r="N1080" i="2"/>
  <c r="L1081" i="2"/>
  <c r="M1081" i="2"/>
  <c r="N1081" i="2"/>
  <c r="L1082" i="2"/>
  <c r="M1082" i="2"/>
  <c r="N1082" i="2"/>
  <c r="L1083" i="2"/>
  <c r="M1083" i="2"/>
  <c r="N1083" i="2"/>
  <c r="L1084" i="2"/>
  <c r="M1084" i="2"/>
  <c r="N1084" i="2"/>
  <c r="L1085" i="2"/>
  <c r="M1085" i="2"/>
  <c r="N1085" i="2"/>
  <c r="L1086" i="2"/>
  <c r="M1086" i="2"/>
  <c r="N1086" i="2"/>
  <c r="L1087" i="2"/>
  <c r="M1087" i="2"/>
  <c r="N1087" i="2"/>
  <c r="L1088" i="2"/>
  <c r="M1088" i="2"/>
  <c r="N1088" i="2"/>
  <c r="L1089" i="2"/>
  <c r="M1089" i="2"/>
  <c r="N1089" i="2"/>
  <c r="L1090" i="2"/>
  <c r="M1090" i="2"/>
  <c r="N1090" i="2"/>
  <c r="L1091" i="2"/>
  <c r="M1091" i="2"/>
  <c r="N1091" i="2"/>
  <c r="L1092" i="2"/>
  <c r="M1092" i="2"/>
  <c r="N1092" i="2"/>
  <c r="L1093" i="2"/>
  <c r="M1093" i="2"/>
  <c r="N1093" i="2"/>
  <c r="L1094" i="2"/>
  <c r="M1094" i="2"/>
  <c r="N1094" i="2"/>
  <c r="L1095" i="2"/>
  <c r="M1095" i="2"/>
  <c r="N1095" i="2"/>
  <c r="L1096" i="2"/>
  <c r="M1096" i="2"/>
  <c r="N1096" i="2"/>
  <c r="L1097" i="2"/>
  <c r="M1097" i="2"/>
  <c r="N1097" i="2"/>
  <c r="L1098" i="2"/>
  <c r="M1098" i="2"/>
  <c r="N1098" i="2"/>
  <c r="L1099" i="2"/>
  <c r="M1099" i="2"/>
  <c r="N1099" i="2"/>
  <c r="L1100" i="2"/>
  <c r="M1100" i="2"/>
  <c r="N1100" i="2"/>
  <c r="L1101" i="2"/>
  <c r="M1101" i="2"/>
  <c r="N1101" i="2"/>
  <c r="L1102" i="2"/>
  <c r="M1102" i="2"/>
  <c r="N1102" i="2"/>
  <c r="L1103" i="2"/>
  <c r="M1103" i="2"/>
  <c r="N1103" i="2"/>
  <c r="L1104" i="2"/>
  <c r="M1104" i="2"/>
  <c r="N1104" i="2"/>
  <c r="L1105" i="2"/>
  <c r="M1105" i="2"/>
  <c r="N1105" i="2"/>
  <c r="L1106" i="2"/>
  <c r="M1106" i="2"/>
  <c r="N1106" i="2"/>
  <c r="L1107" i="2"/>
  <c r="M1107" i="2"/>
  <c r="N1107" i="2"/>
  <c r="L1108" i="2"/>
  <c r="M1108" i="2"/>
  <c r="N1108" i="2"/>
  <c r="L1109" i="2"/>
  <c r="M1109" i="2"/>
  <c r="N1109" i="2"/>
  <c r="L1110" i="2"/>
  <c r="M1110" i="2"/>
  <c r="N1110" i="2"/>
  <c r="L1111" i="2"/>
  <c r="M1111" i="2"/>
  <c r="N1111" i="2"/>
  <c r="L1112" i="2"/>
  <c r="M1112" i="2"/>
  <c r="N1112" i="2"/>
  <c r="L1113" i="2"/>
  <c r="M1113" i="2"/>
  <c r="N1113" i="2"/>
  <c r="L1114" i="2"/>
  <c r="M1114" i="2"/>
  <c r="N1114" i="2"/>
  <c r="L1115" i="2"/>
  <c r="M1115" i="2"/>
  <c r="N1115" i="2"/>
  <c r="L1116" i="2"/>
  <c r="M1116" i="2"/>
  <c r="N1116" i="2"/>
  <c r="L1117" i="2"/>
  <c r="M1117" i="2"/>
  <c r="N1117" i="2"/>
  <c r="L1118" i="2"/>
  <c r="M1118" i="2"/>
  <c r="N1118" i="2"/>
  <c r="L1119" i="2"/>
  <c r="M1119" i="2"/>
  <c r="N1119" i="2"/>
  <c r="L1120" i="2"/>
  <c r="M1120" i="2"/>
  <c r="N1120" i="2"/>
  <c r="L1121" i="2"/>
  <c r="M1121" i="2"/>
  <c r="N1121" i="2"/>
  <c r="L1122" i="2"/>
  <c r="M1122" i="2"/>
  <c r="N1122" i="2"/>
  <c r="L1123" i="2"/>
  <c r="M1123" i="2"/>
  <c r="N1123" i="2"/>
  <c r="L1124" i="2"/>
  <c r="M1124" i="2"/>
  <c r="N1124" i="2"/>
  <c r="L1125" i="2"/>
  <c r="M1125" i="2"/>
  <c r="N1125" i="2"/>
  <c r="L1126" i="2"/>
  <c r="M1126" i="2"/>
  <c r="N1126" i="2"/>
  <c r="L1127" i="2"/>
  <c r="M1127" i="2"/>
  <c r="N1127" i="2"/>
  <c r="L1128" i="2"/>
  <c r="M1128" i="2"/>
  <c r="N1128" i="2"/>
  <c r="L1129" i="2"/>
  <c r="M1129" i="2"/>
  <c r="N1129" i="2"/>
  <c r="L1130" i="2"/>
  <c r="M1130" i="2"/>
  <c r="N1130" i="2"/>
  <c r="L1131" i="2"/>
  <c r="M1131" i="2"/>
  <c r="N1131" i="2"/>
  <c r="L1132" i="2"/>
  <c r="M1132" i="2"/>
  <c r="N1132" i="2"/>
  <c r="L1133" i="2"/>
  <c r="M1133" i="2"/>
  <c r="N1133" i="2"/>
  <c r="L1134" i="2"/>
  <c r="M1134" i="2"/>
  <c r="N1134" i="2"/>
  <c r="L1135" i="2"/>
  <c r="M1135" i="2"/>
  <c r="N1135" i="2"/>
  <c r="L1136" i="2"/>
  <c r="M1136" i="2"/>
  <c r="N1136" i="2"/>
  <c r="L1137" i="2"/>
  <c r="M1137" i="2"/>
  <c r="N1137" i="2"/>
  <c r="L1138" i="2"/>
  <c r="M1138" i="2"/>
  <c r="N1138" i="2"/>
  <c r="L1139" i="2"/>
  <c r="M1139" i="2"/>
  <c r="N1139" i="2"/>
  <c r="L1140" i="2"/>
  <c r="M1140" i="2"/>
  <c r="N1140" i="2"/>
  <c r="L1141" i="2"/>
  <c r="M1141" i="2"/>
  <c r="N1141" i="2"/>
  <c r="L1142" i="2"/>
  <c r="M1142" i="2"/>
  <c r="N1142" i="2"/>
  <c r="L1143" i="2"/>
  <c r="M1143" i="2"/>
  <c r="N1143" i="2"/>
  <c r="L1144" i="2"/>
  <c r="M1144" i="2"/>
  <c r="N1144" i="2"/>
  <c r="L1145" i="2"/>
  <c r="M1145" i="2"/>
  <c r="N1145" i="2"/>
  <c r="L1146" i="2"/>
  <c r="M1146" i="2"/>
  <c r="N1146" i="2"/>
  <c r="L1147" i="2"/>
  <c r="M1147" i="2"/>
  <c r="N1147" i="2"/>
  <c r="L1148" i="2"/>
  <c r="M1148" i="2"/>
  <c r="N1148" i="2"/>
  <c r="L1149" i="2"/>
  <c r="M1149" i="2"/>
  <c r="N1149" i="2"/>
  <c r="L1150" i="2"/>
  <c r="M1150" i="2"/>
  <c r="N1150" i="2"/>
  <c r="L1151" i="2"/>
  <c r="M1151" i="2"/>
  <c r="N1151" i="2"/>
  <c r="L1152" i="2"/>
  <c r="M1152" i="2"/>
  <c r="N1152" i="2"/>
  <c r="L1153" i="2"/>
  <c r="M1153" i="2"/>
  <c r="N1153" i="2"/>
  <c r="L1154" i="2"/>
  <c r="M1154" i="2"/>
  <c r="N1154" i="2"/>
  <c r="L1155" i="2"/>
  <c r="M1155" i="2"/>
  <c r="N1155" i="2"/>
  <c r="L1156" i="2"/>
  <c r="M1156" i="2"/>
  <c r="N1156" i="2"/>
  <c r="L1157" i="2"/>
  <c r="M1157" i="2"/>
  <c r="N1157" i="2"/>
  <c r="L1158" i="2"/>
  <c r="M1158" i="2"/>
  <c r="N1158" i="2"/>
  <c r="L1159" i="2"/>
  <c r="M1159" i="2"/>
  <c r="N1159" i="2"/>
  <c r="L1160" i="2"/>
  <c r="M1160" i="2"/>
  <c r="N1160" i="2"/>
  <c r="L1161" i="2"/>
  <c r="M1161" i="2"/>
  <c r="N1161" i="2"/>
  <c r="L1162" i="2"/>
  <c r="M1162" i="2"/>
  <c r="N1162" i="2"/>
  <c r="L1163" i="2"/>
  <c r="M1163" i="2"/>
  <c r="N1163" i="2"/>
  <c r="L1164" i="2"/>
  <c r="M1164" i="2"/>
  <c r="N1164" i="2"/>
  <c r="L1165" i="2"/>
  <c r="M1165" i="2"/>
  <c r="N1165" i="2"/>
  <c r="L1166" i="2"/>
  <c r="M1166" i="2"/>
  <c r="N1166" i="2"/>
  <c r="L1167" i="2"/>
  <c r="M1167" i="2"/>
  <c r="N1167" i="2"/>
  <c r="L1168" i="2"/>
  <c r="M1168" i="2"/>
  <c r="N1168" i="2"/>
  <c r="L1169" i="2"/>
  <c r="M1169" i="2"/>
  <c r="N1169" i="2"/>
  <c r="L1170" i="2"/>
  <c r="M1170" i="2"/>
  <c r="N1170" i="2"/>
  <c r="L1171" i="2"/>
  <c r="M1171" i="2"/>
  <c r="N1171" i="2"/>
  <c r="L1172" i="2"/>
  <c r="M1172" i="2"/>
  <c r="N1172" i="2"/>
  <c r="L1173" i="2"/>
  <c r="M1173" i="2"/>
  <c r="N1173" i="2"/>
  <c r="L1174" i="2"/>
  <c r="M1174" i="2"/>
  <c r="N1174" i="2"/>
  <c r="L1175" i="2"/>
  <c r="M1175" i="2"/>
  <c r="N1175" i="2"/>
  <c r="L1176" i="2"/>
  <c r="M1176" i="2"/>
  <c r="N1176" i="2"/>
  <c r="L1177" i="2"/>
  <c r="M1177" i="2"/>
  <c r="N1177" i="2"/>
  <c r="L1178" i="2"/>
  <c r="M1178" i="2"/>
  <c r="N1178" i="2"/>
  <c r="L1179" i="2"/>
  <c r="M1179" i="2"/>
  <c r="N1179" i="2"/>
  <c r="L1180" i="2"/>
  <c r="M1180" i="2"/>
  <c r="N1180" i="2"/>
  <c r="L1181" i="2"/>
  <c r="M1181" i="2"/>
  <c r="N1181" i="2"/>
  <c r="L1182" i="2"/>
  <c r="M1182" i="2"/>
  <c r="N1182" i="2"/>
  <c r="L1183" i="2"/>
  <c r="M1183" i="2"/>
  <c r="N1183" i="2"/>
  <c r="L1184" i="2"/>
  <c r="M1184" i="2"/>
  <c r="N1184" i="2"/>
  <c r="L1185" i="2"/>
  <c r="M1185" i="2"/>
  <c r="N1185" i="2"/>
  <c r="L1186" i="2"/>
  <c r="M1186" i="2"/>
  <c r="N1186" i="2"/>
  <c r="L1187" i="2"/>
  <c r="M1187" i="2"/>
  <c r="N1187" i="2"/>
  <c r="L1188" i="2"/>
  <c r="M1188" i="2"/>
  <c r="N1188" i="2"/>
  <c r="L1189" i="2"/>
  <c r="M1189" i="2"/>
  <c r="N1189" i="2"/>
  <c r="L1190" i="2"/>
  <c r="M1190" i="2"/>
  <c r="N1190" i="2"/>
  <c r="L1191" i="2"/>
  <c r="M1191" i="2"/>
  <c r="N1191" i="2"/>
  <c r="L1192" i="2"/>
  <c r="M1192" i="2"/>
  <c r="N1192" i="2"/>
  <c r="L1193" i="2"/>
  <c r="M1193" i="2"/>
  <c r="N1193" i="2"/>
  <c r="L1194" i="2"/>
  <c r="M1194" i="2"/>
  <c r="N1194" i="2"/>
  <c r="L1195" i="2"/>
  <c r="M1195" i="2"/>
  <c r="N1195" i="2"/>
  <c r="L1196" i="2"/>
  <c r="M1196" i="2"/>
  <c r="N1196" i="2"/>
  <c r="L1197" i="2"/>
  <c r="M1197" i="2"/>
  <c r="N1197" i="2"/>
  <c r="L1198" i="2"/>
  <c r="M1198" i="2"/>
  <c r="N1198" i="2"/>
  <c r="L1199" i="2"/>
  <c r="M1199" i="2"/>
  <c r="N1199" i="2"/>
  <c r="L1200" i="2"/>
  <c r="M1200" i="2"/>
  <c r="N1200" i="2"/>
  <c r="L1201" i="2"/>
  <c r="M1201" i="2"/>
  <c r="N1201" i="2"/>
  <c r="L1202" i="2"/>
  <c r="M1202" i="2"/>
  <c r="N1202" i="2"/>
  <c r="L1203" i="2"/>
  <c r="M1203" i="2"/>
  <c r="N1203" i="2"/>
  <c r="L1204" i="2"/>
  <c r="M1204" i="2"/>
  <c r="N1204" i="2"/>
  <c r="L1205" i="2"/>
  <c r="M1205" i="2"/>
  <c r="N1205" i="2"/>
  <c r="L1206" i="2"/>
  <c r="M1206" i="2"/>
  <c r="N1206" i="2"/>
  <c r="L1207" i="2"/>
  <c r="M1207" i="2"/>
  <c r="N1207" i="2"/>
  <c r="L1208" i="2"/>
  <c r="M1208" i="2"/>
  <c r="N1208" i="2"/>
  <c r="L1209" i="2"/>
  <c r="M1209" i="2"/>
  <c r="N1209" i="2"/>
  <c r="L1210" i="2"/>
  <c r="M1210" i="2"/>
  <c r="N1210" i="2"/>
  <c r="L1211" i="2"/>
  <c r="M1211" i="2"/>
  <c r="N1211" i="2"/>
  <c r="L1212" i="2"/>
  <c r="M1212" i="2"/>
  <c r="N1212" i="2"/>
  <c r="L1213" i="2"/>
  <c r="M1213" i="2"/>
  <c r="N1213" i="2"/>
  <c r="L1214" i="2"/>
  <c r="M1214" i="2"/>
  <c r="N1214" i="2"/>
  <c r="L1215" i="2"/>
  <c r="M1215" i="2"/>
  <c r="N1215" i="2"/>
  <c r="L1216" i="2"/>
  <c r="M1216" i="2"/>
  <c r="N1216" i="2"/>
  <c r="L1217" i="2"/>
  <c r="M1217" i="2"/>
  <c r="N1217" i="2"/>
  <c r="L1218" i="2"/>
  <c r="M1218" i="2"/>
  <c r="N1218" i="2"/>
  <c r="L1219" i="2"/>
  <c r="M1219" i="2"/>
  <c r="N1219" i="2"/>
  <c r="L1220" i="2"/>
  <c r="M1220" i="2"/>
  <c r="N1220" i="2"/>
  <c r="L1221" i="2"/>
  <c r="M1221" i="2"/>
  <c r="N1221" i="2"/>
  <c r="L1222" i="2"/>
  <c r="M1222" i="2"/>
  <c r="N1222" i="2"/>
  <c r="L1223" i="2"/>
  <c r="M1223" i="2"/>
  <c r="N1223" i="2"/>
  <c r="L1224" i="2"/>
  <c r="M1224" i="2"/>
  <c r="N1224" i="2"/>
  <c r="L1225" i="2"/>
  <c r="M1225" i="2"/>
  <c r="N1225" i="2"/>
  <c r="L1226" i="2"/>
  <c r="M1226" i="2"/>
  <c r="N1226" i="2"/>
  <c r="L1227" i="2"/>
  <c r="M1227" i="2"/>
  <c r="N1227" i="2"/>
  <c r="L1228" i="2"/>
  <c r="M1228" i="2"/>
  <c r="N1228" i="2"/>
  <c r="L1229" i="2"/>
  <c r="M1229" i="2"/>
  <c r="N1229" i="2"/>
  <c r="L1230" i="2"/>
  <c r="M1230" i="2"/>
  <c r="N1230" i="2"/>
  <c r="L1231" i="2"/>
  <c r="M1231" i="2"/>
  <c r="N1231" i="2"/>
  <c r="L1232" i="2"/>
  <c r="M1232" i="2"/>
  <c r="N1232" i="2"/>
  <c r="L1233" i="2"/>
  <c r="M1233" i="2"/>
  <c r="N1233" i="2"/>
  <c r="L1234" i="2"/>
  <c r="M1234" i="2"/>
  <c r="N1234" i="2"/>
  <c r="L1235" i="2"/>
  <c r="M1235" i="2"/>
  <c r="N1235" i="2"/>
  <c r="L1236" i="2"/>
  <c r="M1236" i="2"/>
  <c r="N1236" i="2"/>
  <c r="L1237" i="2"/>
  <c r="M1237" i="2"/>
  <c r="N1237" i="2"/>
  <c r="L1238" i="2"/>
  <c r="M1238" i="2"/>
  <c r="N1238" i="2"/>
  <c r="L1239" i="2"/>
  <c r="M1239" i="2"/>
  <c r="N1239" i="2"/>
  <c r="L1240" i="2"/>
  <c r="M1240" i="2"/>
  <c r="N1240" i="2"/>
  <c r="L1241" i="2"/>
  <c r="M1241" i="2"/>
  <c r="N1241" i="2"/>
  <c r="L1242" i="2"/>
  <c r="M1242" i="2"/>
  <c r="N1242" i="2"/>
  <c r="L1243" i="2"/>
  <c r="M1243" i="2"/>
  <c r="N1243" i="2"/>
  <c r="L1244" i="2"/>
  <c r="M1244" i="2"/>
  <c r="N1244" i="2"/>
  <c r="L1245" i="2"/>
  <c r="M1245" i="2"/>
  <c r="N1245" i="2"/>
  <c r="L1246" i="2"/>
  <c r="M1246" i="2"/>
  <c r="N1246" i="2"/>
  <c r="L1247" i="2"/>
  <c r="M1247" i="2"/>
  <c r="N1247" i="2"/>
  <c r="L1248" i="2"/>
  <c r="M1248" i="2"/>
  <c r="N1248" i="2"/>
  <c r="L1249" i="2"/>
  <c r="M1249" i="2"/>
  <c r="N1249" i="2"/>
  <c r="L1250" i="2"/>
  <c r="M1250" i="2"/>
  <c r="N1250" i="2"/>
  <c r="L1251" i="2"/>
  <c r="M1251" i="2"/>
  <c r="N1251" i="2"/>
  <c r="L1252" i="2"/>
  <c r="M1252" i="2"/>
  <c r="N1252" i="2"/>
  <c r="L1253" i="2"/>
  <c r="M1253" i="2"/>
  <c r="N1253" i="2"/>
  <c r="L1254" i="2"/>
  <c r="M1254" i="2"/>
  <c r="N1254" i="2"/>
  <c r="L1255" i="2"/>
  <c r="M1255" i="2"/>
  <c r="N1255" i="2"/>
  <c r="L1256" i="2"/>
  <c r="M1256" i="2"/>
  <c r="N1256" i="2"/>
  <c r="L1257" i="2"/>
  <c r="M1257" i="2"/>
  <c r="N1257" i="2"/>
  <c r="L1258" i="2"/>
  <c r="M1258" i="2"/>
  <c r="N1258" i="2"/>
  <c r="L1259" i="2"/>
  <c r="M1259" i="2"/>
  <c r="N1259" i="2"/>
  <c r="L1260" i="2"/>
  <c r="M1260" i="2"/>
  <c r="N1260" i="2"/>
  <c r="L1261" i="2"/>
  <c r="M1261" i="2"/>
  <c r="N1261" i="2"/>
  <c r="L1262" i="2"/>
  <c r="M1262" i="2"/>
  <c r="N1262" i="2"/>
  <c r="L1263" i="2"/>
  <c r="M1263" i="2"/>
  <c r="N1263" i="2"/>
  <c r="L1264" i="2"/>
  <c r="M1264" i="2"/>
  <c r="N1264" i="2"/>
  <c r="L1265" i="2"/>
  <c r="M1265" i="2"/>
  <c r="N1265" i="2"/>
  <c r="L1266" i="2"/>
  <c r="M1266" i="2"/>
  <c r="N1266" i="2"/>
  <c r="L1267" i="2"/>
  <c r="M1267" i="2"/>
  <c r="N1267" i="2"/>
  <c r="L1268" i="2"/>
  <c r="M1268" i="2"/>
  <c r="N1268" i="2"/>
  <c r="L1269" i="2"/>
  <c r="M1269" i="2"/>
  <c r="N1269" i="2"/>
  <c r="L1270" i="2"/>
  <c r="M1270" i="2"/>
  <c r="N1270" i="2"/>
  <c r="L1271" i="2"/>
  <c r="M1271" i="2"/>
  <c r="N1271" i="2"/>
  <c r="L1272" i="2"/>
  <c r="M1272" i="2"/>
  <c r="N1272" i="2"/>
  <c r="L1273" i="2"/>
  <c r="M1273" i="2"/>
  <c r="N1273" i="2"/>
  <c r="L1274" i="2"/>
  <c r="M1274" i="2"/>
  <c r="N1274" i="2"/>
  <c r="L1275" i="2"/>
  <c r="M1275" i="2"/>
  <c r="N1275" i="2"/>
  <c r="L1276" i="2"/>
  <c r="M1276" i="2"/>
  <c r="N1276" i="2"/>
  <c r="L1277" i="2"/>
  <c r="M1277" i="2"/>
  <c r="N1277" i="2"/>
  <c r="L1278" i="2"/>
  <c r="M1278" i="2"/>
  <c r="N1278" i="2"/>
  <c r="L1279" i="2"/>
  <c r="M1279" i="2"/>
  <c r="N1279" i="2"/>
  <c r="L1280" i="2"/>
  <c r="M1280" i="2"/>
  <c r="N1280" i="2"/>
  <c r="L1281" i="2"/>
  <c r="M1281" i="2"/>
  <c r="N1281" i="2"/>
  <c r="L1282" i="2"/>
  <c r="M1282" i="2"/>
  <c r="N1282" i="2"/>
  <c r="L1283" i="2"/>
  <c r="M1283" i="2"/>
  <c r="N1283" i="2"/>
  <c r="L1284" i="2"/>
  <c r="M1284" i="2"/>
  <c r="N1284" i="2"/>
  <c r="L1285" i="2"/>
  <c r="M1285" i="2"/>
  <c r="N1285" i="2"/>
  <c r="L1286" i="2"/>
  <c r="M1286" i="2"/>
  <c r="N1286" i="2"/>
  <c r="L1287" i="2"/>
  <c r="M1287" i="2"/>
  <c r="N1287" i="2"/>
  <c r="L1288" i="2"/>
  <c r="M1288" i="2"/>
  <c r="N1288" i="2"/>
  <c r="L1289" i="2"/>
  <c r="M1289" i="2"/>
  <c r="N1289" i="2"/>
  <c r="L1290" i="2"/>
  <c r="M1290" i="2"/>
  <c r="N1290" i="2"/>
  <c r="L1291" i="2"/>
  <c r="M1291" i="2"/>
  <c r="N1291" i="2"/>
  <c r="L1292" i="2"/>
  <c r="M1292" i="2"/>
  <c r="N1292" i="2"/>
  <c r="L1293" i="2"/>
  <c r="M1293" i="2"/>
  <c r="N1293" i="2"/>
  <c r="L1294" i="2"/>
  <c r="M1294" i="2"/>
  <c r="N1294" i="2"/>
  <c r="L1295" i="2"/>
  <c r="M1295" i="2"/>
  <c r="N1295" i="2"/>
  <c r="L1296" i="2"/>
  <c r="M1296" i="2"/>
  <c r="N1296" i="2"/>
  <c r="L1297" i="2"/>
  <c r="M1297" i="2"/>
  <c r="N1297" i="2"/>
  <c r="L1298" i="2"/>
  <c r="M1298" i="2"/>
  <c r="N1298" i="2"/>
  <c r="L1299" i="2"/>
  <c r="M1299" i="2"/>
  <c r="N1299" i="2"/>
  <c r="L1300" i="2"/>
  <c r="M1300" i="2"/>
  <c r="N1300" i="2"/>
  <c r="L1301" i="2"/>
  <c r="M1301" i="2"/>
  <c r="N1301" i="2"/>
  <c r="L1302" i="2"/>
  <c r="M1302" i="2"/>
  <c r="N1302" i="2"/>
  <c r="L1303" i="2"/>
  <c r="M1303" i="2"/>
  <c r="N1303" i="2"/>
  <c r="L1304" i="2"/>
  <c r="M1304" i="2"/>
  <c r="N1304" i="2"/>
  <c r="L1305" i="2"/>
  <c r="M1305" i="2"/>
  <c r="N1305" i="2"/>
  <c r="L1306" i="2"/>
  <c r="M1306" i="2"/>
  <c r="N1306" i="2"/>
  <c r="L1307" i="2"/>
  <c r="M1307" i="2"/>
  <c r="N1307" i="2"/>
  <c r="L1308" i="2"/>
  <c r="M1308" i="2"/>
  <c r="N1308" i="2"/>
  <c r="L1309" i="2"/>
  <c r="M1309" i="2"/>
  <c r="N1309" i="2"/>
  <c r="L1310" i="2"/>
  <c r="M1310" i="2"/>
  <c r="N1310" i="2"/>
  <c r="L1311" i="2"/>
  <c r="M1311" i="2"/>
  <c r="N1311" i="2"/>
  <c r="L1312" i="2"/>
  <c r="M1312" i="2"/>
  <c r="N1312" i="2"/>
  <c r="L1313" i="2"/>
  <c r="M1313" i="2"/>
  <c r="N1313" i="2"/>
  <c r="L1314" i="2"/>
  <c r="M1314" i="2"/>
  <c r="N1314" i="2"/>
  <c r="L1315" i="2"/>
  <c r="M1315" i="2"/>
  <c r="N1315" i="2"/>
  <c r="L1316" i="2"/>
  <c r="M1316" i="2"/>
  <c r="N1316" i="2"/>
  <c r="L1317" i="2"/>
  <c r="M1317" i="2"/>
  <c r="N1317" i="2"/>
  <c r="L1318" i="2"/>
  <c r="M1318" i="2"/>
  <c r="N1318" i="2"/>
  <c r="L1319" i="2"/>
  <c r="M1319" i="2"/>
  <c r="N1319" i="2"/>
  <c r="L1320" i="2"/>
  <c r="M1320" i="2"/>
  <c r="N1320" i="2"/>
  <c r="L1321" i="2"/>
  <c r="M1321" i="2"/>
  <c r="N1321" i="2"/>
  <c r="L1322" i="2"/>
  <c r="M1322" i="2"/>
  <c r="N1322" i="2"/>
  <c r="L1323" i="2"/>
  <c r="M1323" i="2"/>
  <c r="N1323" i="2"/>
  <c r="L1324" i="2"/>
  <c r="M1324" i="2"/>
  <c r="N1324" i="2"/>
  <c r="L1325" i="2"/>
  <c r="M1325" i="2"/>
  <c r="N1325" i="2"/>
  <c r="L1326" i="2"/>
  <c r="M1326" i="2"/>
  <c r="N1326" i="2"/>
  <c r="L1327" i="2"/>
  <c r="M1327" i="2"/>
  <c r="N1327" i="2"/>
  <c r="L1328" i="2"/>
  <c r="M1328" i="2"/>
  <c r="N1328" i="2"/>
  <c r="L1329" i="2"/>
  <c r="M1329" i="2"/>
  <c r="N1329" i="2"/>
  <c r="L1330" i="2"/>
  <c r="M1330" i="2"/>
  <c r="N1330" i="2"/>
  <c r="L1331" i="2"/>
  <c r="M1331" i="2"/>
  <c r="N1331" i="2"/>
  <c r="L1332" i="2"/>
  <c r="M1332" i="2"/>
  <c r="N1332" i="2"/>
  <c r="M2" i="2"/>
  <c r="N2" i="2"/>
  <c r="L2" i="2"/>
  <c r="K2398" i="3"/>
  <c r="J2398" i="3"/>
  <c r="K2397" i="3"/>
  <c r="I2397" i="3"/>
  <c r="I2398" i="3" s="1"/>
  <c r="K2396" i="3"/>
  <c r="H2396" i="3"/>
  <c r="H2397" i="3" s="1"/>
  <c r="H2398" i="3" s="1"/>
  <c r="K2395" i="3"/>
  <c r="G2395" i="3"/>
  <c r="G2396" i="3" s="1"/>
  <c r="G2397" i="3" s="1"/>
  <c r="G2398" i="3" s="1"/>
  <c r="K2394" i="3"/>
  <c r="K2393" i="3"/>
  <c r="J2393" i="3"/>
  <c r="J2394" i="3" s="1"/>
  <c r="J2395" i="3" s="1"/>
  <c r="J2396" i="3" s="1"/>
  <c r="J2397" i="3" s="1"/>
  <c r="K2392" i="3"/>
  <c r="I2392" i="3"/>
  <c r="I2393" i="3" s="1"/>
  <c r="I2394" i="3" s="1"/>
  <c r="I2395" i="3" s="1"/>
  <c r="I2396" i="3" s="1"/>
  <c r="K2391" i="3"/>
  <c r="H2391" i="3"/>
  <c r="H2392" i="3" s="1"/>
  <c r="H2393" i="3" s="1"/>
  <c r="H2394" i="3" s="1"/>
  <c r="H2395" i="3" s="1"/>
  <c r="K2390" i="3"/>
  <c r="G2390" i="3"/>
  <c r="G2391" i="3" s="1"/>
  <c r="G2392" i="3" s="1"/>
  <c r="G2393" i="3" s="1"/>
  <c r="G2394" i="3" s="1"/>
  <c r="K2389" i="3"/>
  <c r="K2388" i="3"/>
  <c r="K2387" i="3"/>
  <c r="K2386" i="3"/>
  <c r="K2385" i="3"/>
  <c r="K2384" i="3"/>
  <c r="K2383" i="3"/>
  <c r="K2382" i="3"/>
  <c r="J2382" i="3"/>
  <c r="J2383" i="3" s="1"/>
  <c r="J2384" i="3" s="1"/>
  <c r="J2385" i="3" s="1"/>
  <c r="J2386" i="3" s="1"/>
  <c r="J2387" i="3" s="1"/>
  <c r="J2388" i="3" s="1"/>
  <c r="J2389" i="3" s="1"/>
  <c r="J2390" i="3" s="1"/>
  <c r="J2391" i="3" s="1"/>
  <c r="J2392" i="3" s="1"/>
  <c r="K2381" i="3"/>
  <c r="K2380" i="3"/>
  <c r="K2379" i="3"/>
  <c r="K2378" i="3"/>
  <c r="K2377" i="3"/>
  <c r="K2376" i="3"/>
  <c r="K2375" i="3"/>
  <c r="J2375" i="3"/>
  <c r="J2376" i="3" s="1"/>
  <c r="J2377" i="3" s="1"/>
  <c r="J2378" i="3" s="1"/>
  <c r="J2379" i="3" s="1"/>
  <c r="J2380" i="3" s="1"/>
  <c r="J2381" i="3" s="1"/>
  <c r="K2374" i="3"/>
  <c r="K2373" i="3"/>
  <c r="K2372" i="3"/>
  <c r="J2372" i="3"/>
  <c r="J2373" i="3" s="1"/>
  <c r="J2374" i="3" s="1"/>
  <c r="K2371" i="3"/>
  <c r="K2370" i="3"/>
  <c r="K2369" i="3"/>
  <c r="K2368" i="3"/>
  <c r="J2368" i="3"/>
  <c r="J2369" i="3" s="1"/>
  <c r="J2370" i="3" s="1"/>
  <c r="J2371" i="3" s="1"/>
  <c r="I2368" i="3"/>
  <c r="I2369" i="3" s="1"/>
  <c r="I2370" i="3" s="1"/>
  <c r="I2371" i="3" s="1"/>
  <c r="I2372" i="3" s="1"/>
  <c r="I2373" i="3" s="1"/>
  <c r="I2374" i="3" s="1"/>
  <c r="I2375" i="3" s="1"/>
  <c r="I2376" i="3" s="1"/>
  <c r="I2377" i="3" s="1"/>
  <c r="I2378" i="3" s="1"/>
  <c r="I2379" i="3" s="1"/>
  <c r="I2380" i="3" s="1"/>
  <c r="I2381" i="3" s="1"/>
  <c r="I2382" i="3" s="1"/>
  <c r="I2383" i="3" s="1"/>
  <c r="I2384" i="3" s="1"/>
  <c r="I2385" i="3" s="1"/>
  <c r="I2386" i="3" s="1"/>
  <c r="I2387" i="3" s="1"/>
  <c r="I2388" i="3" s="1"/>
  <c r="I2389" i="3" s="1"/>
  <c r="I2390" i="3" s="1"/>
  <c r="I2391" i="3" s="1"/>
  <c r="K2367" i="3"/>
  <c r="I2367" i="3"/>
  <c r="H2367" i="3"/>
  <c r="H2368" i="3" s="1"/>
  <c r="H2369" i="3" s="1"/>
  <c r="H2370" i="3" s="1"/>
  <c r="H2371" i="3" s="1"/>
  <c r="H2372" i="3" s="1"/>
  <c r="H2373" i="3" s="1"/>
  <c r="H2374" i="3" s="1"/>
  <c r="H2375" i="3" s="1"/>
  <c r="H2376" i="3" s="1"/>
  <c r="H2377" i="3" s="1"/>
  <c r="H2378" i="3" s="1"/>
  <c r="H2379" i="3" s="1"/>
  <c r="H2380" i="3" s="1"/>
  <c r="H2381" i="3" s="1"/>
  <c r="H2382" i="3" s="1"/>
  <c r="H2383" i="3" s="1"/>
  <c r="H2384" i="3" s="1"/>
  <c r="H2385" i="3" s="1"/>
  <c r="H2386" i="3" s="1"/>
  <c r="H2387" i="3" s="1"/>
  <c r="H2388" i="3" s="1"/>
  <c r="H2389" i="3" s="1"/>
  <c r="H2390" i="3" s="1"/>
  <c r="K2366" i="3"/>
  <c r="H2366" i="3"/>
  <c r="K2365" i="3"/>
  <c r="K2364" i="3"/>
  <c r="K2363" i="3"/>
  <c r="K2362" i="3"/>
  <c r="K2361" i="3"/>
  <c r="K2360" i="3"/>
  <c r="K2359" i="3"/>
  <c r="K2358" i="3"/>
  <c r="J2358" i="3"/>
  <c r="J2359" i="3" s="1"/>
  <c r="J2360" i="3" s="1"/>
  <c r="J2361" i="3" s="1"/>
  <c r="J2362" i="3" s="1"/>
  <c r="J2363" i="3" s="1"/>
  <c r="J2364" i="3" s="1"/>
  <c r="J2365" i="3" s="1"/>
  <c r="J2366" i="3" s="1"/>
  <c r="J2367" i="3" s="1"/>
  <c r="K2357" i="3"/>
  <c r="K2356" i="3"/>
  <c r="J2356" i="3"/>
  <c r="J2357" i="3" s="1"/>
  <c r="K2355" i="3"/>
  <c r="I2355" i="3"/>
  <c r="I2356" i="3" s="1"/>
  <c r="I2357" i="3" s="1"/>
  <c r="I2358" i="3" s="1"/>
  <c r="I2359" i="3" s="1"/>
  <c r="I2360" i="3" s="1"/>
  <c r="I2361" i="3" s="1"/>
  <c r="I2362" i="3" s="1"/>
  <c r="I2363" i="3" s="1"/>
  <c r="I2364" i="3" s="1"/>
  <c r="I2365" i="3" s="1"/>
  <c r="I2366" i="3" s="1"/>
  <c r="K2354" i="3"/>
  <c r="K2353" i="3"/>
  <c r="J2353" i="3"/>
  <c r="J2354" i="3" s="1"/>
  <c r="J2355" i="3" s="1"/>
  <c r="K2352" i="3"/>
  <c r="K2351" i="3"/>
  <c r="J2351" i="3"/>
  <c r="J2352" i="3" s="1"/>
  <c r="K2350" i="3"/>
  <c r="I2350" i="3"/>
  <c r="I2351" i="3" s="1"/>
  <c r="I2352" i="3" s="1"/>
  <c r="I2353" i="3" s="1"/>
  <c r="I2354" i="3" s="1"/>
  <c r="K2349" i="3"/>
  <c r="H2349" i="3"/>
  <c r="H2350" i="3" s="1"/>
  <c r="H2351" i="3" s="1"/>
  <c r="H2352" i="3" s="1"/>
  <c r="H2353" i="3" s="1"/>
  <c r="H2354" i="3" s="1"/>
  <c r="H2355" i="3" s="1"/>
  <c r="H2356" i="3" s="1"/>
  <c r="H2357" i="3" s="1"/>
  <c r="H2358" i="3" s="1"/>
  <c r="H2359" i="3" s="1"/>
  <c r="H2360" i="3" s="1"/>
  <c r="H2361" i="3" s="1"/>
  <c r="H2362" i="3" s="1"/>
  <c r="H2363" i="3" s="1"/>
  <c r="H2364" i="3" s="1"/>
  <c r="H2365" i="3" s="1"/>
  <c r="K2348" i="3"/>
  <c r="K2347" i="3"/>
  <c r="J2347" i="3"/>
  <c r="J2348" i="3" s="1"/>
  <c r="J2349" i="3" s="1"/>
  <c r="J2350" i="3" s="1"/>
  <c r="K2346" i="3"/>
  <c r="K2345" i="3"/>
  <c r="J2345" i="3"/>
  <c r="J2346" i="3" s="1"/>
  <c r="K2344" i="3"/>
  <c r="K2343" i="3"/>
  <c r="J2343" i="3"/>
  <c r="J2344" i="3" s="1"/>
  <c r="K2342" i="3"/>
  <c r="K2341" i="3"/>
  <c r="J2341" i="3"/>
  <c r="J2342" i="3" s="1"/>
  <c r="K2340" i="3"/>
  <c r="I2340" i="3"/>
  <c r="I2341" i="3" s="1"/>
  <c r="I2342" i="3" s="1"/>
  <c r="I2343" i="3" s="1"/>
  <c r="I2344" i="3" s="1"/>
  <c r="I2345" i="3" s="1"/>
  <c r="I2346" i="3" s="1"/>
  <c r="I2347" i="3" s="1"/>
  <c r="I2348" i="3" s="1"/>
  <c r="I2349" i="3" s="1"/>
  <c r="K2339" i="3"/>
  <c r="K2338" i="3"/>
  <c r="J2338" i="3"/>
  <c r="J2339" i="3" s="1"/>
  <c r="J2340" i="3" s="1"/>
  <c r="K2337" i="3"/>
  <c r="I2337" i="3"/>
  <c r="I2338" i="3" s="1"/>
  <c r="I2339" i="3" s="1"/>
  <c r="K2336" i="3"/>
  <c r="K2335" i="3"/>
  <c r="J2335" i="3"/>
  <c r="J2336" i="3" s="1"/>
  <c r="J2337" i="3" s="1"/>
  <c r="K2334" i="3"/>
  <c r="I2334" i="3"/>
  <c r="I2335" i="3" s="1"/>
  <c r="I2336" i="3" s="1"/>
  <c r="K2333" i="3"/>
  <c r="K2332" i="3"/>
  <c r="K2331" i="3"/>
  <c r="J2331" i="3"/>
  <c r="J2332" i="3" s="1"/>
  <c r="J2333" i="3" s="1"/>
  <c r="J2334" i="3" s="1"/>
  <c r="K2330" i="3"/>
  <c r="K2329" i="3"/>
  <c r="J2329" i="3"/>
  <c r="J2330" i="3" s="1"/>
  <c r="K2328" i="3"/>
  <c r="I2328" i="3"/>
  <c r="I2329" i="3" s="1"/>
  <c r="I2330" i="3" s="1"/>
  <c r="I2331" i="3" s="1"/>
  <c r="I2332" i="3" s="1"/>
  <c r="I2333" i="3" s="1"/>
  <c r="K2327" i="3"/>
  <c r="H2327" i="3"/>
  <c r="H2328" i="3" s="1"/>
  <c r="H2329" i="3" s="1"/>
  <c r="H2330" i="3" s="1"/>
  <c r="H2331" i="3" s="1"/>
  <c r="H2332" i="3" s="1"/>
  <c r="H2333" i="3" s="1"/>
  <c r="H2334" i="3" s="1"/>
  <c r="H2335" i="3" s="1"/>
  <c r="H2336" i="3" s="1"/>
  <c r="H2337" i="3" s="1"/>
  <c r="H2338" i="3" s="1"/>
  <c r="H2339" i="3" s="1"/>
  <c r="H2340" i="3" s="1"/>
  <c r="H2341" i="3" s="1"/>
  <c r="H2342" i="3" s="1"/>
  <c r="H2343" i="3" s="1"/>
  <c r="H2344" i="3" s="1"/>
  <c r="H2345" i="3" s="1"/>
  <c r="H2346" i="3" s="1"/>
  <c r="H2347" i="3" s="1"/>
  <c r="H2348" i="3" s="1"/>
  <c r="K2326" i="3"/>
  <c r="G2326" i="3"/>
  <c r="G2327" i="3" s="1"/>
  <c r="G2328" i="3" s="1"/>
  <c r="G2329" i="3" s="1"/>
  <c r="G2330" i="3" s="1"/>
  <c r="G2331" i="3" s="1"/>
  <c r="G2332" i="3" s="1"/>
  <c r="G2333" i="3" s="1"/>
  <c r="G2334" i="3" s="1"/>
  <c r="G2335" i="3" s="1"/>
  <c r="G2336" i="3" s="1"/>
  <c r="G2337" i="3" s="1"/>
  <c r="G2338" i="3" s="1"/>
  <c r="G2339" i="3" s="1"/>
  <c r="G2340" i="3" s="1"/>
  <c r="G2341" i="3" s="1"/>
  <c r="G2342" i="3" s="1"/>
  <c r="G2343" i="3" s="1"/>
  <c r="G2344" i="3" s="1"/>
  <c r="G2345" i="3" s="1"/>
  <c r="G2346" i="3" s="1"/>
  <c r="G2347" i="3" s="1"/>
  <c r="G2348" i="3" s="1"/>
  <c r="G2349" i="3" s="1"/>
  <c r="G2350" i="3" s="1"/>
  <c r="G2351" i="3" s="1"/>
  <c r="G2352" i="3" s="1"/>
  <c r="G2353" i="3" s="1"/>
  <c r="G2354" i="3" s="1"/>
  <c r="G2355" i="3" s="1"/>
  <c r="G2356" i="3" s="1"/>
  <c r="G2357" i="3" s="1"/>
  <c r="G2358" i="3" s="1"/>
  <c r="G2359" i="3" s="1"/>
  <c r="G2360" i="3" s="1"/>
  <c r="G2361" i="3" s="1"/>
  <c r="G2362" i="3" s="1"/>
  <c r="G2363" i="3" s="1"/>
  <c r="G2364" i="3" s="1"/>
  <c r="G2365" i="3" s="1"/>
  <c r="G2366" i="3" s="1"/>
  <c r="G2367" i="3" s="1"/>
  <c r="G2368" i="3" s="1"/>
  <c r="G2369" i="3" s="1"/>
  <c r="G2370" i="3" s="1"/>
  <c r="G2371" i="3" s="1"/>
  <c r="G2372" i="3" s="1"/>
  <c r="G2373" i="3" s="1"/>
  <c r="G2374" i="3" s="1"/>
  <c r="G2375" i="3" s="1"/>
  <c r="G2376" i="3" s="1"/>
  <c r="G2377" i="3" s="1"/>
  <c r="G2378" i="3" s="1"/>
  <c r="G2379" i="3" s="1"/>
  <c r="G2380" i="3" s="1"/>
  <c r="G2381" i="3" s="1"/>
  <c r="G2382" i="3" s="1"/>
  <c r="G2383" i="3" s="1"/>
  <c r="G2384" i="3" s="1"/>
  <c r="G2385" i="3" s="1"/>
  <c r="G2386" i="3" s="1"/>
  <c r="G2387" i="3" s="1"/>
  <c r="G2388" i="3" s="1"/>
  <c r="G2389" i="3" s="1"/>
  <c r="K2325" i="3"/>
  <c r="K2324" i="3"/>
  <c r="K2323" i="3"/>
  <c r="K2322" i="3"/>
  <c r="K2321" i="3"/>
  <c r="K2320" i="3"/>
  <c r="J2320" i="3"/>
  <c r="J2321" i="3" s="1"/>
  <c r="J2322" i="3" s="1"/>
  <c r="J2323" i="3" s="1"/>
  <c r="J2324" i="3" s="1"/>
  <c r="J2325" i="3" s="1"/>
  <c r="J2326" i="3" s="1"/>
  <c r="J2327" i="3" s="1"/>
  <c r="J2328" i="3" s="1"/>
  <c r="K2319" i="3"/>
  <c r="K2318" i="3"/>
  <c r="J2318" i="3"/>
  <c r="J2319" i="3" s="1"/>
  <c r="K2317" i="3"/>
  <c r="I2317" i="3"/>
  <c r="I2318" i="3" s="1"/>
  <c r="I2319" i="3" s="1"/>
  <c r="I2320" i="3" s="1"/>
  <c r="I2321" i="3" s="1"/>
  <c r="I2322" i="3" s="1"/>
  <c r="I2323" i="3" s="1"/>
  <c r="I2324" i="3" s="1"/>
  <c r="I2325" i="3" s="1"/>
  <c r="I2326" i="3" s="1"/>
  <c r="I2327" i="3" s="1"/>
  <c r="K2316" i="3"/>
  <c r="K2315" i="3"/>
  <c r="K2314" i="3"/>
  <c r="J2314" i="3"/>
  <c r="J2315" i="3" s="1"/>
  <c r="J2316" i="3" s="1"/>
  <c r="J2317" i="3" s="1"/>
  <c r="K2313" i="3"/>
  <c r="K2312" i="3"/>
  <c r="J2312" i="3"/>
  <c r="J2313" i="3" s="1"/>
  <c r="K2311" i="3"/>
  <c r="K2310" i="3"/>
  <c r="J2310" i="3"/>
  <c r="J2311" i="3" s="1"/>
  <c r="K2309" i="3"/>
  <c r="K2308" i="3"/>
  <c r="J2308" i="3"/>
  <c r="J2309" i="3" s="1"/>
  <c r="K2307" i="3"/>
  <c r="I2307" i="3"/>
  <c r="I2308" i="3" s="1"/>
  <c r="I2309" i="3" s="1"/>
  <c r="I2310" i="3" s="1"/>
  <c r="I2311" i="3" s="1"/>
  <c r="I2312" i="3" s="1"/>
  <c r="I2313" i="3" s="1"/>
  <c r="I2314" i="3" s="1"/>
  <c r="I2315" i="3" s="1"/>
  <c r="I2316" i="3" s="1"/>
  <c r="K2306" i="3"/>
  <c r="H2306" i="3"/>
  <c r="H2307" i="3" s="1"/>
  <c r="H2308" i="3" s="1"/>
  <c r="H2309" i="3" s="1"/>
  <c r="H2310" i="3" s="1"/>
  <c r="H2311" i="3" s="1"/>
  <c r="H2312" i="3" s="1"/>
  <c r="H2313" i="3" s="1"/>
  <c r="H2314" i="3" s="1"/>
  <c r="H2315" i="3" s="1"/>
  <c r="H2316" i="3" s="1"/>
  <c r="H2317" i="3" s="1"/>
  <c r="H2318" i="3" s="1"/>
  <c r="H2319" i="3" s="1"/>
  <c r="H2320" i="3" s="1"/>
  <c r="H2321" i="3" s="1"/>
  <c r="H2322" i="3" s="1"/>
  <c r="H2323" i="3" s="1"/>
  <c r="H2324" i="3" s="1"/>
  <c r="H2325" i="3" s="1"/>
  <c r="H2326" i="3" s="1"/>
  <c r="K2305" i="3"/>
  <c r="K2304" i="3"/>
  <c r="K2303" i="3"/>
  <c r="K2302" i="3"/>
  <c r="J2302" i="3"/>
  <c r="J2303" i="3" s="1"/>
  <c r="J2304" i="3" s="1"/>
  <c r="J2305" i="3" s="1"/>
  <c r="J2306" i="3" s="1"/>
  <c r="J2307" i="3" s="1"/>
  <c r="K2301" i="3"/>
  <c r="I2301" i="3"/>
  <c r="I2302" i="3" s="1"/>
  <c r="I2303" i="3" s="1"/>
  <c r="I2304" i="3" s="1"/>
  <c r="I2305" i="3" s="1"/>
  <c r="I2306" i="3" s="1"/>
  <c r="K2300" i="3"/>
  <c r="H2300" i="3"/>
  <c r="H2301" i="3" s="1"/>
  <c r="H2302" i="3" s="1"/>
  <c r="H2303" i="3" s="1"/>
  <c r="H2304" i="3" s="1"/>
  <c r="H2305" i="3" s="1"/>
  <c r="K2299" i="3"/>
  <c r="K2298" i="3"/>
  <c r="J2298" i="3"/>
  <c r="J2299" i="3" s="1"/>
  <c r="J2300" i="3" s="1"/>
  <c r="J2301" i="3" s="1"/>
  <c r="K2297" i="3"/>
  <c r="K2296" i="3"/>
  <c r="K2295" i="3"/>
  <c r="J2295" i="3"/>
  <c r="J2296" i="3" s="1"/>
  <c r="J2297" i="3" s="1"/>
  <c r="K2294" i="3"/>
  <c r="K2293" i="3"/>
  <c r="J2293" i="3"/>
  <c r="J2294" i="3" s="1"/>
  <c r="I2293" i="3"/>
  <c r="I2294" i="3" s="1"/>
  <c r="I2295" i="3" s="1"/>
  <c r="I2296" i="3" s="1"/>
  <c r="I2297" i="3" s="1"/>
  <c r="I2298" i="3" s="1"/>
  <c r="I2299" i="3" s="1"/>
  <c r="I2300" i="3" s="1"/>
  <c r="K2292" i="3"/>
  <c r="I2292" i="3"/>
  <c r="K2291" i="3"/>
  <c r="H2291" i="3"/>
  <c r="H2292" i="3" s="1"/>
  <c r="H2293" i="3" s="1"/>
  <c r="H2294" i="3" s="1"/>
  <c r="H2295" i="3" s="1"/>
  <c r="H2296" i="3" s="1"/>
  <c r="H2297" i="3" s="1"/>
  <c r="H2298" i="3" s="1"/>
  <c r="H2299" i="3" s="1"/>
  <c r="K2290" i="3"/>
  <c r="K2289" i="3"/>
  <c r="J2289" i="3"/>
  <c r="J2290" i="3" s="1"/>
  <c r="J2291" i="3" s="1"/>
  <c r="J2292" i="3" s="1"/>
  <c r="K2288" i="3"/>
  <c r="K2287" i="3"/>
  <c r="K2286" i="3"/>
  <c r="J2286" i="3"/>
  <c r="J2287" i="3" s="1"/>
  <c r="J2288" i="3" s="1"/>
  <c r="K2285" i="3"/>
  <c r="K2284" i="3"/>
  <c r="K2283" i="3"/>
  <c r="K2282" i="3"/>
  <c r="K2281" i="3"/>
  <c r="K2280" i="3"/>
  <c r="K2279" i="3"/>
  <c r="K2278" i="3"/>
  <c r="J2278" i="3"/>
  <c r="J2279" i="3" s="1"/>
  <c r="J2280" i="3" s="1"/>
  <c r="J2281" i="3" s="1"/>
  <c r="J2282" i="3" s="1"/>
  <c r="J2283" i="3" s="1"/>
  <c r="J2284" i="3" s="1"/>
  <c r="J2285" i="3" s="1"/>
  <c r="K2277" i="3"/>
  <c r="I2277" i="3"/>
  <c r="I2278" i="3" s="1"/>
  <c r="I2279" i="3" s="1"/>
  <c r="I2280" i="3" s="1"/>
  <c r="I2281" i="3" s="1"/>
  <c r="I2282" i="3" s="1"/>
  <c r="I2283" i="3" s="1"/>
  <c r="I2284" i="3" s="1"/>
  <c r="I2285" i="3" s="1"/>
  <c r="I2286" i="3" s="1"/>
  <c r="I2287" i="3" s="1"/>
  <c r="I2288" i="3" s="1"/>
  <c r="I2289" i="3" s="1"/>
  <c r="I2290" i="3" s="1"/>
  <c r="I2291" i="3" s="1"/>
  <c r="K2276" i="3"/>
  <c r="H2276" i="3"/>
  <c r="H2277" i="3" s="1"/>
  <c r="H2278" i="3" s="1"/>
  <c r="H2279" i="3" s="1"/>
  <c r="H2280" i="3" s="1"/>
  <c r="H2281" i="3" s="1"/>
  <c r="H2282" i="3" s="1"/>
  <c r="H2283" i="3" s="1"/>
  <c r="H2284" i="3" s="1"/>
  <c r="H2285" i="3" s="1"/>
  <c r="H2286" i="3" s="1"/>
  <c r="H2287" i="3" s="1"/>
  <c r="H2288" i="3" s="1"/>
  <c r="H2289" i="3" s="1"/>
  <c r="H2290" i="3" s="1"/>
  <c r="K2275" i="3"/>
  <c r="G2275" i="3"/>
  <c r="G2276" i="3" s="1"/>
  <c r="G2277" i="3" s="1"/>
  <c r="G2278" i="3" s="1"/>
  <c r="G2279" i="3" s="1"/>
  <c r="G2280" i="3" s="1"/>
  <c r="G2281" i="3" s="1"/>
  <c r="G2282" i="3" s="1"/>
  <c r="G2283" i="3" s="1"/>
  <c r="G2284" i="3" s="1"/>
  <c r="G2285" i="3" s="1"/>
  <c r="G2286" i="3" s="1"/>
  <c r="G2287" i="3" s="1"/>
  <c r="G2288" i="3" s="1"/>
  <c r="G2289" i="3" s="1"/>
  <c r="G2290" i="3" s="1"/>
  <c r="G2291" i="3" s="1"/>
  <c r="G2292" i="3" s="1"/>
  <c r="G2293" i="3" s="1"/>
  <c r="G2294" i="3" s="1"/>
  <c r="G2295" i="3" s="1"/>
  <c r="G2296" i="3" s="1"/>
  <c r="G2297" i="3" s="1"/>
  <c r="G2298" i="3" s="1"/>
  <c r="G2299" i="3" s="1"/>
  <c r="G2300" i="3" s="1"/>
  <c r="G2301" i="3" s="1"/>
  <c r="G2302" i="3" s="1"/>
  <c r="G2303" i="3" s="1"/>
  <c r="G2304" i="3" s="1"/>
  <c r="G2305" i="3" s="1"/>
  <c r="G2306" i="3" s="1"/>
  <c r="G2307" i="3" s="1"/>
  <c r="G2308" i="3" s="1"/>
  <c r="G2309" i="3" s="1"/>
  <c r="G2310" i="3" s="1"/>
  <c r="G2311" i="3" s="1"/>
  <c r="G2312" i="3" s="1"/>
  <c r="G2313" i="3" s="1"/>
  <c r="G2314" i="3" s="1"/>
  <c r="G2315" i="3" s="1"/>
  <c r="G2316" i="3" s="1"/>
  <c r="G2317" i="3" s="1"/>
  <c r="G2318" i="3" s="1"/>
  <c r="G2319" i="3" s="1"/>
  <c r="G2320" i="3" s="1"/>
  <c r="G2321" i="3" s="1"/>
  <c r="G2322" i="3" s="1"/>
  <c r="G2323" i="3" s="1"/>
  <c r="G2324" i="3" s="1"/>
  <c r="G2325" i="3" s="1"/>
  <c r="K2274" i="3"/>
  <c r="K2273" i="3"/>
  <c r="J2273" i="3"/>
  <c r="J2274" i="3" s="1"/>
  <c r="J2275" i="3" s="1"/>
  <c r="J2276" i="3" s="1"/>
  <c r="J2277" i="3" s="1"/>
  <c r="K2272" i="3"/>
  <c r="I2272" i="3"/>
  <c r="I2273" i="3" s="1"/>
  <c r="I2274" i="3" s="1"/>
  <c r="I2275" i="3" s="1"/>
  <c r="I2276" i="3" s="1"/>
  <c r="K2271" i="3"/>
  <c r="H2271" i="3"/>
  <c r="H2272" i="3" s="1"/>
  <c r="H2273" i="3" s="1"/>
  <c r="H2274" i="3" s="1"/>
  <c r="H2275" i="3" s="1"/>
  <c r="K2270" i="3"/>
  <c r="K2269" i="3"/>
  <c r="K2268" i="3"/>
  <c r="K2267" i="3"/>
  <c r="J2267" i="3"/>
  <c r="J2268" i="3" s="1"/>
  <c r="J2269" i="3" s="1"/>
  <c r="J2270" i="3" s="1"/>
  <c r="J2271" i="3" s="1"/>
  <c r="J2272" i="3" s="1"/>
  <c r="K2266" i="3"/>
  <c r="I2266" i="3"/>
  <c r="I2267" i="3" s="1"/>
  <c r="I2268" i="3" s="1"/>
  <c r="I2269" i="3" s="1"/>
  <c r="I2270" i="3" s="1"/>
  <c r="I2271" i="3" s="1"/>
  <c r="K2265" i="3"/>
  <c r="K2264" i="3"/>
  <c r="K2263" i="3"/>
  <c r="J2263" i="3"/>
  <c r="J2264" i="3" s="1"/>
  <c r="J2265" i="3" s="1"/>
  <c r="J2266" i="3" s="1"/>
  <c r="K2262" i="3"/>
  <c r="I2262" i="3"/>
  <c r="I2263" i="3" s="1"/>
  <c r="I2264" i="3" s="1"/>
  <c r="I2265" i="3" s="1"/>
  <c r="K2261" i="3"/>
  <c r="K2260" i="3"/>
  <c r="J2260" i="3"/>
  <c r="J2261" i="3" s="1"/>
  <c r="J2262" i="3" s="1"/>
  <c r="K2259" i="3"/>
  <c r="K2258" i="3"/>
  <c r="K2257" i="3"/>
  <c r="K2256" i="3"/>
  <c r="K2255" i="3"/>
  <c r="K2254" i="3"/>
  <c r="J2254" i="3"/>
  <c r="J2255" i="3" s="1"/>
  <c r="J2256" i="3" s="1"/>
  <c r="J2257" i="3" s="1"/>
  <c r="J2258" i="3" s="1"/>
  <c r="J2259" i="3" s="1"/>
  <c r="K2253" i="3"/>
  <c r="I2253" i="3"/>
  <c r="I2254" i="3" s="1"/>
  <c r="I2255" i="3" s="1"/>
  <c r="I2256" i="3" s="1"/>
  <c r="I2257" i="3" s="1"/>
  <c r="I2258" i="3" s="1"/>
  <c r="I2259" i="3" s="1"/>
  <c r="I2260" i="3" s="1"/>
  <c r="I2261" i="3" s="1"/>
  <c r="K2252" i="3"/>
  <c r="H2252" i="3"/>
  <c r="H2253" i="3" s="1"/>
  <c r="H2254" i="3" s="1"/>
  <c r="H2255" i="3" s="1"/>
  <c r="H2256" i="3" s="1"/>
  <c r="H2257" i="3" s="1"/>
  <c r="H2258" i="3" s="1"/>
  <c r="H2259" i="3" s="1"/>
  <c r="H2260" i="3" s="1"/>
  <c r="H2261" i="3" s="1"/>
  <c r="H2262" i="3" s="1"/>
  <c r="H2263" i="3" s="1"/>
  <c r="H2264" i="3" s="1"/>
  <c r="H2265" i="3" s="1"/>
  <c r="H2266" i="3" s="1"/>
  <c r="H2267" i="3" s="1"/>
  <c r="H2268" i="3" s="1"/>
  <c r="H2269" i="3" s="1"/>
  <c r="H2270" i="3" s="1"/>
  <c r="K2251" i="3"/>
  <c r="K2250" i="3"/>
  <c r="K2249" i="3"/>
  <c r="K2248" i="3"/>
  <c r="K2247" i="3"/>
  <c r="K2246" i="3"/>
  <c r="J2246" i="3"/>
  <c r="J2247" i="3" s="1"/>
  <c r="J2248" i="3" s="1"/>
  <c r="J2249" i="3" s="1"/>
  <c r="J2250" i="3" s="1"/>
  <c r="J2251" i="3" s="1"/>
  <c r="J2252" i="3" s="1"/>
  <c r="J2253" i="3" s="1"/>
  <c r="K2245" i="3"/>
  <c r="I2245" i="3"/>
  <c r="I2246" i="3" s="1"/>
  <c r="I2247" i="3" s="1"/>
  <c r="I2248" i="3" s="1"/>
  <c r="I2249" i="3" s="1"/>
  <c r="I2250" i="3" s="1"/>
  <c r="I2251" i="3" s="1"/>
  <c r="I2252" i="3" s="1"/>
  <c r="K2244" i="3"/>
  <c r="K2243" i="3"/>
  <c r="J2243" i="3"/>
  <c r="J2244" i="3" s="1"/>
  <c r="J2245" i="3" s="1"/>
  <c r="K2242" i="3"/>
  <c r="I2242" i="3"/>
  <c r="I2243" i="3" s="1"/>
  <c r="I2244" i="3" s="1"/>
  <c r="K2241" i="3"/>
  <c r="K2240" i="3"/>
  <c r="K2239" i="3"/>
  <c r="K2238" i="3"/>
  <c r="K2237" i="3"/>
  <c r="K2236" i="3"/>
  <c r="K2235" i="3"/>
  <c r="K2234" i="3"/>
  <c r="K2233" i="3"/>
  <c r="J2233" i="3"/>
  <c r="J2234" i="3" s="1"/>
  <c r="J2235" i="3" s="1"/>
  <c r="J2236" i="3" s="1"/>
  <c r="J2237" i="3" s="1"/>
  <c r="J2238" i="3" s="1"/>
  <c r="J2239" i="3" s="1"/>
  <c r="J2240" i="3" s="1"/>
  <c r="J2241" i="3" s="1"/>
  <c r="J2242" i="3" s="1"/>
  <c r="K2232" i="3"/>
  <c r="I2232" i="3"/>
  <c r="I2233" i="3" s="1"/>
  <c r="I2234" i="3" s="1"/>
  <c r="I2235" i="3" s="1"/>
  <c r="I2236" i="3" s="1"/>
  <c r="I2237" i="3" s="1"/>
  <c r="I2238" i="3" s="1"/>
  <c r="I2239" i="3" s="1"/>
  <c r="I2240" i="3" s="1"/>
  <c r="I2241" i="3" s="1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J2216" i="3"/>
  <c r="J2217" i="3" s="1"/>
  <c r="J2218" i="3" s="1"/>
  <c r="J2219" i="3" s="1"/>
  <c r="J2220" i="3" s="1"/>
  <c r="J2221" i="3" s="1"/>
  <c r="J2222" i="3" s="1"/>
  <c r="J2223" i="3" s="1"/>
  <c r="J2224" i="3" s="1"/>
  <c r="J2225" i="3" s="1"/>
  <c r="J2226" i="3" s="1"/>
  <c r="J2227" i="3" s="1"/>
  <c r="J2228" i="3" s="1"/>
  <c r="J2229" i="3" s="1"/>
  <c r="J2230" i="3" s="1"/>
  <c r="J2231" i="3" s="1"/>
  <c r="J2232" i="3" s="1"/>
  <c r="K2215" i="3"/>
  <c r="I2215" i="3"/>
  <c r="I2216" i="3" s="1"/>
  <c r="I2217" i="3" s="1"/>
  <c r="I2218" i="3" s="1"/>
  <c r="I2219" i="3" s="1"/>
  <c r="I2220" i="3" s="1"/>
  <c r="I2221" i="3" s="1"/>
  <c r="I2222" i="3" s="1"/>
  <c r="I2223" i="3" s="1"/>
  <c r="I2224" i="3" s="1"/>
  <c r="I2225" i="3" s="1"/>
  <c r="I2226" i="3" s="1"/>
  <c r="I2227" i="3" s="1"/>
  <c r="I2228" i="3" s="1"/>
  <c r="I2229" i="3" s="1"/>
  <c r="I2230" i="3" s="1"/>
  <c r="I2231" i="3" s="1"/>
  <c r="K2214" i="3"/>
  <c r="K2213" i="3"/>
  <c r="K2212" i="3"/>
  <c r="K2211" i="3"/>
  <c r="K2210" i="3"/>
  <c r="K2209" i="3"/>
  <c r="K2208" i="3"/>
  <c r="J2208" i="3"/>
  <c r="J2209" i="3" s="1"/>
  <c r="J2210" i="3" s="1"/>
  <c r="J2211" i="3" s="1"/>
  <c r="J2212" i="3" s="1"/>
  <c r="J2213" i="3" s="1"/>
  <c r="J2214" i="3" s="1"/>
  <c r="J2215" i="3" s="1"/>
  <c r="K2207" i="3"/>
  <c r="J2207" i="3"/>
  <c r="K2206" i="3"/>
  <c r="I2206" i="3"/>
  <c r="I2207" i="3" s="1"/>
  <c r="I2208" i="3" s="1"/>
  <c r="I2209" i="3" s="1"/>
  <c r="I2210" i="3" s="1"/>
  <c r="I2211" i="3" s="1"/>
  <c r="I2212" i="3" s="1"/>
  <c r="I2213" i="3" s="1"/>
  <c r="I2214" i="3" s="1"/>
  <c r="K2205" i="3"/>
  <c r="K2204" i="3"/>
  <c r="J2204" i="3"/>
  <c r="J2205" i="3" s="1"/>
  <c r="J2206" i="3" s="1"/>
  <c r="K2203" i="3"/>
  <c r="K2202" i="3"/>
  <c r="K2201" i="3"/>
  <c r="J2201" i="3"/>
  <c r="J2202" i="3" s="1"/>
  <c r="J2203" i="3" s="1"/>
  <c r="K2200" i="3"/>
  <c r="I2200" i="3"/>
  <c r="I2201" i="3" s="1"/>
  <c r="I2202" i="3" s="1"/>
  <c r="I2203" i="3" s="1"/>
  <c r="I2204" i="3" s="1"/>
  <c r="I2205" i="3" s="1"/>
  <c r="K2199" i="3"/>
  <c r="K2198" i="3"/>
  <c r="K2197" i="3"/>
  <c r="J2197" i="3"/>
  <c r="J2198" i="3" s="1"/>
  <c r="J2199" i="3" s="1"/>
  <c r="J2200" i="3" s="1"/>
  <c r="I2197" i="3"/>
  <c r="I2198" i="3" s="1"/>
  <c r="I2199" i="3" s="1"/>
  <c r="K2196" i="3"/>
  <c r="I2196" i="3"/>
  <c r="K2195" i="3"/>
  <c r="H2195" i="3"/>
  <c r="H2196" i="3" s="1"/>
  <c r="H2197" i="3" s="1"/>
  <c r="H2198" i="3" s="1"/>
  <c r="H2199" i="3" s="1"/>
  <c r="H2200" i="3" s="1"/>
  <c r="H2201" i="3" s="1"/>
  <c r="H2202" i="3" s="1"/>
  <c r="H2203" i="3" s="1"/>
  <c r="H2204" i="3" s="1"/>
  <c r="H2205" i="3" s="1"/>
  <c r="H2206" i="3" s="1"/>
  <c r="H2207" i="3" s="1"/>
  <c r="H2208" i="3" s="1"/>
  <c r="H2209" i="3" s="1"/>
  <c r="H2210" i="3" s="1"/>
  <c r="H2211" i="3" s="1"/>
  <c r="H2212" i="3" s="1"/>
  <c r="H2213" i="3" s="1"/>
  <c r="H2214" i="3" s="1"/>
  <c r="H2215" i="3" s="1"/>
  <c r="H2216" i="3" s="1"/>
  <c r="H2217" i="3" s="1"/>
  <c r="H2218" i="3" s="1"/>
  <c r="H2219" i="3" s="1"/>
  <c r="H2220" i="3" s="1"/>
  <c r="H2221" i="3" s="1"/>
  <c r="H2222" i="3" s="1"/>
  <c r="H2223" i="3" s="1"/>
  <c r="H2224" i="3" s="1"/>
  <c r="H2225" i="3" s="1"/>
  <c r="H2226" i="3" s="1"/>
  <c r="H2227" i="3" s="1"/>
  <c r="H2228" i="3" s="1"/>
  <c r="H2229" i="3" s="1"/>
  <c r="H2230" i="3" s="1"/>
  <c r="H2231" i="3" s="1"/>
  <c r="H2232" i="3" s="1"/>
  <c r="H2233" i="3" s="1"/>
  <c r="H2234" i="3" s="1"/>
  <c r="H2235" i="3" s="1"/>
  <c r="H2236" i="3" s="1"/>
  <c r="H2237" i="3" s="1"/>
  <c r="H2238" i="3" s="1"/>
  <c r="H2239" i="3" s="1"/>
  <c r="H2240" i="3" s="1"/>
  <c r="H2241" i="3" s="1"/>
  <c r="H2242" i="3" s="1"/>
  <c r="H2243" i="3" s="1"/>
  <c r="H2244" i="3" s="1"/>
  <c r="H2245" i="3" s="1"/>
  <c r="H2246" i="3" s="1"/>
  <c r="H2247" i="3" s="1"/>
  <c r="H2248" i="3" s="1"/>
  <c r="H2249" i="3" s="1"/>
  <c r="H2250" i="3" s="1"/>
  <c r="H2251" i="3" s="1"/>
  <c r="K2194" i="3"/>
  <c r="G2194" i="3"/>
  <c r="G2195" i="3" s="1"/>
  <c r="G2196" i="3" s="1"/>
  <c r="G2197" i="3" s="1"/>
  <c r="G2198" i="3" s="1"/>
  <c r="G2199" i="3" s="1"/>
  <c r="G2200" i="3" s="1"/>
  <c r="G2201" i="3" s="1"/>
  <c r="G2202" i="3" s="1"/>
  <c r="G2203" i="3" s="1"/>
  <c r="G2204" i="3" s="1"/>
  <c r="G2205" i="3" s="1"/>
  <c r="G2206" i="3" s="1"/>
  <c r="G2207" i="3" s="1"/>
  <c r="G2208" i="3" s="1"/>
  <c r="G2209" i="3" s="1"/>
  <c r="G2210" i="3" s="1"/>
  <c r="G2211" i="3" s="1"/>
  <c r="G2212" i="3" s="1"/>
  <c r="G2213" i="3" s="1"/>
  <c r="G2214" i="3" s="1"/>
  <c r="G2215" i="3" s="1"/>
  <c r="G2216" i="3" s="1"/>
  <c r="G2217" i="3" s="1"/>
  <c r="G2218" i="3" s="1"/>
  <c r="G2219" i="3" s="1"/>
  <c r="G2220" i="3" s="1"/>
  <c r="G2221" i="3" s="1"/>
  <c r="G2222" i="3" s="1"/>
  <c r="G2223" i="3" s="1"/>
  <c r="G2224" i="3" s="1"/>
  <c r="G2225" i="3" s="1"/>
  <c r="G2226" i="3" s="1"/>
  <c r="G2227" i="3" s="1"/>
  <c r="G2228" i="3" s="1"/>
  <c r="G2229" i="3" s="1"/>
  <c r="G2230" i="3" s="1"/>
  <c r="G2231" i="3" s="1"/>
  <c r="G2232" i="3" s="1"/>
  <c r="G2233" i="3" s="1"/>
  <c r="G2234" i="3" s="1"/>
  <c r="G2235" i="3" s="1"/>
  <c r="G2236" i="3" s="1"/>
  <c r="G2237" i="3" s="1"/>
  <c r="G2238" i="3" s="1"/>
  <c r="G2239" i="3" s="1"/>
  <c r="G2240" i="3" s="1"/>
  <c r="G2241" i="3" s="1"/>
  <c r="G2242" i="3" s="1"/>
  <c r="G2243" i="3" s="1"/>
  <c r="G2244" i="3" s="1"/>
  <c r="G2245" i="3" s="1"/>
  <c r="G2246" i="3" s="1"/>
  <c r="G2247" i="3" s="1"/>
  <c r="G2248" i="3" s="1"/>
  <c r="G2249" i="3" s="1"/>
  <c r="G2250" i="3" s="1"/>
  <c r="G2251" i="3" s="1"/>
  <c r="G2252" i="3" s="1"/>
  <c r="G2253" i="3" s="1"/>
  <c r="G2254" i="3" s="1"/>
  <c r="G2255" i="3" s="1"/>
  <c r="G2256" i="3" s="1"/>
  <c r="G2257" i="3" s="1"/>
  <c r="G2258" i="3" s="1"/>
  <c r="G2259" i="3" s="1"/>
  <c r="G2260" i="3" s="1"/>
  <c r="G2261" i="3" s="1"/>
  <c r="G2262" i="3" s="1"/>
  <c r="G2263" i="3" s="1"/>
  <c r="G2264" i="3" s="1"/>
  <c r="G2265" i="3" s="1"/>
  <c r="G2266" i="3" s="1"/>
  <c r="G2267" i="3" s="1"/>
  <c r="G2268" i="3" s="1"/>
  <c r="G2269" i="3" s="1"/>
  <c r="G2270" i="3" s="1"/>
  <c r="G2271" i="3" s="1"/>
  <c r="G2272" i="3" s="1"/>
  <c r="G2273" i="3" s="1"/>
  <c r="G2274" i="3" s="1"/>
  <c r="K2193" i="3"/>
  <c r="K2192" i="3"/>
  <c r="K2191" i="3"/>
  <c r="K2190" i="3"/>
  <c r="K2189" i="3"/>
  <c r="K2188" i="3"/>
  <c r="K2187" i="3"/>
  <c r="J2187" i="3"/>
  <c r="J2188" i="3" s="1"/>
  <c r="J2189" i="3" s="1"/>
  <c r="J2190" i="3" s="1"/>
  <c r="J2191" i="3" s="1"/>
  <c r="J2192" i="3" s="1"/>
  <c r="J2193" i="3" s="1"/>
  <c r="J2194" i="3" s="1"/>
  <c r="J2195" i="3" s="1"/>
  <c r="J2196" i="3" s="1"/>
  <c r="K2186" i="3"/>
  <c r="K2185" i="3"/>
  <c r="J2185" i="3"/>
  <c r="J2186" i="3" s="1"/>
  <c r="K2184" i="3"/>
  <c r="K2183" i="3"/>
  <c r="K2182" i="3"/>
  <c r="K2181" i="3"/>
  <c r="K2180" i="3"/>
  <c r="J2180" i="3"/>
  <c r="J2181" i="3" s="1"/>
  <c r="J2182" i="3" s="1"/>
  <c r="J2183" i="3" s="1"/>
  <c r="J2184" i="3" s="1"/>
  <c r="K2179" i="3"/>
  <c r="K2178" i="3"/>
  <c r="J2178" i="3"/>
  <c r="J2179" i="3" s="1"/>
  <c r="K2177" i="3"/>
  <c r="I2177" i="3"/>
  <c r="I2178" i="3" s="1"/>
  <c r="I2179" i="3" s="1"/>
  <c r="I2180" i="3" s="1"/>
  <c r="I2181" i="3" s="1"/>
  <c r="I2182" i="3" s="1"/>
  <c r="I2183" i="3" s="1"/>
  <c r="I2184" i="3" s="1"/>
  <c r="I2185" i="3" s="1"/>
  <c r="I2186" i="3" s="1"/>
  <c r="I2187" i="3" s="1"/>
  <c r="I2188" i="3" s="1"/>
  <c r="I2189" i="3" s="1"/>
  <c r="I2190" i="3" s="1"/>
  <c r="I2191" i="3" s="1"/>
  <c r="I2192" i="3" s="1"/>
  <c r="I2193" i="3" s="1"/>
  <c r="I2194" i="3" s="1"/>
  <c r="I2195" i="3" s="1"/>
  <c r="K2176" i="3"/>
  <c r="K2175" i="3"/>
  <c r="K2174" i="3"/>
  <c r="J2174" i="3"/>
  <c r="J2175" i="3" s="1"/>
  <c r="J2176" i="3" s="1"/>
  <c r="J2177" i="3" s="1"/>
  <c r="K2173" i="3"/>
  <c r="I2173" i="3"/>
  <c r="I2174" i="3" s="1"/>
  <c r="I2175" i="3" s="1"/>
  <c r="I2176" i="3" s="1"/>
  <c r="K2172" i="3"/>
  <c r="K2171" i="3"/>
  <c r="J2171" i="3"/>
  <c r="J2172" i="3" s="1"/>
  <c r="J2173" i="3" s="1"/>
  <c r="K2170" i="3"/>
  <c r="K2169" i="3"/>
  <c r="J2169" i="3"/>
  <c r="J2170" i="3" s="1"/>
  <c r="K2168" i="3"/>
  <c r="I2168" i="3"/>
  <c r="I2169" i="3" s="1"/>
  <c r="I2170" i="3" s="1"/>
  <c r="I2171" i="3" s="1"/>
  <c r="I2172" i="3" s="1"/>
  <c r="K2167" i="3"/>
  <c r="K2166" i="3"/>
  <c r="J2166" i="3"/>
  <c r="J2167" i="3" s="1"/>
  <c r="J2168" i="3" s="1"/>
  <c r="K2165" i="3"/>
  <c r="K2164" i="3"/>
  <c r="J2164" i="3"/>
  <c r="J2165" i="3" s="1"/>
  <c r="K2163" i="3"/>
  <c r="K2162" i="3"/>
  <c r="J2162" i="3"/>
  <c r="J2163" i="3" s="1"/>
  <c r="K2161" i="3"/>
  <c r="I2161" i="3"/>
  <c r="I2162" i="3" s="1"/>
  <c r="I2163" i="3" s="1"/>
  <c r="I2164" i="3" s="1"/>
  <c r="I2165" i="3" s="1"/>
  <c r="I2166" i="3" s="1"/>
  <c r="I2167" i="3" s="1"/>
  <c r="K2160" i="3"/>
  <c r="K2159" i="3"/>
  <c r="J2159" i="3"/>
  <c r="J2160" i="3" s="1"/>
  <c r="J2161" i="3" s="1"/>
  <c r="K2158" i="3"/>
  <c r="I2158" i="3"/>
  <c r="I2159" i="3" s="1"/>
  <c r="I2160" i="3" s="1"/>
  <c r="K2157" i="3"/>
  <c r="K2156" i="3"/>
  <c r="J2156" i="3"/>
  <c r="J2157" i="3" s="1"/>
  <c r="J2158" i="3" s="1"/>
  <c r="K2155" i="3"/>
  <c r="K2154" i="3"/>
  <c r="J2154" i="3"/>
  <c r="J2155" i="3" s="1"/>
  <c r="K2153" i="3"/>
  <c r="K2152" i="3"/>
  <c r="J2152" i="3"/>
  <c r="J2153" i="3" s="1"/>
  <c r="K2151" i="3"/>
  <c r="I2151" i="3"/>
  <c r="I2152" i="3" s="1"/>
  <c r="I2153" i="3" s="1"/>
  <c r="I2154" i="3" s="1"/>
  <c r="I2155" i="3" s="1"/>
  <c r="I2156" i="3" s="1"/>
  <c r="I2157" i="3" s="1"/>
  <c r="K2150" i="3"/>
  <c r="H2150" i="3"/>
  <c r="H2151" i="3" s="1"/>
  <c r="H2152" i="3" s="1"/>
  <c r="H2153" i="3" s="1"/>
  <c r="H2154" i="3" s="1"/>
  <c r="H2155" i="3" s="1"/>
  <c r="H2156" i="3" s="1"/>
  <c r="H2157" i="3" s="1"/>
  <c r="H2158" i="3" s="1"/>
  <c r="H2159" i="3" s="1"/>
  <c r="H2160" i="3" s="1"/>
  <c r="H2161" i="3" s="1"/>
  <c r="H2162" i="3" s="1"/>
  <c r="H2163" i="3" s="1"/>
  <c r="H2164" i="3" s="1"/>
  <c r="H2165" i="3" s="1"/>
  <c r="H2166" i="3" s="1"/>
  <c r="H2167" i="3" s="1"/>
  <c r="H2168" i="3" s="1"/>
  <c r="H2169" i="3" s="1"/>
  <c r="H2170" i="3" s="1"/>
  <c r="H2171" i="3" s="1"/>
  <c r="H2172" i="3" s="1"/>
  <c r="H2173" i="3" s="1"/>
  <c r="H2174" i="3" s="1"/>
  <c r="H2175" i="3" s="1"/>
  <c r="H2176" i="3" s="1"/>
  <c r="H2177" i="3" s="1"/>
  <c r="H2178" i="3" s="1"/>
  <c r="H2179" i="3" s="1"/>
  <c r="H2180" i="3" s="1"/>
  <c r="H2181" i="3" s="1"/>
  <c r="H2182" i="3" s="1"/>
  <c r="H2183" i="3" s="1"/>
  <c r="H2184" i="3" s="1"/>
  <c r="H2185" i="3" s="1"/>
  <c r="H2186" i="3" s="1"/>
  <c r="H2187" i="3" s="1"/>
  <c r="H2188" i="3" s="1"/>
  <c r="H2189" i="3" s="1"/>
  <c r="H2190" i="3" s="1"/>
  <c r="H2191" i="3" s="1"/>
  <c r="H2192" i="3" s="1"/>
  <c r="H2193" i="3" s="1"/>
  <c r="H2194" i="3" s="1"/>
  <c r="K2149" i="3"/>
  <c r="G2149" i="3"/>
  <c r="G2150" i="3" s="1"/>
  <c r="G2151" i="3" s="1"/>
  <c r="G2152" i="3" s="1"/>
  <c r="G2153" i="3" s="1"/>
  <c r="G2154" i="3" s="1"/>
  <c r="G2155" i="3" s="1"/>
  <c r="G2156" i="3" s="1"/>
  <c r="G2157" i="3" s="1"/>
  <c r="G2158" i="3" s="1"/>
  <c r="G2159" i="3" s="1"/>
  <c r="G2160" i="3" s="1"/>
  <c r="G2161" i="3" s="1"/>
  <c r="G2162" i="3" s="1"/>
  <c r="G2163" i="3" s="1"/>
  <c r="G2164" i="3" s="1"/>
  <c r="G2165" i="3" s="1"/>
  <c r="G2166" i="3" s="1"/>
  <c r="G2167" i="3" s="1"/>
  <c r="G2168" i="3" s="1"/>
  <c r="G2169" i="3" s="1"/>
  <c r="G2170" i="3" s="1"/>
  <c r="G2171" i="3" s="1"/>
  <c r="G2172" i="3" s="1"/>
  <c r="G2173" i="3" s="1"/>
  <c r="G2174" i="3" s="1"/>
  <c r="G2175" i="3" s="1"/>
  <c r="G2176" i="3" s="1"/>
  <c r="G2177" i="3" s="1"/>
  <c r="G2178" i="3" s="1"/>
  <c r="G2179" i="3" s="1"/>
  <c r="G2180" i="3" s="1"/>
  <c r="G2181" i="3" s="1"/>
  <c r="G2182" i="3" s="1"/>
  <c r="G2183" i="3" s="1"/>
  <c r="G2184" i="3" s="1"/>
  <c r="G2185" i="3" s="1"/>
  <c r="G2186" i="3" s="1"/>
  <c r="G2187" i="3" s="1"/>
  <c r="G2188" i="3" s="1"/>
  <c r="G2189" i="3" s="1"/>
  <c r="G2190" i="3" s="1"/>
  <c r="G2191" i="3" s="1"/>
  <c r="G2192" i="3" s="1"/>
  <c r="G2193" i="3" s="1"/>
  <c r="K2148" i="3"/>
  <c r="K2147" i="3"/>
  <c r="J2147" i="3"/>
  <c r="J2148" i="3" s="1"/>
  <c r="J2149" i="3" s="1"/>
  <c r="J2150" i="3" s="1"/>
  <c r="J2151" i="3" s="1"/>
  <c r="K2146" i="3"/>
  <c r="I2146" i="3"/>
  <c r="I2147" i="3" s="1"/>
  <c r="I2148" i="3" s="1"/>
  <c r="I2149" i="3" s="1"/>
  <c r="I2150" i="3" s="1"/>
  <c r="K2145" i="3"/>
  <c r="J2145" i="3"/>
  <c r="J2146" i="3" s="1"/>
  <c r="K2144" i="3"/>
  <c r="J2144" i="3"/>
  <c r="K2143" i="3"/>
  <c r="K2142" i="3"/>
  <c r="J2142" i="3"/>
  <c r="J2143" i="3" s="1"/>
  <c r="K2141" i="3"/>
  <c r="K2140" i="3"/>
  <c r="J2140" i="3"/>
  <c r="J2141" i="3" s="1"/>
  <c r="K2139" i="3"/>
  <c r="K2138" i="3"/>
  <c r="J2138" i="3"/>
  <c r="J2139" i="3" s="1"/>
  <c r="K2137" i="3"/>
  <c r="J2137" i="3"/>
  <c r="K2136" i="3"/>
  <c r="J2136" i="3"/>
  <c r="K2135" i="3"/>
  <c r="I2135" i="3"/>
  <c r="I2136" i="3" s="1"/>
  <c r="I2137" i="3" s="1"/>
  <c r="I2138" i="3" s="1"/>
  <c r="I2139" i="3" s="1"/>
  <c r="I2140" i="3" s="1"/>
  <c r="I2141" i="3" s="1"/>
  <c r="I2142" i="3" s="1"/>
  <c r="I2143" i="3" s="1"/>
  <c r="I2144" i="3" s="1"/>
  <c r="I2145" i="3" s="1"/>
  <c r="K2134" i="3"/>
  <c r="K2133" i="3"/>
  <c r="J2133" i="3"/>
  <c r="J2134" i="3" s="1"/>
  <c r="J2135" i="3" s="1"/>
  <c r="K2132" i="3"/>
  <c r="K2131" i="3"/>
  <c r="J2131" i="3"/>
  <c r="J2132" i="3" s="1"/>
  <c r="K2130" i="3"/>
  <c r="K2129" i="3"/>
  <c r="J2129" i="3"/>
  <c r="J2130" i="3" s="1"/>
  <c r="K2128" i="3"/>
  <c r="I2128" i="3"/>
  <c r="I2129" i="3" s="1"/>
  <c r="I2130" i="3" s="1"/>
  <c r="I2131" i="3" s="1"/>
  <c r="I2132" i="3" s="1"/>
  <c r="I2133" i="3" s="1"/>
  <c r="I2134" i="3" s="1"/>
  <c r="K2127" i="3"/>
  <c r="H2127" i="3"/>
  <c r="H2128" i="3" s="1"/>
  <c r="H2129" i="3" s="1"/>
  <c r="H2130" i="3" s="1"/>
  <c r="H2131" i="3" s="1"/>
  <c r="H2132" i="3" s="1"/>
  <c r="H2133" i="3" s="1"/>
  <c r="H2134" i="3" s="1"/>
  <c r="H2135" i="3" s="1"/>
  <c r="H2136" i="3" s="1"/>
  <c r="H2137" i="3" s="1"/>
  <c r="H2138" i="3" s="1"/>
  <c r="H2139" i="3" s="1"/>
  <c r="H2140" i="3" s="1"/>
  <c r="H2141" i="3" s="1"/>
  <c r="H2142" i="3" s="1"/>
  <c r="H2143" i="3" s="1"/>
  <c r="H2144" i="3" s="1"/>
  <c r="H2145" i="3" s="1"/>
  <c r="H2146" i="3" s="1"/>
  <c r="H2147" i="3" s="1"/>
  <c r="H2148" i="3" s="1"/>
  <c r="H2149" i="3" s="1"/>
  <c r="K2126" i="3"/>
  <c r="G2126" i="3"/>
  <c r="G2127" i="3" s="1"/>
  <c r="G2128" i="3" s="1"/>
  <c r="G2129" i="3" s="1"/>
  <c r="G2130" i="3" s="1"/>
  <c r="G2131" i="3" s="1"/>
  <c r="G2132" i="3" s="1"/>
  <c r="G2133" i="3" s="1"/>
  <c r="G2134" i="3" s="1"/>
  <c r="G2135" i="3" s="1"/>
  <c r="G2136" i="3" s="1"/>
  <c r="G2137" i="3" s="1"/>
  <c r="G2138" i="3" s="1"/>
  <c r="G2139" i="3" s="1"/>
  <c r="G2140" i="3" s="1"/>
  <c r="G2141" i="3" s="1"/>
  <c r="G2142" i="3" s="1"/>
  <c r="G2143" i="3" s="1"/>
  <c r="G2144" i="3" s="1"/>
  <c r="G2145" i="3" s="1"/>
  <c r="G2146" i="3" s="1"/>
  <c r="G2147" i="3" s="1"/>
  <c r="G2148" i="3" s="1"/>
  <c r="K2125" i="3"/>
  <c r="K2124" i="3"/>
  <c r="K2123" i="3"/>
  <c r="K2122" i="3"/>
  <c r="K2121" i="3"/>
  <c r="K2120" i="3"/>
  <c r="K2119" i="3"/>
  <c r="K2118" i="3"/>
  <c r="K2117" i="3"/>
  <c r="J2117" i="3"/>
  <c r="J2118" i="3" s="1"/>
  <c r="J2119" i="3" s="1"/>
  <c r="J2120" i="3" s="1"/>
  <c r="J2121" i="3" s="1"/>
  <c r="J2122" i="3" s="1"/>
  <c r="J2123" i="3" s="1"/>
  <c r="J2124" i="3" s="1"/>
  <c r="J2125" i="3" s="1"/>
  <c r="J2126" i="3" s="1"/>
  <c r="J2127" i="3" s="1"/>
  <c r="J2128" i="3" s="1"/>
  <c r="K2116" i="3"/>
  <c r="J2116" i="3"/>
  <c r="K2115" i="3"/>
  <c r="J2115" i="3"/>
  <c r="K2114" i="3"/>
  <c r="K2113" i="3"/>
  <c r="J2113" i="3"/>
  <c r="J2114" i="3" s="1"/>
  <c r="K2112" i="3"/>
  <c r="I2112" i="3"/>
  <c r="I2113" i="3" s="1"/>
  <c r="I2114" i="3" s="1"/>
  <c r="I2115" i="3" s="1"/>
  <c r="I2116" i="3" s="1"/>
  <c r="I2117" i="3" s="1"/>
  <c r="I2118" i="3" s="1"/>
  <c r="I2119" i="3" s="1"/>
  <c r="I2120" i="3" s="1"/>
  <c r="I2121" i="3" s="1"/>
  <c r="I2122" i="3" s="1"/>
  <c r="I2123" i="3" s="1"/>
  <c r="I2124" i="3" s="1"/>
  <c r="I2125" i="3" s="1"/>
  <c r="I2126" i="3" s="1"/>
  <c r="I2127" i="3" s="1"/>
  <c r="K2111" i="3"/>
  <c r="K2110" i="3"/>
  <c r="K2109" i="3"/>
  <c r="J2109" i="3"/>
  <c r="J2110" i="3" s="1"/>
  <c r="J2111" i="3" s="1"/>
  <c r="J2112" i="3" s="1"/>
  <c r="I2109" i="3"/>
  <c r="I2110" i="3" s="1"/>
  <c r="I2111" i="3" s="1"/>
  <c r="K2108" i="3"/>
  <c r="I2108" i="3"/>
  <c r="K2107" i="3"/>
  <c r="K2106" i="3"/>
  <c r="J2106" i="3"/>
  <c r="J2107" i="3" s="1"/>
  <c r="J2108" i="3" s="1"/>
  <c r="K2105" i="3"/>
  <c r="I2105" i="3"/>
  <c r="I2106" i="3" s="1"/>
  <c r="I2107" i="3" s="1"/>
  <c r="K2104" i="3"/>
  <c r="K2103" i="3"/>
  <c r="K2102" i="3"/>
  <c r="J2102" i="3"/>
  <c r="J2103" i="3" s="1"/>
  <c r="J2104" i="3" s="1"/>
  <c r="J2105" i="3" s="1"/>
  <c r="K2101" i="3"/>
  <c r="K2100" i="3"/>
  <c r="J2100" i="3"/>
  <c r="J2101" i="3" s="1"/>
  <c r="K2099" i="3"/>
  <c r="I2099" i="3"/>
  <c r="I2100" i="3" s="1"/>
  <c r="I2101" i="3" s="1"/>
  <c r="I2102" i="3" s="1"/>
  <c r="I2103" i="3" s="1"/>
  <c r="I2104" i="3" s="1"/>
  <c r="K2098" i="3"/>
  <c r="H2098" i="3"/>
  <c r="H2099" i="3" s="1"/>
  <c r="H2100" i="3" s="1"/>
  <c r="H2101" i="3" s="1"/>
  <c r="H2102" i="3" s="1"/>
  <c r="H2103" i="3" s="1"/>
  <c r="H2104" i="3" s="1"/>
  <c r="H2105" i="3" s="1"/>
  <c r="H2106" i="3" s="1"/>
  <c r="H2107" i="3" s="1"/>
  <c r="H2108" i="3" s="1"/>
  <c r="H2109" i="3" s="1"/>
  <c r="H2110" i="3" s="1"/>
  <c r="H2111" i="3" s="1"/>
  <c r="H2112" i="3" s="1"/>
  <c r="H2113" i="3" s="1"/>
  <c r="H2114" i="3" s="1"/>
  <c r="H2115" i="3" s="1"/>
  <c r="H2116" i="3" s="1"/>
  <c r="H2117" i="3" s="1"/>
  <c r="H2118" i="3" s="1"/>
  <c r="H2119" i="3" s="1"/>
  <c r="H2120" i="3" s="1"/>
  <c r="H2121" i="3" s="1"/>
  <c r="H2122" i="3" s="1"/>
  <c r="H2123" i="3" s="1"/>
  <c r="H2124" i="3" s="1"/>
  <c r="H2125" i="3" s="1"/>
  <c r="H2126" i="3" s="1"/>
  <c r="K2097" i="3"/>
  <c r="K2096" i="3"/>
  <c r="J2096" i="3"/>
  <c r="J2097" i="3" s="1"/>
  <c r="J2098" i="3" s="1"/>
  <c r="J2099" i="3" s="1"/>
  <c r="I2096" i="3"/>
  <c r="I2097" i="3" s="1"/>
  <c r="I2098" i="3" s="1"/>
  <c r="K2095" i="3"/>
  <c r="I2095" i="3"/>
  <c r="K2094" i="3"/>
  <c r="K2093" i="3"/>
  <c r="J2093" i="3"/>
  <c r="J2094" i="3" s="1"/>
  <c r="J2095" i="3" s="1"/>
  <c r="K2092" i="3"/>
  <c r="K2091" i="3"/>
  <c r="J2091" i="3"/>
  <c r="J2092" i="3" s="1"/>
  <c r="K2090" i="3"/>
  <c r="K2089" i="3"/>
  <c r="J2089" i="3"/>
  <c r="J2090" i="3" s="1"/>
  <c r="K2088" i="3"/>
  <c r="I2088" i="3"/>
  <c r="I2089" i="3" s="1"/>
  <c r="I2090" i="3" s="1"/>
  <c r="I2091" i="3" s="1"/>
  <c r="I2092" i="3" s="1"/>
  <c r="I2093" i="3" s="1"/>
  <c r="I2094" i="3" s="1"/>
  <c r="K2087" i="3"/>
  <c r="J2087" i="3"/>
  <c r="J2088" i="3" s="1"/>
  <c r="K2086" i="3"/>
  <c r="J2086" i="3"/>
  <c r="K2085" i="3"/>
  <c r="J2085" i="3"/>
  <c r="K2084" i="3"/>
  <c r="J2084" i="3"/>
  <c r="K2083" i="3"/>
  <c r="I2083" i="3"/>
  <c r="I2084" i="3" s="1"/>
  <c r="I2085" i="3" s="1"/>
  <c r="I2086" i="3" s="1"/>
  <c r="I2087" i="3" s="1"/>
  <c r="K2082" i="3"/>
  <c r="H2082" i="3"/>
  <c r="H2083" i="3" s="1"/>
  <c r="H2084" i="3" s="1"/>
  <c r="H2085" i="3" s="1"/>
  <c r="H2086" i="3" s="1"/>
  <c r="H2087" i="3" s="1"/>
  <c r="H2088" i="3" s="1"/>
  <c r="H2089" i="3" s="1"/>
  <c r="H2090" i="3" s="1"/>
  <c r="H2091" i="3" s="1"/>
  <c r="H2092" i="3" s="1"/>
  <c r="H2093" i="3" s="1"/>
  <c r="H2094" i="3" s="1"/>
  <c r="H2095" i="3" s="1"/>
  <c r="H2096" i="3" s="1"/>
  <c r="H2097" i="3" s="1"/>
  <c r="K2081" i="3"/>
  <c r="K2080" i="3"/>
  <c r="J2080" i="3"/>
  <c r="J2081" i="3" s="1"/>
  <c r="J2082" i="3" s="1"/>
  <c r="J2083" i="3" s="1"/>
  <c r="K2079" i="3"/>
  <c r="I2079" i="3"/>
  <c r="I2080" i="3" s="1"/>
  <c r="I2081" i="3" s="1"/>
  <c r="I2082" i="3" s="1"/>
  <c r="K2078" i="3"/>
  <c r="K2077" i="3"/>
  <c r="K2076" i="3"/>
  <c r="J2076" i="3"/>
  <c r="J2077" i="3" s="1"/>
  <c r="J2078" i="3" s="1"/>
  <c r="J2079" i="3" s="1"/>
  <c r="I2076" i="3"/>
  <c r="I2077" i="3" s="1"/>
  <c r="I2078" i="3" s="1"/>
  <c r="K2075" i="3"/>
  <c r="I2075" i="3"/>
  <c r="K2074" i="3"/>
  <c r="K2073" i="3"/>
  <c r="J2073" i="3"/>
  <c r="J2074" i="3" s="1"/>
  <c r="J2075" i="3" s="1"/>
  <c r="K2072" i="3"/>
  <c r="K2071" i="3"/>
  <c r="J2071" i="3"/>
  <c r="J2072" i="3" s="1"/>
  <c r="K2070" i="3"/>
  <c r="J2070" i="3"/>
  <c r="I2070" i="3"/>
  <c r="I2071" i="3" s="1"/>
  <c r="I2072" i="3" s="1"/>
  <c r="I2073" i="3" s="1"/>
  <c r="I2074" i="3" s="1"/>
  <c r="K2069" i="3"/>
  <c r="I2069" i="3"/>
  <c r="K2068" i="3"/>
  <c r="H2068" i="3"/>
  <c r="H2069" i="3" s="1"/>
  <c r="H2070" i="3" s="1"/>
  <c r="H2071" i="3" s="1"/>
  <c r="H2072" i="3" s="1"/>
  <c r="H2073" i="3" s="1"/>
  <c r="H2074" i="3" s="1"/>
  <c r="H2075" i="3" s="1"/>
  <c r="H2076" i="3" s="1"/>
  <c r="H2077" i="3" s="1"/>
  <c r="H2078" i="3" s="1"/>
  <c r="H2079" i="3" s="1"/>
  <c r="H2080" i="3" s="1"/>
  <c r="H2081" i="3" s="1"/>
  <c r="K2067" i="3"/>
  <c r="K2066" i="3"/>
  <c r="J2066" i="3"/>
  <c r="J2067" i="3" s="1"/>
  <c r="J2068" i="3" s="1"/>
  <c r="J2069" i="3" s="1"/>
  <c r="K2065" i="3"/>
  <c r="I2065" i="3"/>
  <c r="I2066" i="3" s="1"/>
  <c r="I2067" i="3" s="1"/>
  <c r="I2068" i="3" s="1"/>
  <c r="K2064" i="3"/>
  <c r="K2063" i="3"/>
  <c r="J2063" i="3"/>
  <c r="J2064" i="3" s="1"/>
  <c r="J2065" i="3" s="1"/>
  <c r="K2062" i="3"/>
  <c r="K2061" i="3"/>
  <c r="J2061" i="3"/>
  <c r="J2062" i="3" s="1"/>
  <c r="K2060" i="3"/>
  <c r="I2060" i="3"/>
  <c r="I2061" i="3" s="1"/>
  <c r="I2062" i="3" s="1"/>
  <c r="I2063" i="3" s="1"/>
  <c r="I2064" i="3" s="1"/>
  <c r="K2059" i="3"/>
  <c r="H2059" i="3"/>
  <c r="H2060" i="3" s="1"/>
  <c r="H2061" i="3" s="1"/>
  <c r="H2062" i="3" s="1"/>
  <c r="H2063" i="3" s="1"/>
  <c r="H2064" i="3" s="1"/>
  <c r="H2065" i="3" s="1"/>
  <c r="H2066" i="3" s="1"/>
  <c r="H2067" i="3" s="1"/>
  <c r="K2058" i="3"/>
  <c r="K2057" i="3"/>
  <c r="J2057" i="3"/>
  <c r="J2058" i="3" s="1"/>
  <c r="J2059" i="3" s="1"/>
  <c r="J2060" i="3" s="1"/>
  <c r="K2056" i="3"/>
  <c r="I2056" i="3"/>
  <c r="I2057" i="3" s="1"/>
  <c r="I2058" i="3" s="1"/>
  <c r="I2059" i="3" s="1"/>
  <c r="K2055" i="3"/>
  <c r="K2054" i="3"/>
  <c r="J2054" i="3"/>
  <c r="J2055" i="3" s="1"/>
  <c r="J2056" i="3" s="1"/>
  <c r="I2054" i="3"/>
  <c r="I2055" i="3" s="1"/>
  <c r="K2053" i="3"/>
  <c r="I2053" i="3"/>
  <c r="K2052" i="3"/>
  <c r="K2051" i="3"/>
  <c r="J2051" i="3"/>
  <c r="J2052" i="3" s="1"/>
  <c r="J2053" i="3" s="1"/>
  <c r="K2050" i="3"/>
  <c r="I2050" i="3"/>
  <c r="I2051" i="3" s="1"/>
  <c r="I2052" i="3" s="1"/>
  <c r="K2049" i="3"/>
  <c r="H2049" i="3"/>
  <c r="H2050" i="3" s="1"/>
  <c r="H2051" i="3" s="1"/>
  <c r="H2052" i="3" s="1"/>
  <c r="H2053" i="3" s="1"/>
  <c r="H2054" i="3" s="1"/>
  <c r="H2055" i="3" s="1"/>
  <c r="H2056" i="3" s="1"/>
  <c r="H2057" i="3" s="1"/>
  <c r="H2058" i="3" s="1"/>
  <c r="K2048" i="3"/>
  <c r="K2047" i="3"/>
  <c r="J2047" i="3"/>
  <c r="J2048" i="3" s="1"/>
  <c r="J2049" i="3" s="1"/>
  <c r="J2050" i="3" s="1"/>
  <c r="K2046" i="3"/>
  <c r="I2046" i="3"/>
  <c r="I2047" i="3" s="1"/>
  <c r="I2048" i="3" s="1"/>
  <c r="I2049" i="3" s="1"/>
  <c r="K2045" i="3"/>
  <c r="K2044" i="3"/>
  <c r="K2043" i="3"/>
  <c r="K2042" i="3"/>
  <c r="K2041" i="3"/>
  <c r="J2041" i="3"/>
  <c r="J2042" i="3" s="1"/>
  <c r="J2043" i="3" s="1"/>
  <c r="J2044" i="3" s="1"/>
  <c r="J2045" i="3" s="1"/>
  <c r="J2046" i="3" s="1"/>
  <c r="K2040" i="3"/>
  <c r="K2039" i="3"/>
  <c r="J2039" i="3"/>
  <c r="J2040" i="3" s="1"/>
  <c r="K2038" i="3"/>
  <c r="K2037" i="3"/>
  <c r="K2036" i="3"/>
  <c r="J2036" i="3"/>
  <c r="J2037" i="3" s="1"/>
  <c r="J2038" i="3" s="1"/>
  <c r="K2035" i="3"/>
  <c r="K2034" i="3"/>
  <c r="J2034" i="3"/>
  <c r="J2035" i="3" s="1"/>
  <c r="K2033" i="3"/>
  <c r="I2033" i="3"/>
  <c r="I2034" i="3" s="1"/>
  <c r="I2035" i="3" s="1"/>
  <c r="I2036" i="3" s="1"/>
  <c r="I2037" i="3" s="1"/>
  <c r="I2038" i="3" s="1"/>
  <c r="I2039" i="3" s="1"/>
  <c r="I2040" i="3" s="1"/>
  <c r="I2041" i="3" s="1"/>
  <c r="I2042" i="3" s="1"/>
  <c r="I2043" i="3" s="1"/>
  <c r="I2044" i="3" s="1"/>
  <c r="I2045" i="3" s="1"/>
  <c r="K2032" i="3"/>
  <c r="K2031" i="3"/>
  <c r="K2030" i="3"/>
  <c r="K2029" i="3"/>
  <c r="K2028" i="3"/>
  <c r="J2028" i="3"/>
  <c r="J2029" i="3" s="1"/>
  <c r="J2030" i="3" s="1"/>
  <c r="J2031" i="3" s="1"/>
  <c r="J2032" i="3" s="1"/>
  <c r="J2033" i="3" s="1"/>
  <c r="K2027" i="3"/>
  <c r="K2026" i="3"/>
  <c r="J2026" i="3"/>
  <c r="J2027" i="3" s="1"/>
  <c r="K2025" i="3"/>
  <c r="K2024" i="3"/>
  <c r="J2024" i="3"/>
  <c r="J2025" i="3" s="1"/>
  <c r="K2023" i="3"/>
  <c r="K2022" i="3"/>
  <c r="J2022" i="3"/>
  <c r="J2023" i="3" s="1"/>
  <c r="I2022" i="3"/>
  <c r="I2023" i="3" s="1"/>
  <c r="I2024" i="3" s="1"/>
  <c r="I2025" i="3" s="1"/>
  <c r="I2026" i="3" s="1"/>
  <c r="I2027" i="3" s="1"/>
  <c r="I2028" i="3" s="1"/>
  <c r="I2029" i="3" s="1"/>
  <c r="I2030" i="3" s="1"/>
  <c r="I2031" i="3" s="1"/>
  <c r="I2032" i="3" s="1"/>
  <c r="K2021" i="3"/>
  <c r="I2021" i="3"/>
  <c r="K2020" i="3"/>
  <c r="K2019" i="3"/>
  <c r="K2018" i="3"/>
  <c r="K2017" i="3"/>
  <c r="J2017" i="3"/>
  <c r="J2018" i="3" s="1"/>
  <c r="J2019" i="3" s="1"/>
  <c r="J2020" i="3" s="1"/>
  <c r="J2021" i="3" s="1"/>
  <c r="K2016" i="3"/>
  <c r="K2015" i="3"/>
  <c r="J2015" i="3"/>
  <c r="J2016" i="3" s="1"/>
  <c r="K2014" i="3"/>
  <c r="I2014" i="3"/>
  <c r="I2015" i="3" s="1"/>
  <c r="I2016" i="3" s="1"/>
  <c r="I2017" i="3" s="1"/>
  <c r="I2018" i="3" s="1"/>
  <c r="I2019" i="3" s="1"/>
  <c r="I2020" i="3" s="1"/>
  <c r="K2013" i="3"/>
  <c r="H2013" i="3"/>
  <c r="H2014" i="3" s="1"/>
  <c r="H2015" i="3" s="1"/>
  <c r="H2016" i="3" s="1"/>
  <c r="H2017" i="3" s="1"/>
  <c r="H2018" i="3" s="1"/>
  <c r="H2019" i="3" s="1"/>
  <c r="H2020" i="3" s="1"/>
  <c r="H2021" i="3" s="1"/>
  <c r="H2022" i="3" s="1"/>
  <c r="H2023" i="3" s="1"/>
  <c r="H2024" i="3" s="1"/>
  <c r="H2025" i="3" s="1"/>
  <c r="H2026" i="3" s="1"/>
  <c r="H2027" i="3" s="1"/>
  <c r="H2028" i="3" s="1"/>
  <c r="H2029" i="3" s="1"/>
  <c r="H2030" i="3" s="1"/>
  <c r="H2031" i="3" s="1"/>
  <c r="H2032" i="3" s="1"/>
  <c r="H2033" i="3" s="1"/>
  <c r="H2034" i="3" s="1"/>
  <c r="H2035" i="3" s="1"/>
  <c r="H2036" i="3" s="1"/>
  <c r="H2037" i="3" s="1"/>
  <c r="H2038" i="3" s="1"/>
  <c r="H2039" i="3" s="1"/>
  <c r="H2040" i="3" s="1"/>
  <c r="H2041" i="3" s="1"/>
  <c r="H2042" i="3" s="1"/>
  <c r="H2043" i="3" s="1"/>
  <c r="H2044" i="3" s="1"/>
  <c r="H2045" i="3" s="1"/>
  <c r="H2046" i="3" s="1"/>
  <c r="H2047" i="3" s="1"/>
  <c r="H2048" i="3" s="1"/>
  <c r="K2012" i="3"/>
  <c r="G2012" i="3"/>
  <c r="G2013" i="3" s="1"/>
  <c r="G2014" i="3" s="1"/>
  <c r="G2015" i="3" s="1"/>
  <c r="G2016" i="3" s="1"/>
  <c r="G2017" i="3" s="1"/>
  <c r="G2018" i="3" s="1"/>
  <c r="G2019" i="3" s="1"/>
  <c r="G2020" i="3" s="1"/>
  <c r="G2021" i="3" s="1"/>
  <c r="G2022" i="3" s="1"/>
  <c r="G2023" i="3" s="1"/>
  <c r="G2024" i="3" s="1"/>
  <c r="G2025" i="3" s="1"/>
  <c r="G2026" i="3" s="1"/>
  <c r="G2027" i="3" s="1"/>
  <c r="G2028" i="3" s="1"/>
  <c r="G2029" i="3" s="1"/>
  <c r="G2030" i="3" s="1"/>
  <c r="G2031" i="3" s="1"/>
  <c r="G2032" i="3" s="1"/>
  <c r="G2033" i="3" s="1"/>
  <c r="G2034" i="3" s="1"/>
  <c r="G2035" i="3" s="1"/>
  <c r="G2036" i="3" s="1"/>
  <c r="G2037" i="3" s="1"/>
  <c r="G2038" i="3" s="1"/>
  <c r="G2039" i="3" s="1"/>
  <c r="G2040" i="3" s="1"/>
  <c r="G2041" i="3" s="1"/>
  <c r="G2042" i="3" s="1"/>
  <c r="G2043" i="3" s="1"/>
  <c r="G2044" i="3" s="1"/>
  <c r="G2045" i="3" s="1"/>
  <c r="G2046" i="3" s="1"/>
  <c r="G2047" i="3" s="1"/>
  <c r="G2048" i="3" s="1"/>
  <c r="G2049" i="3" s="1"/>
  <c r="G2050" i="3" s="1"/>
  <c r="G2051" i="3" s="1"/>
  <c r="G2052" i="3" s="1"/>
  <c r="G2053" i="3" s="1"/>
  <c r="G2054" i="3" s="1"/>
  <c r="G2055" i="3" s="1"/>
  <c r="G2056" i="3" s="1"/>
  <c r="G2057" i="3" s="1"/>
  <c r="G2058" i="3" s="1"/>
  <c r="G2059" i="3" s="1"/>
  <c r="G2060" i="3" s="1"/>
  <c r="G2061" i="3" s="1"/>
  <c r="G2062" i="3" s="1"/>
  <c r="G2063" i="3" s="1"/>
  <c r="G2064" i="3" s="1"/>
  <c r="G2065" i="3" s="1"/>
  <c r="G2066" i="3" s="1"/>
  <c r="G2067" i="3" s="1"/>
  <c r="G2068" i="3" s="1"/>
  <c r="G2069" i="3" s="1"/>
  <c r="G2070" i="3" s="1"/>
  <c r="G2071" i="3" s="1"/>
  <c r="G2072" i="3" s="1"/>
  <c r="G2073" i="3" s="1"/>
  <c r="G2074" i="3" s="1"/>
  <c r="G2075" i="3" s="1"/>
  <c r="G2076" i="3" s="1"/>
  <c r="G2077" i="3" s="1"/>
  <c r="G2078" i="3" s="1"/>
  <c r="G2079" i="3" s="1"/>
  <c r="G2080" i="3" s="1"/>
  <c r="G2081" i="3" s="1"/>
  <c r="G2082" i="3" s="1"/>
  <c r="G2083" i="3" s="1"/>
  <c r="G2084" i="3" s="1"/>
  <c r="G2085" i="3" s="1"/>
  <c r="G2086" i="3" s="1"/>
  <c r="G2087" i="3" s="1"/>
  <c r="G2088" i="3" s="1"/>
  <c r="G2089" i="3" s="1"/>
  <c r="G2090" i="3" s="1"/>
  <c r="G2091" i="3" s="1"/>
  <c r="G2092" i="3" s="1"/>
  <c r="G2093" i="3" s="1"/>
  <c r="G2094" i="3" s="1"/>
  <c r="G2095" i="3" s="1"/>
  <c r="G2096" i="3" s="1"/>
  <c r="G2097" i="3" s="1"/>
  <c r="G2098" i="3" s="1"/>
  <c r="G2099" i="3" s="1"/>
  <c r="G2100" i="3" s="1"/>
  <c r="G2101" i="3" s="1"/>
  <c r="G2102" i="3" s="1"/>
  <c r="G2103" i="3" s="1"/>
  <c r="G2104" i="3" s="1"/>
  <c r="G2105" i="3" s="1"/>
  <c r="G2106" i="3" s="1"/>
  <c r="G2107" i="3" s="1"/>
  <c r="G2108" i="3" s="1"/>
  <c r="G2109" i="3" s="1"/>
  <c r="G2110" i="3" s="1"/>
  <c r="G2111" i="3" s="1"/>
  <c r="G2112" i="3" s="1"/>
  <c r="G2113" i="3" s="1"/>
  <c r="G2114" i="3" s="1"/>
  <c r="G2115" i="3" s="1"/>
  <c r="G2116" i="3" s="1"/>
  <c r="G2117" i="3" s="1"/>
  <c r="G2118" i="3" s="1"/>
  <c r="G2119" i="3" s="1"/>
  <c r="G2120" i="3" s="1"/>
  <c r="G2121" i="3" s="1"/>
  <c r="G2122" i="3" s="1"/>
  <c r="G2123" i="3" s="1"/>
  <c r="G2124" i="3" s="1"/>
  <c r="G2125" i="3" s="1"/>
  <c r="K2011" i="3"/>
  <c r="K2010" i="3"/>
  <c r="J2010" i="3"/>
  <c r="J2011" i="3" s="1"/>
  <c r="J2012" i="3" s="1"/>
  <c r="J2013" i="3" s="1"/>
  <c r="J2014" i="3" s="1"/>
  <c r="K2009" i="3"/>
  <c r="I2009" i="3"/>
  <c r="I2010" i="3" s="1"/>
  <c r="I2011" i="3" s="1"/>
  <c r="I2012" i="3" s="1"/>
  <c r="I2013" i="3" s="1"/>
  <c r="H2009" i="3"/>
  <c r="H2010" i="3" s="1"/>
  <c r="H2011" i="3" s="1"/>
  <c r="H2012" i="3" s="1"/>
  <c r="K2008" i="3"/>
  <c r="H2008" i="3"/>
  <c r="K2007" i="3"/>
  <c r="K2006" i="3"/>
  <c r="K2005" i="3"/>
  <c r="K2004" i="3"/>
  <c r="K2003" i="3"/>
  <c r="K2002" i="3"/>
  <c r="K2001" i="3"/>
  <c r="J2001" i="3"/>
  <c r="J2002" i="3" s="1"/>
  <c r="J2003" i="3" s="1"/>
  <c r="J2004" i="3" s="1"/>
  <c r="J2005" i="3" s="1"/>
  <c r="J2006" i="3" s="1"/>
  <c r="J2007" i="3" s="1"/>
  <c r="J2008" i="3" s="1"/>
  <c r="J2009" i="3" s="1"/>
  <c r="K2000" i="3"/>
  <c r="I2000" i="3"/>
  <c r="I2001" i="3" s="1"/>
  <c r="I2002" i="3" s="1"/>
  <c r="I2003" i="3" s="1"/>
  <c r="I2004" i="3" s="1"/>
  <c r="I2005" i="3" s="1"/>
  <c r="I2006" i="3" s="1"/>
  <c r="I2007" i="3" s="1"/>
  <c r="I2008" i="3" s="1"/>
  <c r="K1999" i="3"/>
  <c r="K1998" i="3"/>
  <c r="K1997" i="3"/>
  <c r="K1996" i="3"/>
  <c r="K1995" i="3"/>
  <c r="K1994" i="3"/>
  <c r="J1994" i="3"/>
  <c r="J1995" i="3" s="1"/>
  <c r="J1996" i="3" s="1"/>
  <c r="J1997" i="3" s="1"/>
  <c r="J1998" i="3" s="1"/>
  <c r="J1999" i="3" s="1"/>
  <c r="J2000" i="3" s="1"/>
  <c r="K1993" i="3"/>
  <c r="I1993" i="3"/>
  <c r="I1994" i="3" s="1"/>
  <c r="I1995" i="3" s="1"/>
  <c r="I1996" i="3" s="1"/>
  <c r="I1997" i="3" s="1"/>
  <c r="I1998" i="3" s="1"/>
  <c r="I1999" i="3" s="1"/>
  <c r="K1992" i="3"/>
  <c r="K1991" i="3"/>
  <c r="K1990" i="3"/>
  <c r="K1989" i="3"/>
  <c r="J1989" i="3"/>
  <c r="J1990" i="3" s="1"/>
  <c r="J1991" i="3" s="1"/>
  <c r="J1992" i="3" s="1"/>
  <c r="J1993" i="3" s="1"/>
  <c r="K1988" i="3"/>
  <c r="I1988" i="3"/>
  <c r="I1989" i="3" s="1"/>
  <c r="I1990" i="3" s="1"/>
  <c r="I1991" i="3" s="1"/>
  <c r="I1992" i="3" s="1"/>
  <c r="K1987" i="3"/>
  <c r="H1987" i="3"/>
  <c r="H1988" i="3" s="1"/>
  <c r="H1989" i="3" s="1"/>
  <c r="H1990" i="3" s="1"/>
  <c r="H1991" i="3" s="1"/>
  <c r="H1992" i="3" s="1"/>
  <c r="H1993" i="3" s="1"/>
  <c r="H1994" i="3" s="1"/>
  <c r="H1995" i="3" s="1"/>
  <c r="H1996" i="3" s="1"/>
  <c r="H1997" i="3" s="1"/>
  <c r="H1998" i="3" s="1"/>
  <c r="H1999" i="3" s="1"/>
  <c r="H2000" i="3" s="1"/>
  <c r="H2001" i="3" s="1"/>
  <c r="H2002" i="3" s="1"/>
  <c r="H2003" i="3" s="1"/>
  <c r="H2004" i="3" s="1"/>
  <c r="H2005" i="3" s="1"/>
  <c r="H2006" i="3" s="1"/>
  <c r="H2007" i="3" s="1"/>
  <c r="K1986" i="3"/>
  <c r="K1985" i="3"/>
  <c r="J1985" i="3"/>
  <c r="J1986" i="3" s="1"/>
  <c r="J1987" i="3" s="1"/>
  <c r="J1988" i="3" s="1"/>
  <c r="K1984" i="3"/>
  <c r="I1984" i="3"/>
  <c r="I1985" i="3" s="1"/>
  <c r="I1986" i="3" s="1"/>
  <c r="I1987" i="3" s="1"/>
  <c r="K1983" i="3"/>
  <c r="K1982" i="3"/>
  <c r="K1981" i="3"/>
  <c r="K1980" i="3"/>
  <c r="K1979" i="3"/>
  <c r="K1978" i="3"/>
  <c r="J1978" i="3"/>
  <c r="J1979" i="3" s="1"/>
  <c r="J1980" i="3" s="1"/>
  <c r="J1981" i="3" s="1"/>
  <c r="J1982" i="3" s="1"/>
  <c r="J1983" i="3" s="1"/>
  <c r="J1984" i="3" s="1"/>
  <c r="K1977" i="3"/>
  <c r="K1976" i="3"/>
  <c r="J1976" i="3"/>
  <c r="J1977" i="3" s="1"/>
  <c r="K1975" i="3"/>
  <c r="K1974" i="3"/>
  <c r="J1974" i="3"/>
  <c r="J1975" i="3" s="1"/>
  <c r="I1974" i="3"/>
  <c r="I1975" i="3" s="1"/>
  <c r="I1976" i="3" s="1"/>
  <c r="I1977" i="3" s="1"/>
  <c r="I1978" i="3" s="1"/>
  <c r="I1979" i="3" s="1"/>
  <c r="I1980" i="3" s="1"/>
  <c r="I1981" i="3" s="1"/>
  <c r="I1982" i="3" s="1"/>
  <c r="I1983" i="3" s="1"/>
  <c r="K1973" i="3"/>
  <c r="I1973" i="3"/>
  <c r="K1972" i="3"/>
  <c r="H1972" i="3"/>
  <c r="H1973" i="3" s="1"/>
  <c r="H1974" i="3" s="1"/>
  <c r="H1975" i="3" s="1"/>
  <c r="H1976" i="3" s="1"/>
  <c r="H1977" i="3" s="1"/>
  <c r="H1978" i="3" s="1"/>
  <c r="H1979" i="3" s="1"/>
  <c r="H1980" i="3" s="1"/>
  <c r="H1981" i="3" s="1"/>
  <c r="H1982" i="3" s="1"/>
  <c r="H1983" i="3" s="1"/>
  <c r="H1984" i="3" s="1"/>
  <c r="H1985" i="3" s="1"/>
  <c r="H1986" i="3" s="1"/>
  <c r="K1971" i="3"/>
  <c r="K1970" i="3"/>
  <c r="J1970" i="3"/>
  <c r="J1971" i="3" s="1"/>
  <c r="J1972" i="3" s="1"/>
  <c r="J1973" i="3" s="1"/>
  <c r="K1969" i="3"/>
  <c r="I1969" i="3"/>
  <c r="I1970" i="3" s="1"/>
  <c r="I1971" i="3" s="1"/>
  <c r="I1972" i="3" s="1"/>
  <c r="K1968" i="3"/>
  <c r="K1967" i="3"/>
  <c r="J1967" i="3"/>
  <c r="J1968" i="3" s="1"/>
  <c r="J1969" i="3" s="1"/>
  <c r="K1966" i="3"/>
  <c r="I1966" i="3"/>
  <c r="I1967" i="3" s="1"/>
  <c r="I1968" i="3" s="1"/>
  <c r="H1966" i="3"/>
  <c r="H1967" i="3" s="1"/>
  <c r="H1968" i="3" s="1"/>
  <c r="H1969" i="3" s="1"/>
  <c r="H1970" i="3" s="1"/>
  <c r="H1971" i="3" s="1"/>
  <c r="K1965" i="3"/>
  <c r="H1965" i="3"/>
  <c r="K1964" i="3"/>
  <c r="K1963" i="3"/>
  <c r="J1963" i="3"/>
  <c r="J1964" i="3" s="1"/>
  <c r="J1965" i="3" s="1"/>
  <c r="J1966" i="3" s="1"/>
  <c r="K1962" i="3"/>
  <c r="I1962" i="3"/>
  <c r="I1963" i="3" s="1"/>
  <c r="I1964" i="3" s="1"/>
  <c r="I1965" i="3" s="1"/>
  <c r="K1961" i="3"/>
  <c r="K1960" i="3"/>
  <c r="K1959" i="3"/>
  <c r="K1958" i="3"/>
  <c r="K1957" i="3"/>
  <c r="K1956" i="3"/>
  <c r="J1956" i="3"/>
  <c r="J1957" i="3" s="1"/>
  <c r="J1958" i="3" s="1"/>
  <c r="J1959" i="3" s="1"/>
  <c r="J1960" i="3" s="1"/>
  <c r="J1961" i="3" s="1"/>
  <c r="J1962" i="3" s="1"/>
  <c r="K1955" i="3"/>
  <c r="K1954" i="3"/>
  <c r="J1954" i="3"/>
  <c r="J1955" i="3" s="1"/>
  <c r="K1953" i="3"/>
  <c r="K1952" i="3"/>
  <c r="J1952" i="3"/>
  <c r="J1953" i="3" s="1"/>
  <c r="K1951" i="3"/>
  <c r="I1951" i="3"/>
  <c r="I1952" i="3" s="1"/>
  <c r="I1953" i="3" s="1"/>
  <c r="I1954" i="3" s="1"/>
  <c r="I1955" i="3" s="1"/>
  <c r="I1956" i="3" s="1"/>
  <c r="I1957" i="3" s="1"/>
  <c r="I1958" i="3" s="1"/>
  <c r="I1959" i="3" s="1"/>
  <c r="I1960" i="3" s="1"/>
  <c r="I1961" i="3" s="1"/>
  <c r="K1950" i="3"/>
  <c r="H1950" i="3"/>
  <c r="H1951" i="3" s="1"/>
  <c r="H1952" i="3" s="1"/>
  <c r="H1953" i="3" s="1"/>
  <c r="H1954" i="3" s="1"/>
  <c r="H1955" i="3" s="1"/>
  <c r="H1956" i="3" s="1"/>
  <c r="H1957" i="3" s="1"/>
  <c r="H1958" i="3" s="1"/>
  <c r="H1959" i="3" s="1"/>
  <c r="H1960" i="3" s="1"/>
  <c r="H1961" i="3" s="1"/>
  <c r="H1962" i="3" s="1"/>
  <c r="H1963" i="3" s="1"/>
  <c r="H1964" i="3" s="1"/>
  <c r="K1949" i="3"/>
  <c r="K1948" i="3"/>
  <c r="J1948" i="3"/>
  <c r="J1949" i="3" s="1"/>
  <c r="J1950" i="3" s="1"/>
  <c r="J1951" i="3" s="1"/>
  <c r="K1947" i="3"/>
  <c r="I1947" i="3"/>
  <c r="I1948" i="3" s="1"/>
  <c r="I1949" i="3" s="1"/>
  <c r="I1950" i="3" s="1"/>
  <c r="K1946" i="3"/>
  <c r="J1946" i="3"/>
  <c r="J1947" i="3" s="1"/>
  <c r="K1945" i="3"/>
  <c r="I1945" i="3"/>
  <c r="I1946" i="3" s="1"/>
  <c r="K1944" i="3"/>
  <c r="H1944" i="3"/>
  <c r="H1945" i="3" s="1"/>
  <c r="H1946" i="3" s="1"/>
  <c r="H1947" i="3" s="1"/>
  <c r="H1948" i="3" s="1"/>
  <c r="H1949" i="3" s="1"/>
  <c r="K1943" i="3"/>
  <c r="K1942" i="3"/>
  <c r="K1941" i="3"/>
  <c r="J1941" i="3"/>
  <c r="J1942" i="3" s="1"/>
  <c r="J1943" i="3" s="1"/>
  <c r="J1944" i="3" s="1"/>
  <c r="J1945" i="3" s="1"/>
  <c r="K1940" i="3"/>
  <c r="I1940" i="3"/>
  <c r="I1941" i="3" s="1"/>
  <c r="I1942" i="3" s="1"/>
  <c r="I1943" i="3" s="1"/>
  <c r="I1944" i="3" s="1"/>
  <c r="K1939" i="3"/>
  <c r="K1938" i="3"/>
  <c r="J1938" i="3"/>
  <c r="J1939" i="3" s="1"/>
  <c r="J1940" i="3" s="1"/>
  <c r="K1937" i="3"/>
  <c r="K1936" i="3"/>
  <c r="K1935" i="3"/>
  <c r="K1934" i="3"/>
  <c r="J1934" i="3"/>
  <c r="J1935" i="3" s="1"/>
  <c r="J1936" i="3" s="1"/>
  <c r="J1937" i="3" s="1"/>
  <c r="K1933" i="3"/>
  <c r="I1933" i="3"/>
  <c r="I1934" i="3" s="1"/>
  <c r="I1935" i="3" s="1"/>
  <c r="I1936" i="3" s="1"/>
  <c r="I1937" i="3" s="1"/>
  <c r="I1938" i="3" s="1"/>
  <c r="I1939" i="3" s="1"/>
  <c r="K1932" i="3"/>
  <c r="H1932" i="3"/>
  <c r="H1933" i="3" s="1"/>
  <c r="H1934" i="3" s="1"/>
  <c r="H1935" i="3" s="1"/>
  <c r="H1936" i="3" s="1"/>
  <c r="H1937" i="3" s="1"/>
  <c r="H1938" i="3" s="1"/>
  <c r="H1939" i="3" s="1"/>
  <c r="H1940" i="3" s="1"/>
  <c r="H1941" i="3" s="1"/>
  <c r="H1942" i="3" s="1"/>
  <c r="H1943" i="3" s="1"/>
  <c r="K1931" i="3"/>
  <c r="G1931" i="3"/>
  <c r="G1932" i="3" s="1"/>
  <c r="G1933" i="3" s="1"/>
  <c r="G1934" i="3" s="1"/>
  <c r="G1935" i="3" s="1"/>
  <c r="G1936" i="3" s="1"/>
  <c r="G1937" i="3" s="1"/>
  <c r="G1938" i="3" s="1"/>
  <c r="G1939" i="3" s="1"/>
  <c r="G1940" i="3" s="1"/>
  <c r="G1941" i="3" s="1"/>
  <c r="G1942" i="3" s="1"/>
  <c r="G1943" i="3" s="1"/>
  <c r="G1944" i="3" s="1"/>
  <c r="G1945" i="3" s="1"/>
  <c r="G1946" i="3" s="1"/>
  <c r="G1947" i="3" s="1"/>
  <c r="G1948" i="3" s="1"/>
  <c r="G1949" i="3" s="1"/>
  <c r="G1950" i="3" s="1"/>
  <c r="G1951" i="3" s="1"/>
  <c r="G1952" i="3" s="1"/>
  <c r="G1953" i="3" s="1"/>
  <c r="G1954" i="3" s="1"/>
  <c r="G1955" i="3" s="1"/>
  <c r="G1956" i="3" s="1"/>
  <c r="G1957" i="3" s="1"/>
  <c r="G1958" i="3" s="1"/>
  <c r="G1959" i="3" s="1"/>
  <c r="G1960" i="3" s="1"/>
  <c r="G1961" i="3" s="1"/>
  <c r="G1962" i="3" s="1"/>
  <c r="G1963" i="3" s="1"/>
  <c r="G1964" i="3" s="1"/>
  <c r="G1965" i="3" s="1"/>
  <c r="G1966" i="3" s="1"/>
  <c r="G1967" i="3" s="1"/>
  <c r="G1968" i="3" s="1"/>
  <c r="G1969" i="3" s="1"/>
  <c r="G1970" i="3" s="1"/>
  <c r="G1971" i="3" s="1"/>
  <c r="G1972" i="3" s="1"/>
  <c r="G1973" i="3" s="1"/>
  <c r="G1974" i="3" s="1"/>
  <c r="G1975" i="3" s="1"/>
  <c r="G1976" i="3" s="1"/>
  <c r="G1977" i="3" s="1"/>
  <c r="G1978" i="3" s="1"/>
  <c r="G1979" i="3" s="1"/>
  <c r="G1980" i="3" s="1"/>
  <c r="G1981" i="3" s="1"/>
  <c r="G1982" i="3" s="1"/>
  <c r="G1983" i="3" s="1"/>
  <c r="G1984" i="3" s="1"/>
  <c r="G1985" i="3" s="1"/>
  <c r="G1986" i="3" s="1"/>
  <c r="G1987" i="3" s="1"/>
  <c r="G1988" i="3" s="1"/>
  <c r="G1989" i="3" s="1"/>
  <c r="G1990" i="3" s="1"/>
  <c r="G1991" i="3" s="1"/>
  <c r="G1992" i="3" s="1"/>
  <c r="G1993" i="3" s="1"/>
  <c r="G1994" i="3" s="1"/>
  <c r="G1995" i="3" s="1"/>
  <c r="G1996" i="3" s="1"/>
  <c r="G1997" i="3" s="1"/>
  <c r="G1998" i="3" s="1"/>
  <c r="G1999" i="3" s="1"/>
  <c r="G2000" i="3" s="1"/>
  <c r="G2001" i="3" s="1"/>
  <c r="G2002" i="3" s="1"/>
  <c r="G2003" i="3" s="1"/>
  <c r="G2004" i="3" s="1"/>
  <c r="G2005" i="3" s="1"/>
  <c r="G2006" i="3" s="1"/>
  <c r="G2007" i="3" s="1"/>
  <c r="G2008" i="3" s="1"/>
  <c r="G2009" i="3" s="1"/>
  <c r="G2010" i="3" s="1"/>
  <c r="G2011" i="3" s="1"/>
  <c r="K1930" i="3"/>
  <c r="K1929" i="3"/>
  <c r="J1929" i="3"/>
  <c r="J1930" i="3" s="1"/>
  <c r="J1931" i="3" s="1"/>
  <c r="J1932" i="3" s="1"/>
  <c r="J1933" i="3" s="1"/>
  <c r="K1928" i="3"/>
  <c r="K1927" i="3"/>
  <c r="K1926" i="3"/>
  <c r="J1926" i="3"/>
  <c r="J1927" i="3" s="1"/>
  <c r="J1928" i="3" s="1"/>
  <c r="K1925" i="3"/>
  <c r="I1925" i="3"/>
  <c r="I1926" i="3" s="1"/>
  <c r="I1927" i="3" s="1"/>
  <c r="I1928" i="3" s="1"/>
  <c r="I1929" i="3" s="1"/>
  <c r="I1930" i="3" s="1"/>
  <c r="I1931" i="3" s="1"/>
  <c r="I1932" i="3" s="1"/>
  <c r="K1924" i="3"/>
  <c r="K1923" i="3"/>
  <c r="K1922" i="3"/>
  <c r="K1921" i="3"/>
  <c r="J1921" i="3"/>
  <c r="J1922" i="3" s="1"/>
  <c r="J1923" i="3" s="1"/>
  <c r="J1924" i="3" s="1"/>
  <c r="J1925" i="3" s="1"/>
  <c r="K1920" i="3"/>
  <c r="I1920" i="3"/>
  <c r="I1921" i="3" s="1"/>
  <c r="I1922" i="3" s="1"/>
  <c r="I1923" i="3" s="1"/>
  <c r="I1924" i="3" s="1"/>
  <c r="K1919" i="3"/>
  <c r="H1919" i="3"/>
  <c r="H1920" i="3" s="1"/>
  <c r="H1921" i="3" s="1"/>
  <c r="H1922" i="3" s="1"/>
  <c r="H1923" i="3" s="1"/>
  <c r="H1924" i="3" s="1"/>
  <c r="H1925" i="3" s="1"/>
  <c r="H1926" i="3" s="1"/>
  <c r="H1927" i="3" s="1"/>
  <c r="H1928" i="3" s="1"/>
  <c r="H1929" i="3" s="1"/>
  <c r="H1930" i="3" s="1"/>
  <c r="H1931" i="3" s="1"/>
  <c r="K1918" i="3"/>
  <c r="G1918" i="3"/>
  <c r="G1919" i="3" s="1"/>
  <c r="G1920" i="3" s="1"/>
  <c r="G1921" i="3" s="1"/>
  <c r="G1922" i="3" s="1"/>
  <c r="G1923" i="3" s="1"/>
  <c r="G1924" i="3" s="1"/>
  <c r="G1925" i="3" s="1"/>
  <c r="G1926" i="3" s="1"/>
  <c r="G1927" i="3" s="1"/>
  <c r="G1928" i="3" s="1"/>
  <c r="G1929" i="3" s="1"/>
  <c r="G1930" i="3" s="1"/>
  <c r="K1917" i="3"/>
  <c r="K1916" i="3"/>
  <c r="J1916" i="3"/>
  <c r="J1917" i="3" s="1"/>
  <c r="J1918" i="3" s="1"/>
  <c r="J1919" i="3" s="1"/>
  <c r="J1920" i="3" s="1"/>
  <c r="K1915" i="3"/>
  <c r="I1915" i="3"/>
  <c r="I1916" i="3" s="1"/>
  <c r="I1917" i="3" s="1"/>
  <c r="I1918" i="3" s="1"/>
  <c r="I1919" i="3" s="1"/>
  <c r="K1914" i="3"/>
  <c r="K1913" i="3"/>
  <c r="J1913" i="3"/>
  <c r="J1914" i="3" s="1"/>
  <c r="J1915" i="3" s="1"/>
  <c r="K1912" i="3"/>
  <c r="K1911" i="3"/>
  <c r="J1911" i="3"/>
  <c r="J1912" i="3" s="1"/>
  <c r="K1910" i="3"/>
  <c r="K1909" i="3"/>
  <c r="K1908" i="3"/>
  <c r="J1908" i="3"/>
  <c r="J1909" i="3" s="1"/>
  <c r="J1910" i="3" s="1"/>
  <c r="K1907" i="3"/>
  <c r="I1907" i="3"/>
  <c r="I1908" i="3" s="1"/>
  <c r="I1909" i="3" s="1"/>
  <c r="I1910" i="3" s="1"/>
  <c r="I1911" i="3" s="1"/>
  <c r="I1912" i="3" s="1"/>
  <c r="I1913" i="3" s="1"/>
  <c r="I1914" i="3" s="1"/>
  <c r="K1906" i="3"/>
  <c r="K1905" i="3"/>
  <c r="K1904" i="3"/>
  <c r="K1903" i="3"/>
  <c r="K1902" i="3"/>
  <c r="K1901" i="3"/>
  <c r="K1900" i="3"/>
  <c r="J1900" i="3"/>
  <c r="J1901" i="3" s="1"/>
  <c r="J1902" i="3" s="1"/>
  <c r="J1903" i="3" s="1"/>
  <c r="J1904" i="3" s="1"/>
  <c r="J1905" i="3" s="1"/>
  <c r="J1906" i="3" s="1"/>
  <c r="J1907" i="3" s="1"/>
  <c r="K1899" i="3"/>
  <c r="K1898" i="3"/>
  <c r="J1898" i="3"/>
  <c r="J1899" i="3" s="1"/>
  <c r="K1897" i="3"/>
  <c r="K1896" i="3"/>
  <c r="K1895" i="3"/>
  <c r="K1894" i="3"/>
  <c r="K1893" i="3"/>
  <c r="K1892" i="3"/>
  <c r="J1892" i="3"/>
  <c r="J1893" i="3" s="1"/>
  <c r="J1894" i="3" s="1"/>
  <c r="J1895" i="3" s="1"/>
  <c r="J1896" i="3" s="1"/>
  <c r="J1897" i="3" s="1"/>
  <c r="K1891" i="3"/>
  <c r="K1890" i="3"/>
  <c r="K1889" i="3"/>
  <c r="K1888" i="3"/>
  <c r="K1887" i="3"/>
  <c r="J1887" i="3"/>
  <c r="J1888" i="3" s="1"/>
  <c r="J1889" i="3" s="1"/>
  <c r="J1890" i="3" s="1"/>
  <c r="J1891" i="3" s="1"/>
  <c r="K1886" i="3"/>
  <c r="I1886" i="3"/>
  <c r="I1887" i="3" s="1"/>
  <c r="I1888" i="3" s="1"/>
  <c r="I1889" i="3" s="1"/>
  <c r="I1890" i="3" s="1"/>
  <c r="I1891" i="3" s="1"/>
  <c r="I1892" i="3" s="1"/>
  <c r="I1893" i="3" s="1"/>
  <c r="I1894" i="3" s="1"/>
  <c r="I1895" i="3" s="1"/>
  <c r="I1896" i="3" s="1"/>
  <c r="I1897" i="3" s="1"/>
  <c r="I1898" i="3" s="1"/>
  <c r="I1899" i="3" s="1"/>
  <c r="I1900" i="3" s="1"/>
  <c r="I1901" i="3" s="1"/>
  <c r="I1902" i="3" s="1"/>
  <c r="I1903" i="3" s="1"/>
  <c r="I1904" i="3" s="1"/>
  <c r="I1905" i="3" s="1"/>
  <c r="I1906" i="3" s="1"/>
  <c r="H1886" i="3"/>
  <c r="H1887" i="3" s="1"/>
  <c r="H1888" i="3" s="1"/>
  <c r="H1889" i="3" s="1"/>
  <c r="H1890" i="3" s="1"/>
  <c r="H1891" i="3" s="1"/>
  <c r="H1892" i="3" s="1"/>
  <c r="H1893" i="3" s="1"/>
  <c r="H1894" i="3" s="1"/>
  <c r="H1895" i="3" s="1"/>
  <c r="H1896" i="3" s="1"/>
  <c r="H1897" i="3" s="1"/>
  <c r="H1898" i="3" s="1"/>
  <c r="H1899" i="3" s="1"/>
  <c r="H1900" i="3" s="1"/>
  <c r="H1901" i="3" s="1"/>
  <c r="H1902" i="3" s="1"/>
  <c r="H1903" i="3" s="1"/>
  <c r="H1904" i="3" s="1"/>
  <c r="H1905" i="3" s="1"/>
  <c r="H1906" i="3" s="1"/>
  <c r="H1907" i="3" s="1"/>
  <c r="H1908" i="3" s="1"/>
  <c r="H1909" i="3" s="1"/>
  <c r="H1910" i="3" s="1"/>
  <c r="H1911" i="3" s="1"/>
  <c r="H1912" i="3" s="1"/>
  <c r="H1913" i="3" s="1"/>
  <c r="H1914" i="3" s="1"/>
  <c r="H1915" i="3" s="1"/>
  <c r="H1916" i="3" s="1"/>
  <c r="H1917" i="3" s="1"/>
  <c r="H1918" i="3" s="1"/>
  <c r="K1885" i="3"/>
  <c r="H1885" i="3"/>
  <c r="K1884" i="3"/>
  <c r="J1884" i="3"/>
  <c r="J1885" i="3" s="1"/>
  <c r="J1886" i="3" s="1"/>
  <c r="K1883" i="3"/>
  <c r="J1883" i="3"/>
  <c r="K1882" i="3"/>
  <c r="I1882" i="3"/>
  <c r="I1883" i="3" s="1"/>
  <c r="I1884" i="3" s="1"/>
  <c r="I1885" i="3" s="1"/>
  <c r="K1881" i="3"/>
  <c r="K1880" i="3"/>
  <c r="J1880" i="3"/>
  <c r="J1881" i="3" s="1"/>
  <c r="J1882" i="3" s="1"/>
  <c r="K1879" i="3"/>
  <c r="K1878" i="3"/>
  <c r="J1878" i="3"/>
  <c r="J1879" i="3" s="1"/>
  <c r="K1877" i="3"/>
  <c r="I1877" i="3"/>
  <c r="I1878" i="3" s="1"/>
  <c r="I1879" i="3" s="1"/>
  <c r="I1880" i="3" s="1"/>
  <c r="I1881" i="3" s="1"/>
  <c r="K1876" i="3"/>
  <c r="K1875" i="3"/>
  <c r="J1875" i="3"/>
  <c r="J1876" i="3" s="1"/>
  <c r="J1877" i="3" s="1"/>
  <c r="K1874" i="3"/>
  <c r="I1874" i="3"/>
  <c r="I1875" i="3" s="1"/>
  <c r="I1876" i="3" s="1"/>
  <c r="K1873" i="3"/>
  <c r="K1872" i="3"/>
  <c r="J1872" i="3"/>
  <c r="J1873" i="3" s="1"/>
  <c r="J1874" i="3" s="1"/>
  <c r="K1871" i="3"/>
  <c r="I1871" i="3"/>
  <c r="I1872" i="3" s="1"/>
  <c r="I1873" i="3" s="1"/>
  <c r="K1870" i="3"/>
  <c r="K1869" i="3"/>
  <c r="J1869" i="3"/>
  <c r="J1870" i="3" s="1"/>
  <c r="J1871" i="3" s="1"/>
  <c r="K1868" i="3"/>
  <c r="K1867" i="3"/>
  <c r="K1866" i="3"/>
  <c r="J1866" i="3"/>
  <c r="J1867" i="3" s="1"/>
  <c r="J1868" i="3" s="1"/>
  <c r="K1865" i="3"/>
  <c r="I1865" i="3"/>
  <c r="I1866" i="3" s="1"/>
  <c r="I1867" i="3" s="1"/>
  <c r="I1868" i="3" s="1"/>
  <c r="I1869" i="3" s="1"/>
  <c r="I1870" i="3" s="1"/>
  <c r="K1864" i="3"/>
  <c r="H1864" i="3"/>
  <c r="H1865" i="3" s="1"/>
  <c r="H1866" i="3" s="1"/>
  <c r="H1867" i="3" s="1"/>
  <c r="H1868" i="3" s="1"/>
  <c r="H1869" i="3" s="1"/>
  <c r="H1870" i="3" s="1"/>
  <c r="H1871" i="3" s="1"/>
  <c r="H1872" i="3" s="1"/>
  <c r="H1873" i="3" s="1"/>
  <c r="H1874" i="3" s="1"/>
  <c r="H1875" i="3" s="1"/>
  <c r="H1876" i="3" s="1"/>
  <c r="H1877" i="3" s="1"/>
  <c r="H1878" i="3" s="1"/>
  <c r="H1879" i="3" s="1"/>
  <c r="H1880" i="3" s="1"/>
  <c r="H1881" i="3" s="1"/>
  <c r="H1882" i="3" s="1"/>
  <c r="H1883" i="3" s="1"/>
  <c r="H1884" i="3" s="1"/>
  <c r="K1863" i="3"/>
  <c r="K1862" i="3"/>
  <c r="K1861" i="3"/>
  <c r="K1860" i="3"/>
  <c r="K1859" i="3"/>
  <c r="K1858" i="3"/>
  <c r="K1857" i="3"/>
  <c r="J1857" i="3"/>
  <c r="J1858" i="3" s="1"/>
  <c r="J1859" i="3" s="1"/>
  <c r="J1860" i="3" s="1"/>
  <c r="J1861" i="3" s="1"/>
  <c r="J1862" i="3" s="1"/>
  <c r="J1863" i="3" s="1"/>
  <c r="J1864" i="3" s="1"/>
  <c r="J1865" i="3" s="1"/>
  <c r="K1856" i="3"/>
  <c r="K1855" i="3"/>
  <c r="J1855" i="3"/>
  <c r="J1856" i="3" s="1"/>
  <c r="K1854" i="3"/>
  <c r="K1853" i="3"/>
  <c r="J1853" i="3"/>
  <c r="J1854" i="3" s="1"/>
  <c r="K1852" i="3"/>
  <c r="K1851" i="3"/>
  <c r="J1851" i="3"/>
  <c r="J1852" i="3" s="1"/>
  <c r="K1850" i="3"/>
  <c r="I1850" i="3"/>
  <c r="I1851" i="3" s="1"/>
  <c r="I1852" i="3" s="1"/>
  <c r="I1853" i="3" s="1"/>
  <c r="I1854" i="3" s="1"/>
  <c r="I1855" i="3" s="1"/>
  <c r="I1856" i="3" s="1"/>
  <c r="I1857" i="3" s="1"/>
  <c r="I1858" i="3" s="1"/>
  <c r="I1859" i="3" s="1"/>
  <c r="I1860" i="3" s="1"/>
  <c r="I1861" i="3" s="1"/>
  <c r="I1862" i="3" s="1"/>
  <c r="I1863" i="3" s="1"/>
  <c r="I1864" i="3" s="1"/>
  <c r="K1849" i="3"/>
  <c r="K1848" i="3"/>
  <c r="K1847" i="3"/>
  <c r="K1846" i="3"/>
  <c r="J1846" i="3"/>
  <c r="J1847" i="3" s="1"/>
  <c r="J1848" i="3" s="1"/>
  <c r="J1849" i="3" s="1"/>
  <c r="J1850" i="3" s="1"/>
  <c r="K1845" i="3"/>
  <c r="I1845" i="3"/>
  <c r="I1846" i="3" s="1"/>
  <c r="I1847" i="3" s="1"/>
  <c r="I1848" i="3" s="1"/>
  <c r="I1849" i="3" s="1"/>
  <c r="K1844" i="3"/>
  <c r="K1843" i="3"/>
  <c r="J1843" i="3"/>
  <c r="J1844" i="3" s="1"/>
  <c r="J1845" i="3" s="1"/>
  <c r="K1842" i="3"/>
  <c r="K1841" i="3"/>
  <c r="J1841" i="3"/>
  <c r="J1842" i="3" s="1"/>
  <c r="K1840" i="3"/>
  <c r="K1839" i="3"/>
  <c r="J1839" i="3"/>
  <c r="J1840" i="3" s="1"/>
  <c r="K1838" i="3"/>
  <c r="I1838" i="3"/>
  <c r="I1839" i="3" s="1"/>
  <c r="I1840" i="3" s="1"/>
  <c r="I1841" i="3" s="1"/>
  <c r="I1842" i="3" s="1"/>
  <c r="I1843" i="3" s="1"/>
  <c r="I1844" i="3" s="1"/>
  <c r="K1837" i="3"/>
  <c r="K1836" i="3"/>
  <c r="J1836" i="3"/>
  <c r="J1837" i="3" s="1"/>
  <c r="J1838" i="3" s="1"/>
  <c r="K1835" i="3"/>
  <c r="I1835" i="3"/>
  <c r="I1836" i="3" s="1"/>
  <c r="I1837" i="3" s="1"/>
  <c r="K1834" i="3"/>
  <c r="K1833" i="3"/>
  <c r="J1833" i="3"/>
  <c r="J1834" i="3" s="1"/>
  <c r="J1835" i="3" s="1"/>
  <c r="K1832" i="3"/>
  <c r="I1832" i="3"/>
  <c r="I1833" i="3" s="1"/>
  <c r="I1834" i="3" s="1"/>
  <c r="K1831" i="3"/>
  <c r="K1830" i="3"/>
  <c r="K1829" i="3"/>
  <c r="J1829" i="3"/>
  <c r="J1830" i="3" s="1"/>
  <c r="J1831" i="3" s="1"/>
  <c r="J1832" i="3" s="1"/>
  <c r="K1828" i="3"/>
  <c r="K1827" i="3"/>
  <c r="J1827" i="3"/>
  <c r="J1828" i="3" s="1"/>
  <c r="K1826" i="3"/>
  <c r="J1826" i="3"/>
  <c r="K1825" i="3"/>
  <c r="J1825" i="3"/>
  <c r="K1824" i="3"/>
  <c r="K1823" i="3"/>
  <c r="K1822" i="3"/>
  <c r="K1821" i="3"/>
  <c r="J1821" i="3"/>
  <c r="J1822" i="3" s="1"/>
  <c r="J1823" i="3" s="1"/>
  <c r="J1824" i="3" s="1"/>
  <c r="K1820" i="3"/>
  <c r="K1819" i="3"/>
  <c r="J1819" i="3"/>
  <c r="J1820" i="3" s="1"/>
  <c r="K1818" i="3"/>
  <c r="K1817" i="3"/>
  <c r="J1817" i="3"/>
  <c r="J1818" i="3" s="1"/>
  <c r="K1816" i="3"/>
  <c r="K1815" i="3"/>
  <c r="J1815" i="3"/>
  <c r="J1816" i="3" s="1"/>
  <c r="K1814" i="3"/>
  <c r="K1813" i="3"/>
  <c r="J1813" i="3"/>
  <c r="J1814" i="3" s="1"/>
  <c r="K1812" i="3"/>
  <c r="I1812" i="3"/>
  <c r="I1813" i="3" s="1"/>
  <c r="I1814" i="3" s="1"/>
  <c r="I1815" i="3" s="1"/>
  <c r="I1816" i="3" s="1"/>
  <c r="I1817" i="3" s="1"/>
  <c r="I1818" i="3" s="1"/>
  <c r="I1819" i="3" s="1"/>
  <c r="I1820" i="3" s="1"/>
  <c r="I1821" i="3" s="1"/>
  <c r="I1822" i="3" s="1"/>
  <c r="I1823" i="3" s="1"/>
  <c r="I1824" i="3" s="1"/>
  <c r="I1825" i="3" s="1"/>
  <c r="I1826" i="3" s="1"/>
  <c r="I1827" i="3" s="1"/>
  <c r="I1828" i="3" s="1"/>
  <c r="I1829" i="3" s="1"/>
  <c r="I1830" i="3" s="1"/>
  <c r="I1831" i="3" s="1"/>
  <c r="K1811" i="3"/>
  <c r="K1810" i="3"/>
  <c r="K1809" i="3"/>
  <c r="K1808" i="3"/>
  <c r="J1808" i="3"/>
  <c r="J1809" i="3" s="1"/>
  <c r="J1810" i="3" s="1"/>
  <c r="J1811" i="3" s="1"/>
  <c r="J1812" i="3" s="1"/>
  <c r="K1807" i="3"/>
  <c r="J1807" i="3"/>
  <c r="K1806" i="3"/>
  <c r="J1806" i="3"/>
  <c r="K1805" i="3"/>
  <c r="J1805" i="3"/>
  <c r="K1804" i="3"/>
  <c r="K1803" i="3"/>
  <c r="J1803" i="3"/>
  <c r="J1804" i="3" s="1"/>
  <c r="K1802" i="3"/>
  <c r="K1801" i="3"/>
  <c r="J1801" i="3"/>
  <c r="J1802" i="3" s="1"/>
  <c r="K1800" i="3"/>
  <c r="I1800" i="3"/>
  <c r="I1801" i="3" s="1"/>
  <c r="I1802" i="3" s="1"/>
  <c r="I1803" i="3" s="1"/>
  <c r="I1804" i="3" s="1"/>
  <c r="I1805" i="3" s="1"/>
  <c r="I1806" i="3" s="1"/>
  <c r="I1807" i="3" s="1"/>
  <c r="I1808" i="3" s="1"/>
  <c r="I1809" i="3" s="1"/>
  <c r="I1810" i="3" s="1"/>
  <c r="I1811" i="3" s="1"/>
  <c r="K1799" i="3"/>
  <c r="K1798" i="3"/>
  <c r="J1798" i="3"/>
  <c r="J1799" i="3" s="1"/>
  <c r="J1800" i="3" s="1"/>
  <c r="K1797" i="3"/>
  <c r="I1797" i="3"/>
  <c r="I1798" i="3" s="1"/>
  <c r="I1799" i="3" s="1"/>
  <c r="K1796" i="3"/>
  <c r="H1796" i="3"/>
  <c r="H1797" i="3" s="1"/>
  <c r="H1798" i="3" s="1"/>
  <c r="H1799" i="3" s="1"/>
  <c r="H1800" i="3" s="1"/>
  <c r="H1801" i="3" s="1"/>
  <c r="H1802" i="3" s="1"/>
  <c r="H1803" i="3" s="1"/>
  <c r="H1804" i="3" s="1"/>
  <c r="H1805" i="3" s="1"/>
  <c r="H1806" i="3" s="1"/>
  <c r="H1807" i="3" s="1"/>
  <c r="H1808" i="3" s="1"/>
  <c r="H1809" i="3" s="1"/>
  <c r="H1810" i="3" s="1"/>
  <c r="H1811" i="3" s="1"/>
  <c r="H1812" i="3" s="1"/>
  <c r="H1813" i="3" s="1"/>
  <c r="H1814" i="3" s="1"/>
  <c r="H1815" i="3" s="1"/>
  <c r="H1816" i="3" s="1"/>
  <c r="H1817" i="3" s="1"/>
  <c r="H1818" i="3" s="1"/>
  <c r="H1819" i="3" s="1"/>
  <c r="H1820" i="3" s="1"/>
  <c r="H1821" i="3" s="1"/>
  <c r="H1822" i="3" s="1"/>
  <c r="H1823" i="3" s="1"/>
  <c r="H1824" i="3" s="1"/>
  <c r="H1825" i="3" s="1"/>
  <c r="H1826" i="3" s="1"/>
  <c r="H1827" i="3" s="1"/>
  <c r="H1828" i="3" s="1"/>
  <c r="H1829" i="3" s="1"/>
  <c r="H1830" i="3" s="1"/>
  <c r="H1831" i="3" s="1"/>
  <c r="H1832" i="3" s="1"/>
  <c r="H1833" i="3" s="1"/>
  <c r="H1834" i="3" s="1"/>
  <c r="H1835" i="3" s="1"/>
  <c r="H1836" i="3" s="1"/>
  <c r="H1837" i="3" s="1"/>
  <c r="H1838" i="3" s="1"/>
  <c r="H1839" i="3" s="1"/>
  <c r="H1840" i="3" s="1"/>
  <c r="H1841" i="3" s="1"/>
  <c r="H1842" i="3" s="1"/>
  <c r="H1843" i="3" s="1"/>
  <c r="H1844" i="3" s="1"/>
  <c r="H1845" i="3" s="1"/>
  <c r="H1846" i="3" s="1"/>
  <c r="H1847" i="3" s="1"/>
  <c r="H1848" i="3" s="1"/>
  <c r="H1849" i="3" s="1"/>
  <c r="H1850" i="3" s="1"/>
  <c r="H1851" i="3" s="1"/>
  <c r="H1852" i="3" s="1"/>
  <c r="H1853" i="3" s="1"/>
  <c r="H1854" i="3" s="1"/>
  <c r="H1855" i="3" s="1"/>
  <c r="H1856" i="3" s="1"/>
  <c r="H1857" i="3" s="1"/>
  <c r="H1858" i="3" s="1"/>
  <c r="H1859" i="3" s="1"/>
  <c r="H1860" i="3" s="1"/>
  <c r="H1861" i="3" s="1"/>
  <c r="H1862" i="3" s="1"/>
  <c r="H1863" i="3" s="1"/>
  <c r="K1795" i="3"/>
  <c r="G1795" i="3"/>
  <c r="G1796" i="3" s="1"/>
  <c r="G1797" i="3" s="1"/>
  <c r="G1798" i="3" s="1"/>
  <c r="G1799" i="3" s="1"/>
  <c r="G1800" i="3" s="1"/>
  <c r="G1801" i="3" s="1"/>
  <c r="G1802" i="3" s="1"/>
  <c r="G1803" i="3" s="1"/>
  <c r="G1804" i="3" s="1"/>
  <c r="G1805" i="3" s="1"/>
  <c r="G1806" i="3" s="1"/>
  <c r="G1807" i="3" s="1"/>
  <c r="G1808" i="3" s="1"/>
  <c r="G1809" i="3" s="1"/>
  <c r="G1810" i="3" s="1"/>
  <c r="G1811" i="3" s="1"/>
  <c r="G1812" i="3" s="1"/>
  <c r="G1813" i="3" s="1"/>
  <c r="G1814" i="3" s="1"/>
  <c r="G1815" i="3" s="1"/>
  <c r="G1816" i="3" s="1"/>
  <c r="G1817" i="3" s="1"/>
  <c r="G1818" i="3" s="1"/>
  <c r="G1819" i="3" s="1"/>
  <c r="G1820" i="3" s="1"/>
  <c r="G1821" i="3" s="1"/>
  <c r="G1822" i="3" s="1"/>
  <c r="G1823" i="3" s="1"/>
  <c r="G1824" i="3" s="1"/>
  <c r="G1825" i="3" s="1"/>
  <c r="G1826" i="3" s="1"/>
  <c r="G1827" i="3" s="1"/>
  <c r="G1828" i="3" s="1"/>
  <c r="G1829" i="3" s="1"/>
  <c r="G1830" i="3" s="1"/>
  <c r="G1831" i="3" s="1"/>
  <c r="G1832" i="3" s="1"/>
  <c r="G1833" i="3" s="1"/>
  <c r="G1834" i="3" s="1"/>
  <c r="G1835" i="3" s="1"/>
  <c r="G1836" i="3" s="1"/>
  <c r="G1837" i="3" s="1"/>
  <c r="G1838" i="3" s="1"/>
  <c r="G1839" i="3" s="1"/>
  <c r="G1840" i="3" s="1"/>
  <c r="G1841" i="3" s="1"/>
  <c r="G1842" i="3" s="1"/>
  <c r="G1843" i="3" s="1"/>
  <c r="G1844" i="3" s="1"/>
  <c r="G1845" i="3" s="1"/>
  <c r="G1846" i="3" s="1"/>
  <c r="G1847" i="3" s="1"/>
  <c r="G1848" i="3" s="1"/>
  <c r="G1849" i="3" s="1"/>
  <c r="G1850" i="3" s="1"/>
  <c r="G1851" i="3" s="1"/>
  <c r="G1852" i="3" s="1"/>
  <c r="G1853" i="3" s="1"/>
  <c r="G1854" i="3" s="1"/>
  <c r="G1855" i="3" s="1"/>
  <c r="G1856" i="3" s="1"/>
  <c r="G1857" i="3" s="1"/>
  <c r="G1858" i="3" s="1"/>
  <c r="G1859" i="3" s="1"/>
  <c r="G1860" i="3" s="1"/>
  <c r="G1861" i="3" s="1"/>
  <c r="G1862" i="3" s="1"/>
  <c r="G1863" i="3" s="1"/>
  <c r="G1864" i="3" s="1"/>
  <c r="G1865" i="3" s="1"/>
  <c r="G1866" i="3" s="1"/>
  <c r="G1867" i="3" s="1"/>
  <c r="G1868" i="3" s="1"/>
  <c r="G1869" i="3" s="1"/>
  <c r="G1870" i="3" s="1"/>
  <c r="G1871" i="3" s="1"/>
  <c r="G1872" i="3" s="1"/>
  <c r="G1873" i="3" s="1"/>
  <c r="G1874" i="3" s="1"/>
  <c r="G1875" i="3" s="1"/>
  <c r="G1876" i="3" s="1"/>
  <c r="G1877" i="3" s="1"/>
  <c r="G1878" i="3" s="1"/>
  <c r="G1879" i="3" s="1"/>
  <c r="G1880" i="3" s="1"/>
  <c r="G1881" i="3" s="1"/>
  <c r="G1882" i="3" s="1"/>
  <c r="G1883" i="3" s="1"/>
  <c r="G1884" i="3" s="1"/>
  <c r="G1885" i="3" s="1"/>
  <c r="G1886" i="3" s="1"/>
  <c r="G1887" i="3" s="1"/>
  <c r="G1888" i="3" s="1"/>
  <c r="G1889" i="3" s="1"/>
  <c r="G1890" i="3" s="1"/>
  <c r="G1891" i="3" s="1"/>
  <c r="G1892" i="3" s="1"/>
  <c r="G1893" i="3" s="1"/>
  <c r="G1894" i="3" s="1"/>
  <c r="G1895" i="3" s="1"/>
  <c r="G1896" i="3" s="1"/>
  <c r="G1897" i="3" s="1"/>
  <c r="G1898" i="3" s="1"/>
  <c r="G1899" i="3" s="1"/>
  <c r="G1900" i="3" s="1"/>
  <c r="G1901" i="3" s="1"/>
  <c r="G1902" i="3" s="1"/>
  <c r="G1903" i="3" s="1"/>
  <c r="G1904" i="3" s="1"/>
  <c r="G1905" i="3" s="1"/>
  <c r="G1906" i="3" s="1"/>
  <c r="G1907" i="3" s="1"/>
  <c r="G1908" i="3" s="1"/>
  <c r="G1909" i="3" s="1"/>
  <c r="G1910" i="3" s="1"/>
  <c r="G1911" i="3" s="1"/>
  <c r="G1912" i="3" s="1"/>
  <c r="G1913" i="3" s="1"/>
  <c r="G1914" i="3" s="1"/>
  <c r="G1915" i="3" s="1"/>
  <c r="G1916" i="3" s="1"/>
  <c r="G1917" i="3" s="1"/>
  <c r="K1794" i="3"/>
  <c r="K1793" i="3"/>
  <c r="J1793" i="3"/>
  <c r="J1794" i="3" s="1"/>
  <c r="J1795" i="3" s="1"/>
  <c r="J1796" i="3" s="1"/>
  <c r="J1797" i="3" s="1"/>
  <c r="K1792" i="3"/>
  <c r="K1791" i="3"/>
  <c r="J1791" i="3"/>
  <c r="J1792" i="3" s="1"/>
  <c r="K1790" i="3"/>
  <c r="I1790" i="3"/>
  <c r="I1791" i="3" s="1"/>
  <c r="I1792" i="3" s="1"/>
  <c r="I1793" i="3" s="1"/>
  <c r="I1794" i="3" s="1"/>
  <c r="I1795" i="3" s="1"/>
  <c r="I1796" i="3" s="1"/>
  <c r="K1789" i="3"/>
  <c r="K1788" i="3"/>
  <c r="J1788" i="3"/>
  <c r="J1789" i="3" s="1"/>
  <c r="J1790" i="3" s="1"/>
  <c r="K1787" i="3"/>
  <c r="K1786" i="3"/>
  <c r="J1786" i="3"/>
  <c r="J1787" i="3" s="1"/>
  <c r="K1785" i="3"/>
  <c r="I1785" i="3"/>
  <c r="I1786" i="3" s="1"/>
  <c r="I1787" i="3" s="1"/>
  <c r="I1788" i="3" s="1"/>
  <c r="I1789" i="3" s="1"/>
  <c r="K1784" i="3"/>
  <c r="H1784" i="3"/>
  <c r="H1785" i="3" s="1"/>
  <c r="H1786" i="3" s="1"/>
  <c r="H1787" i="3" s="1"/>
  <c r="H1788" i="3" s="1"/>
  <c r="H1789" i="3" s="1"/>
  <c r="H1790" i="3" s="1"/>
  <c r="H1791" i="3" s="1"/>
  <c r="H1792" i="3" s="1"/>
  <c r="H1793" i="3" s="1"/>
  <c r="H1794" i="3" s="1"/>
  <c r="H1795" i="3" s="1"/>
  <c r="K1783" i="3"/>
  <c r="K1782" i="3"/>
  <c r="J1782" i="3"/>
  <c r="J1783" i="3" s="1"/>
  <c r="J1784" i="3" s="1"/>
  <c r="J1785" i="3" s="1"/>
  <c r="K1781" i="3"/>
  <c r="K1780" i="3"/>
  <c r="J1780" i="3"/>
  <c r="J1781" i="3" s="1"/>
  <c r="K1779" i="3"/>
  <c r="K1778" i="3"/>
  <c r="J1778" i="3"/>
  <c r="J1779" i="3" s="1"/>
  <c r="K1777" i="3"/>
  <c r="I1777" i="3"/>
  <c r="I1778" i="3" s="1"/>
  <c r="I1779" i="3" s="1"/>
  <c r="I1780" i="3" s="1"/>
  <c r="I1781" i="3" s="1"/>
  <c r="I1782" i="3" s="1"/>
  <c r="I1783" i="3" s="1"/>
  <c r="I1784" i="3" s="1"/>
  <c r="K1776" i="3"/>
  <c r="J1776" i="3"/>
  <c r="J1777" i="3" s="1"/>
  <c r="K1775" i="3"/>
  <c r="K1774" i="3"/>
  <c r="K1773" i="3"/>
  <c r="J1773" i="3"/>
  <c r="J1774" i="3" s="1"/>
  <c r="J1775" i="3" s="1"/>
  <c r="I1773" i="3"/>
  <c r="I1774" i="3" s="1"/>
  <c r="I1775" i="3" s="1"/>
  <c r="I1776" i="3" s="1"/>
  <c r="K1772" i="3"/>
  <c r="I1772" i="3"/>
  <c r="K1771" i="3"/>
  <c r="H1771" i="3"/>
  <c r="H1772" i="3" s="1"/>
  <c r="H1773" i="3" s="1"/>
  <c r="H1774" i="3" s="1"/>
  <c r="H1775" i="3" s="1"/>
  <c r="H1776" i="3" s="1"/>
  <c r="H1777" i="3" s="1"/>
  <c r="H1778" i="3" s="1"/>
  <c r="H1779" i="3" s="1"/>
  <c r="H1780" i="3" s="1"/>
  <c r="H1781" i="3" s="1"/>
  <c r="H1782" i="3" s="1"/>
  <c r="H1783" i="3" s="1"/>
  <c r="K1770" i="3"/>
  <c r="K1769" i="3"/>
  <c r="K1768" i="3"/>
  <c r="J1768" i="3"/>
  <c r="J1769" i="3" s="1"/>
  <c r="J1770" i="3" s="1"/>
  <c r="J1771" i="3" s="1"/>
  <c r="J1772" i="3" s="1"/>
  <c r="K1767" i="3"/>
  <c r="J1767" i="3"/>
  <c r="K1766" i="3"/>
  <c r="I1766" i="3"/>
  <c r="I1767" i="3" s="1"/>
  <c r="I1768" i="3" s="1"/>
  <c r="I1769" i="3" s="1"/>
  <c r="I1770" i="3" s="1"/>
  <c r="I1771" i="3" s="1"/>
  <c r="K1765" i="3"/>
  <c r="K1764" i="3"/>
  <c r="J1764" i="3"/>
  <c r="J1765" i="3" s="1"/>
  <c r="J1766" i="3" s="1"/>
  <c r="K1763" i="3"/>
  <c r="K1762" i="3"/>
  <c r="J1762" i="3"/>
  <c r="J1763" i="3" s="1"/>
  <c r="K1761" i="3"/>
  <c r="K1760" i="3"/>
  <c r="J1760" i="3"/>
  <c r="J1761" i="3" s="1"/>
  <c r="K1759" i="3"/>
  <c r="I1759" i="3"/>
  <c r="I1760" i="3" s="1"/>
  <c r="I1761" i="3" s="1"/>
  <c r="I1762" i="3" s="1"/>
  <c r="I1763" i="3" s="1"/>
  <c r="I1764" i="3" s="1"/>
  <c r="I1765" i="3" s="1"/>
  <c r="K1758" i="3"/>
  <c r="K1757" i="3"/>
  <c r="J1757" i="3"/>
  <c r="J1758" i="3" s="1"/>
  <c r="J1759" i="3" s="1"/>
  <c r="K1756" i="3"/>
  <c r="I1756" i="3"/>
  <c r="I1757" i="3" s="1"/>
  <c r="I1758" i="3" s="1"/>
  <c r="K1755" i="3"/>
  <c r="K1754" i="3"/>
  <c r="K1753" i="3"/>
  <c r="K1752" i="3"/>
  <c r="J1752" i="3"/>
  <c r="J1753" i="3" s="1"/>
  <c r="J1754" i="3" s="1"/>
  <c r="J1755" i="3" s="1"/>
  <c r="J1756" i="3" s="1"/>
  <c r="K1751" i="3"/>
  <c r="I1751" i="3"/>
  <c r="I1752" i="3" s="1"/>
  <c r="I1753" i="3" s="1"/>
  <c r="I1754" i="3" s="1"/>
  <c r="I1755" i="3" s="1"/>
  <c r="K1750" i="3"/>
  <c r="K1749" i="3"/>
  <c r="K1748" i="3"/>
  <c r="K1747" i="3"/>
  <c r="K1746" i="3"/>
  <c r="J1746" i="3"/>
  <c r="J1747" i="3" s="1"/>
  <c r="J1748" i="3" s="1"/>
  <c r="J1749" i="3" s="1"/>
  <c r="J1750" i="3" s="1"/>
  <c r="J1751" i="3" s="1"/>
  <c r="K1745" i="3"/>
  <c r="I1745" i="3"/>
  <c r="I1746" i="3" s="1"/>
  <c r="I1747" i="3" s="1"/>
  <c r="I1748" i="3" s="1"/>
  <c r="I1749" i="3" s="1"/>
  <c r="I1750" i="3" s="1"/>
  <c r="H1745" i="3"/>
  <c r="H1746" i="3" s="1"/>
  <c r="H1747" i="3" s="1"/>
  <c r="H1748" i="3" s="1"/>
  <c r="H1749" i="3" s="1"/>
  <c r="H1750" i="3" s="1"/>
  <c r="H1751" i="3" s="1"/>
  <c r="H1752" i="3" s="1"/>
  <c r="H1753" i="3" s="1"/>
  <c r="H1754" i="3" s="1"/>
  <c r="H1755" i="3" s="1"/>
  <c r="H1756" i="3" s="1"/>
  <c r="H1757" i="3" s="1"/>
  <c r="H1758" i="3" s="1"/>
  <c r="H1759" i="3" s="1"/>
  <c r="H1760" i="3" s="1"/>
  <c r="H1761" i="3" s="1"/>
  <c r="H1762" i="3" s="1"/>
  <c r="H1763" i="3" s="1"/>
  <c r="H1764" i="3" s="1"/>
  <c r="H1765" i="3" s="1"/>
  <c r="H1766" i="3" s="1"/>
  <c r="H1767" i="3" s="1"/>
  <c r="H1768" i="3" s="1"/>
  <c r="H1769" i="3" s="1"/>
  <c r="H1770" i="3" s="1"/>
  <c r="K1744" i="3"/>
  <c r="H1744" i="3"/>
  <c r="K1743" i="3"/>
  <c r="K1742" i="3"/>
  <c r="K1741" i="3"/>
  <c r="J1741" i="3"/>
  <c r="J1742" i="3" s="1"/>
  <c r="J1743" i="3" s="1"/>
  <c r="J1744" i="3" s="1"/>
  <c r="J1745" i="3" s="1"/>
  <c r="K1740" i="3"/>
  <c r="J1740" i="3"/>
  <c r="K1739" i="3"/>
  <c r="J1739" i="3"/>
  <c r="K1738" i="3"/>
  <c r="I1738" i="3"/>
  <c r="I1739" i="3" s="1"/>
  <c r="I1740" i="3" s="1"/>
  <c r="I1741" i="3" s="1"/>
  <c r="I1742" i="3" s="1"/>
  <c r="I1743" i="3" s="1"/>
  <c r="I1744" i="3" s="1"/>
  <c r="K1737" i="3"/>
  <c r="K1736" i="3"/>
  <c r="J1736" i="3"/>
  <c r="J1737" i="3" s="1"/>
  <c r="J1738" i="3" s="1"/>
  <c r="I1736" i="3"/>
  <c r="I1737" i="3" s="1"/>
  <c r="K1735" i="3"/>
  <c r="I1735" i="3"/>
  <c r="K1734" i="3"/>
  <c r="H1734" i="3"/>
  <c r="H1735" i="3" s="1"/>
  <c r="H1736" i="3" s="1"/>
  <c r="H1737" i="3" s="1"/>
  <c r="H1738" i="3" s="1"/>
  <c r="H1739" i="3" s="1"/>
  <c r="H1740" i="3" s="1"/>
  <c r="H1741" i="3" s="1"/>
  <c r="H1742" i="3" s="1"/>
  <c r="H1743" i="3" s="1"/>
  <c r="K1733" i="3"/>
  <c r="K1732" i="3"/>
  <c r="J1732" i="3"/>
  <c r="J1733" i="3" s="1"/>
  <c r="J1734" i="3" s="1"/>
  <c r="J1735" i="3" s="1"/>
  <c r="K1731" i="3"/>
  <c r="I1731" i="3"/>
  <c r="I1732" i="3" s="1"/>
  <c r="I1733" i="3" s="1"/>
  <c r="I1734" i="3" s="1"/>
  <c r="K1730" i="3"/>
  <c r="K1729" i="3"/>
  <c r="J1729" i="3"/>
  <c r="J1730" i="3" s="1"/>
  <c r="J1731" i="3" s="1"/>
  <c r="K1728" i="3"/>
  <c r="K1727" i="3"/>
  <c r="J1727" i="3"/>
  <c r="J1728" i="3" s="1"/>
  <c r="K1726" i="3"/>
  <c r="K1725" i="3"/>
  <c r="K1724" i="3"/>
  <c r="J1724" i="3"/>
  <c r="J1725" i="3" s="1"/>
  <c r="J1726" i="3" s="1"/>
  <c r="K1723" i="3"/>
  <c r="J1723" i="3"/>
  <c r="K1722" i="3"/>
  <c r="K1721" i="3"/>
  <c r="K1720" i="3"/>
  <c r="K1719" i="3"/>
  <c r="J1719" i="3"/>
  <c r="J1720" i="3" s="1"/>
  <c r="J1721" i="3" s="1"/>
  <c r="J1722" i="3" s="1"/>
  <c r="K1718" i="3"/>
  <c r="I1718" i="3"/>
  <c r="I1719" i="3" s="1"/>
  <c r="I1720" i="3" s="1"/>
  <c r="I1721" i="3" s="1"/>
  <c r="I1722" i="3" s="1"/>
  <c r="I1723" i="3" s="1"/>
  <c r="I1724" i="3" s="1"/>
  <c r="I1725" i="3" s="1"/>
  <c r="I1726" i="3" s="1"/>
  <c r="I1727" i="3" s="1"/>
  <c r="I1728" i="3" s="1"/>
  <c r="I1729" i="3" s="1"/>
  <c r="I1730" i="3" s="1"/>
  <c r="K1717" i="3"/>
  <c r="H1717" i="3"/>
  <c r="H1718" i="3" s="1"/>
  <c r="H1719" i="3" s="1"/>
  <c r="H1720" i="3" s="1"/>
  <c r="H1721" i="3" s="1"/>
  <c r="H1722" i="3" s="1"/>
  <c r="H1723" i="3" s="1"/>
  <c r="H1724" i="3" s="1"/>
  <c r="H1725" i="3" s="1"/>
  <c r="H1726" i="3" s="1"/>
  <c r="H1727" i="3" s="1"/>
  <c r="H1728" i="3" s="1"/>
  <c r="H1729" i="3" s="1"/>
  <c r="H1730" i="3" s="1"/>
  <c r="H1731" i="3" s="1"/>
  <c r="H1732" i="3" s="1"/>
  <c r="H1733" i="3" s="1"/>
  <c r="K1716" i="3"/>
  <c r="K1715" i="3"/>
  <c r="J1715" i="3"/>
  <c r="J1716" i="3" s="1"/>
  <c r="J1717" i="3" s="1"/>
  <c r="J1718" i="3" s="1"/>
  <c r="K1714" i="3"/>
  <c r="K1713" i="3"/>
  <c r="J1713" i="3"/>
  <c r="J1714" i="3" s="1"/>
  <c r="K1712" i="3"/>
  <c r="J1712" i="3"/>
  <c r="K1711" i="3"/>
  <c r="K1710" i="3"/>
  <c r="J1710" i="3"/>
  <c r="J1711" i="3" s="1"/>
  <c r="K1709" i="3"/>
  <c r="K1708" i="3"/>
  <c r="J1708" i="3"/>
  <c r="J1709" i="3" s="1"/>
  <c r="I1708" i="3"/>
  <c r="I1709" i="3" s="1"/>
  <c r="I1710" i="3" s="1"/>
  <c r="I1711" i="3" s="1"/>
  <c r="I1712" i="3" s="1"/>
  <c r="I1713" i="3" s="1"/>
  <c r="I1714" i="3" s="1"/>
  <c r="I1715" i="3" s="1"/>
  <c r="I1716" i="3" s="1"/>
  <c r="I1717" i="3" s="1"/>
  <c r="K1707" i="3"/>
  <c r="I1707" i="3"/>
  <c r="K1706" i="3"/>
  <c r="K1705" i="3"/>
  <c r="J1705" i="3"/>
  <c r="J1706" i="3" s="1"/>
  <c r="J1707" i="3" s="1"/>
  <c r="K1704" i="3"/>
  <c r="J1704" i="3"/>
  <c r="K1703" i="3"/>
  <c r="J1703" i="3"/>
  <c r="K1702" i="3"/>
  <c r="K1701" i="3"/>
  <c r="K1700" i="3"/>
  <c r="J1700" i="3"/>
  <c r="J1701" i="3" s="1"/>
  <c r="J1702" i="3" s="1"/>
  <c r="K1699" i="3"/>
  <c r="J1699" i="3"/>
  <c r="K1698" i="3"/>
  <c r="J1698" i="3"/>
  <c r="K1697" i="3"/>
  <c r="I1697" i="3"/>
  <c r="I1698" i="3" s="1"/>
  <c r="I1699" i="3" s="1"/>
  <c r="I1700" i="3" s="1"/>
  <c r="I1701" i="3" s="1"/>
  <c r="I1702" i="3" s="1"/>
  <c r="I1703" i="3" s="1"/>
  <c r="I1704" i="3" s="1"/>
  <c r="I1705" i="3" s="1"/>
  <c r="I1706" i="3" s="1"/>
  <c r="K1696" i="3"/>
  <c r="H1696" i="3"/>
  <c r="H1697" i="3" s="1"/>
  <c r="H1698" i="3" s="1"/>
  <c r="H1699" i="3" s="1"/>
  <c r="H1700" i="3" s="1"/>
  <c r="H1701" i="3" s="1"/>
  <c r="H1702" i="3" s="1"/>
  <c r="H1703" i="3" s="1"/>
  <c r="H1704" i="3" s="1"/>
  <c r="H1705" i="3" s="1"/>
  <c r="H1706" i="3" s="1"/>
  <c r="H1707" i="3" s="1"/>
  <c r="H1708" i="3" s="1"/>
  <c r="H1709" i="3" s="1"/>
  <c r="H1710" i="3" s="1"/>
  <c r="H1711" i="3" s="1"/>
  <c r="H1712" i="3" s="1"/>
  <c r="H1713" i="3" s="1"/>
  <c r="H1714" i="3" s="1"/>
  <c r="H1715" i="3" s="1"/>
  <c r="H1716" i="3" s="1"/>
  <c r="K1695" i="3"/>
  <c r="G1695" i="3"/>
  <c r="G1696" i="3" s="1"/>
  <c r="G1697" i="3" s="1"/>
  <c r="G1698" i="3" s="1"/>
  <c r="G1699" i="3" s="1"/>
  <c r="G1700" i="3" s="1"/>
  <c r="G1701" i="3" s="1"/>
  <c r="G1702" i="3" s="1"/>
  <c r="G1703" i="3" s="1"/>
  <c r="G1704" i="3" s="1"/>
  <c r="G1705" i="3" s="1"/>
  <c r="G1706" i="3" s="1"/>
  <c r="G1707" i="3" s="1"/>
  <c r="G1708" i="3" s="1"/>
  <c r="G1709" i="3" s="1"/>
  <c r="G1710" i="3" s="1"/>
  <c r="G1711" i="3" s="1"/>
  <c r="G1712" i="3" s="1"/>
  <c r="G1713" i="3" s="1"/>
  <c r="G1714" i="3" s="1"/>
  <c r="G1715" i="3" s="1"/>
  <c r="G1716" i="3" s="1"/>
  <c r="G1717" i="3" s="1"/>
  <c r="G1718" i="3" s="1"/>
  <c r="G1719" i="3" s="1"/>
  <c r="G1720" i="3" s="1"/>
  <c r="G1721" i="3" s="1"/>
  <c r="G1722" i="3" s="1"/>
  <c r="G1723" i="3" s="1"/>
  <c r="G1724" i="3" s="1"/>
  <c r="G1725" i="3" s="1"/>
  <c r="G1726" i="3" s="1"/>
  <c r="G1727" i="3" s="1"/>
  <c r="G1728" i="3" s="1"/>
  <c r="G1729" i="3" s="1"/>
  <c r="G1730" i="3" s="1"/>
  <c r="G1731" i="3" s="1"/>
  <c r="G1732" i="3" s="1"/>
  <c r="G1733" i="3" s="1"/>
  <c r="G1734" i="3" s="1"/>
  <c r="G1735" i="3" s="1"/>
  <c r="G1736" i="3" s="1"/>
  <c r="G1737" i="3" s="1"/>
  <c r="G1738" i="3" s="1"/>
  <c r="G1739" i="3" s="1"/>
  <c r="G1740" i="3" s="1"/>
  <c r="G1741" i="3" s="1"/>
  <c r="G1742" i="3" s="1"/>
  <c r="G1743" i="3" s="1"/>
  <c r="G1744" i="3" s="1"/>
  <c r="G1745" i="3" s="1"/>
  <c r="G1746" i="3" s="1"/>
  <c r="G1747" i="3" s="1"/>
  <c r="G1748" i="3" s="1"/>
  <c r="G1749" i="3" s="1"/>
  <c r="G1750" i="3" s="1"/>
  <c r="G1751" i="3" s="1"/>
  <c r="G1752" i="3" s="1"/>
  <c r="G1753" i="3" s="1"/>
  <c r="G1754" i="3" s="1"/>
  <c r="G1755" i="3" s="1"/>
  <c r="G1756" i="3" s="1"/>
  <c r="G1757" i="3" s="1"/>
  <c r="G1758" i="3" s="1"/>
  <c r="G1759" i="3" s="1"/>
  <c r="G1760" i="3" s="1"/>
  <c r="G1761" i="3" s="1"/>
  <c r="G1762" i="3" s="1"/>
  <c r="G1763" i="3" s="1"/>
  <c r="G1764" i="3" s="1"/>
  <c r="G1765" i="3" s="1"/>
  <c r="G1766" i="3" s="1"/>
  <c r="G1767" i="3" s="1"/>
  <c r="G1768" i="3" s="1"/>
  <c r="G1769" i="3" s="1"/>
  <c r="G1770" i="3" s="1"/>
  <c r="G1771" i="3" s="1"/>
  <c r="G1772" i="3" s="1"/>
  <c r="G1773" i="3" s="1"/>
  <c r="G1774" i="3" s="1"/>
  <c r="G1775" i="3" s="1"/>
  <c r="G1776" i="3" s="1"/>
  <c r="G1777" i="3" s="1"/>
  <c r="G1778" i="3" s="1"/>
  <c r="G1779" i="3" s="1"/>
  <c r="G1780" i="3" s="1"/>
  <c r="G1781" i="3" s="1"/>
  <c r="G1782" i="3" s="1"/>
  <c r="G1783" i="3" s="1"/>
  <c r="G1784" i="3" s="1"/>
  <c r="G1785" i="3" s="1"/>
  <c r="G1786" i="3" s="1"/>
  <c r="G1787" i="3" s="1"/>
  <c r="G1788" i="3" s="1"/>
  <c r="G1789" i="3" s="1"/>
  <c r="G1790" i="3" s="1"/>
  <c r="G1791" i="3" s="1"/>
  <c r="G1792" i="3" s="1"/>
  <c r="G1793" i="3" s="1"/>
  <c r="G1794" i="3" s="1"/>
  <c r="K1694" i="3"/>
  <c r="K1693" i="3"/>
  <c r="K1692" i="3"/>
  <c r="K1691" i="3"/>
  <c r="J1691" i="3"/>
  <c r="J1692" i="3" s="1"/>
  <c r="J1693" i="3" s="1"/>
  <c r="J1694" i="3" s="1"/>
  <c r="J1695" i="3" s="1"/>
  <c r="J1696" i="3" s="1"/>
  <c r="J1697" i="3" s="1"/>
  <c r="K1690" i="3"/>
  <c r="J1690" i="3"/>
  <c r="K1689" i="3"/>
  <c r="I1689" i="3"/>
  <c r="I1690" i="3" s="1"/>
  <c r="I1691" i="3" s="1"/>
  <c r="I1692" i="3" s="1"/>
  <c r="I1693" i="3" s="1"/>
  <c r="I1694" i="3" s="1"/>
  <c r="I1695" i="3" s="1"/>
  <c r="I1696" i="3" s="1"/>
  <c r="K1688" i="3"/>
  <c r="K1687" i="3"/>
  <c r="J1687" i="3"/>
  <c r="J1688" i="3" s="1"/>
  <c r="J1689" i="3" s="1"/>
  <c r="K1686" i="3"/>
  <c r="K1685" i="3"/>
  <c r="K1684" i="3"/>
  <c r="K1683" i="3"/>
  <c r="J1683" i="3"/>
  <c r="J1684" i="3" s="1"/>
  <c r="J1685" i="3" s="1"/>
  <c r="J1686" i="3" s="1"/>
  <c r="K1682" i="3"/>
  <c r="J1682" i="3"/>
  <c r="K1681" i="3"/>
  <c r="I1681" i="3"/>
  <c r="I1682" i="3" s="1"/>
  <c r="I1683" i="3" s="1"/>
  <c r="I1684" i="3" s="1"/>
  <c r="I1685" i="3" s="1"/>
  <c r="I1686" i="3" s="1"/>
  <c r="I1687" i="3" s="1"/>
  <c r="I1688" i="3" s="1"/>
  <c r="K1680" i="3"/>
  <c r="H1680" i="3"/>
  <c r="H1681" i="3" s="1"/>
  <c r="H1682" i="3" s="1"/>
  <c r="H1683" i="3" s="1"/>
  <c r="H1684" i="3" s="1"/>
  <c r="H1685" i="3" s="1"/>
  <c r="H1686" i="3" s="1"/>
  <c r="H1687" i="3" s="1"/>
  <c r="H1688" i="3" s="1"/>
  <c r="H1689" i="3" s="1"/>
  <c r="H1690" i="3" s="1"/>
  <c r="H1691" i="3" s="1"/>
  <c r="H1692" i="3" s="1"/>
  <c r="H1693" i="3" s="1"/>
  <c r="H1694" i="3" s="1"/>
  <c r="H1695" i="3" s="1"/>
  <c r="K1679" i="3"/>
  <c r="K1678" i="3"/>
  <c r="K1677" i="3"/>
  <c r="K1676" i="3"/>
  <c r="K1675" i="3"/>
  <c r="J1675" i="3"/>
  <c r="J1676" i="3" s="1"/>
  <c r="J1677" i="3" s="1"/>
  <c r="J1678" i="3" s="1"/>
  <c r="J1679" i="3" s="1"/>
  <c r="J1680" i="3" s="1"/>
  <c r="J1681" i="3" s="1"/>
  <c r="K1674" i="3"/>
  <c r="I1674" i="3"/>
  <c r="I1675" i="3" s="1"/>
  <c r="I1676" i="3" s="1"/>
  <c r="I1677" i="3" s="1"/>
  <c r="I1678" i="3" s="1"/>
  <c r="I1679" i="3" s="1"/>
  <c r="I1680" i="3" s="1"/>
  <c r="K1673" i="3"/>
  <c r="K1672" i="3"/>
  <c r="K1671" i="3"/>
  <c r="K1670" i="3"/>
  <c r="J1670" i="3"/>
  <c r="J1671" i="3" s="1"/>
  <c r="J1672" i="3" s="1"/>
  <c r="J1673" i="3" s="1"/>
  <c r="J1674" i="3" s="1"/>
  <c r="K1669" i="3"/>
  <c r="I1669" i="3"/>
  <c r="I1670" i="3" s="1"/>
  <c r="I1671" i="3" s="1"/>
  <c r="I1672" i="3" s="1"/>
  <c r="I1673" i="3" s="1"/>
  <c r="K1668" i="3"/>
  <c r="H1668" i="3"/>
  <c r="H1669" i="3" s="1"/>
  <c r="H1670" i="3" s="1"/>
  <c r="H1671" i="3" s="1"/>
  <c r="H1672" i="3" s="1"/>
  <c r="H1673" i="3" s="1"/>
  <c r="H1674" i="3" s="1"/>
  <c r="H1675" i="3" s="1"/>
  <c r="H1676" i="3" s="1"/>
  <c r="H1677" i="3" s="1"/>
  <c r="H1678" i="3" s="1"/>
  <c r="H1679" i="3" s="1"/>
  <c r="K1667" i="3"/>
  <c r="G1667" i="3"/>
  <c r="G1668" i="3" s="1"/>
  <c r="G1669" i="3" s="1"/>
  <c r="G1670" i="3" s="1"/>
  <c r="G1671" i="3" s="1"/>
  <c r="G1672" i="3" s="1"/>
  <c r="G1673" i="3" s="1"/>
  <c r="G1674" i="3" s="1"/>
  <c r="G1675" i="3" s="1"/>
  <c r="G1676" i="3" s="1"/>
  <c r="G1677" i="3" s="1"/>
  <c r="G1678" i="3" s="1"/>
  <c r="G1679" i="3" s="1"/>
  <c r="G1680" i="3" s="1"/>
  <c r="G1681" i="3" s="1"/>
  <c r="G1682" i="3" s="1"/>
  <c r="G1683" i="3" s="1"/>
  <c r="G1684" i="3" s="1"/>
  <c r="G1685" i="3" s="1"/>
  <c r="G1686" i="3" s="1"/>
  <c r="G1687" i="3" s="1"/>
  <c r="G1688" i="3" s="1"/>
  <c r="G1689" i="3" s="1"/>
  <c r="G1690" i="3" s="1"/>
  <c r="G1691" i="3" s="1"/>
  <c r="G1692" i="3" s="1"/>
  <c r="G1693" i="3" s="1"/>
  <c r="G1694" i="3" s="1"/>
  <c r="K1666" i="3"/>
  <c r="K1665" i="3"/>
  <c r="K1664" i="3"/>
  <c r="J1664" i="3"/>
  <c r="J1665" i="3" s="1"/>
  <c r="J1666" i="3" s="1"/>
  <c r="J1667" i="3" s="1"/>
  <c r="J1668" i="3" s="1"/>
  <c r="J1669" i="3" s="1"/>
  <c r="K1663" i="3"/>
  <c r="I1663" i="3"/>
  <c r="I1664" i="3" s="1"/>
  <c r="I1665" i="3" s="1"/>
  <c r="I1666" i="3" s="1"/>
  <c r="I1667" i="3" s="1"/>
  <c r="I1668" i="3" s="1"/>
  <c r="K1662" i="3"/>
  <c r="H1662" i="3"/>
  <c r="H1663" i="3" s="1"/>
  <c r="H1664" i="3" s="1"/>
  <c r="H1665" i="3" s="1"/>
  <c r="H1666" i="3" s="1"/>
  <c r="H1667" i="3" s="1"/>
  <c r="K1661" i="3"/>
  <c r="K1660" i="3"/>
  <c r="J1660" i="3"/>
  <c r="J1661" i="3" s="1"/>
  <c r="J1662" i="3" s="1"/>
  <c r="J1663" i="3" s="1"/>
  <c r="K1659" i="3"/>
  <c r="I1659" i="3"/>
  <c r="I1660" i="3" s="1"/>
  <c r="I1661" i="3" s="1"/>
  <c r="I1662" i="3" s="1"/>
  <c r="K1658" i="3"/>
  <c r="H1658" i="3"/>
  <c r="H1659" i="3" s="1"/>
  <c r="H1660" i="3" s="1"/>
  <c r="H1661" i="3" s="1"/>
  <c r="K1657" i="3"/>
  <c r="K1656" i="3"/>
  <c r="K1655" i="3"/>
  <c r="K1654" i="3"/>
  <c r="K1653" i="3"/>
  <c r="K1652" i="3"/>
  <c r="J1652" i="3"/>
  <c r="J1653" i="3" s="1"/>
  <c r="J1654" i="3" s="1"/>
  <c r="J1655" i="3" s="1"/>
  <c r="J1656" i="3" s="1"/>
  <c r="J1657" i="3" s="1"/>
  <c r="J1658" i="3" s="1"/>
  <c r="J1659" i="3" s="1"/>
  <c r="K1651" i="3"/>
  <c r="I1651" i="3"/>
  <c r="I1652" i="3" s="1"/>
  <c r="I1653" i="3" s="1"/>
  <c r="I1654" i="3" s="1"/>
  <c r="I1655" i="3" s="1"/>
  <c r="I1656" i="3" s="1"/>
  <c r="I1657" i="3" s="1"/>
  <c r="I1658" i="3" s="1"/>
  <c r="K1650" i="3"/>
  <c r="K1649" i="3"/>
  <c r="K1648" i="3"/>
  <c r="J1648" i="3"/>
  <c r="J1649" i="3" s="1"/>
  <c r="J1650" i="3" s="1"/>
  <c r="J1651" i="3" s="1"/>
  <c r="K1647" i="3"/>
  <c r="I1647" i="3"/>
  <c r="I1648" i="3" s="1"/>
  <c r="I1649" i="3" s="1"/>
  <c r="I1650" i="3" s="1"/>
  <c r="K1646" i="3"/>
  <c r="K1645" i="3"/>
  <c r="K1644" i="3"/>
  <c r="J1644" i="3"/>
  <c r="J1645" i="3" s="1"/>
  <c r="J1646" i="3" s="1"/>
  <c r="J1647" i="3" s="1"/>
  <c r="K1643" i="3"/>
  <c r="K1642" i="3"/>
  <c r="J1642" i="3"/>
  <c r="J1643" i="3" s="1"/>
  <c r="K1641" i="3"/>
  <c r="K1640" i="3"/>
  <c r="K1639" i="3"/>
  <c r="K1638" i="3"/>
  <c r="J1638" i="3"/>
  <c r="J1639" i="3" s="1"/>
  <c r="J1640" i="3" s="1"/>
  <c r="J1641" i="3" s="1"/>
  <c r="K1637" i="3"/>
  <c r="I1637" i="3"/>
  <c r="I1638" i="3" s="1"/>
  <c r="I1639" i="3" s="1"/>
  <c r="I1640" i="3" s="1"/>
  <c r="I1641" i="3" s="1"/>
  <c r="I1642" i="3" s="1"/>
  <c r="I1643" i="3" s="1"/>
  <c r="I1644" i="3" s="1"/>
  <c r="I1645" i="3" s="1"/>
  <c r="I1646" i="3" s="1"/>
  <c r="K1636" i="3"/>
  <c r="K1635" i="3"/>
  <c r="K1634" i="3"/>
  <c r="J1634" i="3"/>
  <c r="J1635" i="3" s="1"/>
  <c r="J1636" i="3" s="1"/>
  <c r="J1637" i="3" s="1"/>
  <c r="K1633" i="3"/>
  <c r="J1633" i="3"/>
  <c r="K1632" i="3"/>
  <c r="J1632" i="3"/>
  <c r="K1631" i="3"/>
  <c r="J1631" i="3"/>
  <c r="K1630" i="3"/>
  <c r="J1630" i="3"/>
  <c r="K1629" i="3"/>
  <c r="J1629" i="3"/>
  <c r="K1628" i="3"/>
  <c r="K1627" i="3"/>
  <c r="J1627" i="3"/>
  <c r="J1628" i="3" s="1"/>
  <c r="K1626" i="3"/>
  <c r="I1626" i="3"/>
  <c r="I1627" i="3" s="1"/>
  <c r="I1628" i="3" s="1"/>
  <c r="I1629" i="3" s="1"/>
  <c r="I1630" i="3" s="1"/>
  <c r="I1631" i="3" s="1"/>
  <c r="I1632" i="3" s="1"/>
  <c r="I1633" i="3" s="1"/>
  <c r="I1634" i="3" s="1"/>
  <c r="I1635" i="3" s="1"/>
  <c r="I1636" i="3" s="1"/>
  <c r="K1625" i="3"/>
  <c r="K1624" i="3"/>
  <c r="J1624" i="3"/>
  <c r="J1625" i="3" s="1"/>
  <c r="J1626" i="3" s="1"/>
  <c r="K1623" i="3"/>
  <c r="K1622" i="3"/>
  <c r="K1621" i="3"/>
  <c r="K1620" i="3"/>
  <c r="J1620" i="3"/>
  <c r="J1621" i="3" s="1"/>
  <c r="J1622" i="3" s="1"/>
  <c r="J1623" i="3" s="1"/>
  <c r="K1619" i="3"/>
  <c r="I1619" i="3"/>
  <c r="I1620" i="3" s="1"/>
  <c r="I1621" i="3" s="1"/>
  <c r="I1622" i="3" s="1"/>
  <c r="I1623" i="3" s="1"/>
  <c r="I1624" i="3" s="1"/>
  <c r="I1625" i="3" s="1"/>
  <c r="K1618" i="3"/>
  <c r="H1618" i="3"/>
  <c r="H1619" i="3" s="1"/>
  <c r="H1620" i="3" s="1"/>
  <c r="H1621" i="3" s="1"/>
  <c r="H1622" i="3" s="1"/>
  <c r="H1623" i="3" s="1"/>
  <c r="H1624" i="3" s="1"/>
  <c r="H1625" i="3" s="1"/>
  <c r="H1626" i="3" s="1"/>
  <c r="H1627" i="3" s="1"/>
  <c r="H1628" i="3" s="1"/>
  <c r="H1629" i="3" s="1"/>
  <c r="H1630" i="3" s="1"/>
  <c r="H1631" i="3" s="1"/>
  <c r="H1632" i="3" s="1"/>
  <c r="H1633" i="3" s="1"/>
  <c r="H1634" i="3" s="1"/>
  <c r="H1635" i="3" s="1"/>
  <c r="H1636" i="3" s="1"/>
  <c r="H1637" i="3" s="1"/>
  <c r="H1638" i="3" s="1"/>
  <c r="H1639" i="3" s="1"/>
  <c r="H1640" i="3" s="1"/>
  <c r="H1641" i="3" s="1"/>
  <c r="H1642" i="3" s="1"/>
  <c r="H1643" i="3" s="1"/>
  <c r="H1644" i="3" s="1"/>
  <c r="H1645" i="3" s="1"/>
  <c r="H1646" i="3" s="1"/>
  <c r="H1647" i="3" s="1"/>
  <c r="H1648" i="3" s="1"/>
  <c r="H1649" i="3" s="1"/>
  <c r="H1650" i="3" s="1"/>
  <c r="H1651" i="3" s="1"/>
  <c r="H1652" i="3" s="1"/>
  <c r="H1653" i="3" s="1"/>
  <c r="H1654" i="3" s="1"/>
  <c r="H1655" i="3" s="1"/>
  <c r="H1656" i="3" s="1"/>
  <c r="H1657" i="3" s="1"/>
  <c r="K1617" i="3"/>
  <c r="K1616" i="3"/>
  <c r="J1616" i="3"/>
  <c r="J1617" i="3" s="1"/>
  <c r="J1618" i="3" s="1"/>
  <c r="J1619" i="3" s="1"/>
  <c r="K1615" i="3"/>
  <c r="I1615" i="3"/>
  <c r="I1616" i="3" s="1"/>
  <c r="I1617" i="3" s="1"/>
  <c r="I1618" i="3" s="1"/>
  <c r="K1614" i="3"/>
  <c r="K1613" i="3"/>
  <c r="J1613" i="3"/>
  <c r="J1614" i="3" s="1"/>
  <c r="J1615" i="3" s="1"/>
  <c r="K1612" i="3"/>
  <c r="I1612" i="3"/>
  <c r="I1613" i="3" s="1"/>
  <c r="I1614" i="3" s="1"/>
  <c r="K1611" i="3"/>
  <c r="K1610" i="3"/>
  <c r="K1609" i="3"/>
  <c r="J1609" i="3"/>
  <c r="J1610" i="3" s="1"/>
  <c r="J1611" i="3" s="1"/>
  <c r="J1612" i="3" s="1"/>
  <c r="K1608" i="3"/>
  <c r="K1607" i="3"/>
  <c r="J1607" i="3"/>
  <c r="J1608" i="3" s="1"/>
  <c r="K1606" i="3"/>
  <c r="I1606" i="3"/>
  <c r="I1607" i="3" s="1"/>
  <c r="I1608" i="3" s="1"/>
  <c r="I1609" i="3" s="1"/>
  <c r="I1610" i="3" s="1"/>
  <c r="I1611" i="3" s="1"/>
  <c r="K1605" i="3"/>
  <c r="H1605" i="3"/>
  <c r="H1606" i="3" s="1"/>
  <c r="H1607" i="3" s="1"/>
  <c r="H1608" i="3" s="1"/>
  <c r="H1609" i="3" s="1"/>
  <c r="H1610" i="3" s="1"/>
  <c r="H1611" i="3" s="1"/>
  <c r="H1612" i="3" s="1"/>
  <c r="H1613" i="3" s="1"/>
  <c r="H1614" i="3" s="1"/>
  <c r="H1615" i="3" s="1"/>
  <c r="H1616" i="3" s="1"/>
  <c r="H1617" i="3" s="1"/>
  <c r="K1604" i="3"/>
  <c r="K1603" i="3"/>
  <c r="K1602" i="3"/>
  <c r="J1602" i="3"/>
  <c r="J1603" i="3" s="1"/>
  <c r="J1604" i="3" s="1"/>
  <c r="J1605" i="3" s="1"/>
  <c r="J1606" i="3" s="1"/>
  <c r="K1601" i="3"/>
  <c r="K1600" i="3"/>
  <c r="J1600" i="3"/>
  <c r="J1601" i="3" s="1"/>
  <c r="K1599" i="3"/>
  <c r="J1599" i="3"/>
  <c r="K1598" i="3"/>
  <c r="I1598" i="3"/>
  <c r="I1599" i="3" s="1"/>
  <c r="I1600" i="3" s="1"/>
  <c r="I1601" i="3" s="1"/>
  <c r="I1602" i="3" s="1"/>
  <c r="I1603" i="3" s="1"/>
  <c r="I1604" i="3" s="1"/>
  <c r="I1605" i="3" s="1"/>
  <c r="K1597" i="3"/>
  <c r="K1596" i="3"/>
  <c r="K1595" i="3"/>
  <c r="K1594" i="3"/>
  <c r="J1594" i="3"/>
  <c r="J1595" i="3" s="1"/>
  <c r="J1596" i="3" s="1"/>
  <c r="J1597" i="3" s="1"/>
  <c r="J1598" i="3" s="1"/>
  <c r="K1593" i="3"/>
  <c r="I1593" i="3"/>
  <c r="I1594" i="3" s="1"/>
  <c r="I1595" i="3" s="1"/>
  <c r="I1596" i="3" s="1"/>
  <c r="I1597" i="3" s="1"/>
  <c r="K1592" i="3"/>
  <c r="K1591" i="3"/>
  <c r="K1590" i="3"/>
  <c r="J1590" i="3"/>
  <c r="J1591" i="3" s="1"/>
  <c r="J1592" i="3" s="1"/>
  <c r="J1593" i="3" s="1"/>
  <c r="K1589" i="3"/>
  <c r="K1588" i="3"/>
  <c r="K1587" i="3"/>
  <c r="J1587" i="3"/>
  <c r="J1588" i="3" s="1"/>
  <c r="J1589" i="3" s="1"/>
  <c r="K1586" i="3"/>
  <c r="I1586" i="3"/>
  <c r="I1587" i="3" s="1"/>
  <c r="I1588" i="3" s="1"/>
  <c r="I1589" i="3" s="1"/>
  <c r="I1590" i="3" s="1"/>
  <c r="I1591" i="3" s="1"/>
  <c r="I1592" i="3" s="1"/>
  <c r="K1585" i="3"/>
  <c r="K1584" i="3"/>
  <c r="K1583" i="3"/>
  <c r="J1583" i="3"/>
  <c r="J1584" i="3" s="1"/>
  <c r="J1585" i="3" s="1"/>
  <c r="J1586" i="3" s="1"/>
  <c r="K1582" i="3"/>
  <c r="K1581" i="3"/>
  <c r="K1580" i="3"/>
  <c r="J1580" i="3"/>
  <c r="J1581" i="3" s="1"/>
  <c r="J1582" i="3" s="1"/>
  <c r="K1579" i="3"/>
  <c r="I1579" i="3"/>
  <c r="I1580" i="3" s="1"/>
  <c r="I1581" i="3" s="1"/>
  <c r="I1582" i="3" s="1"/>
  <c r="I1583" i="3" s="1"/>
  <c r="I1584" i="3" s="1"/>
  <c r="I1585" i="3" s="1"/>
  <c r="K1578" i="3"/>
  <c r="H1578" i="3"/>
  <c r="H1579" i="3" s="1"/>
  <c r="H1580" i="3" s="1"/>
  <c r="H1581" i="3" s="1"/>
  <c r="H1582" i="3" s="1"/>
  <c r="H1583" i="3" s="1"/>
  <c r="H1584" i="3" s="1"/>
  <c r="H1585" i="3" s="1"/>
  <c r="H1586" i="3" s="1"/>
  <c r="H1587" i="3" s="1"/>
  <c r="H1588" i="3" s="1"/>
  <c r="H1589" i="3" s="1"/>
  <c r="H1590" i="3" s="1"/>
  <c r="H1591" i="3" s="1"/>
  <c r="H1592" i="3" s="1"/>
  <c r="H1593" i="3" s="1"/>
  <c r="H1594" i="3" s="1"/>
  <c r="H1595" i="3" s="1"/>
  <c r="H1596" i="3" s="1"/>
  <c r="H1597" i="3" s="1"/>
  <c r="H1598" i="3" s="1"/>
  <c r="H1599" i="3" s="1"/>
  <c r="H1600" i="3" s="1"/>
  <c r="H1601" i="3" s="1"/>
  <c r="H1602" i="3" s="1"/>
  <c r="H1603" i="3" s="1"/>
  <c r="H1604" i="3" s="1"/>
  <c r="K1577" i="3"/>
  <c r="K1576" i="3"/>
  <c r="J1576" i="3"/>
  <c r="J1577" i="3" s="1"/>
  <c r="J1578" i="3" s="1"/>
  <c r="J1579" i="3" s="1"/>
  <c r="K1575" i="3"/>
  <c r="I1575" i="3"/>
  <c r="I1576" i="3" s="1"/>
  <c r="I1577" i="3" s="1"/>
  <c r="I1578" i="3" s="1"/>
  <c r="K1574" i="3"/>
  <c r="K1573" i="3"/>
  <c r="J1573" i="3"/>
  <c r="J1574" i="3" s="1"/>
  <c r="J1575" i="3" s="1"/>
  <c r="K1572" i="3"/>
  <c r="I1572" i="3"/>
  <c r="I1573" i="3" s="1"/>
  <c r="I1574" i="3" s="1"/>
  <c r="K1571" i="3"/>
  <c r="K1570" i="3"/>
  <c r="K1569" i="3"/>
  <c r="K1568" i="3"/>
  <c r="K1567" i="3"/>
  <c r="J1567" i="3"/>
  <c r="J1568" i="3" s="1"/>
  <c r="J1569" i="3" s="1"/>
  <c r="J1570" i="3" s="1"/>
  <c r="J1571" i="3" s="1"/>
  <c r="J1572" i="3" s="1"/>
  <c r="K1566" i="3"/>
  <c r="I1566" i="3"/>
  <c r="I1567" i="3" s="1"/>
  <c r="I1568" i="3" s="1"/>
  <c r="I1569" i="3" s="1"/>
  <c r="I1570" i="3" s="1"/>
  <c r="I1571" i="3" s="1"/>
  <c r="K1565" i="3"/>
  <c r="K1564" i="3"/>
  <c r="K1563" i="3"/>
  <c r="K1562" i="3"/>
  <c r="K1561" i="3"/>
  <c r="K1560" i="3"/>
  <c r="J1560" i="3"/>
  <c r="J1561" i="3" s="1"/>
  <c r="J1562" i="3" s="1"/>
  <c r="J1563" i="3" s="1"/>
  <c r="J1564" i="3" s="1"/>
  <c r="J1565" i="3" s="1"/>
  <c r="J1566" i="3" s="1"/>
  <c r="K1559" i="3"/>
  <c r="K1558" i="3"/>
  <c r="J1558" i="3"/>
  <c r="J1559" i="3" s="1"/>
  <c r="K1557" i="3"/>
  <c r="K1556" i="3"/>
  <c r="K1555" i="3"/>
  <c r="J1555" i="3"/>
  <c r="J1556" i="3" s="1"/>
  <c r="J1557" i="3" s="1"/>
  <c r="K1554" i="3"/>
  <c r="K1553" i="3"/>
  <c r="K1552" i="3"/>
  <c r="J1552" i="3"/>
  <c r="J1553" i="3" s="1"/>
  <c r="J1554" i="3" s="1"/>
  <c r="K1551" i="3"/>
  <c r="J1551" i="3"/>
  <c r="K1550" i="3"/>
  <c r="K1549" i="3"/>
  <c r="I1549" i="3"/>
  <c r="I1550" i="3" s="1"/>
  <c r="I1551" i="3" s="1"/>
  <c r="I1552" i="3" s="1"/>
  <c r="I1553" i="3" s="1"/>
  <c r="I1554" i="3" s="1"/>
  <c r="I1555" i="3" s="1"/>
  <c r="I1556" i="3" s="1"/>
  <c r="I1557" i="3" s="1"/>
  <c r="I1558" i="3" s="1"/>
  <c r="I1559" i="3" s="1"/>
  <c r="I1560" i="3" s="1"/>
  <c r="I1561" i="3" s="1"/>
  <c r="I1562" i="3" s="1"/>
  <c r="I1563" i="3" s="1"/>
  <c r="I1564" i="3" s="1"/>
  <c r="I1565" i="3" s="1"/>
  <c r="K1548" i="3"/>
  <c r="J1548" i="3"/>
  <c r="J1549" i="3" s="1"/>
  <c r="J1550" i="3" s="1"/>
  <c r="I1548" i="3"/>
  <c r="K1547" i="3"/>
  <c r="I1547" i="3"/>
  <c r="K1546" i="3"/>
  <c r="K1545" i="3"/>
  <c r="K1544" i="3"/>
  <c r="K1543" i="3"/>
  <c r="J1543" i="3"/>
  <c r="J1544" i="3" s="1"/>
  <c r="J1545" i="3" s="1"/>
  <c r="J1546" i="3" s="1"/>
  <c r="J1547" i="3" s="1"/>
  <c r="K1542" i="3"/>
  <c r="K1541" i="3"/>
  <c r="J1541" i="3"/>
  <c r="J1542" i="3" s="1"/>
  <c r="I1541" i="3"/>
  <c r="I1542" i="3" s="1"/>
  <c r="I1543" i="3" s="1"/>
  <c r="I1544" i="3" s="1"/>
  <c r="I1545" i="3" s="1"/>
  <c r="I1546" i="3" s="1"/>
  <c r="K1540" i="3"/>
  <c r="I1540" i="3"/>
  <c r="K1539" i="3"/>
  <c r="H1539" i="3"/>
  <c r="H1540" i="3" s="1"/>
  <c r="H1541" i="3" s="1"/>
  <c r="H1542" i="3" s="1"/>
  <c r="H1543" i="3" s="1"/>
  <c r="H1544" i="3" s="1"/>
  <c r="H1545" i="3" s="1"/>
  <c r="H1546" i="3" s="1"/>
  <c r="H1547" i="3" s="1"/>
  <c r="H1548" i="3" s="1"/>
  <c r="H1549" i="3" s="1"/>
  <c r="H1550" i="3" s="1"/>
  <c r="H1551" i="3" s="1"/>
  <c r="H1552" i="3" s="1"/>
  <c r="H1553" i="3" s="1"/>
  <c r="H1554" i="3" s="1"/>
  <c r="H1555" i="3" s="1"/>
  <c r="H1556" i="3" s="1"/>
  <c r="H1557" i="3" s="1"/>
  <c r="H1558" i="3" s="1"/>
  <c r="H1559" i="3" s="1"/>
  <c r="H1560" i="3" s="1"/>
  <c r="H1561" i="3" s="1"/>
  <c r="H1562" i="3" s="1"/>
  <c r="H1563" i="3" s="1"/>
  <c r="H1564" i="3" s="1"/>
  <c r="H1565" i="3" s="1"/>
  <c r="H1566" i="3" s="1"/>
  <c r="H1567" i="3" s="1"/>
  <c r="H1568" i="3" s="1"/>
  <c r="H1569" i="3" s="1"/>
  <c r="H1570" i="3" s="1"/>
  <c r="H1571" i="3" s="1"/>
  <c r="H1572" i="3" s="1"/>
  <c r="H1573" i="3" s="1"/>
  <c r="H1574" i="3" s="1"/>
  <c r="H1575" i="3" s="1"/>
  <c r="H1576" i="3" s="1"/>
  <c r="H1577" i="3" s="1"/>
  <c r="G1539" i="3"/>
  <c r="G1540" i="3" s="1"/>
  <c r="G1541" i="3" s="1"/>
  <c r="G1542" i="3" s="1"/>
  <c r="G1543" i="3" s="1"/>
  <c r="G1544" i="3" s="1"/>
  <c r="G1545" i="3" s="1"/>
  <c r="G1546" i="3" s="1"/>
  <c r="G1547" i="3" s="1"/>
  <c r="G1548" i="3" s="1"/>
  <c r="G1549" i="3" s="1"/>
  <c r="G1550" i="3" s="1"/>
  <c r="G1551" i="3" s="1"/>
  <c r="G1552" i="3" s="1"/>
  <c r="G1553" i="3" s="1"/>
  <c r="G1554" i="3" s="1"/>
  <c r="G1555" i="3" s="1"/>
  <c r="G1556" i="3" s="1"/>
  <c r="G1557" i="3" s="1"/>
  <c r="G1558" i="3" s="1"/>
  <c r="G1559" i="3" s="1"/>
  <c r="G1560" i="3" s="1"/>
  <c r="G1561" i="3" s="1"/>
  <c r="G1562" i="3" s="1"/>
  <c r="G1563" i="3" s="1"/>
  <c r="G1564" i="3" s="1"/>
  <c r="G1565" i="3" s="1"/>
  <c r="G1566" i="3" s="1"/>
  <c r="G1567" i="3" s="1"/>
  <c r="G1568" i="3" s="1"/>
  <c r="G1569" i="3" s="1"/>
  <c r="G1570" i="3" s="1"/>
  <c r="G1571" i="3" s="1"/>
  <c r="G1572" i="3" s="1"/>
  <c r="G1573" i="3" s="1"/>
  <c r="G1574" i="3" s="1"/>
  <c r="G1575" i="3" s="1"/>
  <c r="G1576" i="3" s="1"/>
  <c r="G1577" i="3" s="1"/>
  <c r="G1578" i="3" s="1"/>
  <c r="G1579" i="3" s="1"/>
  <c r="G1580" i="3" s="1"/>
  <c r="G1581" i="3" s="1"/>
  <c r="G1582" i="3" s="1"/>
  <c r="G1583" i="3" s="1"/>
  <c r="G1584" i="3" s="1"/>
  <c r="G1585" i="3" s="1"/>
  <c r="G1586" i="3" s="1"/>
  <c r="G1587" i="3" s="1"/>
  <c r="G1588" i="3" s="1"/>
  <c r="G1589" i="3" s="1"/>
  <c r="G1590" i="3" s="1"/>
  <c r="G1591" i="3" s="1"/>
  <c r="G1592" i="3" s="1"/>
  <c r="G1593" i="3" s="1"/>
  <c r="G1594" i="3" s="1"/>
  <c r="G1595" i="3" s="1"/>
  <c r="G1596" i="3" s="1"/>
  <c r="G1597" i="3" s="1"/>
  <c r="G1598" i="3" s="1"/>
  <c r="G1599" i="3" s="1"/>
  <c r="G1600" i="3" s="1"/>
  <c r="G1601" i="3" s="1"/>
  <c r="G1602" i="3" s="1"/>
  <c r="G1603" i="3" s="1"/>
  <c r="G1604" i="3" s="1"/>
  <c r="G1605" i="3" s="1"/>
  <c r="G1606" i="3" s="1"/>
  <c r="G1607" i="3" s="1"/>
  <c r="G1608" i="3" s="1"/>
  <c r="G1609" i="3" s="1"/>
  <c r="G1610" i="3" s="1"/>
  <c r="G1611" i="3" s="1"/>
  <c r="G1612" i="3" s="1"/>
  <c r="G1613" i="3" s="1"/>
  <c r="G1614" i="3" s="1"/>
  <c r="G1615" i="3" s="1"/>
  <c r="G1616" i="3" s="1"/>
  <c r="G1617" i="3" s="1"/>
  <c r="G1618" i="3" s="1"/>
  <c r="G1619" i="3" s="1"/>
  <c r="G1620" i="3" s="1"/>
  <c r="G1621" i="3" s="1"/>
  <c r="G1622" i="3" s="1"/>
  <c r="G1623" i="3" s="1"/>
  <c r="G1624" i="3" s="1"/>
  <c r="G1625" i="3" s="1"/>
  <c r="G1626" i="3" s="1"/>
  <c r="G1627" i="3" s="1"/>
  <c r="G1628" i="3" s="1"/>
  <c r="G1629" i="3" s="1"/>
  <c r="G1630" i="3" s="1"/>
  <c r="G1631" i="3" s="1"/>
  <c r="G1632" i="3" s="1"/>
  <c r="G1633" i="3" s="1"/>
  <c r="G1634" i="3" s="1"/>
  <c r="G1635" i="3" s="1"/>
  <c r="G1636" i="3" s="1"/>
  <c r="G1637" i="3" s="1"/>
  <c r="G1638" i="3" s="1"/>
  <c r="G1639" i="3" s="1"/>
  <c r="G1640" i="3" s="1"/>
  <c r="G1641" i="3" s="1"/>
  <c r="G1642" i="3" s="1"/>
  <c r="G1643" i="3" s="1"/>
  <c r="G1644" i="3" s="1"/>
  <c r="G1645" i="3" s="1"/>
  <c r="G1646" i="3" s="1"/>
  <c r="G1647" i="3" s="1"/>
  <c r="G1648" i="3" s="1"/>
  <c r="G1649" i="3" s="1"/>
  <c r="G1650" i="3" s="1"/>
  <c r="G1651" i="3" s="1"/>
  <c r="G1652" i="3" s="1"/>
  <c r="G1653" i="3" s="1"/>
  <c r="G1654" i="3" s="1"/>
  <c r="G1655" i="3" s="1"/>
  <c r="G1656" i="3" s="1"/>
  <c r="G1657" i="3" s="1"/>
  <c r="G1658" i="3" s="1"/>
  <c r="G1659" i="3" s="1"/>
  <c r="G1660" i="3" s="1"/>
  <c r="G1661" i="3" s="1"/>
  <c r="G1662" i="3" s="1"/>
  <c r="G1663" i="3" s="1"/>
  <c r="G1664" i="3" s="1"/>
  <c r="G1665" i="3" s="1"/>
  <c r="G1666" i="3" s="1"/>
  <c r="K1538" i="3"/>
  <c r="G1538" i="3"/>
  <c r="K1537" i="3"/>
  <c r="J1537" i="3"/>
  <c r="J1538" i="3" s="1"/>
  <c r="J1539" i="3" s="1"/>
  <c r="J1540" i="3" s="1"/>
  <c r="K1536" i="3"/>
  <c r="I1536" i="3"/>
  <c r="I1537" i="3" s="1"/>
  <c r="I1538" i="3" s="1"/>
  <c r="I1539" i="3" s="1"/>
  <c r="K1535" i="3"/>
  <c r="K1534" i="3"/>
  <c r="K1533" i="3"/>
  <c r="K1532" i="3"/>
  <c r="K1531" i="3"/>
  <c r="K1530" i="3"/>
  <c r="K1529" i="3"/>
  <c r="K1528" i="3"/>
  <c r="K1527" i="3"/>
  <c r="K1526" i="3"/>
  <c r="K1525" i="3"/>
  <c r="J1525" i="3"/>
  <c r="J1526" i="3" s="1"/>
  <c r="J1527" i="3" s="1"/>
  <c r="J1528" i="3" s="1"/>
  <c r="J1529" i="3" s="1"/>
  <c r="J1530" i="3" s="1"/>
  <c r="J1531" i="3" s="1"/>
  <c r="J1532" i="3" s="1"/>
  <c r="J1533" i="3" s="1"/>
  <c r="J1534" i="3" s="1"/>
  <c r="J1535" i="3" s="1"/>
  <c r="J1536" i="3" s="1"/>
  <c r="K1524" i="3"/>
  <c r="K1523" i="3"/>
  <c r="K1522" i="3"/>
  <c r="J1522" i="3"/>
  <c r="J1523" i="3" s="1"/>
  <c r="J1524" i="3" s="1"/>
  <c r="K1521" i="3"/>
  <c r="K1520" i="3"/>
  <c r="J1520" i="3"/>
  <c r="J1521" i="3" s="1"/>
  <c r="K1519" i="3"/>
  <c r="K1518" i="3"/>
  <c r="K1517" i="3"/>
  <c r="J1517" i="3"/>
  <c r="J1518" i="3" s="1"/>
  <c r="J1519" i="3" s="1"/>
  <c r="K1516" i="3"/>
  <c r="K1515" i="3"/>
  <c r="K1514" i="3"/>
  <c r="J1514" i="3"/>
  <c r="J1515" i="3" s="1"/>
  <c r="J1516" i="3" s="1"/>
  <c r="K1513" i="3"/>
  <c r="K1512" i="3"/>
  <c r="J1512" i="3"/>
  <c r="J1513" i="3" s="1"/>
  <c r="I1512" i="3"/>
  <c r="I1513" i="3" s="1"/>
  <c r="I1514" i="3" s="1"/>
  <c r="I1515" i="3" s="1"/>
  <c r="I1516" i="3" s="1"/>
  <c r="I1517" i="3" s="1"/>
  <c r="I1518" i="3" s="1"/>
  <c r="I1519" i="3" s="1"/>
  <c r="I1520" i="3" s="1"/>
  <c r="I1521" i="3" s="1"/>
  <c r="I1522" i="3" s="1"/>
  <c r="I1523" i="3" s="1"/>
  <c r="I1524" i="3" s="1"/>
  <c r="I1525" i="3" s="1"/>
  <c r="I1526" i="3" s="1"/>
  <c r="I1527" i="3" s="1"/>
  <c r="I1528" i="3" s="1"/>
  <c r="I1529" i="3" s="1"/>
  <c r="I1530" i="3" s="1"/>
  <c r="I1531" i="3" s="1"/>
  <c r="I1532" i="3" s="1"/>
  <c r="I1533" i="3" s="1"/>
  <c r="I1534" i="3" s="1"/>
  <c r="I1535" i="3" s="1"/>
  <c r="K1511" i="3"/>
  <c r="I1511" i="3"/>
  <c r="K1510" i="3"/>
  <c r="K1509" i="3"/>
  <c r="J1509" i="3"/>
  <c r="J1510" i="3" s="1"/>
  <c r="J1511" i="3" s="1"/>
  <c r="K1508" i="3"/>
  <c r="K1507" i="3"/>
  <c r="J1507" i="3"/>
  <c r="J1508" i="3" s="1"/>
  <c r="K1506" i="3"/>
  <c r="K1505" i="3"/>
  <c r="J1505" i="3"/>
  <c r="J1506" i="3" s="1"/>
  <c r="K1504" i="3"/>
  <c r="K1503" i="3"/>
  <c r="K1502" i="3"/>
  <c r="K1501" i="3"/>
  <c r="K1500" i="3"/>
  <c r="J1500" i="3"/>
  <c r="J1501" i="3" s="1"/>
  <c r="J1502" i="3" s="1"/>
  <c r="J1503" i="3" s="1"/>
  <c r="J1504" i="3" s="1"/>
  <c r="K1499" i="3"/>
  <c r="I1499" i="3"/>
  <c r="I1500" i="3" s="1"/>
  <c r="I1501" i="3" s="1"/>
  <c r="I1502" i="3" s="1"/>
  <c r="I1503" i="3" s="1"/>
  <c r="I1504" i="3" s="1"/>
  <c r="I1505" i="3" s="1"/>
  <c r="I1506" i="3" s="1"/>
  <c r="I1507" i="3" s="1"/>
  <c r="I1508" i="3" s="1"/>
  <c r="I1509" i="3" s="1"/>
  <c r="I1510" i="3" s="1"/>
  <c r="K1498" i="3"/>
  <c r="K1497" i="3"/>
  <c r="K1496" i="3"/>
  <c r="K1495" i="3"/>
  <c r="K1494" i="3"/>
  <c r="K1493" i="3"/>
  <c r="J1493" i="3"/>
  <c r="J1494" i="3" s="1"/>
  <c r="J1495" i="3" s="1"/>
  <c r="J1496" i="3" s="1"/>
  <c r="J1497" i="3" s="1"/>
  <c r="J1498" i="3" s="1"/>
  <c r="J1499" i="3" s="1"/>
  <c r="K1492" i="3"/>
  <c r="K1491" i="3"/>
  <c r="J1491" i="3"/>
  <c r="J1492" i="3" s="1"/>
  <c r="K1490" i="3"/>
  <c r="K1489" i="3"/>
  <c r="K1488" i="3"/>
  <c r="K1487" i="3"/>
  <c r="J1487" i="3"/>
  <c r="J1488" i="3" s="1"/>
  <c r="J1489" i="3" s="1"/>
  <c r="J1490" i="3" s="1"/>
  <c r="K1486" i="3"/>
  <c r="I1486" i="3"/>
  <c r="I1487" i="3" s="1"/>
  <c r="I1488" i="3" s="1"/>
  <c r="I1489" i="3" s="1"/>
  <c r="I1490" i="3" s="1"/>
  <c r="I1491" i="3" s="1"/>
  <c r="I1492" i="3" s="1"/>
  <c r="I1493" i="3" s="1"/>
  <c r="I1494" i="3" s="1"/>
  <c r="I1495" i="3" s="1"/>
  <c r="I1496" i="3" s="1"/>
  <c r="I1497" i="3" s="1"/>
  <c r="I1498" i="3" s="1"/>
  <c r="K1485" i="3"/>
  <c r="K1484" i="3"/>
  <c r="K1483" i="3"/>
  <c r="J1483" i="3"/>
  <c r="J1484" i="3" s="1"/>
  <c r="J1485" i="3" s="1"/>
  <c r="J1486" i="3" s="1"/>
  <c r="K1482" i="3"/>
  <c r="K1481" i="3"/>
  <c r="J1481" i="3"/>
  <c r="J1482" i="3" s="1"/>
  <c r="K1480" i="3"/>
  <c r="J1480" i="3"/>
  <c r="K1479" i="3"/>
  <c r="J1479" i="3"/>
  <c r="K1478" i="3"/>
  <c r="K1477" i="3"/>
  <c r="K1476" i="3"/>
  <c r="K1475" i="3"/>
  <c r="J1475" i="3"/>
  <c r="J1476" i="3" s="1"/>
  <c r="J1477" i="3" s="1"/>
  <c r="J1478" i="3" s="1"/>
  <c r="K1474" i="3"/>
  <c r="K1473" i="3"/>
  <c r="K1472" i="3"/>
  <c r="J1472" i="3"/>
  <c r="J1473" i="3" s="1"/>
  <c r="J1474" i="3" s="1"/>
  <c r="K1471" i="3"/>
  <c r="J1471" i="3"/>
  <c r="K1470" i="3"/>
  <c r="K1469" i="3"/>
  <c r="J1469" i="3"/>
  <c r="J1470" i="3" s="1"/>
  <c r="K1468" i="3"/>
  <c r="K1467" i="3"/>
  <c r="J1467" i="3"/>
  <c r="J1468" i="3" s="1"/>
  <c r="K1466" i="3"/>
  <c r="K1465" i="3"/>
  <c r="K1464" i="3"/>
  <c r="J1464" i="3"/>
  <c r="J1465" i="3" s="1"/>
  <c r="J1466" i="3" s="1"/>
  <c r="K1463" i="3"/>
  <c r="I1463" i="3"/>
  <c r="I1464" i="3" s="1"/>
  <c r="I1465" i="3" s="1"/>
  <c r="I1466" i="3" s="1"/>
  <c r="I1467" i="3" s="1"/>
  <c r="I1468" i="3" s="1"/>
  <c r="I1469" i="3" s="1"/>
  <c r="I1470" i="3" s="1"/>
  <c r="I1471" i="3" s="1"/>
  <c r="I1472" i="3" s="1"/>
  <c r="I1473" i="3" s="1"/>
  <c r="I1474" i="3" s="1"/>
  <c r="I1475" i="3" s="1"/>
  <c r="I1476" i="3" s="1"/>
  <c r="I1477" i="3" s="1"/>
  <c r="I1478" i="3" s="1"/>
  <c r="I1479" i="3" s="1"/>
  <c r="I1480" i="3" s="1"/>
  <c r="I1481" i="3" s="1"/>
  <c r="I1482" i="3" s="1"/>
  <c r="I1483" i="3" s="1"/>
  <c r="I1484" i="3" s="1"/>
  <c r="I1485" i="3" s="1"/>
  <c r="K1462" i="3"/>
  <c r="K1461" i="3"/>
  <c r="K1460" i="3"/>
  <c r="K1459" i="3"/>
  <c r="K1458" i="3"/>
  <c r="K1457" i="3"/>
  <c r="K1456" i="3"/>
  <c r="K1455" i="3"/>
  <c r="J1455" i="3"/>
  <c r="J1456" i="3" s="1"/>
  <c r="J1457" i="3" s="1"/>
  <c r="J1458" i="3" s="1"/>
  <c r="J1459" i="3" s="1"/>
  <c r="J1460" i="3" s="1"/>
  <c r="J1461" i="3" s="1"/>
  <c r="J1462" i="3" s="1"/>
  <c r="J1463" i="3" s="1"/>
  <c r="K1454" i="3"/>
  <c r="K1453" i="3"/>
  <c r="J1453" i="3"/>
  <c r="J1454" i="3" s="1"/>
  <c r="K1452" i="3"/>
  <c r="K1451" i="3"/>
  <c r="J1451" i="3"/>
  <c r="J1452" i="3" s="1"/>
  <c r="K1450" i="3"/>
  <c r="K1449" i="3"/>
  <c r="J1449" i="3"/>
  <c r="J1450" i="3" s="1"/>
  <c r="K1448" i="3"/>
  <c r="I1448" i="3"/>
  <c r="I1449" i="3" s="1"/>
  <c r="I1450" i="3" s="1"/>
  <c r="I1451" i="3" s="1"/>
  <c r="I1452" i="3" s="1"/>
  <c r="I1453" i="3" s="1"/>
  <c r="I1454" i="3" s="1"/>
  <c r="I1455" i="3" s="1"/>
  <c r="I1456" i="3" s="1"/>
  <c r="I1457" i="3" s="1"/>
  <c r="I1458" i="3" s="1"/>
  <c r="I1459" i="3" s="1"/>
  <c r="I1460" i="3" s="1"/>
  <c r="I1461" i="3" s="1"/>
  <c r="I1462" i="3" s="1"/>
  <c r="K1447" i="3"/>
  <c r="K1446" i="3"/>
  <c r="J1446" i="3"/>
  <c r="J1447" i="3" s="1"/>
  <c r="J1448" i="3" s="1"/>
  <c r="K1445" i="3"/>
  <c r="K1444" i="3"/>
  <c r="J1444" i="3"/>
  <c r="J1445" i="3" s="1"/>
  <c r="K1443" i="3"/>
  <c r="I1443" i="3"/>
  <c r="I1444" i="3" s="1"/>
  <c r="I1445" i="3" s="1"/>
  <c r="I1446" i="3" s="1"/>
  <c r="I1447" i="3" s="1"/>
  <c r="K1442" i="3"/>
  <c r="K1441" i="3"/>
  <c r="K1440" i="3"/>
  <c r="K1439" i="3"/>
  <c r="J1439" i="3"/>
  <c r="J1440" i="3" s="1"/>
  <c r="J1441" i="3" s="1"/>
  <c r="J1442" i="3" s="1"/>
  <c r="J1443" i="3" s="1"/>
  <c r="K1438" i="3"/>
  <c r="K1437" i="3"/>
  <c r="J1437" i="3"/>
  <c r="J1438" i="3" s="1"/>
  <c r="K1436" i="3"/>
  <c r="K1435" i="3"/>
  <c r="J1435" i="3"/>
  <c r="J1436" i="3" s="1"/>
  <c r="K1434" i="3"/>
  <c r="K1433" i="3"/>
  <c r="K1432" i="3"/>
  <c r="J1432" i="3"/>
  <c r="J1433" i="3" s="1"/>
  <c r="J1434" i="3" s="1"/>
  <c r="K1431" i="3"/>
  <c r="K1430" i="3"/>
  <c r="K1429" i="3"/>
  <c r="K1428" i="3"/>
  <c r="J1428" i="3"/>
  <c r="J1429" i="3" s="1"/>
  <c r="J1430" i="3" s="1"/>
  <c r="J1431" i="3" s="1"/>
  <c r="K1427" i="3"/>
  <c r="I1427" i="3"/>
  <c r="I1428" i="3" s="1"/>
  <c r="I1429" i="3" s="1"/>
  <c r="I1430" i="3" s="1"/>
  <c r="I1431" i="3" s="1"/>
  <c r="I1432" i="3" s="1"/>
  <c r="I1433" i="3" s="1"/>
  <c r="I1434" i="3" s="1"/>
  <c r="I1435" i="3" s="1"/>
  <c r="I1436" i="3" s="1"/>
  <c r="I1437" i="3" s="1"/>
  <c r="I1438" i="3" s="1"/>
  <c r="I1439" i="3" s="1"/>
  <c r="I1440" i="3" s="1"/>
  <c r="I1441" i="3" s="1"/>
  <c r="I1442" i="3" s="1"/>
  <c r="K1426" i="3"/>
  <c r="K1425" i="3"/>
  <c r="K1424" i="3"/>
  <c r="K1423" i="3"/>
  <c r="J1423" i="3"/>
  <c r="J1424" i="3" s="1"/>
  <c r="J1425" i="3" s="1"/>
  <c r="J1426" i="3" s="1"/>
  <c r="J1427" i="3" s="1"/>
  <c r="K1422" i="3"/>
  <c r="K1421" i="3"/>
  <c r="J1421" i="3"/>
  <c r="J1422" i="3" s="1"/>
  <c r="K1420" i="3"/>
  <c r="K1419" i="3"/>
  <c r="K1418" i="3"/>
  <c r="J1418" i="3"/>
  <c r="J1419" i="3" s="1"/>
  <c r="J1420" i="3" s="1"/>
  <c r="K1417" i="3"/>
  <c r="I1417" i="3"/>
  <c r="I1418" i="3" s="1"/>
  <c r="I1419" i="3" s="1"/>
  <c r="I1420" i="3" s="1"/>
  <c r="I1421" i="3" s="1"/>
  <c r="I1422" i="3" s="1"/>
  <c r="I1423" i="3" s="1"/>
  <c r="I1424" i="3" s="1"/>
  <c r="I1425" i="3" s="1"/>
  <c r="I1426" i="3" s="1"/>
  <c r="K1416" i="3"/>
  <c r="H1416" i="3"/>
  <c r="H1417" i="3" s="1"/>
  <c r="H1418" i="3" s="1"/>
  <c r="H1419" i="3" s="1"/>
  <c r="H1420" i="3" s="1"/>
  <c r="H1421" i="3" s="1"/>
  <c r="H1422" i="3" s="1"/>
  <c r="H1423" i="3" s="1"/>
  <c r="H1424" i="3" s="1"/>
  <c r="H1425" i="3" s="1"/>
  <c r="H1426" i="3" s="1"/>
  <c r="H1427" i="3" s="1"/>
  <c r="H1428" i="3" s="1"/>
  <c r="H1429" i="3" s="1"/>
  <c r="H1430" i="3" s="1"/>
  <c r="H1431" i="3" s="1"/>
  <c r="H1432" i="3" s="1"/>
  <c r="H1433" i="3" s="1"/>
  <c r="H1434" i="3" s="1"/>
  <c r="H1435" i="3" s="1"/>
  <c r="H1436" i="3" s="1"/>
  <c r="H1437" i="3" s="1"/>
  <c r="H1438" i="3" s="1"/>
  <c r="H1439" i="3" s="1"/>
  <c r="H1440" i="3" s="1"/>
  <c r="H1441" i="3" s="1"/>
  <c r="H1442" i="3" s="1"/>
  <c r="H1443" i="3" s="1"/>
  <c r="H1444" i="3" s="1"/>
  <c r="H1445" i="3" s="1"/>
  <c r="H1446" i="3" s="1"/>
  <c r="H1447" i="3" s="1"/>
  <c r="H1448" i="3" s="1"/>
  <c r="H1449" i="3" s="1"/>
  <c r="H1450" i="3" s="1"/>
  <c r="H1451" i="3" s="1"/>
  <c r="H1452" i="3" s="1"/>
  <c r="H1453" i="3" s="1"/>
  <c r="H1454" i="3" s="1"/>
  <c r="H1455" i="3" s="1"/>
  <c r="H1456" i="3" s="1"/>
  <c r="H1457" i="3" s="1"/>
  <c r="H1458" i="3" s="1"/>
  <c r="H1459" i="3" s="1"/>
  <c r="H1460" i="3" s="1"/>
  <c r="H1461" i="3" s="1"/>
  <c r="H1462" i="3" s="1"/>
  <c r="H1463" i="3" s="1"/>
  <c r="H1464" i="3" s="1"/>
  <c r="H1465" i="3" s="1"/>
  <c r="H1466" i="3" s="1"/>
  <c r="H1467" i="3" s="1"/>
  <c r="H1468" i="3" s="1"/>
  <c r="H1469" i="3" s="1"/>
  <c r="H1470" i="3" s="1"/>
  <c r="H1471" i="3" s="1"/>
  <c r="H1472" i="3" s="1"/>
  <c r="H1473" i="3" s="1"/>
  <c r="H1474" i="3" s="1"/>
  <c r="H1475" i="3" s="1"/>
  <c r="H1476" i="3" s="1"/>
  <c r="H1477" i="3" s="1"/>
  <c r="H1478" i="3" s="1"/>
  <c r="H1479" i="3" s="1"/>
  <c r="H1480" i="3" s="1"/>
  <c r="H1481" i="3" s="1"/>
  <c r="H1482" i="3" s="1"/>
  <c r="H1483" i="3" s="1"/>
  <c r="H1484" i="3" s="1"/>
  <c r="H1485" i="3" s="1"/>
  <c r="H1486" i="3" s="1"/>
  <c r="H1487" i="3" s="1"/>
  <c r="H1488" i="3" s="1"/>
  <c r="H1489" i="3" s="1"/>
  <c r="H1490" i="3" s="1"/>
  <c r="H1491" i="3" s="1"/>
  <c r="H1492" i="3" s="1"/>
  <c r="H1493" i="3" s="1"/>
  <c r="H1494" i="3" s="1"/>
  <c r="H1495" i="3" s="1"/>
  <c r="H1496" i="3" s="1"/>
  <c r="H1497" i="3" s="1"/>
  <c r="H1498" i="3" s="1"/>
  <c r="H1499" i="3" s="1"/>
  <c r="H1500" i="3" s="1"/>
  <c r="H1501" i="3" s="1"/>
  <c r="H1502" i="3" s="1"/>
  <c r="H1503" i="3" s="1"/>
  <c r="H1504" i="3" s="1"/>
  <c r="H1505" i="3" s="1"/>
  <c r="H1506" i="3" s="1"/>
  <c r="H1507" i="3" s="1"/>
  <c r="H1508" i="3" s="1"/>
  <c r="H1509" i="3" s="1"/>
  <c r="H1510" i="3" s="1"/>
  <c r="H1511" i="3" s="1"/>
  <c r="H1512" i="3" s="1"/>
  <c r="H1513" i="3" s="1"/>
  <c r="H1514" i="3" s="1"/>
  <c r="H1515" i="3" s="1"/>
  <c r="H1516" i="3" s="1"/>
  <c r="H1517" i="3" s="1"/>
  <c r="H1518" i="3" s="1"/>
  <c r="H1519" i="3" s="1"/>
  <c r="H1520" i="3" s="1"/>
  <c r="H1521" i="3" s="1"/>
  <c r="H1522" i="3" s="1"/>
  <c r="H1523" i="3" s="1"/>
  <c r="H1524" i="3" s="1"/>
  <c r="H1525" i="3" s="1"/>
  <c r="H1526" i="3" s="1"/>
  <c r="H1527" i="3" s="1"/>
  <c r="H1528" i="3" s="1"/>
  <c r="H1529" i="3" s="1"/>
  <c r="H1530" i="3" s="1"/>
  <c r="H1531" i="3" s="1"/>
  <c r="H1532" i="3" s="1"/>
  <c r="H1533" i="3" s="1"/>
  <c r="H1534" i="3" s="1"/>
  <c r="H1535" i="3" s="1"/>
  <c r="H1536" i="3" s="1"/>
  <c r="H1537" i="3" s="1"/>
  <c r="H1538" i="3" s="1"/>
  <c r="K1415" i="3"/>
  <c r="K1414" i="3"/>
  <c r="J1414" i="3"/>
  <c r="J1415" i="3" s="1"/>
  <c r="J1416" i="3" s="1"/>
  <c r="J1417" i="3" s="1"/>
  <c r="K1413" i="3"/>
  <c r="K1412" i="3"/>
  <c r="J1412" i="3"/>
  <c r="J1413" i="3" s="1"/>
  <c r="K1411" i="3"/>
  <c r="K1410" i="3"/>
  <c r="J1410" i="3"/>
  <c r="J1411" i="3" s="1"/>
  <c r="K1409" i="3"/>
  <c r="I1409" i="3"/>
  <c r="I1410" i="3" s="1"/>
  <c r="I1411" i="3" s="1"/>
  <c r="I1412" i="3" s="1"/>
  <c r="I1413" i="3" s="1"/>
  <c r="I1414" i="3" s="1"/>
  <c r="I1415" i="3" s="1"/>
  <c r="I1416" i="3" s="1"/>
  <c r="K1408" i="3"/>
  <c r="K1407" i="3"/>
  <c r="K1406" i="3"/>
  <c r="K1405" i="3"/>
  <c r="J1405" i="3"/>
  <c r="J1406" i="3" s="1"/>
  <c r="J1407" i="3" s="1"/>
  <c r="J1408" i="3" s="1"/>
  <c r="J1409" i="3" s="1"/>
  <c r="K1404" i="3"/>
  <c r="K1403" i="3"/>
  <c r="K1402" i="3"/>
  <c r="K1401" i="3"/>
  <c r="J1401" i="3"/>
  <c r="J1402" i="3" s="1"/>
  <c r="J1403" i="3" s="1"/>
  <c r="J1404" i="3" s="1"/>
  <c r="K1400" i="3"/>
  <c r="K1399" i="3"/>
  <c r="K1398" i="3"/>
  <c r="J1398" i="3"/>
  <c r="J1399" i="3" s="1"/>
  <c r="J1400" i="3" s="1"/>
  <c r="K1397" i="3"/>
  <c r="K1396" i="3"/>
  <c r="J1396" i="3"/>
  <c r="J1397" i="3" s="1"/>
  <c r="K1395" i="3"/>
  <c r="K1394" i="3"/>
  <c r="K1393" i="3"/>
  <c r="K1392" i="3"/>
  <c r="J1392" i="3"/>
  <c r="J1393" i="3" s="1"/>
  <c r="J1394" i="3" s="1"/>
  <c r="J1395" i="3" s="1"/>
  <c r="K1391" i="3"/>
  <c r="K1390" i="3"/>
  <c r="J1390" i="3"/>
  <c r="J1391" i="3" s="1"/>
  <c r="K1389" i="3"/>
  <c r="K1388" i="3"/>
  <c r="J1388" i="3"/>
  <c r="J1389" i="3" s="1"/>
  <c r="K1387" i="3"/>
  <c r="K1386" i="3"/>
  <c r="K1385" i="3"/>
  <c r="K1384" i="3"/>
  <c r="K1383" i="3"/>
  <c r="K1382" i="3"/>
  <c r="J1382" i="3"/>
  <c r="J1383" i="3" s="1"/>
  <c r="J1384" i="3" s="1"/>
  <c r="J1385" i="3" s="1"/>
  <c r="J1386" i="3" s="1"/>
  <c r="J1387" i="3" s="1"/>
  <c r="K1381" i="3"/>
  <c r="I1381" i="3"/>
  <c r="I1382" i="3" s="1"/>
  <c r="I1383" i="3" s="1"/>
  <c r="I1384" i="3" s="1"/>
  <c r="I1385" i="3" s="1"/>
  <c r="I1386" i="3" s="1"/>
  <c r="I1387" i="3" s="1"/>
  <c r="I1388" i="3" s="1"/>
  <c r="I1389" i="3" s="1"/>
  <c r="I1390" i="3" s="1"/>
  <c r="I1391" i="3" s="1"/>
  <c r="I1392" i="3" s="1"/>
  <c r="I1393" i="3" s="1"/>
  <c r="I1394" i="3" s="1"/>
  <c r="I1395" i="3" s="1"/>
  <c r="I1396" i="3" s="1"/>
  <c r="I1397" i="3" s="1"/>
  <c r="I1398" i="3" s="1"/>
  <c r="I1399" i="3" s="1"/>
  <c r="I1400" i="3" s="1"/>
  <c r="I1401" i="3" s="1"/>
  <c r="I1402" i="3" s="1"/>
  <c r="I1403" i="3" s="1"/>
  <c r="I1404" i="3" s="1"/>
  <c r="I1405" i="3" s="1"/>
  <c r="I1406" i="3" s="1"/>
  <c r="I1407" i="3" s="1"/>
  <c r="I1408" i="3" s="1"/>
  <c r="K1380" i="3"/>
  <c r="K1379" i="3"/>
  <c r="K1378" i="3"/>
  <c r="K1377" i="3"/>
  <c r="K1376" i="3"/>
  <c r="J1376" i="3"/>
  <c r="J1377" i="3" s="1"/>
  <c r="J1378" i="3" s="1"/>
  <c r="J1379" i="3" s="1"/>
  <c r="J1380" i="3" s="1"/>
  <c r="J1381" i="3" s="1"/>
  <c r="K1375" i="3"/>
  <c r="J1375" i="3"/>
  <c r="K1374" i="3"/>
  <c r="K1373" i="3"/>
  <c r="J1373" i="3"/>
  <c r="J1374" i="3" s="1"/>
  <c r="K1372" i="3"/>
  <c r="J1372" i="3"/>
  <c r="K1371" i="3"/>
  <c r="J1371" i="3"/>
  <c r="K1370" i="3"/>
  <c r="K1369" i="3"/>
  <c r="J1369" i="3"/>
  <c r="J1370" i="3" s="1"/>
  <c r="K1368" i="3"/>
  <c r="K1367" i="3"/>
  <c r="J1367" i="3"/>
  <c r="J1368" i="3" s="1"/>
  <c r="K1366" i="3"/>
  <c r="I1366" i="3"/>
  <c r="I1367" i="3" s="1"/>
  <c r="I1368" i="3" s="1"/>
  <c r="I1369" i="3" s="1"/>
  <c r="I1370" i="3" s="1"/>
  <c r="I1371" i="3" s="1"/>
  <c r="I1372" i="3" s="1"/>
  <c r="I1373" i="3" s="1"/>
  <c r="I1374" i="3" s="1"/>
  <c r="I1375" i="3" s="1"/>
  <c r="I1376" i="3" s="1"/>
  <c r="I1377" i="3" s="1"/>
  <c r="I1378" i="3" s="1"/>
  <c r="I1379" i="3" s="1"/>
  <c r="I1380" i="3" s="1"/>
  <c r="K1365" i="3"/>
  <c r="K1364" i="3"/>
  <c r="K1363" i="3"/>
  <c r="J1363" i="3"/>
  <c r="J1364" i="3" s="1"/>
  <c r="J1365" i="3" s="1"/>
  <c r="J1366" i="3" s="1"/>
  <c r="K1362" i="3"/>
  <c r="K1361" i="3"/>
  <c r="J1361" i="3"/>
  <c r="J1362" i="3" s="1"/>
  <c r="K1360" i="3"/>
  <c r="K1359" i="3"/>
  <c r="J1359" i="3"/>
  <c r="J1360" i="3" s="1"/>
  <c r="K1358" i="3"/>
  <c r="K1357" i="3"/>
  <c r="J1357" i="3"/>
  <c r="J1358" i="3" s="1"/>
  <c r="K1356" i="3"/>
  <c r="K1355" i="3"/>
  <c r="J1355" i="3"/>
  <c r="J1356" i="3" s="1"/>
  <c r="K1354" i="3"/>
  <c r="K1353" i="3"/>
  <c r="J1353" i="3"/>
  <c r="J1354" i="3" s="1"/>
  <c r="I1353" i="3"/>
  <c r="I1354" i="3" s="1"/>
  <c r="I1355" i="3" s="1"/>
  <c r="I1356" i="3" s="1"/>
  <c r="I1357" i="3" s="1"/>
  <c r="I1358" i="3" s="1"/>
  <c r="I1359" i="3" s="1"/>
  <c r="I1360" i="3" s="1"/>
  <c r="I1361" i="3" s="1"/>
  <c r="I1362" i="3" s="1"/>
  <c r="I1363" i="3" s="1"/>
  <c r="I1364" i="3" s="1"/>
  <c r="I1365" i="3" s="1"/>
  <c r="K1352" i="3"/>
  <c r="I1352" i="3"/>
  <c r="K1351" i="3"/>
  <c r="J1351" i="3"/>
  <c r="J1352" i="3" s="1"/>
  <c r="K1350" i="3"/>
  <c r="J1350" i="3"/>
  <c r="K1349" i="3"/>
  <c r="I1349" i="3"/>
  <c r="I1350" i="3" s="1"/>
  <c r="I1351" i="3" s="1"/>
  <c r="K1348" i="3"/>
  <c r="K1347" i="3"/>
  <c r="J1347" i="3"/>
  <c r="J1348" i="3" s="1"/>
  <c r="J1349" i="3" s="1"/>
  <c r="K1346" i="3"/>
  <c r="I1346" i="3"/>
  <c r="I1347" i="3" s="1"/>
  <c r="I1348" i="3" s="1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J1334" i="3"/>
  <c r="J1335" i="3" s="1"/>
  <c r="J1336" i="3" s="1"/>
  <c r="J1337" i="3" s="1"/>
  <c r="J1338" i="3" s="1"/>
  <c r="J1339" i="3" s="1"/>
  <c r="J1340" i="3" s="1"/>
  <c r="J1341" i="3" s="1"/>
  <c r="J1342" i="3" s="1"/>
  <c r="J1343" i="3" s="1"/>
  <c r="J1344" i="3" s="1"/>
  <c r="J1345" i="3" s="1"/>
  <c r="J1346" i="3" s="1"/>
  <c r="K1333" i="3"/>
  <c r="K1332" i="3"/>
  <c r="K1331" i="3"/>
  <c r="J1331" i="3"/>
  <c r="J1332" i="3" s="1"/>
  <c r="J1333" i="3" s="1"/>
  <c r="K1330" i="3"/>
  <c r="K1329" i="3"/>
  <c r="K1328" i="3"/>
  <c r="J1328" i="3"/>
  <c r="J1329" i="3" s="1"/>
  <c r="J1330" i="3" s="1"/>
  <c r="K1327" i="3"/>
  <c r="K1326" i="3"/>
  <c r="K1325" i="3"/>
  <c r="K1324" i="3"/>
  <c r="J1324" i="3"/>
  <c r="J1325" i="3" s="1"/>
  <c r="J1326" i="3" s="1"/>
  <c r="J1327" i="3" s="1"/>
  <c r="K1323" i="3"/>
  <c r="K1322" i="3"/>
  <c r="K1321" i="3"/>
  <c r="J1321" i="3"/>
  <c r="J1322" i="3" s="1"/>
  <c r="J1323" i="3" s="1"/>
  <c r="K1320" i="3"/>
  <c r="K1319" i="3"/>
  <c r="K1318" i="3"/>
  <c r="J1318" i="3"/>
  <c r="J1319" i="3" s="1"/>
  <c r="J1320" i="3" s="1"/>
  <c r="K1317" i="3"/>
  <c r="K1316" i="3"/>
  <c r="K1315" i="3"/>
  <c r="J1315" i="3"/>
  <c r="J1316" i="3" s="1"/>
  <c r="J1317" i="3" s="1"/>
  <c r="K1314" i="3"/>
  <c r="K1313" i="3"/>
  <c r="K1312" i="3"/>
  <c r="K1311" i="3"/>
  <c r="J1311" i="3"/>
  <c r="J1312" i="3" s="1"/>
  <c r="J1313" i="3" s="1"/>
  <c r="J1314" i="3" s="1"/>
  <c r="K1310" i="3"/>
  <c r="J1310" i="3"/>
  <c r="I1310" i="3"/>
  <c r="I1311" i="3" s="1"/>
  <c r="I1312" i="3" s="1"/>
  <c r="I1313" i="3" s="1"/>
  <c r="I1314" i="3" s="1"/>
  <c r="I1315" i="3" s="1"/>
  <c r="I1316" i="3" s="1"/>
  <c r="I1317" i="3" s="1"/>
  <c r="I1318" i="3" s="1"/>
  <c r="I1319" i="3" s="1"/>
  <c r="I1320" i="3" s="1"/>
  <c r="I1321" i="3" s="1"/>
  <c r="I1322" i="3" s="1"/>
  <c r="I1323" i="3" s="1"/>
  <c r="I1324" i="3" s="1"/>
  <c r="I1325" i="3" s="1"/>
  <c r="I1326" i="3" s="1"/>
  <c r="I1327" i="3" s="1"/>
  <c r="I1328" i="3" s="1"/>
  <c r="I1329" i="3" s="1"/>
  <c r="I1330" i="3" s="1"/>
  <c r="I1331" i="3" s="1"/>
  <c r="I1332" i="3" s="1"/>
  <c r="I1333" i="3" s="1"/>
  <c r="I1334" i="3" s="1"/>
  <c r="I1335" i="3" s="1"/>
  <c r="I1336" i="3" s="1"/>
  <c r="I1337" i="3" s="1"/>
  <c r="I1338" i="3" s="1"/>
  <c r="I1339" i="3" s="1"/>
  <c r="I1340" i="3" s="1"/>
  <c r="I1341" i="3" s="1"/>
  <c r="I1342" i="3" s="1"/>
  <c r="I1343" i="3" s="1"/>
  <c r="I1344" i="3" s="1"/>
  <c r="I1345" i="3" s="1"/>
  <c r="K1309" i="3"/>
  <c r="K1308" i="3"/>
  <c r="K1307" i="3"/>
  <c r="J1307" i="3"/>
  <c r="J1308" i="3" s="1"/>
  <c r="J1309" i="3" s="1"/>
  <c r="K1306" i="3"/>
  <c r="K1305" i="3"/>
  <c r="K1304" i="3"/>
  <c r="K1303" i="3"/>
  <c r="K1302" i="3"/>
  <c r="K1301" i="3"/>
  <c r="K1300" i="3"/>
  <c r="K1299" i="3"/>
  <c r="K1298" i="3"/>
  <c r="J1298" i="3"/>
  <c r="J1299" i="3" s="1"/>
  <c r="J1300" i="3" s="1"/>
  <c r="J1301" i="3" s="1"/>
  <c r="J1302" i="3" s="1"/>
  <c r="J1303" i="3" s="1"/>
  <c r="J1304" i="3" s="1"/>
  <c r="J1305" i="3" s="1"/>
  <c r="J1306" i="3" s="1"/>
  <c r="K1297" i="3"/>
  <c r="K1296" i="3"/>
  <c r="K1295" i="3"/>
  <c r="J1295" i="3"/>
  <c r="J1296" i="3" s="1"/>
  <c r="J1297" i="3" s="1"/>
  <c r="K1294" i="3"/>
  <c r="K1293" i="3"/>
  <c r="K1292" i="3"/>
  <c r="K1291" i="3"/>
  <c r="K1290" i="3"/>
  <c r="J1290" i="3"/>
  <c r="J1291" i="3" s="1"/>
  <c r="J1292" i="3" s="1"/>
  <c r="J1293" i="3" s="1"/>
  <c r="J1294" i="3" s="1"/>
  <c r="K1289" i="3"/>
  <c r="K1288" i="3"/>
  <c r="K1287" i="3"/>
  <c r="K1286" i="3"/>
  <c r="K1285" i="3"/>
  <c r="J1285" i="3"/>
  <c r="J1286" i="3" s="1"/>
  <c r="J1287" i="3" s="1"/>
  <c r="J1288" i="3" s="1"/>
  <c r="J1289" i="3" s="1"/>
  <c r="K1284" i="3"/>
  <c r="K1283" i="3"/>
  <c r="K1282" i="3"/>
  <c r="K1281" i="3"/>
  <c r="J1281" i="3"/>
  <c r="J1282" i="3" s="1"/>
  <c r="J1283" i="3" s="1"/>
  <c r="J1284" i="3" s="1"/>
  <c r="K1280" i="3"/>
  <c r="K1279" i="3"/>
  <c r="K1278" i="3"/>
  <c r="K1277" i="3"/>
  <c r="J1277" i="3"/>
  <c r="J1278" i="3" s="1"/>
  <c r="J1279" i="3" s="1"/>
  <c r="J1280" i="3" s="1"/>
  <c r="K1276" i="3"/>
  <c r="K1275" i="3"/>
  <c r="J1275" i="3"/>
  <c r="J1276" i="3" s="1"/>
  <c r="K1274" i="3"/>
  <c r="I1274" i="3"/>
  <c r="I1275" i="3" s="1"/>
  <c r="I1276" i="3" s="1"/>
  <c r="I1277" i="3" s="1"/>
  <c r="I1278" i="3" s="1"/>
  <c r="I1279" i="3" s="1"/>
  <c r="I1280" i="3" s="1"/>
  <c r="I1281" i="3" s="1"/>
  <c r="I1282" i="3" s="1"/>
  <c r="I1283" i="3" s="1"/>
  <c r="I1284" i="3" s="1"/>
  <c r="I1285" i="3" s="1"/>
  <c r="I1286" i="3" s="1"/>
  <c r="I1287" i="3" s="1"/>
  <c r="I1288" i="3" s="1"/>
  <c r="I1289" i="3" s="1"/>
  <c r="I1290" i="3" s="1"/>
  <c r="I1291" i="3" s="1"/>
  <c r="I1292" i="3" s="1"/>
  <c r="I1293" i="3" s="1"/>
  <c r="I1294" i="3" s="1"/>
  <c r="I1295" i="3" s="1"/>
  <c r="I1296" i="3" s="1"/>
  <c r="I1297" i="3" s="1"/>
  <c r="I1298" i="3" s="1"/>
  <c r="I1299" i="3" s="1"/>
  <c r="I1300" i="3" s="1"/>
  <c r="I1301" i="3" s="1"/>
  <c r="I1302" i="3" s="1"/>
  <c r="I1303" i="3" s="1"/>
  <c r="I1304" i="3" s="1"/>
  <c r="I1305" i="3" s="1"/>
  <c r="I1306" i="3" s="1"/>
  <c r="I1307" i="3" s="1"/>
  <c r="I1308" i="3" s="1"/>
  <c r="I1309" i="3" s="1"/>
  <c r="K1273" i="3"/>
  <c r="K1272" i="3"/>
  <c r="K1271" i="3"/>
  <c r="K1270" i="3"/>
  <c r="K1269" i="3"/>
  <c r="K1268" i="3"/>
  <c r="K1267" i="3"/>
  <c r="K1266" i="3"/>
  <c r="K1265" i="3"/>
  <c r="K1264" i="3"/>
  <c r="K1263" i="3"/>
  <c r="J1263" i="3"/>
  <c r="J1264" i="3" s="1"/>
  <c r="J1265" i="3" s="1"/>
  <c r="J1266" i="3" s="1"/>
  <c r="J1267" i="3" s="1"/>
  <c r="J1268" i="3" s="1"/>
  <c r="J1269" i="3" s="1"/>
  <c r="J1270" i="3" s="1"/>
  <c r="J1271" i="3" s="1"/>
  <c r="J1272" i="3" s="1"/>
  <c r="J1273" i="3" s="1"/>
  <c r="J1274" i="3" s="1"/>
  <c r="K1262" i="3"/>
  <c r="K1261" i="3"/>
  <c r="J1261" i="3"/>
  <c r="J1262" i="3" s="1"/>
  <c r="K1260" i="3"/>
  <c r="K1259" i="3"/>
  <c r="J1259" i="3"/>
  <c r="J1260" i="3" s="1"/>
  <c r="K1258" i="3"/>
  <c r="I1258" i="3"/>
  <c r="I1259" i="3" s="1"/>
  <c r="I1260" i="3" s="1"/>
  <c r="I1261" i="3" s="1"/>
  <c r="I1262" i="3" s="1"/>
  <c r="I1263" i="3" s="1"/>
  <c r="I1264" i="3" s="1"/>
  <c r="I1265" i="3" s="1"/>
  <c r="I1266" i="3" s="1"/>
  <c r="I1267" i="3" s="1"/>
  <c r="I1268" i="3" s="1"/>
  <c r="I1269" i="3" s="1"/>
  <c r="I1270" i="3" s="1"/>
  <c r="I1271" i="3" s="1"/>
  <c r="I1272" i="3" s="1"/>
  <c r="I1273" i="3" s="1"/>
  <c r="K1257" i="3"/>
  <c r="K1256" i="3"/>
  <c r="J1256" i="3"/>
  <c r="J1257" i="3" s="1"/>
  <c r="J1258" i="3" s="1"/>
  <c r="K1255" i="3"/>
  <c r="K1254" i="3"/>
  <c r="K1253" i="3"/>
  <c r="K1252" i="3"/>
  <c r="K1251" i="3"/>
  <c r="J1251" i="3"/>
  <c r="J1252" i="3" s="1"/>
  <c r="J1253" i="3" s="1"/>
  <c r="J1254" i="3" s="1"/>
  <c r="J1255" i="3" s="1"/>
  <c r="K1250" i="3"/>
  <c r="K1249" i="3"/>
  <c r="J1249" i="3"/>
  <c r="J1250" i="3" s="1"/>
  <c r="K1248" i="3"/>
  <c r="K1247" i="3"/>
  <c r="J1247" i="3"/>
  <c r="J1248" i="3" s="1"/>
  <c r="K1246" i="3"/>
  <c r="K1245" i="3"/>
  <c r="J1245" i="3"/>
  <c r="J1246" i="3" s="1"/>
  <c r="K1244" i="3"/>
  <c r="K1243" i="3"/>
  <c r="J1243" i="3"/>
  <c r="J1244" i="3" s="1"/>
  <c r="K1242" i="3"/>
  <c r="K1241" i="3"/>
  <c r="J1241" i="3"/>
  <c r="J1242" i="3" s="1"/>
  <c r="K1240" i="3"/>
  <c r="K1239" i="3"/>
  <c r="J1239" i="3"/>
  <c r="J1240" i="3" s="1"/>
  <c r="K1238" i="3"/>
  <c r="K1237" i="3"/>
  <c r="J1237" i="3"/>
  <c r="J1238" i="3" s="1"/>
  <c r="K1236" i="3"/>
  <c r="I1236" i="3"/>
  <c r="I1237" i="3" s="1"/>
  <c r="I1238" i="3" s="1"/>
  <c r="I1239" i="3" s="1"/>
  <c r="I1240" i="3" s="1"/>
  <c r="I1241" i="3" s="1"/>
  <c r="I1242" i="3" s="1"/>
  <c r="I1243" i="3" s="1"/>
  <c r="I1244" i="3" s="1"/>
  <c r="I1245" i="3" s="1"/>
  <c r="I1246" i="3" s="1"/>
  <c r="I1247" i="3" s="1"/>
  <c r="I1248" i="3" s="1"/>
  <c r="I1249" i="3" s="1"/>
  <c r="I1250" i="3" s="1"/>
  <c r="I1251" i="3" s="1"/>
  <c r="I1252" i="3" s="1"/>
  <c r="I1253" i="3" s="1"/>
  <c r="I1254" i="3" s="1"/>
  <c r="I1255" i="3" s="1"/>
  <c r="I1256" i="3" s="1"/>
  <c r="I1257" i="3" s="1"/>
  <c r="K1235" i="3"/>
  <c r="H1235" i="3"/>
  <c r="H1236" i="3" s="1"/>
  <c r="H1237" i="3" s="1"/>
  <c r="H1238" i="3" s="1"/>
  <c r="H1239" i="3" s="1"/>
  <c r="H1240" i="3" s="1"/>
  <c r="H1241" i="3" s="1"/>
  <c r="H1242" i="3" s="1"/>
  <c r="H1243" i="3" s="1"/>
  <c r="H1244" i="3" s="1"/>
  <c r="H1245" i="3" s="1"/>
  <c r="H1246" i="3" s="1"/>
  <c r="H1247" i="3" s="1"/>
  <c r="H1248" i="3" s="1"/>
  <c r="H1249" i="3" s="1"/>
  <c r="H1250" i="3" s="1"/>
  <c r="H1251" i="3" s="1"/>
  <c r="H1252" i="3" s="1"/>
  <c r="H1253" i="3" s="1"/>
  <c r="H1254" i="3" s="1"/>
  <c r="H1255" i="3" s="1"/>
  <c r="H1256" i="3" s="1"/>
  <c r="H1257" i="3" s="1"/>
  <c r="H1258" i="3" s="1"/>
  <c r="H1259" i="3" s="1"/>
  <c r="H1260" i="3" s="1"/>
  <c r="H1261" i="3" s="1"/>
  <c r="H1262" i="3" s="1"/>
  <c r="H1263" i="3" s="1"/>
  <c r="H1264" i="3" s="1"/>
  <c r="H1265" i="3" s="1"/>
  <c r="H1266" i="3" s="1"/>
  <c r="H1267" i="3" s="1"/>
  <c r="H1268" i="3" s="1"/>
  <c r="H1269" i="3" s="1"/>
  <c r="H1270" i="3" s="1"/>
  <c r="H1271" i="3" s="1"/>
  <c r="H1272" i="3" s="1"/>
  <c r="H1273" i="3" s="1"/>
  <c r="H1274" i="3" s="1"/>
  <c r="H1275" i="3" s="1"/>
  <c r="H1276" i="3" s="1"/>
  <c r="H1277" i="3" s="1"/>
  <c r="H1278" i="3" s="1"/>
  <c r="H1279" i="3" s="1"/>
  <c r="H1280" i="3" s="1"/>
  <c r="H1281" i="3" s="1"/>
  <c r="H1282" i="3" s="1"/>
  <c r="H1283" i="3" s="1"/>
  <c r="H1284" i="3" s="1"/>
  <c r="H1285" i="3" s="1"/>
  <c r="H1286" i="3" s="1"/>
  <c r="H1287" i="3" s="1"/>
  <c r="H1288" i="3" s="1"/>
  <c r="H1289" i="3" s="1"/>
  <c r="H1290" i="3" s="1"/>
  <c r="H1291" i="3" s="1"/>
  <c r="H1292" i="3" s="1"/>
  <c r="H1293" i="3" s="1"/>
  <c r="H1294" i="3" s="1"/>
  <c r="H1295" i="3" s="1"/>
  <c r="H1296" i="3" s="1"/>
  <c r="H1297" i="3" s="1"/>
  <c r="H1298" i="3" s="1"/>
  <c r="H1299" i="3" s="1"/>
  <c r="H1300" i="3" s="1"/>
  <c r="H1301" i="3" s="1"/>
  <c r="H1302" i="3" s="1"/>
  <c r="H1303" i="3" s="1"/>
  <c r="H1304" i="3" s="1"/>
  <c r="H1305" i="3" s="1"/>
  <c r="H1306" i="3" s="1"/>
  <c r="H1307" i="3" s="1"/>
  <c r="H1308" i="3" s="1"/>
  <c r="H1309" i="3" s="1"/>
  <c r="H1310" i="3" s="1"/>
  <c r="H1311" i="3" s="1"/>
  <c r="H1312" i="3" s="1"/>
  <c r="H1313" i="3" s="1"/>
  <c r="H1314" i="3" s="1"/>
  <c r="H1315" i="3" s="1"/>
  <c r="H1316" i="3" s="1"/>
  <c r="H1317" i="3" s="1"/>
  <c r="H1318" i="3" s="1"/>
  <c r="H1319" i="3" s="1"/>
  <c r="H1320" i="3" s="1"/>
  <c r="H1321" i="3" s="1"/>
  <c r="H1322" i="3" s="1"/>
  <c r="H1323" i="3" s="1"/>
  <c r="H1324" i="3" s="1"/>
  <c r="H1325" i="3" s="1"/>
  <c r="H1326" i="3" s="1"/>
  <c r="H1327" i="3" s="1"/>
  <c r="H1328" i="3" s="1"/>
  <c r="H1329" i="3" s="1"/>
  <c r="H1330" i="3" s="1"/>
  <c r="H1331" i="3" s="1"/>
  <c r="H1332" i="3" s="1"/>
  <c r="H1333" i="3" s="1"/>
  <c r="H1334" i="3" s="1"/>
  <c r="H1335" i="3" s="1"/>
  <c r="H1336" i="3" s="1"/>
  <c r="H1337" i="3" s="1"/>
  <c r="H1338" i="3" s="1"/>
  <c r="H1339" i="3" s="1"/>
  <c r="H1340" i="3" s="1"/>
  <c r="H1341" i="3" s="1"/>
  <c r="H1342" i="3" s="1"/>
  <c r="H1343" i="3" s="1"/>
  <c r="H1344" i="3" s="1"/>
  <c r="H1345" i="3" s="1"/>
  <c r="H1346" i="3" s="1"/>
  <c r="H1347" i="3" s="1"/>
  <c r="H1348" i="3" s="1"/>
  <c r="H1349" i="3" s="1"/>
  <c r="H1350" i="3" s="1"/>
  <c r="H1351" i="3" s="1"/>
  <c r="H1352" i="3" s="1"/>
  <c r="H1353" i="3" s="1"/>
  <c r="H1354" i="3" s="1"/>
  <c r="H1355" i="3" s="1"/>
  <c r="H1356" i="3" s="1"/>
  <c r="H1357" i="3" s="1"/>
  <c r="H1358" i="3" s="1"/>
  <c r="H1359" i="3" s="1"/>
  <c r="H1360" i="3" s="1"/>
  <c r="H1361" i="3" s="1"/>
  <c r="H1362" i="3" s="1"/>
  <c r="H1363" i="3" s="1"/>
  <c r="H1364" i="3" s="1"/>
  <c r="H1365" i="3" s="1"/>
  <c r="H1366" i="3" s="1"/>
  <c r="H1367" i="3" s="1"/>
  <c r="H1368" i="3" s="1"/>
  <c r="H1369" i="3" s="1"/>
  <c r="H1370" i="3" s="1"/>
  <c r="H1371" i="3" s="1"/>
  <c r="H1372" i="3" s="1"/>
  <c r="H1373" i="3" s="1"/>
  <c r="H1374" i="3" s="1"/>
  <c r="H1375" i="3" s="1"/>
  <c r="H1376" i="3" s="1"/>
  <c r="H1377" i="3" s="1"/>
  <c r="H1378" i="3" s="1"/>
  <c r="H1379" i="3" s="1"/>
  <c r="H1380" i="3" s="1"/>
  <c r="H1381" i="3" s="1"/>
  <c r="H1382" i="3" s="1"/>
  <c r="H1383" i="3" s="1"/>
  <c r="H1384" i="3" s="1"/>
  <c r="H1385" i="3" s="1"/>
  <c r="H1386" i="3" s="1"/>
  <c r="H1387" i="3" s="1"/>
  <c r="H1388" i="3" s="1"/>
  <c r="H1389" i="3" s="1"/>
  <c r="H1390" i="3" s="1"/>
  <c r="H1391" i="3" s="1"/>
  <c r="H1392" i="3" s="1"/>
  <c r="H1393" i="3" s="1"/>
  <c r="H1394" i="3" s="1"/>
  <c r="H1395" i="3" s="1"/>
  <c r="H1396" i="3" s="1"/>
  <c r="H1397" i="3" s="1"/>
  <c r="H1398" i="3" s="1"/>
  <c r="H1399" i="3" s="1"/>
  <c r="H1400" i="3" s="1"/>
  <c r="H1401" i="3" s="1"/>
  <c r="H1402" i="3" s="1"/>
  <c r="H1403" i="3" s="1"/>
  <c r="H1404" i="3" s="1"/>
  <c r="H1405" i="3" s="1"/>
  <c r="H1406" i="3" s="1"/>
  <c r="H1407" i="3" s="1"/>
  <c r="H1408" i="3" s="1"/>
  <c r="H1409" i="3" s="1"/>
  <c r="H1410" i="3" s="1"/>
  <c r="H1411" i="3" s="1"/>
  <c r="H1412" i="3" s="1"/>
  <c r="H1413" i="3" s="1"/>
  <c r="H1414" i="3" s="1"/>
  <c r="H1415" i="3" s="1"/>
  <c r="K1234" i="3"/>
  <c r="K1233" i="3"/>
  <c r="J1233" i="3"/>
  <c r="J1234" i="3" s="1"/>
  <c r="J1235" i="3" s="1"/>
  <c r="J1236" i="3" s="1"/>
  <c r="K1232" i="3"/>
  <c r="K1231" i="3"/>
  <c r="K1230" i="3"/>
  <c r="J1230" i="3"/>
  <c r="J1231" i="3" s="1"/>
  <c r="J1232" i="3" s="1"/>
  <c r="K1229" i="3"/>
  <c r="K1228" i="3"/>
  <c r="K1227" i="3"/>
  <c r="K1226" i="3"/>
  <c r="K1225" i="3"/>
  <c r="K1224" i="3"/>
  <c r="K1223" i="3"/>
  <c r="J1223" i="3"/>
  <c r="J1224" i="3" s="1"/>
  <c r="J1225" i="3" s="1"/>
  <c r="J1226" i="3" s="1"/>
  <c r="J1227" i="3" s="1"/>
  <c r="J1228" i="3" s="1"/>
  <c r="J1229" i="3" s="1"/>
  <c r="K1222" i="3"/>
  <c r="I1222" i="3"/>
  <c r="I1223" i="3" s="1"/>
  <c r="I1224" i="3" s="1"/>
  <c r="I1225" i="3" s="1"/>
  <c r="I1226" i="3" s="1"/>
  <c r="I1227" i="3" s="1"/>
  <c r="I1228" i="3" s="1"/>
  <c r="I1229" i="3" s="1"/>
  <c r="I1230" i="3" s="1"/>
  <c r="I1231" i="3" s="1"/>
  <c r="I1232" i="3" s="1"/>
  <c r="I1233" i="3" s="1"/>
  <c r="I1234" i="3" s="1"/>
  <c r="I1235" i="3" s="1"/>
  <c r="K1221" i="3"/>
  <c r="K1220" i="3"/>
  <c r="K1219" i="3"/>
  <c r="K1218" i="3"/>
  <c r="K1217" i="3"/>
  <c r="K1216" i="3"/>
  <c r="K1215" i="3"/>
  <c r="J1215" i="3"/>
  <c r="J1216" i="3" s="1"/>
  <c r="J1217" i="3" s="1"/>
  <c r="J1218" i="3" s="1"/>
  <c r="J1219" i="3" s="1"/>
  <c r="J1220" i="3" s="1"/>
  <c r="J1221" i="3" s="1"/>
  <c r="J1222" i="3" s="1"/>
  <c r="I1215" i="3"/>
  <c r="I1216" i="3" s="1"/>
  <c r="I1217" i="3" s="1"/>
  <c r="I1218" i="3" s="1"/>
  <c r="I1219" i="3" s="1"/>
  <c r="I1220" i="3" s="1"/>
  <c r="I1221" i="3" s="1"/>
  <c r="K1214" i="3"/>
  <c r="I1214" i="3"/>
  <c r="K1213" i="3"/>
  <c r="K1212" i="3"/>
  <c r="K1211" i="3"/>
  <c r="K1210" i="3"/>
  <c r="K1209" i="3"/>
  <c r="K1208" i="3"/>
  <c r="K1207" i="3"/>
  <c r="K1206" i="3"/>
  <c r="J1206" i="3"/>
  <c r="J1207" i="3" s="1"/>
  <c r="J1208" i="3" s="1"/>
  <c r="J1209" i="3" s="1"/>
  <c r="J1210" i="3" s="1"/>
  <c r="J1211" i="3" s="1"/>
  <c r="J1212" i="3" s="1"/>
  <c r="J1213" i="3" s="1"/>
  <c r="J1214" i="3" s="1"/>
  <c r="K1205" i="3"/>
  <c r="J1205" i="3"/>
  <c r="K1204" i="3"/>
  <c r="I1204" i="3"/>
  <c r="I1205" i="3" s="1"/>
  <c r="I1206" i="3" s="1"/>
  <c r="I1207" i="3" s="1"/>
  <c r="I1208" i="3" s="1"/>
  <c r="I1209" i="3" s="1"/>
  <c r="I1210" i="3" s="1"/>
  <c r="I1211" i="3" s="1"/>
  <c r="I1212" i="3" s="1"/>
  <c r="I1213" i="3" s="1"/>
  <c r="K1203" i="3"/>
  <c r="K1202" i="3"/>
  <c r="K1201" i="3"/>
  <c r="J1201" i="3"/>
  <c r="J1202" i="3" s="1"/>
  <c r="J1203" i="3" s="1"/>
  <c r="J1204" i="3" s="1"/>
  <c r="K1200" i="3"/>
  <c r="K1199" i="3"/>
  <c r="K1198" i="3"/>
  <c r="K1197" i="3"/>
  <c r="K1196" i="3"/>
  <c r="K1195" i="3"/>
  <c r="K1194" i="3"/>
  <c r="J1194" i="3"/>
  <c r="J1195" i="3" s="1"/>
  <c r="J1196" i="3" s="1"/>
  <c r="J1197" i="3" s="1"/>
  <c r="J1198" i="3" s="1"/>
  <c r="J1199" i="3" s="1"/>
  <c r="J1200" i="3" s="1"/>
  <c r="I1194" i="3"/>
  <c r="I1195" i="3" s="1"/>
  <c r="I1196" i="3" s="1"/>
  <c r="I1197" i="3" s="1"/>
  <c r="I1198" i="3" s="1"/>
  <c r="I1199" i="3" s="1"/>
  <c r="I1200" i="3" s="1"/>
  <c r="I1201" i="3" s="1"/>
  <c r="I1202" i="3" s="1"/>
  <c r="I1203" i="3" s="1"/>
  <c r="K1193" i="3"/>
  <c r="I1193" i="3"/>
  <c r="K1192" i="3"/>
  <c r="H1192" i="3"/>
  <c r="H1193" i="3" s="1"/>
  <c r="H1194" i="3" s="1"/>
  <c r="H1195" i="3" s="1"/>
  <c r="H1196" i="3" s="1"/>
  <c r="H1197" i="3" s="1"/>
  <c r="H1198" i="3" s="1"/>
  <c r="H1199" i="3" s="1"/>
  <c r="H1200" i="3" s="1"/>
  <c r="H1201" i="3" s="1"/>
  <c r="H1202" i="3" s="1"/>
  <c r="H1203" i="3" s="1"/>
  <c r="H1204" i="3" s="1"/>
  <c r="H1205" i="3" s="1"/>
  <c r="H1206" i="3" s="1"/>
  <c r="H1207" i="3" s="1"/>
  <c r="H1208" i="3" s="1"/>
  <c r="H1209" i="3" s="1"/>
  <c r="H1210" i="3" s="1"/>
  <c r="H1211" i="3" s="1"/>
  <c r="H1212" i="3" s="1"/>
  <c r="H1213" i="3" s="1"/>
  <c r="H1214" i="3" s="1"/>
  <c r="H1215" i="3" s="1"/>
  <c r="H1216" i="3" s="1"/>
  <c r="H1217" i="3" s="1"/>
  <c r="H1218" i="3" s="1"/>
  <c r="H1219" i="3" s="1"/>
  <c r="H1220" i="3" s="1"/>
  <c r="H1221" i="3" s="1"/>
  <c r="H1222" i="3" s="1"/>
  <c r="H1223" i="3" s="1"/>
  <c r="H1224" i="3" s="1"/>
  <c r="H1225" i="3" s="1"/>
  <c r="H1226" i="3" s="1"/>
  <c r="H1227" i="3" s="1"/>
  <c r="H1228" i="3" s="1"/>
  <c r="H1229" i="3" s="1"/>
  <c r="H1230" i="3" s="1"/>
  <c r="H1231" i="3" s="1"/>
  <c r="H1232" i="3" s="1"/>
  <c r="H1233" i="3" s="1"/>
  <c r="H1234" i="3" s="1"/>
  <c r="K1191" i="3"/>
  <c r="G1191" i="3"/>
  <c r="G1192" i="3" s="1"/>
  <c r="G1193" i="3" s="1"/>
  <c r="G1194" i="3" s="1"/>
  <c r="G1195" i="3" s="1"/>
  <c r="G1196" i="3" s="1"/>
  <c r="G1197" i="3" s="1"/>
  <c r="G1198" i="3" s="1"/>
  <c r="G1199" i="3" s="1"/>
  <c r="G1200" i="3" s="1"/>
  <c r="G1201" i="3" s="1"/>
  <c r="G1202" i="3" s="1"/>
  <c r="G1203" i="3" s="1"/>
  <c r="G1204" i="3" s="1"/>
  <c r="G1205" i="3" s="1"/>
  <c r="G1206" i="3" s="1"/>
  <c r="G1207" i="3" s="1"/>
  <c r="G1208" i="3" s="1"/>
  <c r="G1209" i="3" s="1"/>
  <c r="G1210" i="3" s="1"/>
  <c r="G1211" i="3" s="1"/>
  <c r="G1212" i="3" s="1"/>
  <c r="G1213" i="3" s="1"/>
  <c r="G1214" i="3" s="1"/>
  <c r="G1215" i="3" s="1"/>
  <c r="G1216" i="3" s="1"/>
  <c r="G1217" i="3" s="1"/>
  <c r="G1218" i="3" s="1"/>
  <c r="G1219" i="3" s="1"/>
  <c r="G1220" i="3" s="1"/>
  <c r="G1221" i="3" s="1"/>
  <c r="G1222" i="3" s="1"/>
  <c r="G1223" i="3" s="1"/>
  <c r="G1224" i="3" s="1"/>
  <c r="G1225" i="3" s="1"/>
  <c r="G1226" i="3" s="1"/>
  <c r="G1227" i="3" s="1"/>
  <c r="G1228" i="3" s="1"/>
  <c r="G1229" i="3" s="1"/>
  <c r="G1230" i="3" s="1"/>
  <c r="G1231" i="3" s="1"/>
  <c r="G1232" i="3" s="1"/>
  <c r="G1233" i="3" s="1"/>
  <c r="G1234" i="3" s="1"/>
  <c r="G1235" i="3" s="1"/>
  <c r="G1236" i="3" s="1"/>
  <c r="G1237" i="3" s="1"/>
  <c r="G1238" i="3" s="1"/>
  <c r="G1239" i="3" s="1"/>
  <c r="G1240" i="3" s="1"/>
  <c r="G1241" i="3" s="1"/>
  <c r="G1242" i="3" s="1"/>
  <c r="G1243" i="3" s="1"/>
  <c r="G1244" i="3" s="1"/>
  <c r="G1245" i="3" s="1"/>
  <c r="G1246" i="3" s="1"/>
  <c r="G1247" i="3" s="1"/>
  <c r="G1248" i="3" s="1"/>
  <c r="G1249" i="3" s="1"/>
  <c r="G1250" i="3" s="1"/>
  <c r="G1251" i="3" s="1"/>
  <c r="G1252" i="3" s="1"/>
  <c r="G1253" i="3" s="1"/>
  <c r="G1254" i="3" s="1"/>
  <c r="G1255" i="3" s="1"/>
  <c r="G1256" i="3" s="1"/>
  <c r="G1257" i="3" s="1"/>
  <c r="G1258" i="3" s="1"/>
  <c r="G1259" i="3" s="1"/>
  <c r="G1260" i="3" s="1"/>
  <c r="G1261" i="3" s="1"/>
  <c r="G1262" i="3" s="1"/>
  <c r="G1263" i="3" s="1"/>
  <c r="G1264" i="3" s="1"/>
  <c r="G1265" i="3" s="1"/>
  <c r="G1266" i="3" s="1"/>
  <c r="G1267" i="3" s="1"/>
  <c r="G1268" i="3" s="1"/>
  <c r="G1269" i="3" s="1"/>
  <c r="G1270" i="3" s="1"/>
  <c r="G1271" i="3" s="1"/>
  <c r="G1272" i="3" s="1"/>
  <c r="G1273" i="3" s="1"/>
  <c r="G1274" i="3" s="1"/>
  <c r="G1275" i="3" s="1"/>
  <c r="G1276" i="3" s="1"/>
  <c r="G1277" i="3" s="1"/>
  <c r="G1278" i="3" s="1"/>
  <c r="G1279" i="3" s="1"/>
  <c r="G1280" i="3" s="1"/>
  <c r="G1281" i="3" s="1"/>
  <c r="G1282" i="3" s="1"/>
  <c r="G1283" i="3" s="1"/>
  <c r="G1284" i="3" s="1"/>
  <c r="G1285" i="3" s="1"/>
  <c r="G1286" i="3" s="1"/>
  <c r="G1287" i="3" s="1"/>
  <c r="G1288" i="3" s="1"/>
  <c r="G1289" i="3" s="1"/>
  <c r="G1290" i="3" s="1"/>
  <c r="G1291" i="3" s="1"/>
  <c r="G1292" i="3" s="1"/>
  <c r="G1293" i="3" s="1"/>
  <c r="G1294" i="3" s="1"/>
  <c r="G1295" i="3" s="1"/>
  <c r="G1296" i="3" s="1"/>
  <c r="G1297" i="3" s="1"/>
  <c r="G1298" i="3" s="1"/>
  <c r="G1299" i="3" s="1"/>
  <c r="G1300" i="3" s="1"/>
  <c r="G1301" i="3" s="1"/>
  <c r="G1302" i="3" s="1"/>
  <c r="G1303" i="3" s="1"/>
  <c r="G1304" i="3" s="1"/>
  <c r="G1305" i="3" s="1"/>
  <c r="G1306" i="3" s="1"/>
  <c r="G1307" i="3" s="1"/>
  <c r="G1308" i="3" s="1"/>
  <c r="G1309" i="3" s="1"/>
  <c r="G1310" i="3" s="1"/>
  <c r="G1311" i="3" s="1"/>
  <c r="G1312" i="3" s="1"/>
  <c r="G1313" i="3" s="1"/>
  <c r="G1314" i="3" s="1"/>
  <c r="G1315" i="3" s="1"/>
  <c r="G1316" i="3" s="1"/>
  <c r="G1317" i="3" s="1"/>
  <c r="G1318" i="3" s="1"/>
  <c r="G1319" i="3" s="1"/>
  <c r="G1320" i="3" s="1"/>
  <c r="G1321" i="3" s="1"/>
  <c r="G1322" i="3" s="1"/>
  <c r="G1323" i="3" s="1"/>
  <c r="G1324" i="3" s="1"/>
  <c r="G1325" i="3" s="1"/>
  <c r="G1326" i="3" s="1"/>
  <c r="G1327" i="3" s="1"/>
  <c r="G1328" i="3" s="1"/>
  <c r="G1329" i="3" s="1"/>
  <c r="G1330" i="3" s="1"/>
  <c r="G1331" i="3" s="1"/>
  <c r="G1332" i="3" s="1"/>
  <c r="G1333" i="3" s="1"/>
  <c r="G1334" i="3" s="1"/>
  <c r="G1335" i="3" s="1"/>
  <c r="G1336" i="3" s="1"/>
  <c r="G1337" i="3" s="1"/>
  <c r="G1338" i="3" s="1"/>
  <c r="G1339" i="3" s="1"/>
  <c r="G1340" i="3" s="1"/>
  <c r="G1341" i="3" s="1"/>
  <c r="G1342" i="3" s="1"/>
  <c r="G1343" i="3" s="1"/>
  <c r="G1344" i="3" s="1"/>
  <c r="G1345" i="3" s="1"/>
  <c r="G1346" i="3" s="1"/>
  <c r="G1347" i="3" s="1"/>
  <c r="G1348" i="3" s="1"/>
  <c r="G1349" i="3" s="1"/>
  <c r="G1350" i="3" s="1"/>
  <c r="G1351" i="3" s="1"/>
  <c r="G1352" i="3" s="1"/>
  <c r="G1353" i="3" s="1"/>
  <c r="G1354" i="3" s="1"/>
  <c r="G1355" i="3" s="1"/>
  <c r="G1356" i="3" s="1"/>
  <c r="G1357" i="3" s="1"/>
  <c r="G1358" i="3" s="1"/>
  <c r="G1359" i="3" s="1"/>
  <c r="G1360" i="3" s="1"/>
  <c r="G1361" i="3" s="1"/>
  <c r="G1362" i="3" s="1"/>
  <c r="G1363" i="3" s="1"/>
  <c r="G1364" i="3" s="1"/>
  <c r="G1365" i="3" s="1"/>
  <c r="G1366" i="3" s="1"/>
  <c r="G1367" i="3" s="1"/>
  <c r="G1368" i="3" s="1"/>
  <c r="G1369" i="3" s="1"/>
  <c r="G1370" i="3" s="1"/>
  <c r="G1371" i="3" s="1"/>
  <c r="G1372" i="3" s="1"/>
  <c r="G1373" i="3" s="1"/>
  <c r="G1374" i="3" s="1"/>
  <c r="G1375" i="3" s="1"/>
  <c r="G1376" i="3" s="1"/>
  <c r="G1377" i="3" s="1"/>
  <c r="G1378" i="3" s="1"/>
  <c r="G1379" i="3" s="1"/>
  <c r="G1380" i="3" s="1"/>
  <c r="G1381" i="3" s="1"/>
  <c r="G1382" i="3" s="1"/>
  <c r="G1383" i="3" s="1"/>
  <c r="G1384" i="3" s="1"/>
  <c r="G1385" i="3" s="1"/>
  <c r="G1386" i="3" s="1"/>
  <c r="G1387" i="3" s="1"/>
  <c r="G1388" i="3" s="1"/>
  <c r="G1389" i="3" s="1"/>
  <c r="G1390" i="3" s="1"/>
  <c r="G1391" i="3" s="1"/>
  <c r="G1392" i="3" s="1"/>
  <c r="G1393" i="3" s="1"/>
  <c r="G1394" i="3" s="1"/>
  <c r="G1395" i="3" s="1"/>
  <c r="G1396" i="3" s="1"/>
  <c r="G1397" i="3" s="1"/>
  <c r="G1398" i="3" s="1"/>
  <c r="G1399" i="3" s="1"/>
  <c r="G1400" i="3" s="1"/>
  <c r="G1401" i="3" s="1"/>
  <c r="G1402" i="3" s="1"/>
  <c r="G1403" i="3" s="1"/>
  <c r="G1404" i="3" s="1"/>
  <c r="G1405" i="3" s="1"/>
  <c r="G1406" i="3" s="1"/>
  <c r="G1407" i="3" s="1"/>
  <c r="G1408" i="3" s="1"/>
  <c r="G1409" i="3" s="1"/>
  <c r="G1410" i="3" s="1"/>
  <c r="G1411" i="3" s="1"/>
  <c r="G1412" i="3" s="1"/>
  <c r="G1413" i="3" s="1"/>
  <c r="G1414" i="3" s="1"/>
  <c r="G1415" i="3" s="1"/>
  <c r="G1416" i="3" s="1"/>
  <c r="G1417" i="3" s="1"/>
  <c r="G1418" i="3" s="1"/>
  <c r="G1419" i="3" s="1"/>
  <c r="G1420" i="3" s="1"/>
  <c r="G1421" i="3" s="1"/>
  <c r="G1422" i="3" s="1"/>
  <c r="G1423" i="3" s="1"/>
  <c r="G1424" i="3" s="1"/>
  <c r="G1425" i="3" s="1"/>
  <c r="G1426" i="3" s="1"/>
  <c r="G1427" i="3" s="1"/>
  <c r="G1428" i="3" s="1"/>
  <c r="G1429" i="3" s="1"/>
  <c r="G1430" i="3" s="1"/>
  <c r="G1431" i="3" s="1"/>
  <c r="G1432" i="3" s="1"/>
  <c r="G1433" i="3" s="1"/>
  <c r="G1434" i="3" s="1"/>
  <c r="G1435" i="3" s="1"/>
  <c r="G1436" i="3" s="1"/>
  <c r="G1437" i="3" s="1"/>
  <c r="G1438" i="3" s="1"/>
  <c r="G1439" i="3" s="1"/>
  <c r="G1440" i="3" s="1"/>
  <c r="G1441" i="3" s="1"/>
  <c r="G1442" i="3" s="1"/>
  <c r="G1443" i="3" s="1"/>
  <c r="G1444" i="3" s="1"/>
  <c r="G1445" i="3" s="1"/>
  <c r="G1446" i="3" s="1"/>
  <c r="G1447" i="3" s="1"/>
  <c r="G1448" i="3" s="1"/>
  <c r="G1449" i="3" s="1"/>
  <c r="G1450" i="3" s="1"/>
  <c r="G1451" i="3" s="1"/>
  <c r="G1452" i="3" s="1"/>
  <c r="G1453" i="3" s="1"/>
  <c r="G1454" i="3" s="1"/>
  <c r="G1455" i="3" s="1"/>
  <c r="G1456" i="3" s="1"/>
  <c r="G1457" i="3" s="1"/>
  <c r="G1458" i="3" s="1"/>
  <c r="G1459" i="3" s="1"/>
  <c r="G1460" i="3" s="1"/>
  <c r="G1461" i="3" s="1"/>
  <c r="G1462" i="3" s="1"/>
  <c r="G1463" i="3" s="1"/>
  <c r="G1464" i="3" s="1"/>
  <c r="G1465" i="3" s="1"/>
  <c r="G1466" i="3" s="1"/>
  <c r="G1467" i="3" s="1"/>
  <c r="G1468" i="3" s="1"/>
  <c r="G1469" i="3" s="1"/>
  <c r="G1470" i="3" s="1"/>
  <c r="G1471" i="3" s="1"/>
  <c r="G1472" i="3" s="1"/>
  <c r="G1473" i="3" s="1"/>
  <c r="G1474" i="3" s="1"/>
  <c r="G1475" i="3" s="1"/>
  <c r="G1476" i="3" s="1"/>
  <c r="G1477" i="3" s="1"/>
  <c r="G1478" i="3" s="1"/>
  <c r="G1479" i="3" s="1"/>
  <c r="G1480" i="3" s="1"/>
  <c r="G1481" i="3" s="1"/>
  <c r="G1482" i="3" s="1"/>
  <c r="G1483" i="3" s="1"/>
  <c r="G1484" i="3" s="1"/>
  <c r="G1485" i="3" s="1"/>
  <c r="G1486" i="3" s="1"/>
  <c r="G1487" i="3" s="1"/>
  <c r="G1488" i="3" s="1"/>
  <c r="G1489" i="3" s="1"/>
  <c r="G1490" i="3" s="1"/>
  <c r="G1491" i="3" s="1"/>
  <c r="G1492" i="3" s="1"/>
  <c r="G1493" i="3" s="1"/>
  <c r="G1494" i="3" s="1"/>
  <c r="G1495" i="3" s="1"/>
  <c r="G1496" i="3" s="1"/>
  <c r="G1497" i="3" s="1"/>
  <c r="G1498" i="3" s="1"/>
  <c r="G1499" i="3" s="1"/>
  <c r="G1500" i="3" s="1"/>
  <c r="G1501" i="3" s="1"/>
  <c r="G1502" i="3" s="1"/>
  <c r="G1503" i="3" s="1"/>
  <c r="G1504" i="3" s="1"/>
  <c r="G1505" i="3" s="1"/>
  <c r="G1506" i="3" s="1"/>
  <c r="G1507" i="3" s="1"/>
  <c r="G1508" i="3" s="1"/>
  <c r="G1509" i="3" s="1"/>
  <c r="G1510" i="3" s="1"/>
  <c r="G1511" i="3" s="1"/>
  <c r="G1512" i="3" s="1"/>
  <c r="G1513" i="3" s="1"/>
  <c r="G1514" i="3" s="1"/>
  <c r="G1515" i="3" s="1"/>
  <c r="G1516" i="3" s="1"/>
  <c r="G1517" i="3" s="1"/>
  <c r="G1518" i="3" s="1"/>
  <c r="G1519" i="3" s="1"/>
  <c r="G1520" i="3" s="1"/>
  <c r="G1521" i="3" s="1"/>
  <c r="G1522" i="3" s="1"/>
  <c r="G1523" i="3" s="1"/>
  <c r="G1524" i="3" s="1"/>
  <c r="G1525" i="3" s="1"/>
  <c r="G1526" i="3" s="1"/>
  <c r="G1527" i="3" s="1"/>
  <c r="G1528" i="3" s="1"/>
  <c r="G1529" i="3" s="1"/>
  <c r="G1530" i="3" s="1"/>
  <c r="G1531" i="3" s="1"/>
  <c r="G1532" i="3" s="1"/>
  <c r="G1533" i="3" s="1"/>
  <c r="G1534" i="3" s="1"/>
  <c r="G1535" i="3" s="1"/>
  <c r="G1536" i="3" s="1"/>
  <c r="G1537" i="3" s="1"/>
  <c r="K1190" i="3"/>
  <c r="K1189" i="3"/>
  <c r="K1188" i="3"/>
  <c r="K1187" i="3"/>
  <c r="K1186" i="3"/>
  <c r="K1185" i="3"/>
  <c r="J1185" i="3"/>
  <c r="J1186" i="3" s="1"/>
  <c r="J1187" i="3" s="1"/>
  <c r="J1188" i="3" s="1"/>
  <c r="J1189" i="3" s="1"/>
  <c r="J1190" i="3" s="1"/>
  <c r="J1191" i="3" s="1"/>
  <c r="J1192" i="3" s="1"/>
  <c r="J1193" i="3" s="1"/>
  <c r="K1184" i="3"/>
  <c r="J1184" i="3"/>
  <c r="K1183" i="3"/>
  <c r="K1182" i="3"/>
  <c r="J1182" i="3"/>
  <c r="J1183" i="3" s="1"/>
  <c r="K1181" i="3"/>
  <c r="I1181" i="3"/>
  <c r="I1182" i="3" s="1"/>
  <c r="I1183" i="3" s="1"/>
  <c r="I1184" i="3" s="1"/>
  <c r="I1185" i="3" s="1"/>
  <c r="I1186" i="3" s="1"/>
  <c r="I1187" i="3" s="1"/>
  <c r="I1188" i="3" s="1"/>
  <c r="I1189" i="3" s="1"/>
  <c r="I1190" i="3" s="1"/>
  <c r="I1191" i="3" s="1"/>
  <c r="I1192" i="3" s="1"/>
  <c r="K1180" i="3"/>
  <c r="K1179" i="3"/>
  <c r="K1178" i="3"/>
  <c r="K1177" i="3"/>
  <c r="K1176" i="3"/>
  <c r="K1175" i="3"/>
  <c r="K1174" i="3"/>
  <c r="J1174" i="3"/>
  <c r="J1175" i="3" s="1"/>
  <c r="J1176" i="3" s="1"/>
  <c r="J1177" i="3" s="1"/>
  <c r="J1178" i="3" s="1"/>
  <c r="J1179" i="3" s="1"/>
  <c r="J1180" i="3" s="1"/>
  <c r="J1181" i="3" s="1"/>
  <c r="K1173" i="3"/>
  <c r="I1173" i="3"/>
  <c r="I1174" i="3" s="1"/>
  <c r="I1175" i="3" s="1"/>
  <c r="I1176" i="3" s="1"/>
  <c r="I1177" i="3" s="1"/>
  <c r="I1178" i="3" s="1"/>
  <c r="I1179" i="3" s="1"/>
  <c r="I1180" i="3" s="1"/>
  <c r="K1172" i="3"/>
  <c r="K1171" i="3"/>
  <c r="K1170" i="3"/>
  <c r="K1169" i="3"/>
  <c r="K1168" i="3"/>
  <c r="K1167" i="3"/>
  <c r="K1166" i="3"/>
  <c r="J1166" i="3"/>
  <c r="J1167" i="3" s="1"/>
  <c r="J1168" i="3" s="1"/>
  <c r="J1169" i="3" s="1"/>
  <c r="J1170" i="3" s="1"/>
  <c r="J1171" i="3" s="1"/>
  <c r="J1172" i="3" s="1"/>
  <c r="J1173" i="3" s="1"/>
  <c r="K1165" i="3"/>
  <c r="K1164" i="3"/>
  <c r="K1163" i="3"/>
  <c r="K1162" i="3"/>
  <c r="J1162" i="3"/>
  <c r="J1163" i="3" s="1"/>
  <c r="J1164" i="3" s="1"/>
  <c r="J1165" i="3" s="1"/>
  <c r="K1161" i="3"/>
  <c r="K1160" i="3"/>
  <c r="J1160" i="3"/>
  <c r="J1161" i="3" s="1"/>
  <c r="K1159" i="3"/>
  <c r="I1159" i="3"/>
  <c r="I1160" i="3" s="1"/>
  <c r="I1161" i="3" s="1"/>
  <c r="I1162" i="3" s="1"/>
  <c r="I1163" i="3" s="1"/>
  <c r="I1164" i="3" s="1"/>
  <c r="I1165" i="3" s="1"/>
  <c r="I1166" i="3" s="1"/>
  <c r="I1167" i="3" s="1"/>
  <c r="I1168" i="3" s="1"/>
  <c r="I1169" i="3" s="1"/>
  <c r="I1170" i="3" s="1"/>
  <c r="I1171" i="3" s="1"/>
  <c r="I1172" i="3" s="1"/>
  <c r="K1158" i="3"/>
  <c r="J1158" i="3"/>
  <c r="J1159" i="3" s="1"/>
  <c r="K1157" i="3"/>
  <c r="J1157" i="3"/>
  <c r="K1156" i="3"/>
  <c r="K1155" i="3"/>
  <c r="J1155" i="3"/>
  <c r="J1156" i="3" s="1"/>
  <c r="K1154" i="3"/>
  <c r="K1153" i="3"/>
  <c r="J1153" i="3"/>
  <c r="J1154" i="3" s="1"/>
  <c r="K1152" i="3"/>
  <c r="K1151" i="3"/>
  <c r="K1150" i="3"/>
  <c r="J1150" i="3"/>
  <c r="J1151" i="3" s="1"/>
  <c r="J1152" i="3" s="1"/>
  <c r="K1149" i="3"/>
  <c r="I1149" i="3"/>
  <c r="I1150" i="3" s="1"/>
  <c r="I1151" i="3" s="1"/>
  <c r="I1152" i="3" s="1"/>
  <c r="I1153" i="3" s="1"/>
  <c r="I1154" i="3" s="1"/>
  <c r="I1155" i="3" s="1"/>
  <c r="I1156" i="3" s="1"/>
  <c r="I1157" i="3" s="1"/>
  <c r="I1158" i="3" s="1"/>
  <c r="K1148" i="3"/>
  <c r="H1148" i="3"/>
  <c r="H1149" i="3" s="1"/>
  <c r="H1150" i="3" s="1"/>
  <c r="H1151" i="3" s="1"/>
  <c r="H1152" i="3" s="1"/>
  <c r="H1153" i="3" s="1"/>
  <c r="H1154" i="3" s="1"/>
  <c r="H1155" i="3" s="1"/>
  <c r="H1156" i="3" s="1"/>
  <c r="H1157" i="3" s="1"/>
  <c r="H1158" i="3" s="1"/>
  <c r="H1159" i="3" s="1"/>
  <c r="H1160" i="3" s="1"/>
  <c r="H1161" i="3" s="1"/>
  <c r="H1162" i="3" s="1"/>
  <c r="H1163" i="3" s="1"/>
  <c r="H1164" i="3" s="1"/>
  <c r="H1165" i="3" s="1"/>
  <c r="H1166" i="3" s="1"/>
  <c r="H1167" i="3" s="1"/>
  <c r="H1168" i="3" s="1"/>
  <c r="H1169" i="3" s="1"/>
  <c r="H1170" i="3" s="1"/>
  <c r="H1171" i="3" s="1"/>
  <c r="H1172" i="3" s="1"/>
  <c r="H1173" i="3" s="1"/>
  <c r="H1174" i="3" s="1"/>
  <c r="H1175" i="3" s="1"/>
  <c r="H1176" i="3" s="1"/>
  <c r="H1177" i="3" s="1"/>
  <c r="H1178" i="3" s="1"/>
  <c r="H1179" i="3" s="1"/>
  <c r="H1180" i="3" s="1"/>
  <c r="H1181" i="3" s="1"/>
  <c r="H1182" i="3" s="1"/>
  <c r="H1183" i="3" s="1"/>
  <c r="H1184" i="3" s="1"/>
  <c r="H1185" i="3" s="1"/>
  <c r="H1186" i="3" s="1"/>
  <c r="H1187" i="3" s="1"/>
  <c r="H1188" i="3" s="1"/>
  <c r="H1189" i="3" s="1"/>
  <c r="H1190" i="3" s="1"/>
  <c r="H1191" i="3" s="1"/>
  <c r="K1147" i="3"/>
  <c r="K1146" i="3"/>
  <c r="K1145" i="3"/>
  <c r="J1145" i="3"/>
  <c r="J1146" i="3" s="1"/>
  <c r="J1147" i="3" s="1"/>
  <c r="J1148" i="3" s="1"/>
  <c r="J1149" i="3" s="1"/>
  <c r="K1144" i="3"/>
  <c r="K1143" i="3"/>
  <c r="K1142" i="3"/>
  <c r="J1142" i="3"/>
  <c r="J1143" i="3" s="1"/>
  <c r="J1144" i="3" s="1"/>
  <c r="K1141" i="3"/>
  <c r="K1140" i="3"/>
  <c r="J1140" i="3"/>
  <c r="J1141" i="3" s="1"/>
  <c r="K1139" i="3"/>
  <c r="I1139" i="3"/>
  <c r="I1140" i="3" s="1"/>
  <c r="I1141" i="3" s="1"/>
  <c r="I1142" i="3" s="1"/>
  <c r="I1143" i="3" s="1"/>
  <c r="I1144" i="3" s="1"/>
  <c r="I1145" i="3" s="1"/>
  <c r="I1146" i="3" s="1"/>
  <c r="I1147" i="3" s="1"/>
  <c r="I1148" i="3" s="1"/>
  <c r="K1138" i="3"/>
  <c r="J1138" i="3"/>
  <c r="J1139" i="3" s="1"/>
  <c r="K1137" i="3"/>
  <c r="J1137" i="3"/>
  <c r="K1136" i="3"/>
  <c r="K1135" i="3"/>
  <c r="K1134" i="3"/>
  <c r="J1134" i="3"/>
  <c r="J1135" i="3" s="1"/>
  <c r="J1136" i="3" s="1"/>
  <c r="K1133" i="3"/>
  <c r="K1132" i="3"/>
  <c r="K1131" i="3"/>
  <c r="K1130" i="3"/>
  <c r="J1130" i="3"/>
  <c r="J1131" i="3" s="1"/>
  <c r="J1132" i="3" s="1"/>
  <c r="J1133" i="3" s="1"/>
  <c r="K1129" i="3"/>
  <c r="K1128" i="3"/>
  <c r="J1128" i="3"/>
  <c r="J1129" i="3" s="1"/>
  <c r="K1127" i="3"/>
  <c r="I1127" i="3"/>
  <c r="I1128" i="3" s="1"/>
  <c r="I1129" i="3" s="1"/>
  <c r="I1130" i="3" s="1"/>
  <c r="I1131" i="3" s="1"/>
  <c r="I1132" i="3" s="1"/>
  <c r="I1133" i="3" s="1"/>
  <c r="I1134" i="3" s="1"/>
  <c r="I1135" i="3" s="1"/>
  <c r="I1136" i="3" s="1"/>
  <c r="I1137" i="3" s="1"/>
  <c r="I1138" i="3" s="1"/>
  <c r="K1126" i="3"/>
  <c r="K1125" i="3"/>
  <c r="J1125" i="3"/>
  <c r="J1126" i="3" s="1"/>
  <c r="J1127" i="3" s="1"/>
  <c r="K1124" i="3"/>
  <c r="K1123" i="3"/>
  <c r="J1123" i="3"/>
  <c r="J1124" i="3" s="1"/>
  <c r="K1122" i="3"/>
  <c r="K1121" i="3"/>
  <c r="J1121" i="3"/>
  <c r="J1122" i="3" s="1"/>
  <c r="K1120" i="3"/>
  <c r="J1120" i="3"/>
  <c r="K1119" i="3"/>
  <c r="I1119" i="3"/>
  <c r="I1120" i="3" s="1"/>
  <c r="I1121" i="3" s="1"/>
  <c r="I1122" i="3" s="1"/>
  <c r="I1123" i="3" s="1"/>
  <c r="I1124" i="3" s="1"/>
  <c r="I1125" i="3" s="1"/>
  <c r="I1126" i="3" s="1"/>
  <c r="K1118" i="3"/>
  <c r="H1118" i="3"/>
  <c r="H1119" i="3" s="1"/>
  <c r="H1120" i="3" s="1"/>
  <c r="H1121" i="3" s="1"/>
  <c r="H1122" i="3" s="1"/>
  <c r="H1123" i="3" s="1"/>
  <c r="H1124" i="3" s="1"/>
  <c r="H1125" i="3" s="1"/>
  <c r="H1126" i="3" s="1"/>
  <c r="H1127" i="3" s="1"/>
  <c r="H1128" i="3" s="1"/>
  <c r="H1129" i="3" s="1"/>
  <c r="H1130" i="3" s="1"/>
  <c r="H1131" i="3" s="1"/>
  <c r="H1132" i="3" s="1"/>
  <c r="H1133" i="3" s="1"/>
  <c r="H1134" i="3" s="1"/>
  <c r="H1135" i="3" s="1"/>
  <c r="H1136" i="3" s="1"/>
  <c r="H1137" i="3" s="1"/>
  <c r="H1138" i="3" s="1"/>
  <c r="H1139" i="3" s="1"/>
  <c r="H1140" i="3" s="1"/>
  <c r="H1141" i="3" s="1"/>
  <c r="H1142" i="3" s="1"/>
  <c r="H1143" i="3" s="1"/>
  <c r="H1144" i="3" s="1"/>
  <c r="H1145" i="3" s="1"/>
  <c r="H1146" i="3" s="1"/>
  <c r="H1147" i="3" s="1"/>
  <c r="K1117" i="3"/>
  <c r="K1116" i="3"/>
  <c r="J1116" i="3"/>
  <c r="J1117" i="3" s="1"/>
  <c r="J1118" i="3" s="1"/>
  <c r="J1119" i="3" s="1"/>
  <c r="K1115" i="3"/>
  <c r="I1115" i="3"/>
  <c r="I1116" i="3" s="1"/>
  <c r="I1117" i="3" s="1"/>
  <c r="I1118" i="3" s="1"/>
  <c r="K1114" i="3"/>
  <c r="J1114" i="3"/>
  <c r="J1115" i="3" s="1"/>
  <c r="K1113" i="3"/>
  <c r="J1113" i="3"/>
  <c r="K1112" i="3"/>
  <c r="I1112" i="3"/>
  <c r="I1113" i="3" s="1"/>
  <c r="I1114" i="3" s="1"/>
  <c r="K1111" i="3"/>
  <c r="H1111" i="3"/>
  <c r="H1112" i="3" s="1"/>
  <c r="H1113" i="3" s="1"/>
  <c r="H1114" i="3" s="1"/>
  <c r="H1115" i="3" s="1"/>
  <c r="H1116" i="3" s="1"/>
  <c r="H1117" i="3" s="1"/>
  <c r="K1110" i="3"/>
  <c r="G1110" i="3"/>
  <c r="G1111" i="3" s="1"/>
  <c r="G1112" i="3" s="1"/>
  <c r="G1113" i="3" s="1"/>
  <c r="G1114" i="3" s="1"/>
  <c r="G1115" i="3" s="1"/>
  <c r="G1116" i="3" s="1"/>
  <c r="G1117" i="3" s="1"/>
  <c r="G1118" i="3" s="1"/>
  <c r="G1119" i="3" s="1"/>
  <c r="G1120" i="3" s="1"/>
  <c r="G1121" i="3" s="1"/>
  <c r="G1122" i="3" s="1"/>
  <c r="G1123" i="3" s="1"/>
  <c r="G1124" i="3" s="1"/>
  <c r="G1125" i="3" s="1"/>
  <c r="G1126" i="3" s="1"/>
  <c r="G1127" i="3" s="1"/>
  <c r="G1128" i="3" s="1"/>
  <c r="G1129" i="3" s="1"/>
  <c r="G1130" i="3" s="1"/>
  <c r="G1131" i="3" s="1"/>
  <c r="G1132" i="3" s="1"/>
  <c r="G1133" i="3" s="1"/>
  <c r="G1134" i="3" s="1"/>
  <c r="G1135" i="3" s="1"/>
  <c r="G1136" i="3" s="1"/>
  <c r="G1137" i="3" s="1"/>
  <c r="G1138" i="3" s="1"/>
  <c r="G1139" i="3" s="1"/>
  <c r="G1140" i="3" s="1"/>
  <c r="G1141" i="3" s="1"/>
  <c r="G1142" i="3" s="1"/>
  <c r="G1143" i="3" s="1"/>
  <c r="G1144" i="3" s="1"/>
  <c r="G1145" i="3" s="1"/>
  <c r="G1146" i="3" s="1"/>
  <c r="G1147" i="3" s="1"/>
  <c r="G1148" i="3" s="1"/>
  <c r="G1149" i="3" s="1"/>
  <c r="G1150" i="3" s="1"/>
  <c r="G1151" i="3" s="1"/>
  <c r="G1152" i="3" s="1"/>
  <c r="G1153" i="3" s="1"/>
  <c r="G1154" i="3" s="1"/>
  <c r="G1155" i="3" s="1"/>
  <c r="G1156" i="3" s="1"/>
  <c r="G1157" i="3" s="1"/>
  <c r="G1158" i="3" s="1"/>
  <c r="G1159" i="3" s="1"/>
  <c r="G1160" i="3" s="1"/>
  <c r="G1161" i="3" s="1"/>
  <c r="G1162" i="3" s="1"/>
  <c r="G1163" i="3" s="1"/>
  <c r="G1164" i="3" s="1"/>
  <c r="G1165" i="3" s="1"/>
  <c r="G1166" i="3" s="1"/>
  <c r="G1167" i="3" s="1"/>
  <c r="G1168" i="3" s="1"/>
  <c r="G1169" i="3" s="1"/>
  <c r="G1170" i="3" s="1"/>
  <c r="G1171" i="3" s="1"/>
  <c r="G1172" i="3" s="1"/>
  <c r="G1173" i="3" s="1"/>
  <c r="G1174" i="3" s="1"/>
  <c r="G1175" i="3" s="1"/>
  <c r="G1176" i="3" s="1"/>
  <c r="G1177" i="3" s="1"/>
  <c r="G1178" i="3" s="1"/>
  <c r="G1179" i="3" s="1"/>
  <c r="G1180" i="3" s="1"/>
  <c r="G1181" i="3" s="1"/>
  <c r="G1182" i="3" s="1"/>
  <c r="G1183" i="3" s="1"/>
  <c r="G1184" i="3" s="1"/>
  <c r="G1185" i="3" s="1"/>
  <c r="G1186" i="3" s="1"/>
  <c r="G1187" i="3" s="1"/>
  <c r="G1188" i="3" s="1"/>
  <c r="G1189" i="3" s="1"/>
  <c r="G1190" i="3" s="1"/>
  <c r="K1109" i="3"/>
  <c r="J1109" i="3"/>
  <c r="J1110" i="3" s="1"/>
  <c r="J1111" i="3" s="1"/>
  <c r="J1112" i="3" s="1"/>
  <c r="K1108" i="3"/>
  <c r="J1108" i="3"/>
  <c r="K1107" i="3"/>
  <c r="I1107" i="3"/>
  <c r="I1108" i="3" s="1"/>
  <c r="I1109" i="3" s="1"/>
  <c r="I1110" i="3" s="1"/>
  <c r="I1111" i="3" s="1"/>
  <c r="K1106" i="3"/>
  <c r="H1106" i="3"/>
  <c r="H1107" i="3" s="1"/>
  <c r="H1108" i="3" s="1"/>
  <c r="H1109" i="3" s="1"/>
  <c r="H1110" i="3" s="1"/>
  <c r="K1105" i="3"/>
  <c r="K1104" i="3"/>
  <c r="K1103" i="3"/>
  <c r="J1103" i="3"/>
  <c r="J1104" i="3" s="1"/>
  <c r="J1105" i="3" s="1"/>
  <c r="J1106" i="3" s="1"/>
  <c r="J1107" i="3" s="1"/>
  <c r="K1102" i="3"/>
  <c r="K1101" i="3"/>
  <c r="J1101" i="3"/>
  <c r="J1102" i="3" s="1"/>
  <c r="K1100" i="3"/>
  <c r="K1099" i="3"/>
  <c r="K1098" i="3"/>
  <c r="J1098" i="3"/>
  <c r="J1099" i="3" s="1"/>
  <c r="J1100" i="3" s="1"/>
  <c r="K1097" i="3"/>
  <c r="I1097" i="3"/>
  <c r="I1098" i="3" s="1"/>
  <c r="I1099" i="3" s="1"/>
  <c r="I1100" i="3" s="1"/>
  <c r="I1101" i="3" s="1"/>
  <c r="I1102" i="3" s="1"/>
  <c r="I1103" i="3" s="1"/>
  <c r="I1104" i="3" s="1"/>
  <c r="I1105" i="3" s="1"/>
  <c r="I1106" i="3" s="1"/>
  <c r="K1096" i="3"/>
  <c r="K1095" i="3"/>
  <c r="J1095" i="3"/>
  <c r="J1096" i="3" s="1"/>
  <c r="J1097" i="3" s="1"/>
  <c r="I1095" i="3"/>
  <c r="I1096" i="3" s="1"/>
  <c r="K1094" i="3"/>
  <c r="K1093" i="3"/>
  <c r="J1093" i="3"/>
  <c r="J1094" i="3" s="1"/>
  <c r="K1092" i="3"/>
  <c r="I1092" i="3"/>
  <c r="I1093" i="3" s="1"/>
  <c r="I1094" i="3" s="1"/>
  <c r="K1091" i="3"/>
  <c r="K1090" i="3"/>
  <c r="J1090" i="3"/>
  <c r="J1091" i="3" s="1"/>
  <c r="J1092" i="3" s="1"/>
  <c r="K1089" i="3"/>
  <c r="K1088" i="3"/>
  <c r="J1088" i="3"/>
  <c r="J1089" i="3" s="1"/>
  <c r="K1087" i="3"/>
  <c r="I1087" i="3"/>
  <c r="I1088" i="3" s="1"/>
  <c r="I1089" i="3" s="1"/>
  <c r="I1090" i="3" s="1"/>
  <c r="I1091" i="3" s="1"/>
  <c r="K1086" i="3"/>
  <c r="H1086" i="3"/>
  <c r="H1087" i="3" s="1"/>
  <c r="H1088" i="3" s="1"/>
  <c r="H1089" i="3" s="1"/>
  <c r="H1090" i="3" s="1"/>
  <c r="H1091" i="3" s="1"/>
  <c r="H1092" i="3" s="1"/>
  <c r="H1093" i="3" s="1"/>
  <c r="H1094" i="3" s="1"/>
  <c r="H1095" i="3" s="1"/>
  <c r="H1096" i="3" s="1"/>
  <c r="H1097" i="3" s="1"/>
  <c r="H1098" i="3" s="1"/>
  <c r="H1099" i="3" s="1"/>
  <c r="H1100" i="3" s="1"/>
  <c r="H1101" i="3" s="1"/>
  <c r="H1102" i="3" s="1"/>
  <c r="H1103" i="3" s="1"/>
  <c r="H1104" i="3" s="1"/>
  <c r="H1105" i="3" s="1"/>
  <c r="K1085" i="3"/>
  <c r="K1084" i="3"/>
  <c r="J1084" i="3"/>
  <c r="J1085" i="3" s="1"/>
  <c r="J1086" i="3" s="1"/>
  <c r="J1087" i="3" s="1"/>
  <c r="K1083" i="3"/>
  <c r="K1082" i="3"/>
  <c r="J1082" i="3"/>
  <c r="J1083" i="3" s="1"/>
  <c r="K1081" i="3"/>
  <c r="I1081" i="3"/>
  <c r="I1082" i="3" s="1"/>
  <c r="I1083" i="3" s="1"/>
  <c r="I1084" i="3" s="1"/>
  <c r="I1085" i="3" s="1"/>
  <c r="I1086" i="3" s="1"/>
  <c r="K1080" i="3"/>
  <c r="H1080" i="3"/>
  <c r="H1081" i="3" s="1"/>
  <c r="H1082" i="3" s="1"/>
  <c r="H1083" i="3" s="1"/>
  <c r="H1084" i="3" s="1"/>
  <c r="H1085" i="3" s="1"/>
  <c r="K1079" i="3"/>
  <c r="K1078" i="3"/>
  <c r="K1077" i="3"/>
  <c r="J1077" i="3"/>
  <c r="J1078" i="3" s="1"/>
  <c r="J1079" i="3" s="1"/>
  <c r="J1080" i="3" s="1"/>
  <c r="J1081" i="3" s="1"/>
  <c r="K1076" i="3"/>
  <c r="I1076" i="3"/>
  <c r="I1077" i="3" s="1"/>
  <c r="I1078" i="3" s="1"/>
  <c r="I1079" i="3" s="1"/>
  <c r="I1080" i="3" s="1"/>
  <c r="K1075" i="3"/>
  <c r="H1075" i="3"/>
  <c r="H1076" i="3" s="1"/>
  <c r="H1077" i="3" s="1"/>
  <c r="H1078" i="3" s="1"/>
  <c r="H1079" i="3" s="1"/>
  <c r="K1074" i="3"/>
  <c r="G1074" i="3"/>
  <c r="G1075" i="3" s="1"/>
  <c r="G1076" i="3" s="1"/>
  <c r="G1077" i="3" s="1"/>
  <c r="G1078" i="3" s="1"/>
  <c r="G1079" i="3" s="1"/>
  <c r="G1080" i="3" s="1"/>
  <c r="G1081" i="3" s="1"/>
  <c r="G1082" i="3" s="1"/>
  <c r="G1083" i="3" s="1"/>
  <c r="G1084" i="3" s="1"/>
  <c r="G1085" i="3" s="1"/>
  <c r="G1086" i="3" s="1"/>
  <c r="G1087" i="3" s="1"/>
  <c r="G1088" i="3" s="1"/>
  <c r="G1089" i="3" s="1"/>
  <c r="G1090" i="3" s="1"/>
  <c r="G1091" i="3" s="1"/>
  <c r="G1092" i="3" s="1"/>
  <c r="G1093" i="3" s="1"/>
  <c r="G1094" i="3" s="1"/>
  <c r="G1095" i="3" s="1"/>
  <c r="G1096" i="3" s="1"/>
  <c r="G1097" i="3" s="1"/>
  <c r="G1098" i="3" s="1"/>
  <c r="G1099" i="3" s="1"/>
  <c r="G1100" i="3" s="1"/>
  <c r="G1101" i="3" s="1"/>
  <c r="G1102" i="3" s="1"/>
  <c r="G1103" i="3" s="1"/>
  <c r="G1104" i="3" s="1"/>
  <c r="G1105" i="3" s="1"/>
  <c r="G1106" i="3" s="1"/>
  <c r="G1107" i="3" s="1"/>
  <c r="G1108" i="3" s="1"/>
  <c r="G1109" i="3" s="1"/>
  <c r="K1073" i="3"/>
  <c r="K1072" i="3"/>
  <c r="J1072" i="3"/>
  <c r="J1073" i="3" s="1"/>
  <c r="J1074" i="3" s="1"/>
  <c r="J1075" i="3" s="1"/>
  <c r="J1076" i="3" s="1"/>
  <c r="K1071" i="3"/>
  <c r="I1071" i="3"/>
  <c r="I1072" i="3" s="1"/>
  <c r="I1073" i="3" s="1"/>
  <c r="I1074" i="3" s="1"/>
  <c r="I1075" i="3" s="1"/>
  <c r="K1070" i="3"/>
  <c r="K1069" i="3"/>
  <c r="K1068" i="3"/>
  <c r="J1068" i="3"/>
  <c r="J1069" i="3" s="1"/>
  <c r="J1070" i="3" s="1"/>
  <c r="J1071" i="3" s="1"/>
  <c r="K1067" i="3"/>
  <c r="I1067" i="3"/>
  <c r="I1068" i="3" s="1"/>
  <c r="I1069" i="3" s="1"/>
  <c r="I1070" i="3" s="1"/>
  <c r="K1066" i="3"/>
  <c r="K1065" i="3"/>
  <c r="J1065" i="3"/>
  <c r="J1066" i="3" s="1"/>
  <c r="J1067" i="3" s="1"/>
  <c r="K1064" i="3"/>
  <c r="K1063" i="3"/>
  <c r="J1063" i="3"/>
  <c r="J1064" i="3" s="1"/>
  <c r="K1062" i="3"/>
  <c r="K1061" i="3"/>
  <c r="J1061" i="3"/>
  <c r="J1062" i="3" s="1"/>
  <c r="K1060" i="3"/>
  <c r="K1059" i="3"/>
  <c r="K1058" i="3"/>
  <c r="J1058" i="3"/>
  <c r="J1059" i="3" s="1"/>
  <c r="J1060" i="3" s="1"/>
  <c r="I1058" i="3"/>
  <c r="I1059" i="3" s="1"/>
  <c r="I1060" i="3" s="1"/>
  <c r="I1061" i="3" s="1"/>
  <c r="I1062" i="3" s="1"/>
  <c r="I1063" i="3" s="1"/>
  <c r="I1064" i="3" s="1"/>
  <c r="I1065" i="3" s="1"/>
  <c r="I1066" i="3" s="1"/>
  <c r="K1057" i="3"/>
  <c r="I1057" i="3"/>
  <c r="K1056" i="3"/>
  <c r="H1056" i="3"/>
  <c r="H1057" i="3" s="1"/>
  <c r="H1058" i="3" s="1"/>
  <c r="H1059" i="3" s="1"/>
  <c r="H1060" i="3" s="1"/>
  <c r="H1061" i="3" s="1"/>
  <c r="H1062" i="3" s="1"/>
  <c r="H1063" i="3" s="1"/>
  <c r="H1064" i="3" s="1"/>
  <c r="H1065" i="3" s="1"/>
  <c r="H1066" i="3" s="1"/>
  <c r="H1067" i="3" s="1"/>
  <c r="H1068" i="3" s="1"/>
  <c r="H1069" i="3" s="1"/>
  <c r="H1070" i="3" s="1"/>
  <c r="H1071" i="3" s="1"/>
  <c r="H1072" i="3" s="1"/>
  <c r="H1073" i="3" s="1"/>
  <c r="H1074" i="3" s="1"/>
  <c r="G1056" i="3"/>
  <c r="G1057" i="3" s="1"/>
  <c r="G1058" i="3" s="1"/>
  <c r="G1059" i="3" s="1"/>
  <c r="G1060" i="3" s="1"/>
  <c r="G1061" i="3" s="1"/>
  <c r="G1062" i="3" s="1"/>
  <c r="G1063" i="3" s="1"/>
  <c r="G1064" i="3" s="1"/>
  <c r="G1065" i="3" s="1"/>
  <c r="G1066" i="3" s="1"/>
  <c r="G1067" i="3" s="1"/>
  <c r="G1068" i="3" s="1"/>
  <c r="G1069" i="3" s="1"/>
  <c r="G1070" i="3" s="1"/>
  <c r="G1071" i="3" s="1"/>
  <c r="G1072" i="3" s="1"/>
  <c r="G1073" i="3" s="1"/>
  <c r="K1055" i="3"/>
  <c r="G1055" i="3"/>
  <c r="K1054" i="3"/>
  <c r="K1053" i="3"/>
  <c r="K1052" i="3"/>
  <c r="J1052" i="3"/>
  <c r="J1053" i="3" s="1"/>
  <c r="J1054" i="3" s="1"/>
  <c r="J1055" i="3" s="1"/>
  <c r="J1056" i="3" s="1"/>
  <c r="J1057" i="3" s="1"/>
  <c r="K1051" i="3"/>
  <c r="K1050" i="3"/>
  <c r="J1050" i="3"/>
  <c r="J1051" i="3" s="1"/>
  <c r="K1049" i="3"/>
  <c r="I1049" i="3"/>
  <c r="I1050" i="3" s="1"/>
  <c r="I1051" i="3" s="1"/>
  <c r="I1052" i="3" s="1"/>
  <c r="I1053" i="3" s="1"/>
  <c r="I1054" i="3" s="1"/>
  <c r="I1055" i="3" s="1"/>
  <c r="I1056" i="3" s="1"/>
  <c r="K1048" i="3"/>
  <c r="K1047" i="3"/>
  <c r="J1047" i="3"/>
  <c r="J1048" i="3" s="1"/>
  <c r="J1049" i="3" s="1"/>
  <c r="K1046" i="3"/>
  <c r="K1045" i="3"/>
  <c r="K1044" i="3"/>
  <c r="J1044" i="3"/>
  <c r="J1045" i="3" s="1"/>
  <c r="J1046" i="3" s="1"/>
  <c r="K1043" i="3"/>
  <c r="K1042" i="3"/>
  <c r="K1041" i="3"/>
  <c r="J1041" i="3"/>
  <c r="J1042" i="3" s="1"/>
  <c r="J1043" i="3" s="1"/>
  <c r="K1040" i="3"/>
  <c r="K1039" i="3"/>
  <c r="J1039" i="3"/>
  <c r="J1040" i="3" s="1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J1015" i="3"/>
  <c r="J1016" i="3" s="1"/>
  <c r="J1017" i="3" s="1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J1037" i="3" s="1"/>
  <c r="J1038" i="3" s="1"/>
  <c r="K1014" i="3"/>
  <c r="K1013" i="3"/>
  <c r="K1012" i="3"/>
  <c r="K1011" i="3"/>
  <c r="J1011" i="3"/>
  <c r="J1012" i="3" s="1"/>
  <c r="J1013" i="3" s="1"/>
  <c r="J1014" i="3" s="1"/>
  <c r="K1010" i="3"/>
  <c r="K1009" i="3"/>
  <c r="K1008" i="3"/>
  <c r="K1007" i="3"/>
  <c r="J1007" i="3"/>
  <c r="J1008" i="3" s="1"/>
  <c r="J1009" i="3" s="1"/>
  <c r="J1010" i="3" s="1"/>
  <c r="K1006" i="3"/>
  <c r="K1005" i="3"/>
  <c r="J1005" i="3"/>
  <c r="J1006" i="3" s="1"/>
  <c r="K1004" i="3"/>
  <c r="I1004" i="3"/>
  <c r="I1005" i="3" s="1"/>
  <c r="I1006" i="3" s="1"/>
  <c r="I1007" i="3" s="1"/>
  <c r="I1008" i="3" s="1"/>
  <c r="I1009" i="3" s="1"/>
  <c r="I1010" i="3" s="1"/>
  <c r="I1011" i="3" s="1"/>
  <c r="I1012" i="3" s="1"/>
  <c r="I1013" i="3" s="1"/>
  <c r="I1014" i="3" s="1"/>
  <c r="I1015" i="3" s="1"/>
  <c r="I1016" i="3" s="1"/>
  <c r="I1017" i="3" s="1"/>
  <c r="I1018" i="3" s="1"/>
  <c r="I1019" i="3" s="1"/>
  <c r="I1020" i="3" s="1"/>
  <c r="I1021" i="3" s="1"/>
  <c r="I1022" i="3" s="1"/>
  <c r="I1023" i="3" s="1"/>
  <c r="I1024" i="3" s="1"/>
  <c r="I1025" i="3" s="1"/>
  <c r="I1026" i="3" s="1"/>
  <c r="I1027" i="3" s="1"/>
  <c r="I1028" i="3" s="1"/>
  <c r="I1029" i="3" s="1"/>
  <c r="I1030" i="3" s="1"/>
  <c r="I1031" i="3" s="1"/>
  <c r="I1032" i="3" s="1"/>
  <c r="I1033" i="3" s="1"/>
  <c r="I1034" i="3" s="1"/>
  <c r="I1035" i="3" s="1"/>
  <c r="I1036" i="3" s="1"/>
  <c r="I1037" i="3" s="1"/>
  <c r="I1038" i="3" s="1"/>
  <c r="I1039" i="3" s="1"/>
  <c r="I1040" i="3" s="1"/>
  <c r="I1041" i="3" s="1"/>
  <c r="I1042" i="3" s="1"/>
  <c r="I1043" i="3" s="1"/>
  <c r="I1044" i="3" s="1"/>
  <c r="I1045" i="3" s="1"/>
  <c r="I1046" i="3" s="1"/>
  <c r="I1047" i="3" s="1"/>
  <c r="I1048" i="3" s="1"/>
  <c r="K1003" i="3"/>
  <c r="H1003" i="3"/>
  <c r="H1004" i="3" s="1"/>
  <c r="H1005" i="3" s="1"/>
  <c r="H1006" i="3" s="1"/>
  <c r="H1007" i="3" s="1"/>
  <c r="H1008" i="3" s="1"/>
  <c r="H1009" i="3" s="1"/>
  <c r="H1010" i="3" s="1"/>
  <c r="H1011" i="3" s="1"/>
  <c r="H1012" i="3" s="1"/>
  <c r="H1013" i="3" s="1"/>
  <c r="H1014" i="3" s="1"/>
  <c r="H1015" i="3" s="1"/>
  <c r="H1016" i="3" s="1"/>
  <c r="H1017" i="3" s="1"/>
  <c r="H1018" i="3" s="1"/>
  <c r="H1019" i="3" s="1"/>
  <c r="H1020" i="3" s="1"/>
  <c r="H1021" i="3" s="1"/>
  <c r="H1022" i="3" s="1"/>
  <c r="H1023" i="3" s="1"/>
  <c r="H1024" i="3" s="1"/>
  <c r="H1025" i="3" s="1"/>
  <c r="H1026" i="3" s="1"/>
  <c r="H1027" i="3" s="1"/>
  <c r="H1028" i="3" s="1"/>
  <c r="H1029" i="3" s="1"/>
  <c r="H1030" i="3" s="1"/>
  <c r="H1031" i="3" s="1"/>
  <c r="H1032" i="3" s="1"/>
  <c r="H1033" i="3" s="1"/>
  <c r="H1034" i="3" s="1"/>
  <c r="H1035" i="3" s="1"/>
  <c r="H1036" i="3" s="1"/>
  <c r="H1037" i="3" s="1"/>
  <c r="H1038" i="3" s="1"/>
  <c r="H1039" i="3" s="1"/>
  <c r="H1040" i="3" s="1"/>
  <c r="H1041" i="3" s="1"/>
  <c r="H1042" i="3" s="1"/>
  <c r="H1043" i="3" s="1"/>
  <c r="H1044" i="3" s="1"/>
  <c r="H1045" i="3" s="1"/>
  <c r="H1046" i="3" s="1"/>
  <c r="H1047" i="3" s="1"/>
  <c r="H1048" i="3" s="1"/>
  <c r="H1049" i="3" s="1"/>
  <c r="H1050" i="3" s="1"/>
  <c r="H1051" i="3" s="1"/>
  <c r="H1052" i="3" s="1"/>
  <c r="H1053" i="3" s="1"/>
  <c r="H1054" i="3" s="1"/>
  <c r="H1055" i="3" s="1"/>
  <c r="K1002" i="3"/>
  <c r="K1001" i="3"/>
  <c r="K1000" i="3"/>
  <c r="K999" i="3"/>
  <c r="K998" i="3"/>
  <c r="K997" i="3"/>
  <c r="K996" i="3"/>
  <c r="K995" i="3"/>
  <c r="J995" i="3"/>
  <c r="J996" i="3" s="1"/>
  <c r="J997" i="3" s="1"/>
  <c r="J998" i="3" s="1"/>
  <c r="J999" i="3" s="1"/>
  <c r="J1000" i="3" s="1"/>
  <c r="J1001" i="3" s="1"/>
  <c r="J1002" i="3" s="1"/>
  <c r="J1003" i="3" s="1"/>
  <c r="J1004" i="3" s="1"/>
  <c r="K994" i="3"/>
  <c r="K993" i="3"/>
  <c r="K992" i="3"/>
  <c r="J992" i="3"/>
  <c r="J993" i="3" s="1"/>
  <c r="J994" i="3" s="1"/>
  <c r="K991" i="3"/>
  <c r="K990" i="3"/>
  <c r="J990" i="3"/>
  <c r="J991" i="3" s="1"/>
  <c r="K989" i="3"/>
  <c r="I989" i="3"/>
  <c r="I990" i="3" s="1"/>
  <c r="I991" i="3" s="1"/>
  <c r="I992" i="3" s="1"/>
  <c r="I993" i="3" s="1"/>
  <c r="I994" i="3" s="1"/>
  <c r="I995" i="3" s="1"/>
  <c r="I996" i="3" s="1"/>
  <c r="I997" i="3" s="1"/>
  <c r="I998" i="3" s="1"/>
  <c r="I999" i="3" s="1"/>
  <c r="I1000" i="3" s="1"/>
  <c r="I1001" i="3" s="1"/>
  <c r="I1002" i="3" s="1"/>
  <c r="I1003" i="3" s="1"/>
  <c r="K988" i="3"/>
  <c r="K987" i="3"/>
  <c r="K986" i="3"/>
  <c r="K985" i="3"/>
  <c r="K984" i="3"/>
  <c r="K983" i="3"/>
  <c r="K982" i="3"/>
  <c r="K981" i="3"/>
  <c r="K980" i="3"/>
  <c r="J980" i="3"/>
  <c r="J981" i="3" s="1"/>
  <c r="J982" i="3" s="1"/>
  <c r="J983" i="3" s="1"/>
  <c r="J984" i="3" s="1"/>
  <c r="J985" i="3" s="1"/>
  <c r="J986" i="3" s="1"/>
  <c r="J987" i="3" s="1"/>
  <c r="J988" i="3" s="1"/>
  <c r="J989" i="3" s="1"/>
  <c r="K979" i="3"/>
  <c r="I979" i="3"/>
  <c r="I980" i="3" s="1"/>
  <c r="I981" i="3" s="1"/>
  <c r="I982" i="3" s="1"/>
  <c r="I983" i="3" s="1"/>
  <c r="I984" i="3" s="1"/>
  <c r="I985" i="3" s="1"/>
  <c r="I986" i="3" s="1"/>
  <c r="I987" i="3" s="1"/>
  <c r="I988" i="3" s="1"/>
  <c r="K978" i="3"/>
  <c r="K977" i="3"/>
  <c r="K976" i="3"/>
  <c r="K975" i="3"/>
  <c r="K974" i="3"/>
  <c r="J974" i="3"/>
  <c r="J975" i="3" s="1"/>
  <c r="J976" i="3" s="1"/>
  <c r="J977" i="3" s="1"/>
  <c r="J978" i="3" s="1"/>
  <c r="J979" i="3" s="1"/>
  <c r="K973" i="3"/>
  <c r="I973" i="3"/>
  <c r="I974" i="3" s="1"/>
  <c r="I975" i="3" s="1"/>
  <c r="I976" i="3" s="1"/>
  <c r="I977" i="3" s="1"/>
  <c r="I978" i="3" s="1"/>
  <c r="K972" i="3"/>
  <c r="J972" i="3"/>
  <c r="J973" i="3" s="1"/>
  <c r="K971" i="3"/>
  <c r="J971" i="3"/>
  <c r="K970" i="3"/>
  <c r="I970" i="3"/>
  <c r="I971" i="3" s="1"/>
  <c r="I972" i="3" s="1"/>
  <c r="K969" i="3"/>
  <c r="J969" i="3"/>
  <c r="J970" i="3" s="1"/>
  <c r="K968" i="3"/>
  <c r="J968" i="3"/>
  <c r="K967" i="3"/>
  <c r="I967" i="3"/>
  <c r="I968" i="3" s="1"/>
  <c r="I969" i="3" s="1"/>
  <c r="K966" i="3"/>
  <c r="K965" i="3"/>
  <c r="J965" i="3"/>
  <c r="J966" i="3" s="1"/>
  <c r="J967" i="3" s="1"/>
  <c r="K964" i="3"/>
  <c r="K963" i="3"/>
  <c r="K962" i="3"/>
  <c r="J962" i="3"/>
  <c r="J963" i="3" s="1"/>
  <c r="J964" i="3" s="1"/>
  <c r="K961" i="3"/>
  <c r="J961" i="3"/>
  <c r="K960" i="3"/>
  <c r="I960" i="3"/>
  <c r="I961" i="3" s="1"/>
  <c r="I962" i="3" s="1"/>
  <c r="I963" i="3" s="1"/>
  <c r="I964" i="3" s="1"/>
  <c r="I965" i="3" s="1"/>
  <c r="I966" i="3" s="1"/>
  <c r="K959" i="3"/>
  <c r="H959" i="3"/>
  <c r="H960" i="3" s="1"/>
  <c r="H961" i="3" s="1"/>
  <c r="H962" i="3" s="1"/>
  <c r="H963" i="3" s="1"/>
  <c r="H964" i="3" s="1"/>
  <c r="H965" i="3" s="1"/>
  <c r="H966" i="3" s="1"/>
  <c r="H967" i="3" s="1"/>
  <c r="H968" i="3" s="1"/>
  <c r="H969" i="3" s="1"/>
  <c r="H970" i="3" s="1"/>
  <c r="H971" i="3" s="1"/>
  <c r="H972" i="3" s="1"/>
  <c r="H973" i="3" s="1"/>
  <c r="H974" i="3" s="1"/>
  <c r="H975" i="3" s="1"/>
  <c r="H976" i="3" s="1"/>
  <c r="H977" i="3" s="1"/>
  <c r="H978" i="3" s="1"/>
  <c r="H979" i="3" s="1"/>
  <c r="H980" i="3" s="1"/>
  <c r="H981" i="3" s="1"/>
  <c r="H982" i="3" s="1"/>
  <c r="H983" i="3" s="1"/>
  <c r="H984" i="3" s="1"/>
  <c r="H985" i="3" s="1"/>
  <c r="H986" i="3" s="1"/>
  <c r="H987" i="3" s="1"/>
  <c r="H988" i="3" s="1"/>
  <c r="H989" i="3" s="1"/>
  <c r="H990" i="3" s="1"/>
  <c r="H991" i="3" s="1"/>
  <c r="H992" i="3" s="1"/>
  <c r="H993" i="3" s="1"/>
  <c r="H994" i="3" s="1"/>
  <c r="H995" i="3" s="1"/>
  <c r="H996" i="3" s="1"/>
  <c r="H997" i="3" s="1"/>
  <c r="H998" i="3" s="1"/>
  <c r="H999" i="3" s="1"/>
  <c r="H1000" i="3" s="1"/>
  <c r="H1001" i="3" s="1"/>
  <c r="H1002" i="3" s="1"/>
  <c r="K958" i="3"/>
  <c r="K957" i="3"/>
  <c r="J957" i="3"/>
  <c r="J958" i="3" s="1"/>
  <c r="J959" i="3" s="1"/>
  <c r="J960" i="3" s="1"/>
  <c r="K956" i="3"/>
  <c r="K955" i="3"/>
  <c r="J955" i="3"/>
  <c r="J956" i="3" s="1"/>
  <c r="K954" i="3"/>
  <c r="K953" i="3"/>
  <c r="J953" i="3"/>
  <c r="J954" i="3" s="1"/>
  <c r="K952" i="3"/>
  <c r="K951" i="3"/>
  <c r="J951" i="3"/>
  <c r="J952" i="3" s="1"/>
  <c r="H951" i="3"/>
  <c r="H952" i="3" s="1"/>
  <c r="H953" i="3" s="1"/>
  <c r="H954" i="3" s="1"/>
  <c r="H955" i="3" s="1"/>
  <c r="H956" i="3" s="1"/>
  <c r="H957" i="3" s="1"/>
  <c r="H958" i="3" s="1"/>
  <c r="K950" i="3"/>
  <c r="I950" i="3"/>
  <c r="I951" i="3" s="1"/>
  <c r="I952" i="3" s="1"/>
  <c r="I953" i="3" s="1"/>
  <c r="I954" i="3" s="1"/>
  <c r="I955" i="3" s="1"/>
  <c r="I956" i="3" s="1"/>
  <c r="I957" i="3" s="1"/>
  <c r="I958" i="3" s="1"/>
  <c r="I959" i="3" s="1"/>
  <c r="H950" i="3"/>
  <c r="K949" i="3"/>
  <c r="H949" i="3"/>
  <c r="K948" i="3"/>
  <c r="K947" i="3"/>
  <c r="J947" i="3"/>
  <c r="J948" i="3" s="1"/>
  <c r="J949" i="3" s="1"/>
  <c r="J950" i="3" s="1"/>
  <c r="K946" i="3"/>
  <c r="K945" i="3"/>
  <c r="J945" i="3"/>
  <c r="J946" i="3" s="1"/>
  <c r="K944" i="3"/>
  <c r="K943" i="3"/>
  <c r="K942" i="3"/>
  <c r="J942" i="3"/>
  <c r="J943" i="3" s="1"/>
  <c r="J944" i="3" s="1"/>
  <c r="K941" i="3"/>
  <c r="I941" i="3"/>
  <c r="I942" i="3" s="1"/>
  <c r="I943" i="3" s="1"/>
  <c r="I944" i="3" s="1"/>
  <c r="I945" i="3" s="1"/>
  <c r="I946" i="3" s="1"/>
  <c r="I947" i="3" s="1"/>
  <c r="I948" i="3" s="1"/>
  <c r="I949" i="3" s="1"/>
  <c r="K940" i="3"/>
  <c r="K939" i="3"/>
  <c r="J939" i="3"/>
  <c r="J940" i="3" s="1"/>
  <c r="J941" i="3" s="1"/>
  <c r="K938" i="3"/>
  <c r="I938" i="3"/>
  <c r="I939" i="3" s="1"/>
  <c r="I940" i="3" s="1"/>
  <c r="K937" i="3"/>
  <c r="K936" i="3"/>
  <c r="J936" i="3"/>
  <c r="J937" i="3" s="1"/>
  <c r="J938" i="3" s="1"/>
  <c r="K935" i="3"/>
  <c r="K934" i="3"/>
  <c r="J934" i="3"/>
  <c r="J935" i="3" s="1"/>
  <c r="K933" i="3"/>
  <c r="I933" i="3"/>
  <c r="I934" i="3" s="1"/>
  <c r="I935" i="3" s="1"/>
  <c r="I936" i="3" s="1"/>
  <c r="I937" i="3" s="1"/>
  <c r="K932" i="3"/>
  <c r="K931" i="3"/>
  <c r="J931" i="3"/>
  <c r="J932" i="3" s="1"/>
  <c r="J933" i="3" s="1"/>
  <c r="K930" i="3"/>
  <c r="I930" i="3"/>
  <c r="I931" i="3" s="1"/>
  <c r="I932" i="3" s="1"/>
  <c r="K929" i="3"/>
  <c r="J929" i="3"/>
  <c r="J930" i="3" s="1"/>
  <c r="I929" i="3"/>
  <c r="K928" i="3"/>
  <c r="I928" i="3"/>
  <c r="K927" i="3"/>
  <c r="K926" i="3"/>
  <c r="J926" i="3"/>
  <c r="J927" i="3" s="1"/>
  <c r="J928" i="3" s="1"/>
  <c r="K925" i="3"/>
  <c r="K924" i="3"/>
  <c r="J924" i="3"/>
  <c r="J925" i="3" s="1"/>
  <c r="K923" i="3"/>
  <c r="J923" i="3"/>
  <c r="K922" i="3"/>
  <c r="I922" i="3"/>
  <c r="I923" i="3" s="1"/>
  <c r="I924" i="3" s="1"/>
  <c r="I925" i="3" s="1"/>
  <c r="I926" i="3" s="1"/>
  <c r="I927" i="3" s="1"/>
  <c r="K921" i="3"/>
  <c r="H921" i="3"/>
  <c r="H922" i="3" s="1"/>
  <c r="H923" i="3" s="1"/>
  <c r="H924" i="3" s="1"/>
  <c r="H925" i="3" s="1"/>
  <c r="H926" i="3" s="1"/>
  <c r="H927" i="3" s="1"/>
  <c r="H928" i="3" s="1"/>
  <c r="H929" i="3" s="1"/>
  <c r="H930" i="3" s="1"/>
  <c r="H931" i="3" s="1"/>
  <c r="H932" i="3" s="1"/>
  <c r="H933" i="3" s="1"/>
  <c r="H934" i="3" s="1"/>
  <c r="H935" i="3" s="1"/>
  <c r="H936" i="3" s="1"/>
  <c r="H937" i="3" s="1"/>
  <c r="H938" i="3" s="1"/>
  <c r="H939" i="3" s="1"/>
  <c r="H940" i="3" s="1"/>
  <c r="H941" i="3" s="1"/>
  <c r="H942" i="3" s="1"/>
  <c r="H943" i="3" s="1"/>
  <c r="H944" i="3" s="1"/>
  <c r="H945" i="3" s="1"/>
  <c r="H946" i="3" s="1"/>
  <c r="H947" i="3" s="1"/>
  <c r="H948" i="3" s="1"/>
  <c r="K920" i="3"/>
  <c r="K919" i="3"/>
  <c r="J919" i="3"/>
  <c r="J920" i="3" s="1"/>
  <c r="J921" i="3" s="1"/>
  <c r="J922" i="3" s="1"/>
  <c r="K918" i="3"/>
  <c r="I918" i="3"/>
  <c r="I919" i="3" s="1"/>
  <c r="I920" i="3" s="1"/>
  <c r="I921" i="3" s="1"/>
  <c r="K917" i="3"/>
  <c r="K916" i="3"/>
  <c r="K915" i="3"/>
  <c r="J915" i="3"/>
  <c r="J916" i="3" s="1"/>
  <c r="J917" i="3" s="1"/>
  <c r="J918" i="3" s="1"/>
  <c r="K914" i="3"/>
  <c r="K913" i="3"/>
  <c r="J913" i="3"/>
  <c r="J914" i="3" s="1"/>
  <c r="K912" i="3"/>
  <c r="K911" i="3"/>
  <c r="J911" i="3"/>
  <c r="J912" i="3" s="1"/>
  <c r="K910" i="3"/>
  <c r="K909" i="3"/>
  <c r="J909" i="3"/>
  <c r="J910" i="3" s="1"/>
  <c r="K908" i="3"/>
  <c r="K907" i="3"/>
  <c r="J907" i="3"/>
  <c r="J908" i="3" s="1"/>
  <c r="K906" i="3"/>
  <c r="K905" i="3"/>
  <c r="J905" i="3"/>
  <c r="J906" i="3" s="1"/>
  <c r="K904" i="3"/>
  <c r="I904" i="3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K903" i="3"/>
  <c r="K902" i="3"/>
  <c r="K901" i="3"/>
  <c r="J901" i="3"/>
  <c r="J902" i="3" s="1"/>
  <c r="J903" i="3" s="1"/>
  <c r="J904" i="3" s="1"/>
  <c r="K900" i="3"/>
  <c r="J900" i="3"/>
  <c r="K899" i="3"/>
  <c r="I899" i="3"/>
  <c r="I900" i="3" s="1"/>
  <c r="I901" i="3" s="1"/>
  <c r="I902" i="3" s="1"/>
  <c r="I903" i="3" s="1"/>
  <c r="K898" i="3"/>
  <c r="K897" i="3"/>
  <c r="J897" i="3"/>
  <c r="J898" i="3" s="1"/>
  <c r="J899" i="3" s="1"/>
  <c r="K896" i="3"/>
  <c r="J896" i="3"/>
  <c r="K895" i="3"/>
  <c r="I895" i="3"/>
  <c r="I896" i="3" s="1"/>
  <c r="I897" i="3" s="1"/>
  <c r="I898" i="3" s="1"/>
  <c r="K894" i="3"/>
  <c r="K893" i="3"/>
  <c r="K892" i="3"/>
  <c r="J892" i="3"/>
  <c r="J893" i="3" s="1"/>
  <c r="J894" i="3" s="1"/>
  <c r="J895" i="3" s="1"/>
  <c r="K891" i="3"/>
  <c r="J891" i="3"/>
  <c r="K890" i="3"/>
  <c r="I890" i="3"/>
  <c r="I891" i="3" s="1"/>
  <c r="I892" i="3" s="1"/>
  <c r="I893" i="3" s="1"/>
  <c r="I894" i="3" s="1"/>
  <c r="K889" i="3"/>
  <c r="H889" i="3"/>
  <c r="H890" i="3" s="1"/>
  <c r="H891" i="3" s="1"/>
  <c r="H892" i="3" s="1"/>
  <c r="H893" i="3" s="1"/>
  <c r="H894" i="3" s="1"/>
  <c r="H895" i="3" s="1"/>
  <c r="H896" i="3" s="1"/>
  <c r="H897" i="3" s="1"/>
  <c r="H898" i="3" s="1"/>
  <c r="H899" i="3" s="1"/>
  <c r="H900" i="3" s="1"/>
  <c r="H901" i="3" s="1"/>
  <c r="H902" i="3" s="1"/>
  <c r="H903" i="3" s="1"/>
  <c r="H904" i="3" s="1"/>
  <c r="H905" i="3" s="1"/>
  <c r="H906" i="3" s="1"/>
  <c r="H907" i="3" s="1"/>
  <c r="H908" i="3" s="1"/>
  <c r="H909" i="3" s="1"/>
  <c r="H910" i="3" s="1"/>
  <c r="H911" i="3" s="1"/>
  <c r="H912" i="3" s="1"/>
  <c r="H913" i="3" s="1"/>
  <c r="H914" i="3" s="1"/>
  <c r="H915" i="3" s="1"/>
  <c r="H916" i="3" s="1"/>
  <c r="H917" i="3" s="1"/>
  <c r="H918" i="3" s="1"/>
  <c r="H919" i="3" s="1"/>
  <c r="H920" i="3" s="1"/>
  <c r="K888" i="3"/>
  <c r="K887" i="3"/>
  <c r="J887" i="3"/>
  <c r="J888" i="3" s="1"/>
  <c r="J889" i="3" s="1"/>
  <c r="J890" i="3" s="1"/>
  <c r="K886" i="3"/>
  <c r="K885" i="3"/>
  <c r="J885" i="3"/>
  <c r="J886" i="3" s="1"/>
  <c r="K884" i="3"/>
  <c r="K883" i="3"/>
  <c r="J883" i="3"/>
  <c r="J884" i="3" s="1"/>
  <c r="K882" i="3"/>
  <c r="K881" i="3"/>
  <c r="J881" i="3"/>
  <c r="J882" i="3" s="1"/>
  <c r="K880" i="3"/>
  <c r="K879" i="3"/>
  <c r="J879" i="3"/>
  <c r="J880" i="3" s="1"/>
  <c r="K878" i="3"/>
  <c r="K877" i="3"/>
  <c r="J877" i="3"/>
  <c r="J878" i="3" s="1"/>
  <c r="K876" i="3"/>
  <c r="K875" i="3"/>
  <c r="J875" i="3"/>
  <c r="J876" i="3" s="1"/>
  <c r="I875" i="3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K874" i="3"/>
  <c r="I874" i="3"/>
  <c r="K873" i="3"/>
  <c r="J873" i="3"/>
  <c r="J874" i="3" s="1"/>
  <c r="K872" i="3"/>
  <c r="J872" i="3"/>
  <c r="K871" i="3"/>
  <c r="K870" i="3"/>
  <c r="J870" i="3"/>
  <c r="J871" i="3" s="1"/>
  <c r="K869" i="3"/>
  <c r="J869" i="3"/>
  <c r="K868" i="3"/>
  <c r="J868" i="3"/>
  <c r="K867" i="3"/>
  <c r="K866" i="3"/>
  <c r="J866" i="3"/>
  <c r="J867" i="3" s="1"/>
  <c r="I866" i="3"/>
  <c r="I867" i="3" s="1"/>
  <c r="I868" i="3" s="1"/>
  <c r="I869" i="3" s="1"/>
  <c r="I870" i="3" s="1"/>
  <c r="I871" i="3" s="1"/>
  <c r="I872" i="3" s="1"/>
  <c r="I873" i="3" s="1"/>
  <c r="K865" i="3"/>
  <c r="J865" i="3"/>
  <c r="I865" i="3"/>
  <c r="K864" i="3"/>
  <c r="J864" i="3"/>
  <c r="K863" i="3"/>
  <c r="J863" i="3"/>
  <c r="I863" i="3"/>
  <c r="I864" i="3" s="1"/>
  <c r="K862" i="3"/>
  <c r="J862" i="3"/>
  <c r="I862" i="3"/>
  <c r="K861" i="3"/>
  <c r="J861" i="3"/>
  <c r="K860" i="3"/>
  <c r="J860" i="3"/>
  <c r="K859" i="3"/>
  <c r="K858" i="3"/>
  <c r="J858" i="3"/>
  <c r="J859" i="3" s="1"/>
  <c r="K857" i="3"/>
  <c r="K856" i="3"/>
  <c r="J856" i="3"/>
  <c r="J857" i="3" s="1"/>
  <c r="K855" i="3"/>
  <c r="I855" i="3"/>
  <c r="I856" i="3" s="1"/>
  <c r="I857" i="3" s="1"/>
  <c r="I858" i="3" s="1"/>
  <c r="I859" i="3" s="1"/>
  <c r="I860" i="3" s="1"/>
  <c r="I861" i="3" s="1"/>
  <c r="K854" i="3"/>
  <c r="K853" i="3"/>
  <c r="K852" i="3"/>
  <c r="J852" i="3"/>
  <c r="J853" i="3" s="1"/>
  <c r="J854" i="3" s="1"/>
  <c r="J855" i="3" s="1"/>
  <c r="K851" i="3"/>
  <c r="K850" i="3"/>
  <c r="J850" i="3"/>
  <c r="J851" i="3" s="1"/>
  <c r="K849" i="3"/>
  <c r="K848" i="3"/>
  <c r="K847" i="3"/>
  <c r="J847" i="3"/>
  <c r="J848" i="3" s="1"/>
  <c r="J849" i="3" s="1"/>
  <c r="K846" i="3"/>
  <c r="K845" i="3"/>
  <c r="J845" i="3"/>
  <c r="J846" i="3" s="1"/>
  <c r="K844" i="3"/>
  <c r="K843" i="3"/>
  <c r="K842" i="3"/>
  <c r="J842" i="3"/>
  <c r="J843" i="3" s="1"/>
  <c r="J844" i="3" s="1"/>
  <c r="K841" i="3"/>
  <c r="K840" i="3"/>
  <c r="K839" i="3"/>
  <c r="J839" i="3"/>
  <c r="J840" i="3" s="1"/>
  <c r="J841" i="3" s="1"/>
  <c r="I839" i="3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K838" i="3"/>
  <c r="I838" i="3"/>
  <c r="K837" i="3"/>
  <c r="K836" i="3"/>
  <c r="K835" i="3"/>
  <c r="J835" i="3"/>
  <c r="J836" i="3" s="1"/>
  <c r="J837" i="3" s="1"/>
  <c r="J838" i="3" s="1"/>
  <c r="K834" i="3"/>
  <c r="K833" i="3"/>
  <c r="K832" i="3"/>
  <c r="J832" i="3"/>
  <c r="J833" i="3" s="1"/>
  <c r="J834" i="3" s="1"/>
  <c r="K831" i="3"/>
  <c r="K830" i="3"/>
  <c r="J830" i="3"/>
  <c r="J831" i="3" s="1"/>
  <c r="K829" i="3"/>
  <c r="K828" i="3"/>
  <c r="J828" i="3"/>
  <c r="J829" i="3" s="1"/>
  <c r="K827" i="3"/>
  <c r="K826" i="3"/>
  <c r="J826" i="3"/>
  <c r="J827" i="3" s="1"/>
  <c r="K825" i="3"/>
  <c r="I825" i="3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K824" i="3"/>
  <c r="H824" i="3"/>
  <c r="H825" i="3" s="1"/>
  <c r="H826" i="3" s="1"/>
  <c r="H827" i="3" s="1"/>
  <c r="H828" i="3" s="1"/>
  <c r="H829" i="3" s="1"/>
  <c r="H830" i="3" s="1"/>
  <c r="H831" i="3" s="1"/>
  <c r="H832" i="3" s="1"/>
  <c r="H833" i="3" s="1"/>
  <c r="H834" i="3" s="1"/>
  <c r="H835" i="3" s="1"/>
  <c r="H836" i="3" s="1"/>
  <c r="H837" i="3" s="1"/>
  <c r="H838" i="3" s="1"/>
  <c r="H839" i="3" s="1"/>
  <c r="H840" i="3" s="1"/>
  <c r="H841" i="3" s="1"/>
  <c r="H842" i="3" s="1"/>
  <c r="H843" i="3" s="1"/>
  <c r="H844" i="3" s="1"/>
  <c r="H845" i="3" s="1"/>
  <c r="H846" i="3" s="1"/>
  <c r="H847" i="3" s="1"/>
  <c r="H848" i="3" s="1"/>
  <c r="H849" i="3" s="1"/>
  <c r="H850" i="3" s="1"/>
  <c r="H851" i="3" s="1"/>
  <c r="H852" i="3" s="1"/>
  <c r="H853" i="3" s="1"/>
  <c r="H854" i="3" s="1"/>
  <c r="H855" i="3" s="1"/>
  <c r="H856" i="3" s="1"/>
  <c r="H857" i="3" s="1"/>
  <c r="H858" i="3" s="1"/>
  <c r="H859" i="3" s="1"/>
  <c r="H860" i="3" s="1"/>
  <c r="H861" i="3" s="1"/>
  <c r="H862" i="3" s="1"/>
  <c r="H863" i="3" s="1"/>
  <c r="H864" i="3" s="1"/>
  <c r="H865" i="3" s="1"/>
  <c r="H866" i="3" s="1"/>
  <c r="H867" i="3" s="1"/>
  <c r="H868" i="3" s="1"/>
  <c r="H869" i="3" s="1"/>
  <c r="H870" i="3" s="1"/>
  <c r="H871" i="3" s="1"/>
  <c r="H872" i="3" s="1"/>
  <c r="H873" i="3" s="1"/>
  <c r="H874" i="3" s="1"/>
  <c r="H875" i="3" s="1"/>
  <c r="H876" i="3" s="1"/>
  <c r="H877" i="3" s="1"/>
  <c r="H878" i="3" s="1"/>
  <c r="H879" i="3" s="1"/>
  <c r="H880" i="3" s="1"/>
  <c r="H881" i="3" s="1"/>
  <c r="H882" i="3" s="1"/>
  <c r="H883" i="3" s="1"/>
  <c r="H884" i="3" s="1"/>
  <c r="H885" i="3" s="1"/>
  <c r="H886" i="3" s="1"/>
  <c r="H887" i="3" s="1"/>
  <c r="H888" i="3" s="1"/>
  <c r="K823" i="3"/>
  <c r="K822" i="3"/>
  <c r="K821" i="3"/>
  <c r="K820" i="3"/>
  <c r="J820" i="3"/>
  <c r="J821" i="3" s="1"/>
  <c r="J822" i="3" s="1"/>
  <c r="J823" i="3" s="1"/>
  <c r="J824" i="3" s="1"/>
  <c r="J825" i="3" s="1"/>
  <c r="K819" i="3"/>
  <c r="I819" i="3"/>
  <c r="I820" i="3" s="1"/>
  <c r="I821" i="3" s="1"/>
  <c r="I822" i="3" s="1"/>
  <c r="I823" i="3" s="1"/>
  <c r="I824" i="3" s="1"/>
  <c r="K818" i="3"/>
  <c r="K817" i="3"/>
  <c r="J817" i="3"/>
  <c r="J818" i="3" s="1"/>
  <c r="J819" i="3" s="1"/>
  <c r="K816" i="3"/>
  <c r="J816" i="3"/>
  <c r="K815" i="3"/>
  <c r="K814" i="3"/>
  <c r="J814" i="3"/>
  <c r="J815" i="3" s="1"/>
  <c r="K813" i="3"/>
  <c r="I813" i="3"/>
  <c r="I814" i="3" s="1"/>
  <c r="I815" i="3" s="1"/>
  <c r="I816" i="3" s="1"/>
  <c r="I817" i="3" s="1"/>
  <c r="I818" i="3" s="1"/>
  <c r="K812" i="3"/>
  <c r="K811" i="3"/>
  <c r="K810" i="3"/>
  <c r="J810" i="3"/>
  <c r="J811" i="3" s="1"/>
  <c r="J812" i="3" s="1"/>
  <c r="J813" i="3" s="1"/>
  <c r="K809" i="3"/>
  <c r="I809" i="3"/>
  <c r="I810" i="3" s="1"/>
  <c r="I811" i="3" s="1"/>
  <c r="I812" i="3" s="1"/>
  <c r="K808" i="3"/>
  <c r="K807" i="3"/>
  <c r="J807" i="3"/>
  <c r="J808" i="3" s="1"/>
  <c r="J809" i="3" s="1"/>
  <c r="K806" i="3"/>
  <c r="K805" i="3"/>
  <c r="J805" i="3"/>
  <c r="J806" i="3" s="1"/>
  <c r="K804" i="3"/>
  <c r="K803" i="3"/>
  <c r="J803" i="3"/>
  <c r="J804" i="3" s="1"/>
  <c r="I803" i="3"/>
  <c r="I804" i="3" s="1"/>
  <c r="I805" i="3" s="1"/>
  <c r="I806" i="3" s="1"/>
  <c r="I807" i="3" s="1"/>
  <c r="I808" i="3" s="1"/>
  <c r="K802" i="3"/>
  <c r="I802" i="3"/>
  <c r="K801" i="3"/>
  <c r="K800" i="3"/>
  <c r="K799" i="3"/>
  <c r="J799" i="3"/>
  <c r="J800" i="3" s="1"/>
  <c r="J801" i="3" s="1"/>
  <c r="J802" i="3" s="1"/>
  <c r="K798" i="3"/>
  <c r="K797" i="3"/>
  <c r="J797" i="3"/>
  <c r="J798" i="3" s="1"/>
  <c r="K796" i="3"/>
  <c r="I796" i="3"/>
  <c r="I797" i="3" s="1"/>
  <c r="I798" i="3" s="1"/>
  <c r="I799" i="3" s="1"/>
  <c r="I800" i="3" s="1"/>
  <c r="I801" i="3" s="1"/>
  <c r="K795" i="3"/>
  <c r="K794" i="3"/>
  <c r="K793" i="3"/>
  <c r="K792" i="3"/>
  <c r="J792" i="3"/>
  <c r="J793" i="3" s="1"/>
  <c r="J794" i="3" s="1"/>
  <c r="J795" i="3" s="1"/>
  <c r="J796" i="3" s="1"/>
  <c r="K791" i="3"/>
  <c r="I791" i="3"/>
  <c r="I792" i="3" s="1"/>
  <c r="I793" i="3" s="1"/>
  <c r="I794" i="3" s="1"/>
  <c r="I795" i="3" s="1"/>
  <c r="H791" i="3"/>
  <c r="H792" i="3" s="1"/>
  <c r="H793" i="3" s="1"/>
  <c r="H794" i="3" s="1"/>
  <c r="H795" i="3" s="1"/>
  <c r="H796" i="3" s="1"/>
  <c r="H797" i="3" s="1"/>
  <c r="H798" i="3" s="1"/>
  <c r="H799" i="3" s="1"/>
  <c r="H800" i="3" s="1"/>
  <c r="H801" i="3" s="1"/>
  <c r="H802" i="3" s="1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H815" i="3" s="1"/>
  <c r="H816" i="3" s="1"/>
  <c r="H817" i="3" s="1"/>
  <c r="H818" i="3" s="1"/>
  <c r="H819" i="3" s="1"/>
  <c r="H820" i="3" s="1"/>
  <c r="H821" i="3" s="1"/>
  <c r="H822" i="3" s="1"/>
  <c r="H823" i="3" s="1"/>
  <c r="K790" i="3"/>
  <c r="H790" i="3"/>
  <c r="K789" i="3"/>
  <c r="K788" i="3"/>
  <c r="J788" i="3"/>
  <c r="J789" i="3" s="1"/>
  <c r="J790" i="3" s="1"/>
  <c r="J791" i="3" s="1"/>
  <c r="K787" i="3"/>
  <c r="I787" i="3"/>
  <c r="I788" i="3" s="1"/>
  <c r="I789" i="3" s="1"/>
  <c r="I790" i="3" s="1"/>
  <c r="K786" i="3"/>
  <c r="K785" i="3"/>
  <c r="K784" i="3"/>
  <c r="J784" i="3"/>
  <c r="J785" i="3" s="1"/>
  <c r="J786" i="3" s="1"/>
  <c r="J787" i="3" s="1"/>
  <c r="K783" i="3"/>
  <c r="I783" i="3"/>
  <c r="I784" i="3" s="1"/>
  <c r="I785" i="3" s="1"/>
  <c r="I786" i="3" s="1"/>
  <c r="K782" i="3"/>
  <c r="K781" i="3"/>
  <c r="J781" i="3"/>
  <c r="J782" i="3" s="1"/>
  <c r="J783" i="3" s="1"/>
  <c r="K780" i="3"/>
  <c r="I780" i="3"/>
  <c r="I781" i="3" s="1"/>
  <c r="I782" i="3" s="1"/>
  <c r="K779" i="3"/>
  <c r="K778" i="3"/>
  <c r="J778" i="3"/>
  <c r="J779" i="3" s="1"/>
  <c r="J780" i="3" s="1"/>
  <c r="K777" i="3"/>
  <c r="J777" i="3"/>
  <c r="K776" i="3"/>
  <c r="J776" i="3"/>
  <c r="K775" i="3"/>
  <c r="I775" i="3"/>
  <c r="I776" i="3" s="1"/>
  <c r="I777" i="3" s="1"/>
  <c r="I778" i="3" s="1"/>
  <c r="I779" i="3" s="1"/>
  <c r="K774" i="3"/>
  <c r="K773" i="3"/>
  <c r="J773" i="3"/>
  <c r="J774" i="3" s="1"/>
  <c r="J775" i="3" s="1"/>
  <c r="K772" i="3"/>
  <c r="I772" i="3"/>
  <c r="I773" i="3" s="1"/>
  <c r="I774" i="3" s="1"/>
  <c r="K771" i="3"/>
  <c r="K770" i="3"/>
  <c r="J770" i="3"/>
  <c r="J771" i="3" s="1"/>
  <c r="J772" i="3" s="1"/>
  <c r="K769" i="3"/>
  <c r="K768" i="3"/>
  <c r="J768" i="3"/>
  <c r="J769" i="3" s="1"/>
  <c r="K767" i="3"/>
  <c r="I767" i="3"/>
  <c r="I768" i="3" s="1"/>
  <c r="I769" i="3" s="1"/>
  <c r="I770" i="3" s="1"/>
  <c r="I771" i="3" s="1"/>
  <c r="K766" i="3"/>
  <c r="K765" i="3"/>
  <c r="J765" i="3"/>
  <c r="J766" i="3" s="1"/>
  <c r="J767" i="3" s="1"/>
  <c r="K764" i="3"/>
  <c r="K763" i="3"/>
  <c r="J763" i="3"/>
  <c r="J764" i="3" s="1"/>
  <c r="I763" i="3"/>
  <c r="I764" i="3" s="1"/>
  <c r="I765" i="3" s="1"/>
  <c r="I766" i="3" s="1"/>
  <c r="K762" i="3"/>
  <c r="I762" i="3"/>
  <c r="K761" i="3"/>
  <c r="J761" i="3"/>
  <c r="J762" i="3" s="1"/>
  <c r="K760" i="3"/>
  <c r="J760" i="3"/>
  <c r="H760" i="3"/>
  <c r="H761" i="3" s="1"/>
  <c r="H762" i="3" s="1"/>
  <c r="H763" i="3" s="1"/>
  <c r="H764" i="3" s="1"/>
  <c r="H765" i="3" s="1"/>
  <c r="H766" i="3" s="1"/>
  <c r="H767" i="3" s="1"/>
  <c r="H768" i="3" s="1"/>
  <c r="H769" i="3" s="1"/>
  <c r="H770" i="3" s="1"/>
  <c r="H771" i="3" s="1"/>
  <c r="H772" i="3" s="1"/>
  <c r="H773" i="3" s="1"/>
  <c r="H774" i="3" s="1"/>
  <c r="H775" i="3" s="1"/>
  <c r="H776" i="3" s="1"/>
  <c r="H777" i="3" s="1"/>
  <c r="H778" i="3" s="1"/>
  <c r="H779" i="3" s="1"/>
  <c r="H780" i="3" s="1"/>
  <c r="H781" i="3" s="1"/>
  <c r="H782" i="3" s="1"/>
  <c r="H783" i="3" s="1"/>
  <c r="H784" i="3" s="1"/>
  <c r="H785" i="3" s="1"/>
  <c r="H786" i="3" s="1"/>
  <c r="H787" i="3" s="1"/>
  <c r="H788" i="3" s="1"/>
  <c r="H789" i="3" s="1"/>
  <c r="K759" i="3"/>
  <c r="I759" i="3"/>
  <c r="I760" i="3" s="1"/>
  <c r="I761" i="3" s="1"/>
  <c r="K758" i="3"/>
  <c r="J758" i="3"/>
  <c r="J759" i="3" s="1"/>
  <c r="H758" i="3"/>
  <c r="H759" i="3" s="1"/>
  <c r="K757" i="3"/>
  <c r="K756" i="3"/>
  <c r="K755" i="3"/>
  <c r="K754" i="3"/>
  <c r="J754" i="3"/>
  <c r="J755" i="3" s="1"/>
  <c r="J756" i="3" s="1"/>
  <c r="J757" i="3" s="1"/>
  <c r="K753" i="3"/>
  <c r="J753" i="3"/>
  <c r="K752" i="3"/>
  <c r="J752" i="3"/>
  <c r="K751" i="3"/>
  <c r="K750" i="3"/>
  <c r="K749" i="3"/>
  <c r="J749" i="3"/>
  <c r="J750" i="3" s="1"/>
  <c r="J751" i="3" s="1"/>
  <c r="K748" i="3"/>
  <c r="K747" i="3"/>
  <c r="J747" i="3"/>
  <c r="J748" i="3" s="1"/>
  <c r="K746" i="3"/>
  <c r="I746" i="3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K745" i="3"/>
  <c r="K744" i="3"/>
  <c r="K743" i="3"/>
  <c r="J743" i="3"/>
  <c r="J744" i="3" s="1"/>
  <c r="J745" i="3" s="1"/>
  <c r="J746" i="3" s="1"/>
  <c r="I743" i="3"/>
  <c r="I744" i="3" s="1"/>
  <c r="I745" i="3" s="1"/>
  <c r="K742" i="3"/>
  <c r="I742" i="3"/>
  <c r="K741" i="3"/>
  <c r="J741" i="3"/>
  <c r="J742" i="3" s="1"/>
  <c r="K740" i="3"/>
  <c r="J740" i="3"/>
  <c r="K739" i="3"/>
  <c r="K738" i="3"/>
  <c r="J738" i="3"/>
  <c r="J739" i="3" s="1"/>
  <c r="K737" i="3"/>
  <c r="J737" i="3"/>
  <c r="K736" i="3"/>
  <c r="J736" i="3"/>
  <c r="K735" i="3"/>
  <c r="I735" i="3"/>
  <c r="I736" i="3" s="1"/>
  <c r="I737" i="3" s="1"/>
  <c r="I738" i="3" s="1"/>
  <c r="I739" i="3" s="1"/>
  <c r="I740" i="3" s="1"/>
  <c r="I741" i="3" s="1"/>
  <c r="K734" i="3"/>
  <c r="K733" i="3"/>
  <c r="K732" i="3"/>
  <c r="J732" i="3"/>
  <c r="J733" i="3" s="1"/>
  <c r="J734" i="3" s="1"/>
  <c r="J735" i="3" s="1"/>
  <c r="K731" i="3"/>
  <c r="K730" i="3"/>
  <c r="K729" i="3"/>
  <c r="J729" i="3"/>
  <c r="J730" i="3" s="1"/>
  <c r="J731" i="3" s="1"/>
  <c r="K728" i="3"/>
  <c r="K727" i="3"/>
  <c r="K726" i="3"/>
  <c r="J726" i="3"/>
  <c r="J727" i="3" s="1"/>
  <c r="J728" i="3" s="1"/>
  <c r="K725" i="3"/>
  <c r="I725" i="3"/>
  <c r="I726" i="3" s="1"/>
  <c r="I727" i="3" s="1"/>
  <c r="I728" i="3" s="1"/>
  <c r="I729" i="3" s="1"/>
  <c r="I730" i="3" s="1"/>
  <c r="I731" i="3" s="1"/>
  <c r="I732" i="3" s="1"/>
  <c r="I733" i="3" s="1"/>
  <c r="I734" i="3" s="1"/>
  <c r="K724" i="3"/>
  <c r="K723" i="3"/>
  <c r="J723" i="3"/>
  <c r="J724" i="3" s="1"/>
  <c r="J725" i="3" s="1"/>
  <c r="I723" i="3"/>
  <c r="I724" i="3" s="1"/>
  <c r="K722" i="3"/>
  <c r="K721" i="3"/>
  <c r="J721" i="3"/>
  <c r="J722" i="3" s="1"/>
  <c r="K720" i="3"/>
  <c r="I720" i="3"/>
  <c r="I721" i="3" s="1"/>
  <c r="I722" i="3" s="1"/>
  <c r="K719" i="3"/>
  <c r="K718" i="3"/>
  <c r="J718" i="3"/>
  <c r="J719" i="3" s="1"/>
  <c r="J720" i="3" s="1"/>
  <c r="K717" i="3"/>
  <c r="J717" i="3"/>
  <c r="K716" i="3"/>
  <c r="J716" i="3"/>
  <c r="K715" i="3"/>
  <c r="I715" i="3"/>
  <c r="I716" i="3" s="1"/>
  <c r="I717" i="3" s="1"/>
  <c r="I718" i="3" s="1"/>
  <c r="I719" i="3" s="1"/>
  <c r="K714" i="3"/>
  <c r="J714" i="3"/>
  <c r="J715" i="3" s="1"/>
  <c r="I714" i="3"/>
  <c r="K713" i="3"/>
  <c r="I713" i="3"/>
  <c r="K712" i="3"/>
  <c r="H712" i="3"/>
  <c r="H713" i="3" s="1"/>
  <c r="H714" i="3" s="1"/>
  <c r="H715" i="3" s="1"/>
  <c r="H716" i="3" s="1"/>
  <c r="H717" i="3" s="1"/>
  <c r="H718" i="3" s="1"/>
  <c r="H719" i="3" s="1"/>
  <c r="H720" i="3" s="1"/>
  <c r="H721" i="3" s="1"/>
  <c r="H722" i="3" s="1"/>
  <c r="H723" i="3" s="1"/>
  <c r="H724" i="3" s="1"/>
  <c r="H725" i="3" s="1"/>
  <c r="H726" i="3" s="1"/>
  <c r="H727" i="3" s="1"/>
  <c r="H728" i="3" s="1"/>
  <c r="H729" i="3" s="1"/>
  <c r="H730" i="3" s="1"/>
  <c r="H731" i="3" s="1"/>
  <c r="H732" i="3" s="1"/>
  <c r="H733" i="3" s="1"/>
  <c r="H734" i="3" s="1"/>
  <c r="H735" i="3" s="1"/>
  <c r="H736" i="3" s="1"/>
  <c r="H737" i="3" s="1"/>
  <c r="H738" i="3" s="1"/>
  <c r="H739" i="3" s="1"/>
  <c r="H740" i="3" s="1"/>
  <c r="H741" i="3" s="1"/>
  <c r="H742" i="3" s="1"/>
  <c r="H743" i="3" s="1"/>
  <c r="H744" i="3" s="1"/>
  <c r="H745" i="3" s="1"/>
  <c r="H746" i="3" s="1"/>
  <c r="H747" i="3" s="1"/>
  <c r="H748" i="3" s="1"/>
  <c r="H749" i="3" s="1"/>
  <c r="H750" i="3" s="1"/>
  <c r="H751" i="3" s="1"/>
  <c r="H752" i="3" s="1"/>
  <c r="H753" i="3" s="1"/>
  <c r="H754" i="3" s="1"/>
  <c r="H755" i="3" s="1"/>
  <c r="H756" i="3" s="1"/>
  <c r="H757" i="3" s="1"/>
  <c r="K711" i="3"/>
  <c r="K710" i="3"/>
  <c r="J710" i="3"/>
  <c r="J711" i="3" s="1"/>
  <c r="J712" i="3" s="1"/>
  <c r="J713" i="3" s="1"/>
  <c r="K709" i="3"/>
  <c r="K708" i="3"/>
  <c r="J708" i="3"/>
  <c r="J709" i="3" s="1"/>
  <c r="K707" i="3"/>
  <c r="I707" i="3"/>
  <c r="I708" i="3" s="1"/>
  <c r="I709" i="3" s="1"/>
  <c r="I710" i="3" s="1"/>
  <c r="I711" i="3" s="1"/>
  <c r="I712" i="3" s="1"/>
  <c r="K706" i="3"/>
  <c r="K705" i="3"/>
  <c r="K704" i="3"/>
  <c r="K703" i="3"/>
  <c r="K702" i="3"/>
  <c r="J702" i="3"/>
  <c r="J703" i="3" s="1"/>
  <c r="J704" i="3" s="1"/>
  <c r="J705" i="3" s="1"/>
  <c r="J706" i="3" s="1"/>
  <c r="J707" i="3" s="1"/>
  <c r="K701" i="3"/>
  <c r="K700" i="3"/>
  <c r="J700" i="3"/>
  <c r="J701" i="3" s="1"/>
  <c r="K699" i="3"/>
  <c r="K698" i="3"/>
  <c r="J698" i="3"/>
  <c r="J699" i="3" s="1"/>
  <c r="K697" i="3"/>
  <c r="K696" i="3"/>
  <c r="K695" i="3"/>
  <c r="J695" i="3"/>
  <c r="J696" i="3" s="1"/>
  <c r="J697" i="3" s="1"/>
  <c r="I695" i="3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K694" i="3"/>
  <c r="I694" i="3"/>
  <c r="K693" i="3"/>
  <c r="K692" i="3"/>
  <c r="J692" i="3"/>
  <c r="J693" i="3" s="1"/>
  <c r="J694" i="3" s="1"/>
  <c r="K691" i="3"/>
  <c r="K690" i="3"/>
  <c r="J690" i="3"/>
  <c r="J691" i="3" s="1"/>
  <c r="K689" i="3"/>
  <c r="I689" i="3"/>
  <c r="I690" i="3" s="1"/>
  <c r="I691" i="3" s="1"/>
  <c r="I692" i="3" s="1"/>
  <c r="I693" i="3" s="1"/>
  <c r="K688" i="3"/>
  <c r="K687" i="3"/>
  <c r="K686" i="3"/>
  <c r="J686" i="3"/>
  <c r="J687" i="3" s="1"/>
  <c r="J688" i="3" s="1"/>
  <c r="J689" i="3" s="1"/>
  <c r="K685" i="3"/>
  <c r="K684" i="3"/>
  <c r="K683" i="3"/>
  <c r="J683" i="3"/>
  <c r="J684" i="3" s="1"/>
  <c r="J685" i="3" s="1"/>
  <c r="K682" i="3"/>
  <c r="K681" i="3"/>
  <c r="K680" i="3"/>
  <c r="J680" i="3"/>
  <c r="J681" i="3" s="1"/>
  <c r="J682" i="3" s="1"/>
  <c r="K679" i="3"/>
  <c r="K678" i="3"/>
  <c r="J678" i="3"/>
  <c r="J679" i="3" s="1"/>
  <c r="K677" i="3"/>
  <c r="I677" i="3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K676" i="3"/>
  <c r="K675" i="3"/>
  <c r="J675" i="3"/>
  <c r="J676" i="3" s="1"/>
  <c r="J677" i="3" s="1"/>
  <c r="K674" i="3"/>
  <c r="K673" i="3"/>
  <c r="J673" i="3"/>
  <c r="J674" i="3" s="1"/>
  <c r="K672" i="3"/>
  <c r="I672" i="3"/>
  <c r="I673" i="3" s="1"/>
  <c r="I674" i="3" s="1"/>
  <c r="I675" i="3" s="1"/>
  <c r="I676" i="3" s="1"/>
  <c r="K671" i="3"/>
  <c r="H671" i="3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85" i="3" s="1"/>
  <c r="H686" i="3" s="1"/>
  <c r="H687" i="3" s="1"/>
  <c r="H688" i="3" s="1"/>
  <c r="H689" i="3" s="1"/>
  <c r="H690" i="3" s="1"/>
  <c r="H691" i="3" s="1"/>
  <c r="H692" i="3" s="1"/>
  <c r="H693" i="3" s="1"/>
  <c r="H694" i="3" s="1"/>
  <c r="H695" i="3" s="1"/>
  <c r="H696" i="3" s="1"/>
  <c r="H697" i="3" s="1"/>
  <c r="H698" i="3" s="1"/>
  <c r="H699" i="3" s="1"/>
  <c r="H700" i="3" s="1"/>
  <c r="H701" i="3" s="1"/>
  <c r="H702" i="3" s="1"/>
  <c r="H703" i="3" s="1"/>
  <c r="H704" i="3" s="1"/>
  <c r="H705" i="3" s="1"/>
  <c r="H706" i="3" s="1"/>
  <c r="H707" i="3" s="1"/>
  <c r="H708" i="3" s="1"/>
  <c r="H709" i="3" s="1"/>
  <c r="H710" i="3" s="1"/>
  <c r="H711" i="3" s="1"/>
  <c r="K670" i="3"/>
  <c r="K669" i="3"/>
  <c r="K668" i="3"/>
  <c r="K667" i="3"/>
  <c r="J667" i="3"/>
  <c r="J668" i="3" s="1"/>
  <c r="J669" i="3" s="1"/>
  <c r="J670" i="3" s="1"/>
  <c r="J671" i="3" s="1"/>
  <c r="J672" i="3" s="1"/>
  <c r="K666" i="3"/>
  <c r="K665" i="3"/>
  <c r="J665" i="3"/>
  <c r="J666" i="3" s="1"/>
  <c r="K664" i="3"/>
  <c r="K663" i="3"/>
  <c r="K662" i="3"/>
  <c r="K661" i="3"/>
  <c r="J661" i="3"/>
  <c r="J662" i="3" s="1"/>
  <c r="J663" i="3" s="1"/>
  <c r="J664" i="3" s="1"/>
  <c r="K660" i="3"/>
  <c r="I660" i="3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K659" i="3"/>
  <c r="K658" i="3"/>
  <c r="K657" i="3"/>
  <c r="J657" i="3"/>
  <c r="J658" i="3" s="1"/>
  <c r="J659" i="3" s="1"/>
  <c r="J660" i="3" s="1"/>
  <c r="K656" i="3"/>
  <c r="K655" i="3"/>
  <c r="K654" i="3"/>
  <c r="J654" i="3"/>
  <c r="J655" i="3" s="1"/>
  <c r="J656" i="3" s="1"/>
  <c r="K653" i="3"/>
  <c r="K652" i="3"/>
  <c r="J652" i="3"/>
  <c r="J653" i="3" s="1"/>
  <c r="K651" i="3"/>
  <c r="I651" i="3"/>
  <c r="I652" i="3" s="1"/>
  <c r="I653" i="3" s="1"/>
  <c r="I654" i="3" s="1"/>
  <c r="I655" i="3" s="1"/>
  <c r="I656" i="3" s="1"/>
  <c r="I657" i="3" s="1"/>
  <c r="I658" i="3" s="1"/>
  <c r="I659" i="3" s="1"/>
  <c r="K650" i="3"/>
  <c r="K649" i="3"/>
  <c r="K648" i="3"/>
  <c r="K647" i="3"/>
  <c r="K646" i="3"/>
  <c r="K645" i="3"/>
  <c r="K644" i="3"/>
  <c r="J644" i="3"/>
  <c r="J645" i="3" s="1"/>
  <c r="J646" i="3" s="1"/>
  <c r="J647" i="3" s="1"/>
  <c r="J648" i="3" s="1"/>
  <c r="J649" i="3" s="1"/>
  <c r="J650" i="3" s="1"/>
  <c r="J651" i="3" s="1"/>
  <c r="K643" i="3"/>
  <c r="I643" i="3"/>
  <c r="I644" i="3" s="1"/>
  <c r="I645" i="3" s="1"/>
  <c r="I646" i="3" s="1"/>
  <c r="I647" i="3" s="1"/>
  <c r="I648" i="3" s="1"/>
  <c r="I649" i="3" s="1"/>
  <c r="I650" i="3" s="1"/>
  <c r="K642" i="3"/>
  <c r="K641" i="3"/>
  <c r="J641" i="3"/>
  <c r="J642" i="3" s="1"/>
  <c r="J643" i="3" s="1"/>
  <c r="K640" i="3"/>
  <c r="I640" i="3"/>
  <c r="I641" i="3" s="1"/>
  <c r="I642" i="3" s="1"/>
  <c r="K639" i="3"/>
  <c r="K638" i="3"/>
  <c r="J638" i="3"/>
  <c r="J639" i="3" s="1"/>
  <c r="J640" i="3" s="1"/>
  <c r="K637" i="3"/>
  <c r="K636" i="3"/>
  <c r="J636" i="3"/>
  <c r="J637" i="3" s="1"/>
  <c r="K635" i="3"/>
  <c r="K634" i="3"/>
  <c r="J634" i="3"/>
  <c r="J635" i="3" s="1"/>
  <c r="K633" i="3"/>
  <c r="I633" i="3"/>
  <c r="I634" i="3" s="1"/>
  <c r="I635" i="3" s="1"/>
  <c r="I636" i="3" s="1"/>
  <c r="I637" i="3" s="1"/>
  <c r="I638" i="3" s="1"/>
  <c r="I639" i="3" s="1"/>
  <c r="K632" i="3"/>
  <c r="H632" i="3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H661" i="3" s="1"/>
  <c r="H662" i="3" s="1"/>
  <c r="H663" i="3" s="1"/>
  <c r="H664" i="3" s="1"/>
  <c r="H665" i="3" s="1"/>
  <c r="H666" i="3" s="1"/>
  <c r="H667" i="3" s="1"/>
  <c r="H668" i="3" s="1"/>
  <c r="H669" i="3" s="1"/>
  <c r="H670" i="3" s="1"/>
  <c r="K631" i="3"/>
  <c r="K630" i="3"/>
  <c r="K629" i="3"/>
  <c r="K628" i="3"/>
  <c r="K627" i="3"/>
  <c r="J627" i="3"/>
  <c r="J628" i="3" s="1"/>
  <c r="J629" i="3" s="1"/>
  <c r="J630" i="3" s="1"/>
  <c r="J631" i="3" s="1"/>
  <c r="J632" i="3" s="1"/>
  <c r="J633" i="3" s="1"/>
  <c r="K626" i="3"/>
  <c r="K625" i="3"/>
  <c r="J625" i="3"/>
  <c r="J626" i="3" s="1"/>
  <c r="K624" i="3"/>
  <c r="K623" i="3"/>
  <c r="J623" i="3"/>
  <c r="J624" i="3" s="1"/>
  <c r="K622" i="3"/>
  <c r="K621" i="3"/>
  <c r="J621" i="3"/>
  <c r="J622" i="3" s="1"/>
  <c r="K620" i="3"/>
  <c r="I620" i="3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K619" i="3"/>
  <c r="K618" i="3"/>
  <c r="J618" i="3"/>
  <c r="J619" i="3" s="1"/>
  <c r="J620" i="3" s="1"/>
  <c r="K617" i="3"/>
  <c r="K616" i="3"/>
  <c r="J616" i="3"/>
  <c r="J617" i="3" s="1"/>
  <c r="K615" i="3"/>
  <c r="K614" i="3"/>
  <c r="J614" i="3"/>
  <c r="J615" i="3" s="1"/>
  <c r="K613" i="3"/>
  <c r="I613" i="3"/>
  <c r="I614" i="3" s="1"/>
  <c r="I615" i="3" s="1"/>
  <c r="I616" i="3" s="1"/>
  <c r="I617" i="3" s="1"/>
  <c r="I618" i="3" s="1"/>
  <c r="I619" i="3" s="1"/>
  <c r="K612" i="3"/>
  <c r="H612" i="3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K611" i="3"/>
  <c r="K610" i="3"/>
  <c r="J610" i="3"/>
  <c r="J611" i="3" s="1"/>
  <c r="J612" i="3" s="1"/>
  <c r="J613" i="3" s="1"/>
  <c r="K609" i="3"/>
  <c r="K608" i="3"/>
  <c r="J608" i="3"/>
  <c r="J609" i="3" s="1"/>
  <c r="K607" i="3"/>
  <c r="K606" i="3"/>
  <c r="K605" i="3"/>
  <c r="K604" i="3"/>
  <c r="J604" i="3"/>
  <c r="J605" i="3" s="1"/>
  <c r="J606" i="3" s="1"/>
  <c r="J607" i="3" s="1"/>
  <c r="K603" i="3"/>
  <c r="I603" i="3"/>
  <c r="I604" i="3" s="1"/>
  <c r="I605" i="3" s="1"/>
  <c r="I606" i="3" s="1"/>
  <c r="I607" i="3" s="1"/>
  <c r="I608" i="3" s="1"/>
  <c r="I609" i="3" s="1"/>
  <c r="I610" i="3" s="1"/>
  <c r="I611" i="3" s="1"/>
  <c r="I612" i="3" s="1"/>
  <c r="K602" i="3"/>
  <c r="K601" i="3"/>
  <c r="J601" i="3"/>
  <c r="J602" i="3" s="1"/>
  <c r="J603" i="3" s="1"/>
  <c r="K600" i="3"/>
  <c r="I600" i="3"/>
  <c r="I601" i="3" s="1"/>
  <c r="I602" i="3" s="1"/>
  <c r="K599" i="3"/>
  <c r="H599" i="3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K598" i="3"/>
  <c r="K597" i="3"/>
  <c r="K596" i="3"/>
  <c r="J596" i="3"/>
  <c r="J597" i="3" s="1"/>
  <c r="J598" i="3" s="1"/>
  <c r="J599" i="3" s="1"/>
  <c r="J600" i="3" s="1"/>
  <c r="K595" i="3"/>
  <c r="K594" i="3"/>
  <c r="J594" i="3"/>
  <c r="J595" i="3" s="1"/>
  <c r="K593" i="3"/>
  <c r="K592" i="3"/>
  <c r="J592" i="3"/>
  <c r="J593" i="3" s="1"/>
  <c r="K591" i="3"/>
  <c r="K590" i="3"/>
  <c r="K589" i="3"/>
  <c r="K588" i="3"/>
  <c r="J588" i="3"/>
  <c r="J589" i="3" s="1"/>
  <c r="J590" i="3" s="1"/>
  <c r="J591" i="3" s="1"/>
  <c r="K587" i="3"/>
  <c r="K586" i="3"/>
  <c r="J586" i="3"/>
  <c r="J587" i="3" s="1"/>
  <c r="K585" i="3"/>
  <c r="I585" i="3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K584" i="3"/>
  <c r="K583" i="3"/>
  <c r="J583" i="3"/>
  <c r="J584" i="3" s="1"/>
  <c r="J585" i="3" s="1"/>
  <c r="K582" i="3"/>
  <c r="K581" i="3"/>
  <c r="J581" i="3"/>
  <c r="J582" i="3" s="1"/>
  <c r="K580" i="3"/>
  <c r="K579" i="3"/>
  <c r="J579" i="3"/>
  <c r="J580" i="3" s="1"/>
  <c r="K578" i="3"/>
  <c r="I578" i="3"/>
  <c r="I579" i="3" s="1"/>
  <c r="I580" i="3" s="1"/>
  <c r="I581" i="3" s="1"/>
  <c r="I582" i="3" s="1"/>
  <c r="I583" i="3" s="1"/>
  <c r="I584" i="3" s="1"/>
  <c r="K577" i="3"/>
  <c r="K576" i="3"/>
  <c r="J576" i="3"/>
  <c r="J577" i="3" s="1"/>
  <c r="J578" i="3" s="1"/>
  <c r="K575" i="3"/>
  <c r="K574" i="3"/>
  <c r="J574" i="3"/>
  <c r="J575" i="3" s="1"/>
  <c r="K573" i="3"/>
  <c r="K572" i="3"/>
  <c r="J572" i="3"/>
  <c r="J573" i="3" s="1"/>
  <c r="K571" i="3"/>
  <c r="I571" i="3"/>
  <c r="I572" i="3" s="1"/>
  <c r="I573" i="3" s="1"/>
  <c r="I574" i="3" s="1"/>
  <c r="I575" i="3" s="1"/>
  <c r="I576" i="3" s="1"/>
  <c r="I577" i="3" s="1"/>
  <c r="K570" i="3"/>
  <c r="K569" i="3"/>
  <c r="J569" i="3"/>
  <c r="J570" i="3" s="1"/>
  <c r="J571" i="3" s="1"/>
  <c r="K568" i="3"/>
  <c r="K567" i="3"/>
  <c r="J567" i="3"/>
  <c r="J568" i="3" s="1"/>
  <c r="K566" i="3"/>
  <c r="I566" i="3"/>
  <c r="I567" i="3" s="1"/>
  <c r="I568" i="3" s="1"/>
  <c r="I569" i="3" s="1"/>
  <c r="I570" i="3" s="1"/>
  <c r="K565" i="3"/>
  <c r="K564" i="3"/>
  <c r="J564" i="3"/>
  <c r="J565" i="3" s="1"/>
  <c r="J566" i="3" s="1"/>
  <c r="K563" i="3"/>
  <c r="I563" i="3"/>
  <c r="I564" i="3" s="1"/>
  <c r="I565" i="3" s="1"/>
  <c r="K562" i="3"/>
  <c r="K561" i="3"/>
  <c r="J561" i="3"/>
  <c r="J562" i="3" s="1"/>
  <c r="J563" i="3" s="1"/>
  <c r="K560" i="3"/>
  <c r="K559" i="3"/>
  <c r="J559" i="3"/>
  <c r="J560" i="3" s="1"/>
  <c r="K558" i="3"/>
  <c r="K557" i="3"/>
  <c r="J557" i="3"/>
  <c r="J558" i="3" s="1"/>
  <c r="K556" i="3"/>
  <c r="I556" i="3"/>
  <c r="I557" i="3" s="1"/>
  <c r="I558" i="3" s="1"/>
  <c r="I559" i="3" s="1"/>
  <c r="I560" i="3" s="1"/>
  <c r="I561" i="3" s="1"/>
  <c r="I562" i="3" s="1"/>
  <c r="K555" i="3"/>
  <c r="K554" i="3"/>
  <c r="J554" i="3"/>
  <c r="J555" i="3" s="1"/>
  <c r="J556" i="3" s="1"/>
  <c r="K553" i="3"/>
  <c r="K552" i="3"/>
  <c r="J552" i="3"/>
  <c r="J553" i="3" s="1"/>
  <c r="K551" i="3"/>
  <c r="K550" i="3"/>
  <c r="J550" i="3"/>
  <c r="J551" i="3" s="1"/>
  <c r="K549" i="3"/>
  <c r="I549" i="3"/>
  <c r="I550" i="3" s="1"/>
  <c r="I551" i="3" s="1"/>
  <c r="I552" i="3" s="1"/>
  <c r="I553" i="3" s="1"/>
  <c r="I554" i="3" s="1"/>
  <c r="I555" i="3" s="1"/>
  <c r="K548" i="3"/>
  <c r="K547" i="3"/>
  <c r="K546" i="3"/>
  <c r="J546" i="3"/>
  <c r="J547" i="3" s="1"/>
  <c r="J548" i="3" s="1"/>
  <c r="J549" i="3" s="1"/>
  <c r="K545" i="3"/>
  <c r="K544" i="3"/>
  <c r="J544" i="3"/>
  <c r="J545" i="3" s="1"/>
  <c r="K543" i="3"/>
  <c r="K542" i="3"/>
  <c r="K541" i="3"/>
  <c r="J541" i="3"/>
  <c r="J542" i="3" s="1"/>
  <c r="J543" i="3" s="1"/>
  <c r="K540" i="3"/>
  <c r="K539" i="3"/>
  <c r="J539" i="3"/>
  <c r="J540" i="3" s="1"/>
  <c r="K538" i="3"/>
  <c r="K537" i="3"/>
  <c r="J537" i="3"/>
  <c r="J538" i="3" s="1"/>
  <c r="K536" i="3"/>
  <c r="I536" i="3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K535" i="3"/>
  <c r="H535" i="3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K534" i="3"/>
  <c r="K533" i="3"/>
  <c r="J533" i="3"/>
  <c r="J534" i="3" s="1"/>
  <c r="J535" i="3" s="1"/>
  <c r="J536" i="3" s="1"/>
  <c r="K532" i="3"/>
  <c r="K531" i="3"/>
  <c r="J531" i="3"/>
  <c r="J532" i="3" s="1"/>
  <c r="K530" i="3"/>
  <c r="I530" i="3"/>
  <c r="I531" i="3" s="1"/>
  <c r="I532" i="3" s="1"/>
  <c r="I533" i="3" s="1"/>
  <c r="I534" i="3" s="1"/>
  <c r="I535" i="3" s="1"/>
  <c r="K529" i="3"/>
  <c r="K528" i="3"/>
  <c r="K527" i="3"/>
  <c r="K526" i="3"/>
  <c r="J526" i="3"/>
  <c r="J527" i="3" s="1"/>
  <c r="J528" i="3" s="1"/>
  <c r="J529" i="3" s="1"/>
  <c r="J530" i="3" s="1"/>
  <c r="K525" i="3"/>
  <c r="K524" i="3"/>
  <c r="J524" i="3"/>
  <c r="J525" i="3" s="1"/>
  <c r="K523" i="3"/>
  <c r="I523" i="3"/>
  <c r="I524" i="3" s="1"/>
  <c r="I525" i="3" s="1"/>
  <c r="I526" i="3" s="1"/>
  <c r="I527" i="3" s="1"/>
  <c r="I528" i="3" s="1"/>
  <c r="I529" i="3" s="1"/>
  <c r="K522" i="3"/>
  <c r="K521" i="3"/>
  <c r="J521" i="3"/>
  <c r="J522" i="3" s="1"/>
  <c r="J523" i="3" s="1"/>
  <c r="K520" i="3"/>
  <c r="I520" i="3"/>
  <c r="I521" i="3" s="1"/>
  <c r="I522" i="3" s="1"/>
  <c r="K519" i="3"/>
  <c r="H519" i="3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K518" i="3"/>
  <c r="K517" i="3"/>
  <c r="K516" i="3"/>
  <c r="K515" i="3"/>
  <c r="J515" i="3"/>
  <c r="J516" i="3" s="1"/>
  <c r="J517" i="3" s="1"/>
  <c r="J518" i="3" s="1"/>
  <c r="J519" i="3" s="1"/>
  <c r="J520" i="3" s="1"/>
  <c r="K514" i="3"/>
  <c r="I514" i="3"/>
  <c r="I515" i="3" s="1"/>
  <c r="I516" i="3" s="1"/>
  <c r="I517" i="3" s="1"/>
  <c r="I518" i="3" s="1"/>
  <c r="I519" i="3" s="1"/>
  <c r="K513" i="3"/>
  <c r="K512" i="3"/>
  <c r="K511" i="3"/>
  <c r="J511" i="3"/>
  <c r="J512" i="3" s="1"/>
  <c r="J513" i="3" s="1"/>
  <c r="J514" i="3" s="1"/>
  <c r="K510" i="3"/>
  <c r="K509" i="3"/>
  <c r="J509" i="3"/>
  <c r="J510" i="3" s="1"/>
  <c r="K508" i="3"/>
  <c r="I508" i="3"/>
  <c r="I509" i="3" s="1"/>
  <c r="I510" i="3" s="1"/>
  <c r="I511" i="3" s="1"/>
  <c r="I512" i="3" s="1"/>
  <c r="I513" i="3" s="1"/>
  <c r="K507" i="3"/>
  <c r="K506" i="3"/>
  <c r="K505" i="3"/>
  <c r="J505" i="3"/>
  <c r="J506" i="3" s="1"/>
  <c r="J507" i="3" s="1"/>
  <c r="J508" i="3" s="1"/>
  <c r="K504" i="3"/>
  <c r="K503" i="3"/>
  <c r="J503" i="3"/>
  <c r="J504" i="3" s="1"/>
  <c r="K502" i="3"/>
  <c r="K501" i="3"/>
  <c r="J501" i="3"/>
  <c r="J502" i="3" s="1"/>
  <c r="K500" i="3"/>
  <c r="J500" i="3"/>
  <c r="K499" i="3"/>
  <c r="I499" i="3"/>
  <c r="I500" i="3" s="1"/>
  <c r="I501" i="3" s="1"/>
  <c r="I502" i="3" s="1"/>
  <c r="I503" i="3" s="1"/>
  <c r="I504" i="3" s="1"/>
  <c r="I505" i="3" s="1"/>
  <c r="I506" i="3" s="1"/>
  <c r="I507" i="3" s="1"/>
  <c r="K498" i="3"/>
  <c r="H498" i="3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K497" i="3"/>
  <c r="J497" i="3"/>
  <c r="J498" i="3" s="1"/>
  <c r="J499" i="3" s="1"/>
  <c r="K496" i="3"/>
  <c r="J496" i="3"/>
  <c r="K495" i="3"/>
  <c r="K494" i="3"/>
  <c r="K493" i="3"/>
  <c r="K492" i="3"/>
  <c r="J492" i="3"/>
  <c r="J493" i="3" s="1"/>
  <c r="J494" i="3" s="1"/>
  <c r="J495" i="3" s="1"/>
  <c r="K491" i="3"/>
  <c r="K490" i="3"/>
  <c r="K489" i="3"/>
  <c r="J489" i="3"/>
  <c r="J490" i="3" s="1"/>
  <c r="J491" i="3" s="1"/>
  <c r="K488" i="3"/>
  <c r="I488" i="3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K487" i="3"/>
  <c r="J487" i="3"/>
  <c r="J488" i="3" s="1"/>
  <c r="K486" i="3"/>
  <c r="J486" i="3"/>
  <c r="K485" i="3"/>
  <c r="J485" i="3"/>
  <c r="K484" i="3"/>
  <c r="J484" i="3"/>
  <c r="K483" i="3"/>
  <c r="J483" i="3"/>
  <c r="K482" i="3"/>
  <c r="J482" i="3"/>
  <c r="K481" i="3"/>
  <c r="I481" i="3"/>
  <c r="I482" i="3" s="1"/>
  <c r="I483" i="3" s="1"/>
  <c r="I484" i="3" s="1"/>
  <c r="I485" i="3" s="1"/>
  <c r="I486" i="3" s="1"/>
  <c r="I487" i="3" s="1"/>
  <c r="K480" i="3"/>
  <c r="K479" i="3"/>
  <c r="J479" i="3"/>
  <c r="J480" i="3" s="1"/>
  <c r="J481" i="3" s="1"/>
  <c r="K478" i="3"/>
  <c r="K477" i="3"/>
  <c r="J477" i="3"/>
  <c r="J478" i="3" s="1"/>
  <c r="K476" i="3"/>
  <c r="I476" i="3"/>
  <c r="I477" i="3" s="1"/>
  <c r="I478" i="3" s="1"/>
  <c r="I479" i="3" s="1"/>
  <c r="I480" i="3" s="1"/>
  <c r="K475" i="3"/>
  <c r="K474" i="3"/>
  <c r="J474" i="3"/>
  <c r="J475" i="3" s="1"/>
  <c r="J476" i="3" s="1"/>
  <c r="K473" i="3"/>
  <c r="I473" i="3"/>
  <c r="I474" i="3" s="1"/>
  <c r="I475" i="3" s="1"/>
  <c r="K472" i="3"/>
  <c r="H472" i="3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K471" i="3"/>
  <c r="K470" i="3"/>
  <c r="K469" i="3"/>
  <c r="J469" i="3"/>
  <c r="J470" i="3" s="1"/>
  <c r="J471" i="3" s="1"/>
  <c r="J472" i="3" s="1"/>
  <c r="J473" i="3" s="1"/>
  <c r="K468" i="3"/>
  <c r="K467" i="3"/>
  <c r="J467" i="3"/>
  <c r="J468" i="3" s="1"/>
  <c r="K466" i="3"/>
  <c r="K465" i="3"/>
  <c r="K464" i="3"/>
  <c r="K463" i="3"/>
  <c r="J463" i="3"/>
  <c r="J464" i="3" s="1"/>
  <c r="J465" i="3" s="1"/>
  <c r="J466" i="3" s="1"/>
  <c r="K462" i="3"/>
  <c r="K461" i="3"/>
  <c r="J461" i="3"/>
  <c r="J462" i="3" s="1"/>
  <c r="K460" i="3"/>
  <c r="I460" i="3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K459" i="3"/>
  <c r="K458" i="3"/>
  <c r="K457" i="3"/>
  <c r="J457" i="3"/>
  <c r="J458" i="3" s="1"/>
  <c r="J459" i="3" s="1"/>
  <c r="J460" i="3" s="1"/>
  <c r="K456" i="3"/>
  <c r="J456" i="3"/>
  <c r="K455" i="3"/>
  <c r="I455" i="3"/>
  <c r="I456" i="3" s="1"/>
  <c r="I457" i="3" s="1"/>
  <c r="I458" i="3" s="1"/>
  <c r="I459" i="3" s="1"/>
  <c r="K454" i="3"/>
  <c r="H454" i="3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K453" i="3"/>
  <c r="K452" i="3"/>
  <c r="J452" i="3"/>
  <c r="J453" i="3" s="1"/>
  <c r="J454" i="3" s="1"/>
  <c r="J455" i="3" s="1"/>
  <c r="K451" i="3"/>
  <c r="I451" i="3"/>
  <c r="I452" i="3" s="1"/>
  <c r="I453" i="3" s="1"/>
  <c r="I454" i="3" s="1"/>
  <c r="K450" i="3"/>
  <c r="K449" i="3"/>
  <c r="J449" i="3"/>
  <c r="J450" i="3" s="1"/>
  <c r="J451" i="3" s="1"/>
  <c r="K448" i="3"/>
  <c r="K447" i="3"/>
  <c r="J447" i="3"/>
  <c r="J448" i="3" s="1"/>
  <c r="K446" i="3"/>
  <c r="K445" i="3"/>
  <c r="J445" i="3"/>
  <c r="J446" i="3" s="1"/>
  <c r="K444" i="3"/>
  <c r="K443" i="3"/>
  <c r="K442" i="3"/>
  <c r="J442" i="3"/>
  <c r="J443" i="3" s="1"/>
  <c r="J444" i="3" s="1"/>
  <c r="K441" i="3"/>
  <c r="I441" i="3"/>
  <c r="I442" i="3" s="1"/>
  <c r="I443" i="3" s="1"/>
  <c r="I444" i="3" s="1"/>
  <c r="I445" i="3" s="1"/>
  <c r="I446" i="3" s="1"/>
  <c r="I447" i="3" s="1"/>
  <c r="I448" i="3" s="1"/>
  <c r="I449" i="3" s="1"/>
  <c r="I450" i="3" s="1"/>
  <c r="K440" i="3"/>
  <c r="K439" i="3"/>
  <c r="J439" i="3"/>
  <c r="J440" i="3" s="1"/>
  <c r="J441" i="3" s="1"/>
  <c r="K438" i="3"/>
  <c r="K437" i="3"/>
  <c r="J437" i="3"/>
  <c r="J438" i="3" s="1"/>
  <c r="K436" i="3"/>
  <c r="I436" i="3"/>
  <c r="I437" i="3" s="1"/>
  <c r="I438" i="3" s="1"/>
  <c r="I439" i="3" s="1"/>
  <c r="I440" i="3" s="1"/>
  <c r="K435" i="3"/>
  <c r="K434" i="3"/>
  <c r="J434" i="3"/>
  <c r="J435" i="3" s="1"/>
  <c r="J436" i="3" s="1"/>
  <c r="K433" i="3"/>
  <c r="I433" i="3"/>
  <c r="I434" i="3" s="1"/>
  <c r="I435" i="3" s="1"/>
  <c r="K432" i="3"/>
  <c r="H432" i="3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K431" i="3"/>
  <c r="K430" i="3"/>
  <c r="J430" i="3"/>
  <c r="J431" i="3" s="1"/>
  <c r="J432" i="3" s="1"/>
  <c r="J433" i="3" s="1"/>
  <c r="K429" i="3"/>
  <c r="K428" i="3"/>
  <c r="J428" i="3"/>
  <c r="J429" i="3" s="1"/>
  <c r="K427" i="3"/>
  <c r="I427" i="3"/>
  <c r="I428" i="3" s="1"/>
  <c r="I429" i="3" s="1"/>
  <c r="I430" i="3" s="1"/>
  <c r="I431" i="3" s="1"/>
  <c r="I432" i="3" s="1"/>
  <c r="K426" i="3"/>
  <c r="K425" i="3"/>
  <c r="J425" i="3"/>
  <c r="J426" i="3" s="1"/>
  <c r="J427" i="3" s="1"/>
  <c r="K424" i="3"/>
  <c r="K423" i="3"/>
  <c r="K422" i="3"/>
  <c r="K421" i="3"/>
  <c r="J421" i="3"/>
  <c r="J422" i="3" s="1"/>
  <c r="J423" i="3" s="1"/>
  <c r="J424" i="3" s="1"/>
  <c r="K420" i="3"/>
  <c r="K419" i="3"/>
  <c r="K418" i="3"/>
  <c r="K417" i="3"/>
  <c r="J417" i="3"/>
  <c r="J418" i="3" s="1"/>
  <c r="J419" i="3" s="1"/>
  <c r="J420" i="3" s="1"/>
  <c r="K416" i="3"/>
  <c r="K415" i="3"/>
  <c r="K414" i="3"/>
  <c r="J414" i="3"/>
  <c r="J415" i="3" s="1"/>
  <c r="J416" i="3" s="1"/>
  <c r="I414" i="3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K413" i="3"/>
  <c r="I413" i="3"/>
  <c r="K412" i="3"/>
  <c r="H412" i="3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K411" i="3"/>
  <c r="K410" i="3"/>
  <c r="J410" i="3"/>
  <c r="J411" i="3" s="1"/>
  <c r="J412" i="3" s="1"/>
  <c r="J413" i="3" s="1"/>
  <c r="K409" i="3"/>
  <c r="K408" i="3"/>
  <c r="J408" i="3"/>
  <c r="J409" i="3" s="1"/>
  <c r="K407" i="3"/>
  <c r="K406" i="3"/>
  <c r="J406" i="3"/>
  <c r="J407" i="3" s="1"/>
  <c r="K405" i="3"/>
  <c r="K404" i="3"/>
  <c r="J404" i="3"/>
  <c r="J405" i="3" s="1"/>
  <c r="K403" i="3"/>
  <c r="K402" i="3"/>
  <c r="J402" i="3"/>
  <c r="J403" i="3" s="1"/>
  <c r="K401" i="3"/>
  <c r="I401" i="3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K400" i="3"/>
  <c r="K399" i="3"/>
  <c r="K398" i="3"/>
  <c r="K397" i="3"/>
  <c r="J397" i="3"/>
  <c r="J398" i="3" s="1"/>
  <c r="J399" i="3" s="1"/>
  <c r="J400" i="3" s="1"/>
  <c r="J401" i="3" s="1"/>
  <c r="K396" i="3"/>
  <c r="I396" i="3"/>
  <c r="I397" i="3" s="1"/>
  <c r="I398" i="3" s="1"/>
  <c r="I399" i="3" s="1"/>
  <c r="I400" i="3" s="1"/>
  <c r="K395" i="3"/>
  <c r="K394" i="3"/>
  <c r="J394" i="3"/>
  <c r="J395" i="3" s="1"/>
  <c r="J396" i="3" s="1"/>
  <c r="K393" i="3"/>
  <c r="I393" i="3"/>
  <c r="I394" i="3" s="1"/>
  <c r="I395" i="3" s="1"/>
  <c r="K392" i="3"/>
  <c r="K391" i="3"/>
  <c r="J391" i="3"/>
  <c r="J392" i="3" s="1"/>
  <c r="J393" i="3" s="1"/>
  <c r="K390" i="3"/>
  <c r="K389" i="3"/>
  <c r="J389" i="3"/>
  <c r="J390" i="3" s="1"/>
  <c r="K388" i="3"/>
  <c r="K387" i="3"/>
  <c r="J387" i="3"/>
  <c r="J388" i="3" s="1"/>
  <c r="K386" i="3"/>
  <c r="I386" i="3"/>
  <c r="I387" i="3" s="1"/>
  <c r="I388" i="3" s="1"/>
  <c r="I389" i="3" s="1"/>
  <c r="I390" i="3" s="1"/>
  <c r="I391" i="3" s="1"/>
  <c r="I392" i="3" s="1"/>
  <c r="K385" i="3"/>
  <c r="K384" i="3"/>
  <c r="J384" i="3"/>
  <c r="J385" i="3" s="1"/>
  <c r="J386" i="3" s="1"/>
  <c r="K383" i="3"/>
  <c r="K382" i="3"/>
  <c r="J382" i="3"/>
  <c r="J383" i="3" s="1"/>
  <c r="K381" i="3"/>
  <c r="K380" i="3"/>
  <c r="J380" i="3"/>
  <c r="J381" i="3" s="1"/>
  <c r="K379" i="3"/>
  <c r="K378" i="3"/>
  <c r="J378" i="3"/>
  <c r="J379" i="3" s="1"/>
  <c r="K377" i="3"/>
  <c r="I377" i="3"/>
  <c r="I378" i="3" s="1"/>
  <c r="I379" i="3" s="1"/>
  <c r="I380" i="3" s="1"/>
  <c r="I381" i="3" s="1"/>
  <c r="I382" i="3" s="1"/>
  <c r="I383" i="3" s="1"/>
  <c r="I384" i="3" s="1"/>
  <c r="I385" i="3" s="1"/>
  <c r="K376" i="3"/>
  <c r="H376" i="3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K375" i="3"/>
  <c r="K374" i="3"/>
  <c r="K373" i="3"/>
  <c r="K372" i="3"/>
  <c r="K371" i="3"/>
  <c r="J371" i="3"/>
  <c r="J372" i="3" s="1"/>
  <c r="J373" i="3" s="1"/>
  <c r="J374" i="3" s="1"/>
  <c r="J375" i="3" s="1"/>
  <c r="J376" i="3" s="1"/>
  <c r="J377" i="3" s="1"/>
  <c r="K370" i="3"/>
  <c r="I370" i="3"/>
  <c r="I371" i="3" s="1"/>
  <c r="I372" i="3" s="1"/>
  <c r="I373" i="3" s="1"/>
  <c r="I374" i="3" s="1"/>
  <c r="I375" i="3" s="1"/>
  <c r="I376" i="3" s="1"/>
  <c r="K369" i="3"/>
  <c r="K368" i="3"/>
  <c r="J368" i="3"/>
  <c r="J369" i="3" s="1"/>
  <c r="J370" i="3" s="1"/>
  <c r="I368" i="3"/>
  <c r="I369" i="3" s="1"/>
  <c r="K367" i="3"/>
  <c r="I367" i="3"/>
  <c r="K366" i="3"/>
  <c r="H366" i="3"/>
  <c r="H367" i="3" s="1"/>
  <c r="H368" i="3" s="1"/>
  <c r="H369" i="3" s="1"/>
  <c r="H370" i="3" s="1"/>
  <c r="H371" i="3" s="1"/>
  <c r="H372" i="3" s="1"/>
  <c r="H373" i="3" s="1"/>
  <c r="H374" i="3" s="1"/>
  <c r="H375" i="3" s="1"/>
  <c r="K365" i="3"/>
  <c r="K364" i="3"/>
  <c r="K363" i="3"/>
  <c r="K362" i="3"/>
  <c r="K361" i="3"/>
  <c r="K360" i="3"/>
  <c r="J360" i="3"/>
  <c r="J361" i="3" s="1"/>
  <c r="J362" i="3" s="1"/>
  <c r="J363" i="3" s="1"/>
  <c r="J364" i="3" s="1"/>
  <c r="J365" i="3" s="1"/>
  <c r="J366" i="3" s="1"/>
  <c r="J367" i="3" s="1"/>
  <c r="K359" i="3"/>
  <c r="K358" i="3"/>
  <c r="J358" i="3"/>
  <c r="J359" i="3" s="1"/>
  <c r="K357" i="3"/>
  <c r="I357" i="3"/>
  <c r="I358" i="3" s="1"/>
  <c r="I359" i="3" s="1"/>
  <c r="I360" i="3" s="1"/>
  <c r="I361" i="3" s="1"/>
  <c r="I362" i="3" s="1"/>
  <c r="I363" i="3" s="1"/>
  <c r="I364" i="3" s="1"/>
  <c r="I365" i="3" s="1"/>
  <c r="I366" i="3" s="1"/>
  <c r="K356" i="3"/>
  <c r="K355" i="3"/>
  <c r="K354" i="3"/>
  <c r="J354" i="3"/>
  <c r="J355" i="3" s="1"/>
  <c r="J356" i="3" s="1"/>
  <c r="J357" i="3" s="1"/>
  <c r="K353" i="3"/>
  <c r="K352" i="3"/>
  <c r="J352" i="3"/>
  <c r="J353" i="3" s="1"/>
  <c r="K351" i="3"/>
  <c r="K350" i="3"/>
  <c r="K349" i="3"/>
  <c r="J349" i="3"/>
  <c r="J350" i="3" s="1"/>
  <c r="J351" i="3" s="1"/>
  <c r="K348" i="3"/>
  <c r="I348" i="3"/>
  <c r="I349" i="3" s="1"/>
  <c r="I350" i="3" s="1"/>
  <c r="I351" i="3" s="1"/>
  <c r="I352" i="3" s="1"/>
  <c r="I353" i="3" s="1"/>
  <c r="I354" i="3" s="1"/>
  <c r="I355" i="3" s="1"/>
  <c r="I356" i="3" s="1"/>
  <c r="K347" i="3"/>
  <c r="H347" i="3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K346" i="3"/>
  <c r="K345" i="3"/>
  <c r="K344" i="3"/>
  <c r="K343" i="3"/>
  <c r="K342" i="3"/>
  <c r="K341" i="3"/>
  <c r="K340" i="3"/>
  <c r="K339" i="3"/>
  <c r="K338" i="3"/>
  <c r="J338" i="3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K337" i="3"/>
  <c r="K336" i="3"/>
  <c r="J336" i="3"/>
  <c r="J337" i="3" s="1"/>
  <c r="K335" i="3"/>
  <c r="K334" i="3"/>
  <c r="J334" i="3"/>
  <c r="J335" i="3" s="1"/>
  <c r="K333" i="3"/>
  <c r="K332" i="3"/>
  <c r="J332" i="3"/>
  <c r="J333" i="3" s="1"/>
  <c r="K331" i="3"/>
  <c r="K330" i="3"/>
  <c r="K329" i="3"/>
  <c r="J329" i="3"/>
  <c r="J330" i="3" s="1"/>
  <c r="J331" i="3" s="1"/>
  <c r="K328" i="3"/>
  <c r="K327" i="3"/>
  <c r="J327" i="3"/>
  <c r="J328" i="3" s="1"/>
  <c r="K326" i="3"/>
  <c r="K325" i="3"/>
  <c r="K324" i="3"/>
  <c r="J324" i="3"/>
  <c r="J325" i="3" s="1"/>
  <c r="J326" i="3" s="1"/>
  <c r="K323" i="3"/>
  <c r="I323" i="3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K322" i="3"/>
  <c r="K321" i="3"/>
  <c r="J321" i="3"/>
  <c r="J322" i="3" s="1"/>
  <c r="J323" i="3" s="1"/>
  <c r="K320" i="3"/>
  <c r="K319" i="3"/>
  <c r="K318" i="3"/>
  <c r="J318" i="3"/>
  <c r="J319" i="3" s="1"/>
  <c r="J320" i="3" s="1"/>
  <c r="K317" i="3"/>
  <c r="I317" i="3"/>
  <c r="I318" i="3" s="1"/>
  <c r="I319" i="3" s="1"/>
  <c r="I320" i="3" s="1"/>
  <c r="I321" i="3" s="1"/>
  <c r="I322" i="3" s="1"/>
  <c r="K316" i="3"/>
  <c r="K315" i="3"/>
  <c r="K314" i="3"/>
  <c r="J314" i="3"/>
  <c r="J315" i="3" s="1"/>
  <c r="J316" i="3" s="1"/>
  <c r="J317" i="3" s="1"/>
  <c r="K313" i="3"/>
  <c r="K312" i="3"/>
  <c r="J312" i="3"/>
  <c r="J313" i="3" s="1"/>
  <c r="K311" i="3"/>
  <c r="I311" i="3"/>
  <c r="I312" i="3" s="1"/>
  <c r="I313" i="3" s="1"/>
  <c r="I314" i="3" s="1"/>
  <c r="I315" i="3" s="1"/>
  <c r="I316" i="3" s="1"/>
  <c r="K310" i="3"/>
  <c r="K309" i="3"/>
  <c r="J309" i="3"/>
  <c r="J310" i="3" s="1"/>
  <c r="J311" i="3" s="1"/>
  <c r="K308" i="3"/>
  <c r="K307" i="3"/>
  <c r="J307" i="3"/>
  <c r="J308" i="3" s="1"/>
  <c r="K306" i="3"/>
  <c r="K305" i="3"/>
  <c r="K304" i="3"/>
  <c r="K303" i="3"/>
  <c r="J303" i="3"/>
  <c r="J304" i="3" s="1"/>
  <c r="J305" i="3" s="1"/>
  <c r="J306" i="3" s="1"/>
  <c r="K302" i="3"/>
  <c r="K301" i="3"/>
  <c r="J301" i="3"/>
  <c r="J302" i="3" s="1"/>
  <c r="K300" i="3"/>
  <c r="K299" i="3"/>
  <c r="J299" i="3"/>
  <c r="J300" i="3" s="1"/>
  <c r="K298" i="3"/>
  <c r="K297" i="3"/>
  <c r="J297" i="3"/>
  <c r="J298" i="3" s="1"/>
  <c r="K296" i="3"/>
  <c r="K295" i="3"/>
  <c r="K294" i="3"/>
  <c r="J294" i="3"/>
  <c r="J295" i="3" s="1"/>
  <c r="J296" i="3" s="1"/>
  <c r="K293" i="3"/>
  <c r="I293" i="3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K292" i="3"/>
  <c r="K291" i="3"/>
  <c r="J291" i="3"/>
  <c r="J292" i="3" s="1"/>
  <c r="J293" i="3" s="1"/>
  <c r="K290" i="3"/>
  <c r="K289" i="3"/>
  <c r="J289" i="3"/>
  <c r="J290" i="3" s="1"/>
  <c r="K288" i="3"/>
  <c r="K287" i="3"/>
  <c r="J287" i="3"/>
  <c r="J288" i="3" s="1"/>
  <c r="K286" i="3"/>
  <c r="I286" i="3"/>
  <c r="I287" i="3" s="1"/>
  <c r="I288" i="3" s="1"/>
  <c r="I289" i="3" s="1"/>
  <c r="I290" i="3" s="1"/>
  <c r="I291" i="3" s="1"/>
  <c r="I292" i="3" s="1"/>
  <c r="K285" i="3"/>
  <c r="K284" i="3"/>
  <c r="J284" i="3"/>
  <c r="J285" i="3" s="1"/>
  <c r="J286" i="3" s="1"/>
  <c r="K283" i="3"/>
  <c r="K282" i="3"/>
  <c r="J282" i="3"/>
  <c r="J283" i="3" s="1"/>
  <c r="K281" i="3"/>
  <c r="K280" i="3"/>
  <c r="J280" i="3"/>
  <c r="J281" i="3" s="1"/>
  <c r="K279" i="3"/>
  <c r="I279" i="3"/>
  <c r="I280" i="3" s="1"/>
  <c r="I281" i="3" s="1"/>
  <c r="I282" i="3" s="1"/>
  <c r="I283" i="3" s="1"/>
  <c r="I284" i="3" s="1"/>
  <c r="I285" i="3" s="1"/>
  <c r="K278" i="3"/>
  <c r="K277" i="3"/>
  <c r="K276" i="3"/>
  <c r="J276" i="3"/>
  <c r="J277" i="3" s="1"/>
  <c r="J278" i="3" s="1"/>
  <c r="J279" i="3" s="1"/>
  <c r="K275" i="3"/>
  <c r="K274" i="3"/>
  <c r="K273" i="3"/>
  <c r="J273" i="3"/>
  <c r="J274" i="3" s="1"/>
  <c r="J275" i="3" s="1"/>
  <c r="K272" i="3"/>
  <c r="K271" i="3"/>
  <c r="J271" i="3"/>
  <c r="J272" i="3" s="1"/>
  <c r="K270" i="3"/>
  <c r="I270" i="3"/>
  <c r="I271" i="3" s="1"/>
  <c r="I272" i="3" s="1"/>
  <c r="I273" i="3" s="1"/>
  <c r="I274" i="3" s="1"/>
  <c r="I275" i="3" s="1"/>
  <c r="I276" i="3" s="1"/>
  <c r="I277" i="3" s="1"/>
  <c r="I278" i="3" s="1"/>
  <c r="K269" i="3"/>
  <c r="K268" i="3"/>
  <c r="K267" i="3"/>
  <c r="J267" i="3"/>
  <c r="J268" i="3" s="1"/>
  <c r="J269" i="3" s="1"/>
  <c r="J270" i="3" s="1"/>
  <c r="K266" i="3"/>
  <c r="I266" i="3"/>
  <c r="I267" i="3" s="1"/>
  <c r="I268" i="3" s="1"/>
  <c r="I269" i="3" s="1"/>
  <c r="K265" i="3"/>
  <c r="K264" i="3"/>
  <c r="K263" i="3"/>
  <c r="J263" i="3"/>
  <c r="J264" i="3" s="1"/>
  <c r="J265" i="3" s="1"/>
  <c r="J266" i="3" s="1"/>
  <c r="K262" i="3"/>
  <c r="K261" i="3"/>
  <c r="K260" i="3"/>
  <c r="K259" i="3"/>
  <c r="J259" i="3"/>
  <c r="J260" i="3" s="1"/>
  <c r="J261" i="3" s="1"/>
  <c r="J262" i="3" s="1"/>
  <c r="K258" i="3"/>
  <c r="J258" i="3"/>
  <c r="K257" i="3"/>
  <c r="K256" i="3"/>
  <c r="K255" i="3"/>
  <c r="K254" i="3"/>
  <c r="K253" i="3"/>
  <c r="J253" i="3"/>
  <c r="J254" i="3" s="1"/>
  <c r="J255" i="3" s="1"/>
  <c r="J256" i="3" s="1"/>
  <c r="J257" i="3" s="1"/>
  <c r="K252" i="3"/>
  <c r="J252" i="3"/>
  <c r="I252" i="3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K251" i="3"/>
  <c r="I251" i="3"/>
  <c r="K250" i="3"/>
  <c r="H250" i="3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K249" i="3"/>
  <c r="G249" i="3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G1001" i="3" s="1"/>
  <c r="G1002" i="3" s="1"/>
  <c r="G1003" i="3" s="1"/>
  <c r="G1004" i="3" s="1"/>
  <c r="G1005" i="3" s="1"/>
  <c r="G1006" i="3" s="1"/>
  <c r="G1007" i="3" s="1"/>
  <c r="G1008" i="3" s="1"/>
  <c r="G1009" i="3" s="1"/>
  <c r="G1010" i="3" s="1"/>
  <c r="G1011" i="3" s="1"/>
  <c r="G1012" i="3" s="1"/>
  <c r="G1013" i="3" s="1"/>
  <c r="G1014" i="3" s="1"/>
  <c r="G1015" i="3" s="1"/>
  <c r="G1016" i="3" s="1"/>
  <c r="G1017" i="3" s="1"/>
  <c r="G1018" i="3" s="1"/>
  <c r="G1019" i="3" s="1"/>
  <c r="G1020" i="3" s="1"/>
  <c r="G1021" i="3" s="1"/>
  <c r="G1022" i="3" s="1"/>
  <c r="G1023" i="3" s="1"/>
  <c r="G1024" i="3" s="1"/>
  <c r="G1025" i="3" s="1"/>
  <c r="G1026" i="3" s="1"/>
  <c r="G1027" i="3" s="1"/>
  <c r="G1028" i="3" s="1"/>
  <c r="G1029" i="3" s="1"/>
  <c r="G1030" i="3" s="1"/>
  <c r="G1031" i="3" s="1"/>
  <c r="G1032" i="3" s="1"/>
  <c r="G1033" i="3" s="1"/>
  <c r="G1034" i="3" s="1"/>
  <c r="G1035" i="3" s="1"/>
  <c r="G1036" i="3" s="1"/>
  <c r="G1037" i="3" s="1"/>
  <c r="G1038" i="3" s="1"/>
  <c r="G1039" i="3" s="1"/>
  <c r="G1040" i="3" s="1"/>
  <c r="G1041" i="3" s="1"/>
  <c r="G1042" i="3" s="1"/>
  <c r="G1043" i="3" s="1"/>
  <c r="G1044" i="3" s="1"/>
  <c r="G1045" i="3" s="1"/>
  <c r="G1046" i="3" s="1"/>
  <c r="G1047" i="3" s="1"/>
  <c r="G1048" i="3" s="1"/>
  <c r="G1049" i="3" s="1"/>
  <c r="G1050" i="3" s="1"/>
  <c r="G1051" i="3" s="1"/>
  <c r="G1052" i="3" s="1"/>
  <c r="G1053" i="3" s="1"/>
  <c r="G1054" i="3" s="1"/>
  <c r="K248" i="3"/>
  <c r="K247" i="3"/>
  <c r="K246" i="3"/>
  <c r="K245" i="3"/>
  <c r="J245" i="3"/>
  <c r="J246" i="3" s="1"/>
  <c r="J247" i="3" s="1"/>
  <c r="J248" i="3" s="1"/>
  <c r="J249" i="3" s="1"/>
  <c r="J250" i="3" s="1"/>
  <c r="J251" i="3" s="1"/>
  <c r="K244" i="3"/>
  <c r="I244" i="3"/>
  <c r="I245" i="3" s="1"/>
  <c r="I246" i="3" s="1"/>
  <c r="I247" i="3" s="1"/>
  <c r="I248" i="3" s="1"/>
  <c r="I249" i="3" s="1"/>
  <c r="I250" i="3" s="1"/>
  <c r="K243" i="3"/>
  <c r="K242" i="3"/>
  <c r="J242" i="3"/>
  <c r="J243" i="3" s="1"/>
  <c r="J244" i="3" s="1"/>
  <c r="K241" i="3"/>
  <c r="I241" i="3"/>
  <c r="I242" i="3" s="1"/>
  <c r="I243" i="3" s="1"/>
  <c r="K240" i="3"/>
  <c r="H240" i="3"/>
  <c r="H241" i="3" s="1"/>
  <c r="H242" i="3" s="1"/>
  <c r="H243" i="3" s="1"/>
  <c r="H244" i="3" s="1"/>
  <c r="H245" i="3" s="1"/>
  <c r="H246" i="3" s="1"/>
  <c r="H247" i="3" s="1"/>
  <c r="H248" i="3" s="1"/>
  <c r="H249" i="3" s="1"/>
  <c r="K239" i="3"/>
  <c r="K238" i="3"/>
  <c r="K237" i="3"/>
  <c r="K236" i="3"/>
  <c r="K235" i="3"/>
  <c r="J235" i="3"/>
  <c r="J236" i="3" s="1"/>
  <c r="J237" i="3" s="1"/>
  <c r="J238" i="3" s="1"/>
  <c r="J239" i="3" s="1"/>
  <c r="J240" i="3" s="1"/>
  <c r="J241" i="3" s="1"/>
  <c r="K234" i="3"/>
  <c r="K233" i="3"/>
  <c r="J233" i="3"/>
  <c r="J234" i="3" s="1"/>
  <c r="K232" i="3"/>
  <c r="K231" i="3"/>
  <c r="K230" i="3"/>
  <c r="K229" i="3"/>
  <c r="J229" i="3"/>
  <c r="J230" i="3" s="1"/>
  <c r="J231" i="3" s="1"/>
  <c r="J232" i="3" s="1"/>
  <c r="K228" i="3"/>
  <c r="K227" i="3"/>
  <c r="J227" i="3"/>
  <c r="J228" i="3" s="1"/>
  <c r="K226" i="3"/>
  <c r="I226" i="3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K225" i="3"/>
  <c r="K224" i="3"/>
  <c r="K223" i="3"/>
  <c r="K222" i="3"/>
  <c r="K221" i="3"/>
  <c r="K220" i="3"/>
  <c r="K219" i="3"/>
  <c r="K218" i="3"/>
  <c r="K217" i="3"/>
  <c r="K216" i="3"/>
  <c r="K215" i="3"/>
  <c r="K214" i="3"/>
  <c r="J214" i="3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K213" i="3"/>
  <c r="I213" i="3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H213" i="3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K212" i="3"/>
  <c r="H212" i="3"/>
  <c r="K211" i="3"/>
  <c r="K210" i="3"/>
  <c r="K209" i="3"/>
  <c r="K208" i="3"/>
  <c r="K207" i="3"/>
  <c r="K206" i="3"/>
  <c r="J206" i="3"/>
  <c r="J207" i="3" s="1"/>
  <c r="J208" i="3" s="1"/>
  <c r="J209" i="3" s="1"/>
  <c r="J210" i="3" s="1"/>
  <c r="J211" i="3" s="1"/>
  <c r="J212" i="3" s="1"/>
  <c r="J213" i="3" s="1"/>
  <c r="K205" i="3"/>
  <c r="K204" i="3"/>
  <c r="J204" i="3"/>
  <c r="J205" i="3" s="1"/>
  <c r="K203" i="3"/>
  <c r="K202" i="3"/>
  <c r="K201" i="3"/>
  <c r="J201" i="3"/>
  <c r="J202" i="3" s="1"/>
  <c r="J203" i="3" s="1"/>
  <c r="K200" i="3"/>
  <c r="K199" i="3"/>
  <c r="J199" i="3"/>
  <c r="J200" i="3" s="1"/>
  <c r="K198" i="3"/>
  <c r="J198" i="3"/>
  <c r="K197" i="3"/>
  <c r="K196" i="3"/>
  <c r="K195" i="3"/>
  <c r="J195" i="3"/>
  <c r="J196" i="3" s="1"/>
  <c r="J197" i="3" s="1"/>
  <c r="K194" i="3"/>
  <c r="K193" i="3"/>
  <c r="J193" i="3"/>
  <c r="J194" i="3" s="1"/>
  <c r="K192" i="3"/>
  <c r="J192" i="3"/>
  <c r="I192" i="3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K191" i="3"/>
  <c r="I191" i="3"/>
  <c r="K190" i="3"/>
  <c r="K189" i="3"/>
  <c r="J189" i="3"/>
  <c r="J190" i="3" s="1"/>
  <c r="J191" i="3" s="1"/>
  <c r="K188" i="3"/>
  <c r="J188" i="3"/>
  <c r="I188" i="3"/>
  <c r="I189" i="3" s="1"/>
  <c r="I190" i="3" s="1"/>
  <c r="K187" i="3"/>
  <c r="I187" i="3"/>
  <c r="K186" i="3"/>
  <c r="H186" i="3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K185" i="3"/>
  <c r="K184" i="3"/>
  <c r="K183" i="3"/>
  <c r="K182" i="3"/>
  <c r="J182" i="3"/>
  <c r="J183" i="3" s="1"/>
  <c r="J184" i="3" s="1"/>
  <c r="J185" i="3" s="1"/>
  <c r="J186" i="3" s="1"/>
  <c r="J187" i="3" s="1"/>
  <c r="K181" i="3"/>
  <c r="I181" i="3"/>
  <c r="I182" i="3" s="1"/>
  <c r="I183" i="3" s="1"/>
  <c r="I184" i="3" s="1"/>
  <c r="I185" i="3" s="1"/>
  <c r="I186" i="3" s="1"/>
  <c r="K180" i="3"/>
  <c r="H180" i="3"/>
  <c r="H181" i="3" s="1"/>
  <c r="H182" i="3" s="1"/>
  <c r="H183" i="3" s="1"/>
  <c r="H184" i="3" s="1"/>
  <c r="H185" i="3" s="1"/>
  <c r="K179" i="3"/>
  <c r="K178" i="3"/>
  <c r="K177" i="3"/>
  <c r="J177" i="3"/>
  <c r="J178" i="3" s="1"/>
  <c r="J179" i="3" s="1"/>
  <c r="J180" i="3" s="1"/>
  <c r="J181" i="3" s="1"/>
  <c r="K176" i="3"/>
  <c r="I176" i="3"/>
  <c r="I177" i="3" s="1"/>
  <c r="I178" i="3" s="1"/>
  <c r="I179" i="3" s="1"/>
  <c r="I180" i="3" s="1"/>
  <c r="K175" i="3"/>
  <c r="H175" i="3"/>
  <c r="H176" i="3" s="1"/>
  <c r="H177" i="3" s="1"/>
  <c r="H178" i="3" s="1"/>
  <c r="H179" i="3" s="1"/>
  <c r="K174" i="3"/>
  <c r="G174" i="3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K173" i="3"/>
  <c r="K172" i="3"/>
  <c r="K171" i="3"/>
  <c r="K170" i="3"/>
  <c r="K169" i="3"/>
  <c r="K168" i="3"/>
  <c r="K167" i="3"/>
  <c r="K166" i="3"/>
  <c r="K165" i="3"/>
  <c r="J165" i="3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K164" i="3"/>
  <c r="K163" i="3"/>
  <c r="K162" i="3"/>
  <c r="K161" i="3"/>
  <c r="K160" i="3"/>
  <c r="K159" i="3"/>
  <c r="K158" i="3"/>
  <c r="J158" i="3"/>
  <c r="J159" i="3" s="1"/>
  <c r="J160" i="3" s="1"/>
  <c r="J161" i="3" s="1"/>
  <c r="J162" i="3" s="1"/>
  <c r="J163" i="3" s="1"/>
  <c r="J164" i="3" s="1"/>
  <c r="K157" i="3"/>
  <c r="I157" i="3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K156" i="3"/>
  <c r="K155" i="3"/>
  <c r="K154" i="3"/>
  <c r="K153" i="3"/>
  <c r="J153" i="3"/>
  <c r="J154" i="3" s="1"/>
  <c r="J155" i="3" s="1"/>
  <c r="J156" i="3" s="1"/>
  <c r="J157" i="3" s="1"/>
  <c r="K152" i="3"/>
  <c r="J152" i="3"/>
  <c r="K151" i="3"/>
  <c r="K150" i="3"/>
  <c r="K149" i="3"/>
  <c r="K148" i="3"/>
  <c r="K147" i="3"/>
  <c r="J147" i="3"/>
  <c r="J148" i="3" s="1"/>
  <c r="J149" i="3" s="1"/>
  <c r="J150" i="3" s="1"/>
  <c r="J151" i="3" s="1"/>
  <c r="K146" i="3"/>
  <c r="I146" i="3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K145" i="3"/>
  <c r="H145" i="3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K144" i="3"/>
  <c r="K143" i="3"/>
  <c r="J143" i="3"/>
  <c r="J144" i="3" s="1"/>
  <c r="J145" i="3" s="1"/>
  <c r="J146" i="3" s="1"/>
  <c r="K142" i="3"/>
  <c r="I142" i="3"/>
  <c r="I143" i="3" s="1"/>
  <c r="I144" i="3" s="1"/>
  <c r="I145" i="3" s="1"/>
  <c r="K141" i="3"/>
  <c r="K140" i="3"/>
  <c r="K139" i="3"/>
  <c r="K138" i="3"/>
  <c r="K137" i="3"/>
  <c r="K136" i="3"/>
  <c r="K135" i="3"/>
  <c r="K134" i="3"/>
  <c r="J134" i="3"/>
  <c r="J135" i="3" s="1"/>
  <c r="J136" i="3" s="1"/>
  <c r="J137" i="3" s="1"/>
  <c r="J138" i="3" s="1"/>
  <c r="J139" i="3" s="1"/>
  <c r="J140" i="3" s="1"/>
  <c r="J141" i="3" s="1"/>
  <c r="J142" i="3" s="1"/>
  <c r="K133" i="3"/>
  <c r="I133" i="3"/>
  <c r="I134" i="3" s="1"/>
  <c r="I135" i="3" s="1"/>
  <c r="I136" i="3" s="1"/>
  <c r="I137" i="3" s="1"/>
  <c r="I138" i="3" s="1"/>
  <c r="I139" i="3" s="1"/>
  <c r="I140" i="3" s="1"/>
  <c r="I141" i="3" s="1"/>
  <c r="K132" i="3"/>
  <c r="K131" i="3"/>
  <c r="K130" i="3"/>
  <c r="K129" i="3"/>
  <c r="K128" i="3"/>
  <c r="K127" i="3"/>
  <c r="K126" i="3"/>
  <c r="K125" i="3"/>
  <c r="K124" i="3"/>
  <c r="K123" i="3"/>
  <c r="K122" i="3"/>
  <c r="J122" i="3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K121" i="3"/>
  <c r="I121" i="3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K120" i="3"/>
  <c r="H120" i="3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K119" i="3"/>
  <c r="K118" i="3"/>
  <c r="J118" i="3"/>
  <c r="J119" i="3" s="1"/>
  <c r="J120" i="3" s="1"/>
  <c r="J121" i="3" s="1"/>
  <c r="K117" i="3"/>
  <c r="I117" i="3"/>
  <c r="I118" i="3" s="1"/>
  <c r="I119" i="3" s="1"/>
  <c r="I120" i="3" s="1"/>
  <c r="K116" i="3"/>
  <c r="K115" i="3"/>
  <c r="J115" i="3"/>
  <c r="J116" i="3" s="1"/>
  <c r="J117" i="3" s="1"/>
  <c r="K114" i="3"/>
  <c r="K113" i="3"/>
  <c r="K112" i="3"/>
  <c r="K111" i="3"/>
  <c r="K110" i="3"/>
  <c r="J110" i="3"/>
  <c r="J111" i="3" s="1"/>
  <c r="J112" i="3" s="1"/>
  <c r="J113" i="3" s="1"/>
  <c r="J114" i="3" s="1"/>
  <c r="K109" i="3"/>
  <c r="K108" i="3"/>
  <c r="K107" i="3"/>
  <c r="K106" i="3"/>
  <c r="K105" i="3"/>
  <c r="J105" i="3"/>
  <c r="J106" i="3" s="1"/>
  <c r="J107" i="3" s="1"/>
  <c r="J108" i="3" s="1"/>
  <c r="J109" i="3" s="1"/>
  <c r="K104" i="3"/>
  <c r="I104" i="3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K103" i="3"/>
  <c r="K102" i="3"/>
  <c r="K101" i="3"/>
  <c r="K100" i="3"/>
  <c r="K99" i="3"/>
  <c r="K98" i="3"/>
  <c r="J98" i="3"/>
  <c r="J99" i="3" s="1"/>
  <c r="J100" i="3" s="1"/>
  <c r="J101" i="3" s="1"/>
  <c r="J102" i="3" s="1"/>
  <c r="J103" i="3" s="1"/>
  <c r="J104" i="3" s="1"/>
  <c r="K97" i="3"/>
  <c r="K96" i="3"/>
  <c r="K95" i="3"/>
  <c r="K94" i="3"/>
  <c r="K93" i="3"/>
  <c r="K92" i="3"/>
  <c r="J92" i="3"/>
  <c r="J93" i="3" s="1"/>
  <c r="J94" i="3" s="1"/>
  <c r="J95" i="3" s="1"/>
  <c r="J96" i="3" s="1"/>
  <c r="J97" i="3" s="1"/>
  <c r="K91" i="3"/>
  <c r="K90" i="3"/>
  <c r="J90" i="3"/>
  <c r="J91" i="3" s="1"/>
  <c r="K89" i="3"/>
  <c r="K88" i="3"/>
  <c r="K87" i="3"/>
  <c r="J87" i="3"/>
  <c r="J88" i="3" s="1"/>
  <c r="J89" i="3" s="1"/>
  <c r="K86" i="3"/>
  <c r="K85" i="3"/>
  <c r="K84" i="3"/>
  <c r="K83" i="3"/>
  <c r="J83" i="3"/>
  <c r="J84" i="3" s="1"/>
  <c r="J85" i="3" s="1"/>
  <c r="J86" i="3" s="1"/>
  <c r="K82" i="3"/>
  <c r="K81" i="3"/>
  <c r="K80" i="3"/>
  <c r="K79" i="3"/>
  <c r="J79" i="3"/>
  <c r="J80" i="3" s="1"/>
  <c r="J81" i="3" s="1"/>
  <c r="J82" i="3" s="1"/>
  <c r="K78" i="3"/>
  <c r="I78" i="3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K77" i="3"/>
  <c r="K76" i="3"/>
  <c r="J76" i="3"/>
  <c r="J77" i="3" s="1"/>
  <c r="J78" i="3" s="1"/>
  <c r="K75" i="3"/>
  <c r="K74" i="3"/>
  <c r="K73" i="3"/>
  <c r="J73" i="3"/>
  <c r="J74" i="3" s="1"/>
  <c r="J75" i="3" s="1"/>
  <c r="K72" i="3"/>
  <c r="I72" i="3"/>
  <c r="I73" i="3" s="1"/>
  <c r="I74" i="3" s="1"/>
  <c r="I75" i="3" s="1"/>
  <c r="I76" i="3" s="1"/>
  <c r="I77" i="3" s="1"/>
  <c r="K71" i="3"/>
  <c r="K70" i="3"/>
  <c r="K69" i="3"/>
  <c r="K68" i="3"/>
  <c r="K67" i="3"/>
  <c r="K66" i="3"/>
  <c r="K65" i="3"/>
  <c r="K64" i="3"/>
  <c r="J64" i="3"/>
  <c r="J65" i="3" s="1"/>
  <c r="J66" i="3" s="1"/>
  <c r="J67" i="3" s="1"/>
  <c r="J68" i="3" s="1"/>
  <c r="J69" i="3" s="1"/>
  <c r="J70" i="3" s="1"/>
  <c r="J71" i="3" s="1"/>
  <c r="J72" i="3" s="1"/>
  <c r="K63" i="3"/>
  <c r="K62" i="3"/>
  <c r="J62" i="3"/>
  <c r="J63" i="3" s="1"/>
  <c r="K61" i="3"/>
  <c r="K60" i="3"/>
  <c r="J60" i="3"/>
  <c r="J61" i="3" s="1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J47" i="3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K46" i="3"/>
  <c r="K45" i="3"/>
  <c r="J45" i="3"/>
  <c r="J46" i="3" s="1"/>
  <c r="K44" i="3"/>
  <c r="K43" i="3"/>
  <c r="J43" i="3"/>
  <c r="J44" i="3" s="1"/>
  <c r="K42" i="3"/>
  <c r="I42" i="3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K41" i="3"/>
  <c r="K40" i="3"/>
  <c r="J40" i="3"/>
  <c r="J41" i="3" s="1"/>
  <c r="J42" i="3" s="1"/>
  <c r="K39" i="3"/>
  <c r="K38" i="3"/>
  <c r="K37" i="3"/>
  <c r="J37" i="3"/>
  <c r="J38" i="3" s="1"/>
  <c r="J39" i="3" s="1"/>
  <c r="K36" i="3"/>
  <c r="I36" i="3"/>
  <c r="I37" i="3" s="1"/>
  <c r="I38" i="3" s="1"/>
  <c r="I39" i="3" s="1"/>
  <c r="I40" i="3" s="1"/>
  <c r="I41" i="3" s="1"/>
  <c r="K35" i="3"/>
  <c r="K34" i="3"/>
  <c r="K33" i="3"/>
  <c r="K32" i="3"/>
  <c r="K31" i="3"/>
  <c r="K30" i="3"/>
  <c r="K29" i="3"/>
  <c r="K28" i="3"/>
  <c r="K27" i="3"/>
  <c r="K26" i="3"/>
  <c r="K25" i="3"/>
  <c r="J25" i="3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K24" i="3"/>
  <c r="K23" i="3"/>
  <c r="K22" i="3"/>
  <c r="K21" i="3"/>
  <c r="J21" i="3"/>
  <c r="J22" i="3" s="1"/>
  <c r="J23" i="3" s="1"/>
  <c r="J24" i="3" s="1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K12" i="3"/>
  <c r="K11" i="3"/>
  <c r="K10" i="3"/>
  <c r="J10" i="3"/>
  <c r="J11" i="3" s="1"/>
  <c r="J12" i="3" s="1"/>
  <c r="J13" i="3" s="1"/>
  <c r="K9" i="3"/>
  <c r="K8" i="3"/>
  <c r="K7" i="3"/>
  <c r="K6" i="3"/>
  <c r="J6" i="3"/>
  <c r="J7" i="3" s="1"/>
  <c r="J8" i="3" s="1"/>
  <c r="J9" i="3" s="1"/>
  <c r="I6" i="3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F3" i="2"/>
  <c r="G3" i="2"/>
  <c r="H3" i="2"/>
  <c r="I3" i="2"/>
  <c r="J3" i="2"/>
  <c r="F4" i="2"/>
  <c r="G4" i="2"/>
  <c r="H4" i="2"/>
  <c r="I4" i="2"/>
  <c r="J4" i="2"/>
  <c r="F5" i="2"/>
  <c r="G5" i="2"/>
  <c r="H5" i="2"/>
  <c r="I5" i="2"/>
  <c r="J5" i="2"/>
  <c r="F6" i="2"/>
  <c r="G6" i="2"/>
  <c r="H6" i="2"/>
  <c r="I6" i="2"/>
  <c r="J6" i="2"/>
  <c r="F7" i="2"/>
  <c r="G7" i="2"/>
  <c r="H7" i="2"/>
  <c r="I7" i="2"/>
  <c r="J7" i="2"/>
  <c r="F8" i="2"/>
  <c r="G8" i="2"/>
  <c r="H8" i="2"/>
  <c r="I8" i="2"/>
  <c r="J8" i="2"/>
  <c r="F9" i="2"/>
  <c r="G9" i="2"/>
  <c r="H9" i="2"/>
  <c r="I9" i="2"/>
  <c r="J9" i="2"/>
  <c r="F10" i="2"/>
  <c r="G10" i="2"/>
  <c r="H10" i="2"/>
  <c r="I10" i="2"/>
  <c r="J10" i="2"/>
  <c r="F11" i="2"/>
  <c r="G11" i="2"/>
  <c r="H11" i="2"/>
  <c r="I11" i="2"/>
  <c r="J11" i="2"/>
  <c r="F12" i="2"/>
  <c r="G12" i="2"/>
  <c r="H12" i="2"/>
  <c r="I12" i="2"/>
  <c r="J12" i="2"/>
  <c r="F13" i="2"/>
  <c r="G13" i="2"/>
  <c r="H13" i="2"/>
  <c r="I13" i="2"/>
  <c r="J13" i="2"/>
  <c r="F14" i="2"/>
  <c r="G14" i="2"/>
  <c r="H14" i="2"/>
  <c r="I14" i="2"/>
  <c r="J14" i="2"/>
  <c r="F15" i="2"/>
  <c r="G15" i="2"/>
  <c r="H15" i="2"/>
  <c r="I15" i="2"/>
  <c r="J15" i="2"/>
  <c r="F16" i="2"/>
  <c r="G16" i="2"/>
  <c r="H16" i="2"/>
  <c r="I16" i="2"/>
  <c r="J16" i="2"/>
  <c r="F17" i="2"/>
  <c r="G17" i="2"/>
  <c r="H17" i="2"/>
  <c r="I17" i="2"/>
  <c r="J17" i="2"/>
  <c r="F18" i="2"/>
  <c r="G18" i="2"/>
  <c r="H18" i="2"/>
  <c r="I18" i="2"/>
  <c r="J18" i="2"/>
  <c r="F19" i="2"/>
  <c r="G19" i="2"/>
  <c r="H19" i="2"/>
  <c r="I19" i="2"/>
  <c r="J19" i="2"/>
  <c r="F20" i="2"/>
  <c r="G20" i="2"/>
  <c r="H20" i="2"/>
  <c r="I20" i="2"/>
  <c r="J20" i="2"/>
  <c r="F21" i="2"/>
  <c r="G21" i="2"/>
  <c r="H21" i="2"/>
  <c r="I21" i="2"/>
  <c r="J21" i="2"/>
  <c r="F22" i="2"/>
  <c r="G22" i="2"/>
  <c r="H22" i="2"/>
  <c r="I22" i="2"/>
  <c r="J22" i="2"/>
  <c r="F23" i="2"/>
  <c r="G23" i="2"/>
  <c r="H23" i="2"/>
  <c r="I23" i="2"/>
  <c r="J23" i="2"/>
  <c r="F24" i="2"/>
  <c r="G24" i="2"/>
  <c r="H24" i="2"/>
  <c r="I24" i="2"/>
  <c r="J24" i="2"/>
  <c r="F25" i="2"/>
  <c r="G25" i="2"/>
  <c r="H25" i="2"/>
  <c r="I25" i="2"/>
  <c r="J25" i="2"/>
  <c r="F26" i="2"/>
  <c r="G26" i="2"/>
  <c r="H26" i="2"/>
  <c r="I26" i="2"/>
  <c r="J26" i="2"/>
  <c r="F27" i="2"/>
  <c r="G27" i="2"/>
  <c r="H27" i="2"/>
  <c r="I27" i="2"/>
  <c r="J27" i="2"/>
  <c r="F28" i="2"/>
  <c r="G28" i="2"/>
  <c r="H28" i="2"/>
  <c r="I28" i="2"/>
  <c r="J28" i="2"/>
  <c r="F29" i="2"/>
  <c r="G29" i="2"/>
  <c r="H29" i="2"/>
  <c r="I29" i="2"/>
  <c r="J29" i="2"/>
  <c r="F30" i="2"/>
  <c r="G30" i="2"/>
  <c r="H30" i="2"/>
  <c r="I30" i="2"/>
  <c r="J30" i="2"/>
  <c r="F31" i="2"/>
  <c r="G31" i="2"/>
  <c r="H31" i="2"/>
  <c r="I31" i="2"/>
  <c r="J31" i="2"/>
  <c r="F32" i="2"/>
  <c r="G32" i="2"/>
  <c r="H32" i="2"/>
  <c r="I32" i="2"/>
  <c r="J32" i="2"/>
  <c r="F33" i="2"/>
  <c r="G33" i="2"/>
  <c r="H33" i="2"/>
  <c r="I33" i="2"/>
  <c r="J33" i="2"/>
  <c r="F34" i="2"/>
  <c r="G34" i="2"/>
  <c r="H34" i="2"/>
  <c r="I34" i="2"/>
  <c r="J34" i="2"/>
  <c r="F35" i="2"/>
  <c r="G35" i="2"/>
  <c r="H35" i="2"/>
  <c r="I35" i="2"/>
  <c r="J35" i="2"/>
  <c r="F36" i="2"/>
  <c r="G36" i="2"/>
  <c r="H36" i="2"/>
  <c r="I36" i="2"/>
  <c r="J36" i="2"/>
  <c r="F37" i="2"/>
  <c r="G37" i="2"/>
  <c r="H37" i="2"/>
  <c r="I37" i="2"/>
  <c r="J37" i="2"/>
  <c r="F38" i="2"/>
  <c r="G38" i="2"/>
  <c r="H38" i="2"/>
  <c r="I38" i="2"/>
  <c r="J38" i="2"/>
  <c r="F39" i="2"/>
  <c r="G39" i="2"/>
  <c r="H39" i="2"/>
  <c r="I39" i="2"/>
  <c r="J39" i="2"/>
  <c r="F40" i="2"/>
  <c r="G40" i="2"/>
  <c r="H40" i="2"/>
  <c r="I40" i="2"/>
  <c r="J40" i="2"/>
  <c r="F41" i="2"/>
  <c r="G41" i="2"/>
  <c r="H41" i="2"/>
  <c r="I41" i="2"/>
  <c r="J41" i="2"/>
  <c r="F42" i="2"/>
  <c r="G42" i="2"/>
  <c r="H42" i="2"/>
  <c r="I42" i="2"/>
  <c r="J42" i="2"/>
  <c r="F43" i="2"/>
  <c r="G43" i="2"/>
  <c r="H43" i="2"/>
  <c r="I43" i="2"/>
  <c r="J43" i="2"/>
  <c r="F44" i="2"/>
  <c r="G44" i="2"/>
  <c r="H44" i="2"/>
  <c r="I44" i="2"/>
  <c r="J44" i="2"/>
  <c r="F45" i="2"/>
  <c r="G45" i="2"/>
  <c r="H45" i="2"/>
  <c r="I45" i="2"/>
  <c r="J45" i="2"/>
  <c r="F46" i="2"/>
  <c r="G46" i="2"/>
  <c r="H46" i="2"/>
  <c r="I46" i="2"/>
  <c r="J46" i="2"/>
  <c r="F47" i="2"/>
  <c r="G47" i="2"/>
  <c r="H47" i="2"/>
  <c r="I47" i="2"/>
  <c r="J47" i="2"/>
  <c r="F48" i="2"/>
  <c r="G48" i="2"/>
  <c r="H48" i="2"/>
  <c r="I48" i="2"/>
  <c r="J48" i="2"/>
  <c r="F49" i="2"/>
  <c r="G49" i="2"/>
  <c r="H49" i="2"/>
  <c r="I49" i="2"/>
  <c r="J49" i="2"/>
  <c r="F50" i="2"/>
  <c r="G50" i="2"/>
  <c r="H50" i="2"/>
  <c r="I50" i="2"/>
  <c r="J50" i="2"/>
  <c r="F51" i="2"/>
  <c r="G51" i="2"/>
  <c r="H51" i="2"/>
  <c r="I51" i="2"/>
  <c r="J51" i="2"/>
  <c r="F52" i="2"/>
  <c r="G52" i="2"/>
  <c r="H52" i="2"/>
  <c r="I52" i="2"/>
  <c r="J52" i="2"/>
  <c r="F53" i="2"/>
  <c r="G53" i="2"/>
  <c r="H53" i="2"/>
  <c r="I53" i="2"/>
  <c r="J53" i="2"/>
  <c r="F54" i="2"/>
  <c r="G54" i="2"/>
  <c r="H54" i="2"/>
  <c r="I54" i="2"/>
  <c r="J54" i="2"/>
  <c r="F55" i="2"/>
  <c r="G55" i="2"/>
  <c r="H55" i="2"/>
  <c r="I55" i="2"/>
  <c r="J55" i="2"/>
  <c r="F56" i="2"/>
  <c r="G56" i="2"/>
  <c r="H56" i="2"/>
  <c r="I56" i="2"/>
  <c r="J56" i="2"/>
  <c r="F57" i="2"/>
  <c r="G57" i="2"/>
  <c r="H57" i="2"/>
  <c r="I57" i="2"/>
  <c r="J57" i="2"/>
  <c r="F58" i="2"/>
  <c r="G58" i="2"/>
  <c r="H58" i="2"/>
  <c r="I58" i="2"/>
  <c r="J58" i="2"/>
  <c r="F59" i="2"/>
  <c r="G59" i="2"/>
  <c r="H59" i="2"/>
  <c r="I59" i="2"/>
  <c r="J59" i="2"/>
  <c r="F60" i="2"/>
  <c r="G60" i="2"/>
  <c r="H60" i="2"/>
  <c r="I60" i="2"/>
  <c r="J60" i="2"/>
  <c r="F61" i="2"/>
  <c r="G61" i="2"/>
  <c r="H61" i="2"/>
  <c r="I61" i="2"/>
  <c r="J61" i="2"/>
  <c r="F62" i="2"/>
  <c r="G62" i="2"/>
  <c r="H62" i="2"/>
  <c r="I62" i="2"/>
  <c r="J62" i="2"/>
  <c r="F63" i="2"/>
  <c r="G63" i="2"/>
  <c r="H63" i="2"/>
  <c r="I63" i="2"/>
  <c r="J63" i="2"/>
  <c r="F64" i="2"/>
  <c r="G64" i="2"/>
  <c r="H64" i="2"/>
  <c r="I64" i="2"/>
  <c r="J64" i="2"/>
  <c r="F65" i="2"/>
  <c r="G65" i="2"/>
  <c r="H65" i="2"/>
  <c r="I65" i="2"/>
  <c r="J65" i="2"/>
  <c r="F66" i="2"/>
  <c r="G66" i="2"/>
  <c r="H66" i="2"/>
  <c r="I66" i="2"/>
  <c r="J66" i="2"/>
  <c r="F67" i="2"/>
  <c r="G67" i="2"/>
  <c r="H67" i="2"/>
  <c r="I67" i="2"/>
  <c r="J67" i="2"/>
  <c r="F68" i="2"/>
  <c r="G68" i="2"/>
  <c r="H68" i="2"/>
  <c r="I68" i="2"/>
  <c r="J68" i="2"/>
  <c r="F69" i="2"/>
  <c r="G69" i="2"/>
  <c r="H69" i="2"/>
  <c r="I69" i="2"/>
  <c r="J69" i="2"/>
  <c r="F70" i="2"/>
  <c r="G70" i="2"/>
  <c r="H70" i="2"/>
  <c r="I70" i="2"/>
  <c r="J70" i="2"/>
  <c r="F71" i="2"/>
  <c r="G71" i="2"/>
  <c r="H71" i="2"/>
  <c r="I71" i="2"/>
  <c r="J71" i="2"/>
  <c r="F72" i="2"/>
  <c r="G72" i="2"/>
  <c r="H72" i="2"/>
  <c r="I72" i="2"/>
  <c r="J72" i="2"/>
  <c r="F73" i="2"/>
  <c r="G73" i="2"/>
  <c r="H73" i="2"/>
  <c r="I73" i="2"/>
  <c r="J73" i="2"/>
  <c r="F74" i="2"/>
  <c r="G74" i="2"/>
  <c r="H74" i="2"/>
  <c r="I74" i="2"/>
  <c r="J74" i="2"/>
  <c r="F75" i="2"/>
  <c r="G75" i="2"/>
  <c r="H75" i="2"/>
  <c r="I75" i="2"/>
  <c r="J75" i="2"/>
  <c r="F76" i="2"/>
  <c r="G76" i="2"/>
  <c r="H76" i="2"/>
  <c r="I76" i="2"/>
  <c r="J76" i="2"/>
  <c r="F77" i="2"/>
  <c r="G77" i="2"/>
  <c r="H77" i="2"/>
  <c r="I77" i="2"/>
  <c r="J77" i="2"/>
  <c r="F78" i="2"/>
  <c r="G78" i="2"/>
  <c r="H78" i="2"/>
  <c r="I78" i="2"/>
  <c r="J78" i="2"/>
  <c r="F79" i="2"/>
  <c r="G79" i="2"/>
  <c r="H79" i="2"/>
  <c r="I79" i="2"/>
  <c r="J79" i="2"/>
  <c r="F80" i="2"/>
  <c r="G80" i="2"/>
  <c r="H80" i="2"/>
  <c r="I80" i="2"/>
  <c r="J80" i="2"/>
  <c r="F81" i="2"/>
  <c r="G81" i="2"/>
  <c r="H81" i="2"/>
  <c r="I81" i="2"/>
  <c r="J81" i="2"/>
  <c r="F82" i="2"/>
  <c r="G82" i="2"/>
  <c r="H82" i="2"/>
  <c r="I82" i="2"/>
  <c r="J82" i="2"/>
  <c r="F83" i="2"/>
  <c r="G83" i="2"/>
  <c r="H83" i="2"/>
  <c r="I83" i="2"/>
  <c r="J83" i="2"/>
  <c r="F84" i="2"/>
  <c r="G84" i="2"/>
  <c r="H84" i="2"/>
  <c r="I84" i="2"/>
  <c r="J84" i="2"/>
  <c r="F85" i="2"/>
  <c r="G85" i="2"/>
  <c r="H85" i="2"/>
  <c r="I85" i="2"/>
  <c r="J85" i="2"/>
  <c r="F86" i="2"/>
  <c r="G86" i="2"/>
  <c r="H86" i="2"/>
  <c r="I86" i="2"/>
  <c r="J86" i="2"/>
  <c r="F87" i="2"/>
  <c r="G87" i="2"/>
  <c r="H87" i="2"/>
  <c r="I87" i="2"/>
  <c r="J87" i="2"/>
  <c r="F88" i="2"/>
  <c r="G88" i="2"/>
  <c r="H88" i="2"/>
  <c r="I88" i="2"/>
  <c r="J88" i="2"/>
  <c r="F89" i="2"/>
  <c r="G89" i="2"/>
  <c r="H89" i="2"/>
  <c r="I89" i="2"/>
  <c r="J89" i="2"/>
  <c r="F90" i="2"/>
  <c r="G90" i="2"/>
  <c r="H90" i="2"/>
  <c r="I90" i="2"/>
  <c r="J90" i="2"/>
  <c r="F91" i="2"/>
  <c r="G91" i="2"/>
  <c r="H91" i="2"/>
  <c r="I91" i="2"/>
  <c r="J91" i="2"/>
  <c r="F92" i="2"/>
  <c r="G92" i="2"/>
  <c r="H92" i="2"/>
  <c r="I92" i="2"/>
  <c r="J92" i="2"/>
  <c r="F93" i="2"/>
  <c r="G93" i="2"/>
  <c r="H93" i="2"/>
  <c r="I93" i="2"/>
  <c r="J93" i="2"/>
  <c r="F94" i="2"/>
  <c r="G94" i="2"/>
  <c r="H94" i="2"/>
  <c r="I94" i="2"/>
  <c r="J94" i="2"/>
  <c r="F95" i="2"/>
  <c r="G95" i="2"/>
  <c r="H95" i="2"/>
  <c r="I95" i="2"/>
  <c r="J95" i="2"/>
  <c r="F96" i="2"/>
  <c r="G96" i="2"/>
  <c r="H96" i="2"/>
  <c r="I96" i="2"/>
  <c r="J96" i="2"/>
  <c r="F97" i="2"/>
  <c r="G97" i="2"/>
  <c r="H97" i="2"/>
  <c r="I97" i="2"/>
  <c r="J97" i="2"/>
  <c r="F98" i="2"/>
  <c r="G98" i="2"/>
  <c r="H98" i="2"/>
  <c r="I98" i="2"/>
  <c r="J98" i="2"/>
  <c r="F99" i="2"/>
  <c r="G99" i="2"/>
  <c r="H99" i="2"/>
  <c r="I99" i="2"/>
  <c r="J99" i="2"/>
  <c r="F100" i="2"/>
  <c r="G100" i="2"/>
  <c r="H100" i="2"/>
  <c r="I100" i="2"/>
  <c r="J100" i="2"/>
  <c r="F101" i="2"/>
  <c r="G101" i="2"/>
  <c r="H101" i="2"/>
  <c r="I101" i="2"/>
  <c r="J101" i="2"/>
  <c r="F102" i="2"/>
  <c r="G102" i="2"/>
  <c r="H102" i="2"/>
  <c r="I102" i="2"/>
  <c r="J102" i="2"/>
  <c r="F103" i="2"/>
  <c r="G103" i="2"/>
  <c r="H103" i="2"/>
  <c r="I103" i="2"/>
  <c r="J103" i="2"/>
  <c r="F104" i="2"/>
  <c r="G104" i="2"/>
  <c r="H104" i="2"/>
  <c r="I104" i="2"/>
  <c r="J104" i="2"/>
  <c r="F105" i="2"/>
  <c r="G105" i="2"/>
  <c r="H105" i="2"/>
  <c r="I105" i="2"/>
  <c r="J105" i="2"/>
  <c r="F106" i="2"/>
  <c r="G106" i="2"/>
  <c r="H106" i="2"/>
  <c r="I106" i="2"/>
  <c r="J106" i="2"/>
  <c r="F107" i="2"/>
  <c r="G107" i="2"/>
  <c r="H107" i="2"/>
  <c r="I107" i="2"/>
  <c r="J107" i="2"/>
  <c r="F108" i="2"/>
  <c r="G108" i="2"/>
  <c r="H108" i="2"/>
  <c r="I108" i="2"/>
  <c r="J108" i="2"/>
  <c r="F109" i="2"/>
  <c r="G109" i="2"/>
  <c r="H109" i="2"/>
  <c r="I109" i="2"/>
  <c r="J109" i="2"/>
  <c r="F110" i="2"/>
  <c r="G110" i="2"/>
  <c r="H110" i="2"/>
  <c r="I110" i="2"/>
  <c r="J110" i="2"/>
  <c r="F111" i="2"/>
  <c r="G111" i="2"/>
  <c r="H111" i="2"/>
  <c r="I111" i="2"/>
  <c r="J111" i="2"/>
  <c r="F112" i="2"/>
  <c r="G112" i="2"/>
  <c r="H112" i="2"/>
  <c r="I112" i="2"/>
  <c r="J112" i="2"/>
  <c r="F113" i="2"/>
  <c r="G113" i="2"/>
  <c r="H113" i="2"/>
  <c r="I113" i="2"/>
  <c r="J113" i="2"/>
  <c r="F114" i="2"/>
  <c r="G114" i="2"/>
  <c r="H114" i="2"/>
  <c r="I114" i="2"/>
  <c r="J114" i="2"/>
  <c r="F115" i="2"/>
  <c r="G115" i="2"/>
  <c r="H115" i="2"/>
  <c r="I115" i="2"/>
  <c r="J115" i="2"/>
  <c r="F116" i="2"/>
  <c r="G116" i="2"/>
  <c r="H116" i="2"/>
  <c r="I116" i="2"/>
  <c r="J116" i="2"/>
  <c r="F117" i="2"/>
  <c r="G117" i="2"/>
  <c r="H117" i="2"/>
  <c r="I117" i="2"/>
  <c r="J117" i="2"/>
  <c r="F118" i="2"/>
  <c r="G118" i="2"/>
  <c r="H118" i="2"/>
  <c r="I118" i="2"/>
  <c r="J118" i="2"/>
  <c r="F119" i="2"/>
  <c r="G119" i="2"/>
  <c r="H119" i="2"/>
  <c r="I119" i="2"/>
  <c r="J119" i="2"/>
  <c r="F120" i="2"/>
  <c r="G120" i="2"/>
  <c r="H120" i="2"/>
  <c r="I120" i="2"/>
  <c r="J120" i="2"/>
  <c r="F121" i="2"/>
  <c r="G121" i="2"/>
  <c r="H121" i="2"/>
  <c r="I121" i="2"/>
  <c r="J121" i="2"/>
  <c r="F122" i="2"/>
  <c r="G122" i="2"/>
  <c r="H122" i="2"/>
  <c r="I122" i="2"/>
  <c r="J122" i="2"/>
  <c r="F123" i="2"/>
  <c r="G123" i="2"/>
  <c r="H123" i="2"/>
  <c r="I123" i="2"/>
  <c r="J123" i="2"/>
  <c r="F124" i="2"/>
  <c r="G124" i="2"/>
  <c r="H124" i="2"/>
  <c r="I124" i="2"/>
  <c r="J124" i="2"/>
  <c r="F125" i="2"/>
  <c r="G125" i="2"/>
  <c r="H125" i="2"/>
  <c r="I125" i="2"/>
  <c r="J125" i="2"/>
  <c r="F126" i="2"/>
  <c r="G126" i="2"/>
  <c r="H126" i="2"/>
  <c r="I126" i="2"/>
  <c r="J126" i="2"/>
  <c r="F127" i="2"/>
  <c r="G127" i="2"/>
  <c r="H127" i="2"/>
  <c r="I127" i="2"/>
  <c r="J127" i="2"/>
  <c r="F128" i="2"/>
  <c r="G128" i="2"/>
  <c r="H128" i="2"/>
  <c r="I128" i="2"/>
  <c r="J128" i="2"/>
  <c r="F129" i="2"/>
  <c r="G129" i="2"/>
  <c r="H129" i="2"/>
  <c r="I129" i="2"/>
  <c r="J129" i="2"/>
  <c r="F130" i="2"/>
  <c r="G130" i="2"/>
  <c r="H130" i="2"/>
  <c r="I130" i="2"/>
  <c r="J130" i="2"/>
  <c r="F131" i="2"/>
  <c r="G131" i="2"/>
  <c r="H131" i="2"/>
  <c r="I131" i="2"/>
  <c r="J131" i="2"/>
  <c r="F132" i="2"/>
  <c r="G132" i="2"/>
  <c r="H132" i="2"/>
  <c r="I132" i="2"/>
  <c r="J132" i="2"/>
  <c r="F133" i="2"/>
  <c r="G133" i="2"/>
  <c r="H133" i="2"/>
  <c r="I133" i="2"/>
  <c r="J133" i="2"/>
  <c r="F134" i="2"/>
  <c r="G134" i="2"/>
  <c r="H134" i="2"/>
  <c r="I134" i="2"/>
  <c r="J134" i="2"/>
  <c r="F135" i="2"/>
  <c r="G135" i="2"/>
  <c r="H135" i="2"/>
  <c r="I135" i="2"/>
  <c r="J135" i="2"/>
  <c r="F136" i="2"/>
  <c r="G136" i="2"/>
  <c r="H136" i="2"/>
  <c r="I136" i="2"/>
  <c r="J136" i="2"/>
  <c r="F137" i="2"/>
  <c r="G137" i="2"/>
  <c r="H137" i="2"/>
  <c r="I137" i="2"/>
  <c r="J137" i="2"/>
  <c r="F138" i="2"/>
  <c r="G138" i="2"/>
  <c r="H138" i="2"/>
  <c r="I138" i="2"/>
  <c r="J138" i="2"/>
  <c r="F139" i="2"/>
  <c r="G139" i="2"/>
  <c r="H139" i="2"/>
  <c r="I139" i="2"/>
  <c r="J139" i="2"/>
  <c r="F140" i="2"/>
  <c r="G140" i="2"/>
  <c r="H140" i="2"/>
  <c r="I140" i="2"/>
  <c r="J140" i="2"/>
  <c r="F141" i="2"/>
  <c r="G141" i="2"/>
  <c r="H141" i="2"/>
  <c r="I141" i="2"/>
  <c r="J141" i="2"/>
  <c r="F142" i="2"/>
  <c r="G142" i="2"/>
  <c r="H142" i="2"/>
  <c r="I142" i="2"/>
  <c r="J142" i="2"/>
  <c r="F143" i="2"/>
  <c r="G143" i="2"/>
  <c r="H143" i="2"/>
  <c r="I143" i="2"/>
  <c r="J143" i="2"/>
  <c r="F144" i="2"/>
  <c r="G144" i="2"/>
  <c r="H144" i="2"/>
  <c r="I144" i="2"/>
  <c r="J144" i="2"/>
  <c r="F145" i="2"/>
  <c r="G145" i="2"/>
  <c r="H145" i="2"/>
  <c r="I145" i="2"/>
  <c r="J145" i="2"/>
  <c r="F146" i="2"/>
  <c r="G146" i="2"/>
  <c r="H146" i="2"/>
  <c r="I146" i="2"/>
  <c r="J146" i="2"/>
  <c r="F147" i="2"/>
  <c r="G147" i="2"/>
  <c r="H147" i="2"/>
  <c r="I147" i="2"/>
  <c r="J147" i="2"/>
  <c r="F148" i="2"/>
  <c r="G148" i="2"/>
  <c r="H148" i="2"/>
  <c r="I148" i="2"/>
  <c r="J148" i="2"/>
  <c r="F149" i="2"/>
  <c r="G149" i="2"/>
  <c r="H149" i="2"/>
  <c r="I149" i="2"/>
  <c r="J149" i="2"/>
  <c r="F150" i="2"/>
  <c r="G150" i="2"/>
  <c r="H150" i="2"/>
  <c r="I150" i="2"/>
  <c r="J150" i="2"/>
  <c r="F151" i="2"/>
  <c r="G151" i="2"/>
  <c r="H151" i="2"/>
  <c r="I151" i="2"/>
  <c r="J151" i="2"/>
  <c r="F152" i="2"/>
  <c r="G152" i="2"/>
  <c r="H152" i="2"/>
  <c r="I152" i="2"/>
  <c r="J152" i="2"/>
  <c r="F153" i="2"/>
  <c r="G153" i="2"/>
  <c r="H153" i="2"/>
  <c r="I153" i="2"/>
  <c r="J153" i="2"/>
  <c r="F154" i="2"/>
  <c r="G154" i="2"/>
  <c r="H154" i="2"/>
  <c r="I154" i="2"/>
  <c r="J154" i="2"/>
  <c r="F155" i="2"/>
  <c r="G155" i="2"/>
  <c r="H155" i="2"/>
  <c r="I155" i="2"/>
  <c r="J155" i="2"/>
  <c r="F156" i="2"/>
  <c r="G156" i="2"/>
  <c r="H156" i="2"/>
  <c r="I156" i="2"/>
  <c r="J156" i="2"/>
  <c r="F157" i="2"/>
  <c r="G157" i="2"/>
  <c r="H157" i="2"/>
  <c r="I157" i="2"/>
  <c r="J157" i="2"/>
  <c r="F158" i="2"/>
  <c r="G158" i="2"/>
  <c r="H158" i="2"/>
  <c r="I158" i="2"/>
  <c r="J158" i="2"/>
  <c r="F159" i="2"/>
  <c r="G159" i="2"/>
  <c r="H159" i="2"/>
  <c r="I159" i="2"/>
  <c r="J159" i="2"/>
  <c r="F160" i="2"/>
  <c r="G160" i="2"/>
  <c r="H160" i="2"/>
  <c r="I160" i="2"/>
  <c r="J160" i="2"/>
  <c r="F161" i="2"/>
  <c r="G161" i="2"/>
  <c r="H161" i="2"/>
  <c r="I161" i="2"/>
  <c r="J161" i="2"/>
  <c r="F162" i="2"/>
  <c r="G162" i="2"/>
  <c r="H162" i="2"/>
  <c r="I162" i="2"/>
  <c r="J162" i="2"/>
  <c r="F163" i="2"/>
  <c r="G163" i="2"/>
  <c r="H163" i="2"/>
  <c r="I163" i="2"/>
  <c r="J163" i="2"/>
  <c r="F164" i="2"/>
  <c r="G164" i="2"/>
  <c r="H164" i="2"/>
  <c r="I164" i="2"/>
  <c r="J164" i="2"/>
  <c r="F165" i="2"/>
  <c r="G165" i="2"/>
  <c r="H165" i="2"/>
  <c r="I165" i="2"/>
  <c r="J165" i="2"/>
  <c r="F166" i="2"/>
  <c r="G166" i="2"/>
  <c r="H166" i="2"/>
  <c r="I166" i="2"/>
  <c r="J166" i="2"/>
  <c r="F167" i="2"/>
  <c r="G167" i="2"/>
  <c r="H167" i="2"/>
  <c r="I167" i="2"/>
  <c r="J167" i="2"/>
  <c r="F168" i="2"/>
  <c r="G168" i="2"/>
  <c r="H168" i="2"/>
  <c r="I168" i="2"/>
  <c r="J168" i="2"/>
  <c r="F169" i="2"/>
  <c r="G169" i="2"/>
  <c r="H169" i="2"/>
  <c r="I169" i="2"/>
  <c r="J169" i="2"/>
  <c r="F170" i="2"/>
  <c r="G170" i="2"/>
  <c r="H170" i="2"/>
  <c r="I170" i="2"/>
  <c r="J170" i="2"/>
  <c r="F171" i="2"/>
  <c r="G171" i="2"/>
  <c r="H171" i="2"/>
  <c r="I171" i="2"/>
  <c r="J171" i="2"/>
  <c r="F172" i="2"/>
  <c r="G172" i="2"/>
  <c r="H172" i="2"/>
  <c r="I172" i="2"/>
  <c r="J172" i="2"/>
  <c r="F173" i="2"/>
  <c r="G173" i="2"/>
  <c r="H173" i="2"/>
  <c r="I173" i="2"/>
  <c r="J173" i="2"/>
  <c r="F174" i="2"/>
  <c r="G174" i="2"/>
  <c r="H174" i="2"/>
  <c r="I174" i="2"/>
  <c r="J174" i="2"/>
  <c r="F175" i="2"/>
  <c r="G175" i="2"/>
  <c r="H175" i="2"/>
  <c r="I175" i="2"/>
  <c r="J175" i="2"/>
  <c r="F176" i="2"/>
  <c r="G176" i="2"/>
  <c r="H176" i="2"/>
  <c r="I176" i="2"/>
  <c r="J176" i="2"/>
  <c r="F177" i="2"/>
  <c r="G177" i="2"/>
  <c r="H177" i="2"/>
  <c r="I177" i="2"/>
  <c r="J177" i="2"/>
  <c r="F178" i="2"/>
  <c r="G178" i="2"/>
  <c r="H178" i="2"/>
  <c r="I178" i="2"/>
  <c r="J178" i="2"/>
  <c r="F179" i="2"/>
  <c r="G179" i="2"/>
  <c r="H179" i="2"/>
  <c r="I179" i="2"/>
  <c r="J179" i="2"/>
  <c r="F180" i="2"/>
  <c r="G180" i="2"/>
  <c r="H180" i="2"/>
  <c r="I180" i="2"/>
  <c r="J180" i="2"/>
  <c r="F181" i="2"/>
  <c r="G181" i="2"/>
  <c r="H181" i="2"/>
  <c r="I181" i="2"/>
  <c r="J181" i="2"/>
  <c r="F182" i="2"/>
  <c r="G182" i="2"/>
  <c r="H182" i="2"/>
  <c r="I182" i="2"/>
  <c r="J182" i="2"/>
  <c r="F183" i="2"/>
  <c r="G183" i="2"/>
  <c r="H183" i="2"/>
  <c r="I183" i="2"/>
  <c r="J183" i="2"/>
  <c r="F184" i="2"/>
  <c r="G184" i="2"/>
  <c r="H184" i="2"/>
  <c r="I184" i="2"/>
  <c r="J184" i="2"/>
  <c r="F185" i="2"/>
  <c r="G185" i="2"/>
  <c r="H185" i="2"/>
  <c r="I185" i="2"/>
  <c r="J185" i="2"/>
  <c r="F186" i="2"/>
  <c r="G186" i="2"/>
  <c r="H186" i="2"/>
  <c r="I186" i="2"/>
  <c r="J186" i="2"/>
  <c r="F187" i="2"/>
  <c r="G187" i="2"/>
  <c r="H187" i="2"/>
  <c r="I187" i="2"/>
  <c r="J187" i="2"/>
  <c r="F188" i="2"/>
  <c r="G188" i="2"/>
  <c r="H188" i="2"/>
  <c r="I188" i="2"/>
  <c r="J188" i="2"/>
  <c r="F189" i="2"/>
  <c r="G189" i="2"/>
  <c r="H189" i="2"/>
  <c r="I189" i="2"/>
  <c r="J189" i="2"/>
  <c r="F190" i="2"/>
  <c r="G190" i="2"/>
  <c r="H190" i="2"/>
  <c r="I190" i="2"/>
  <c r="J190" i="2"/>
  <c r="F191" i="2"/>
  <c r="G191" i="2"/>
  <c r="H191" i="2"/>
  <c r="I191" i="2"/>
  <c r="J191" i="2"/>
  <c r="F192" i="2"/>
  <c r="G192" i="2"/>
  <c r="H192" i="2"/>
  <c r="I192" i="2"/>
  <c r="J192" i="2"/>
  <c r="F193" i="2"/>
  <c r="G193" i="2"/>
  <c r="H193" i="2"/>
  <c r="I193" i="2"/>
  <c r="J193" i="2"/>
  <c r="F194" i="2"/>
  <c r="G194" i="2"/>
  <c r="H194" i="2"/>
  <c r="I194" i="2"/>
  <c r="J194" i="2"/>
  <c r="F195" i="2"/>
  <c r="G195" i="2"/>
  <c r="H195" i="2"/>
  <c r="I195" i="2"/>
  <c r="J195" i="2"/>
  <c r="F196" i="2"/>
  <c r="G196" i="2"/>
  <c r="H196" i="2"/>
  <c r="I196" i="2"/>
  <c r="J196" i="2"/>
  <c r="F197" i="2"/>
  <c r="G197" i="2"/>
  <c r="H197" i="2"/>
  <c r="I197" i="2"/>
  <c r="J197" i="2"/>
  <c r="F198" i="2"/>
  <c r="G198" i="2"/>
  <c r="H198" i="2"/>
  <c r="I198" i="2"/>
  <c r="J198" i="2"/>
  <c r="F199" i="2"/>
  <c r="G199" i="2"/>
  <c r="H199" i="2"/>
  <c r="I199" i="2"/>
  <c r="J199" i="2"/>
  <c r="F200" i="2"/>
  <c r="G200" i="2"/>
  <c r="H200" i="2"/>
  <c r="I200" i="2"/>
  <c r="J200" i="2"/>
  <c r="F201" i="2"/>
  <c r="G201" i="2"/>
  <c r="H201" i="2"/>
  <c r="I201" i="2"/>
  <c r="J201" i="2"/>
  <c r="F202" i="2"/>
  <c r="G202" i="2"/>
  <c r="H202" i="2"/>
  <c r="I202" i="2"/>
  <c r="J202" i="2"/>
  <c r="F203" i="2"/>
  <c r="G203" i="2"/>
  <c r="H203" i="2"/>
  <c r="I203" i="2"/>
  <c r="J203" i="2"/>
  <c r="F204" i="2"/>
  <c r="G204" i="2"/>
  <c r="H204" i="2"/>
  <c r="I204" i="2"/>
  <c r="J204" i="2"/>
  <c r="F205" i="2"/>
  <c r="G205" i="2"/>
  <c r="H205" i="2"/>
  <c r="I205" i="2"/>
  <c r="J205" i="2"/>
  <c r="F206" i="2"/>
  <c r="G206" i="2"/>
  <c r="H206" i="2"/>
  <c r="I206" i="2"/>
  <c r="J206" i="2"/>
  <c r="F207" i="2"/>
  <c r="G207" i="2"/>
  <c r="H207" i="2"/>
  <c r="I207" i="2"/>
  <c r="J207" i="2"/>
  <c r="F208" i="2"/>
  <c r="G208" i="2"/>
  <c r="H208" i="2"/>
  <c r="I208" i="2"/>
  <c r="J208" i="2"/>
  <c r="F209" i="2"/>
  <c r="G209" i="2"/>
  <c r="H209" i="2"/>
  <c r="I209" i="2"/>
  <c r="J209" i="2"/>
  <c r="F210" i="2"/>
  <c r="G210" i="2"/>
  <c r="H210" i="2"/>
  <c r="I210" i="2"/>
  <c r="J210" i="2"/>
  <c r="F211" i="2"/>
  <c r="G211" i="2"/>
  <c r="H211" i="2"/>
  <c r="I211" i="2"/>
  <c r="J211" i="2"/>
  <c r="F212" i="2"/>
  <c r="G212" i="2"/>
  <c r="H212" i="2"/>
  <c r="I212" i="2"/>
  <c r="J212" i="2"/>
  <c r="F213" i="2"/>
  <c r="G213" i="2"/>
  <c r="H213" i="2"/>
  <c r="I213" i="2"/>
  <c r="J213" i="2"/>
  <c r="F214" i="2"/>
  <c r="G214" i="2"/>
  <c r="H214" i="2"/>
  <c r="I214" i="2"/>
  <c r="J214" i="2"/>
  <c r="F215" i="2"/>
  <c r="G215" i="2"/>
  <c r="H215" i="2"/>
  <c r="I215" i="2"/>
  <c r="J215" i="2"/>
  <c r="F216" i="2"/>
  <c r="G216" i="2"/>
  <c r="H216" i="2"/>
  <c r="I216" i="2"/>
  <c r="J216" i="2"/>
  <c r="F217" i="2"/>
  <c r="G217" i="2"/>
  <c r="H217" i="2"/>
  <c r="I217" i="2"/>
  <c r="J217" i="2"/>
  <c r="F218" i="2"/>
  <c r="G218" i="2"/>
  <c r="H218" i="2"/>
  <c r="I218" i="2"/>
  <c r="J218" i="2"/>
  <c r="F219" i="2"/>
  <c r="G219" i="2"/>
  <c r="H219" i="2"/>
  <c r="I219" i="2"/>
  <c r="J219" i="2"/>
  <c r="F220" i="2"/>
  <c r="G220" i="2"/>
  <c r="H220" i="2"/>
  <c r="I220" i="2"/>
  <c r="J220" i="2"/>
  <c r="F221" i="2"/>
  <c r="G221" i="2"/>
  <c r="H221" i="2"/>
  <c r="I221" i="2"/>
  <c r="J221" i="2"/>
  <c r="F222" i="2"/>
  <c r="G222" i="2"/>
  <c r="H222" i="2"/>
  <c r="I222" i="2"/>
  <c r="J222" i="2"/>
  <c r="F223" i="2"/>
  <c r="G223" i="2"/>
  <c r="H223" i="2"/>
  <c r="I223" i="2"/>
  <c r="J223" i="2"/>
  <c r="F224" i="2"/>
  <c r="G224" i="2"/>
  <c r="H224" i="2"/>
  <c r="I224" i="2"/>
  <c r="J224" i="2"/>
  <c r="F225" i="2"/>
  <c r="G225" i="2"/>
  <c r="H225" i="2"/>
  <c r="I225" i="2"/>
  <c r="J225" i="2"/>
  <c r="F226" i="2"/>
  <c r="G226" i="2"/>
  <c r="H226" i="2"/>
  <c r="I226" i="2"/>
  <c r="J226" i="2"/>
  <c r="F227" i="2"/>
  <c r="G227" i="2"/>
  <c r="H227" i="2"/>
  <c r="I227" i="2"/>
  <c r="J227" i="2"/>
  <c r="F228" i="2"/>
  <c r="G228" i="2"/>
  <c r="H228" i="2"/>
  <c r="I228" i="2"/>
  <c r="J228" i="2"/>
  <c r="F229" i="2"/>
  <c r="G229" i="2"/>
  <c r="H229" i="2"/>
  <c r="I229" i="2"/>
  <c r="J229" i="2"/>
  <c r="F230" i="2"/>
  <c r="G230" i="2"/>
  <c r="H230" i="2"/>
  <c r="I230" i="2"/>
  <c r="J230" i="2"/>
  <c r="F231" i="2"/>
  <c r="G231" i="2"/>
  <c r="H231" i="2"/>
  <c r="I231" i="2"/>
  <c r="J231" i="2"/>
  <c r="F232" i="2"/>
  <c r="G232" i="2"/>
  <c r="H232" i="2"/>
  <c r="I232" i="2"/>
  <c r="J232" i="2"/>
  <c r="F233" i="2"/>
  <c r="G233" i="2"/>
  <c r="H233" i="2"/>
  <c r="I233" i="2"/>
  <c r="J233" i="2"/>
  <c r="F234" i="2"/>
  <c r="G234" i="2"/>
  <c r="H234" i="2"/>
  <c r="I234" i="2"/>
  <c r="J234" i="2"/>
  <c r="F235" i="2"/>
  <c r="G235" i="2"/>
  <c r="H235" i="2"/>
  <c r="I235" i="2"/>
  <c r="J235" i="2"/>
  <c r="F236" i="2"/>
  <c r="G236" i="2"/>
  <c r="H236" i="2"/>
  <c r="I236" i="2"/>
  <c r="J236" i="2"/>
  <c r="F237" i="2"/>
  <c r="G237" i="2"/>
  <c r="H237" i="2"/>
  <c r="I237" i="2"/>
  <c r="J237" i="2"/>
  <c r="F238" i="2"/>
  <c r="G238" i="2"/>
  <c r="H238" i="2"/>
  <c r="I238" i="2"/>
  <c r="J238" i="2"/>
  <c r="F239" i="2"/>
  <c r="G239" i="2"/>
  <c r="H239" i="2"/>
  <c r="I239" i="2"/>
  <c r="J239" i="2"/>
  <c r="F240" i="2"/>
  <c r="G240" i="2"/>
  <c r="H240" i="2"/>
  <c r="I240" i="2"/>
  <c r="J240" i="2"/>
  <c r="F241" i="2"/>
  <c r="G241" i="2"/>
  <c r="H241" i="2"/>
  <c r="I241" i="2"/>
  <c r="J241" i="2"/>
  <c r="F242" i="2"/>
  <c r="G242" i="2"/>
  <c r="H242" i="2"/>
  <c r="I242" i="2"/>
  <c r="J242" i="2"/>
  <c r="F243" i="2"/>
  <c r="G243" i="2"/>
  <c r="H243" i="2"/>
  <c r="I243" i="2"/>
  <c r="J243" i="2"/>
  <c r="F244" i="2"/>
  <c r="G244" i="2"/>
  <c r="H244" i="2"/>
  <c r="I244" i="2"/>
  <c r="J244" i="2"/>
  <c r="F245" i="2"/>
  <c r="G245" i="2"/>
  <c r="H245" i="2"/>
  <c r="I245" i="2"/>
  <c r="J245" i="2"/>
  <c r="F246" i="2"/>
  <c r="G246" i="2"/>
  <c r="H246" i="2"/>
  <c r="I246" i="2"/>
  <c r="J246" i="2"/>
  <c r="F247" i="2"/>
  <c r="G247" i="2"/>
  <c r="H247" i="2"/>
  <c r="I247" i="2"/>
  <c r="J247" i="2"/>
  <c r="F248" i="2"/>
  <c r="G248" i="2"/>
  <c r="H248" i="2"/>
  <c r="I248" i="2"/>
  <c r="J248" i="2"/>
  <c r="F249" i="2"/>
  <c r="G249" i="2"/>
  <c r="H249" i="2"/>
  <c r="I249" i="2"/>
  <c r="J249" i="2"/>
  <c r="F250" i="2"/>
  <c r="G250" i="2"/>
  <c r="H250" i="2"/>
  <c r="I250" i="2"/>
  <c r="J250" i="2"/>
  <c r="F251" i="2"/>
  <c r="G251" i="2"/>
  <c r="H251" i="2"/>
  <c r="I251" i="2"/>
  <c r="J251" i="2"/>
  <c r="F252" i="2"/>
  <c r="G252" i="2"/>
  <c r="H252" i="2"/>
  <c r="I252" i="2"/>
  <c r="J252" i="2"/>
  <c r="F253" i="2"/>
  <c r="G253" i="2"/>
  <c r="H253" i="2"/>
  <c r="I253" i="2"/>
  <c r="J253" i="2"/>
  <c r="F254" i="2"/>
  <c r="G254" i="2"/>
  <c r="H254" i="2"/>
  <c r="I254" i="2"/>
  <c r="J254" i="2"/>
  <c r="F255" i="2"/>
  <c r="G255" i="2"/>
  <c r="H255" i="2"/>
  <c r="I255" i="2"/>
  <c r="J255" i="2"/>
  <c r="F256" i="2"/>
  <c r="G256" i="2"/>
  <c r="H256" i="2"/>
  <c r="I256" i="2"/>
  <c r="J256" i="2"/>
  <c r="F257" i="2"/>
  <c r="G257" i="2"/>
  <c r="H257" i="2"/>
  <c r="I257" i="2"/>
  <c r="J257" i="2"/>
  <c r="F258" i="2"/>
  <c r="G258" i="2"/>
  <c r="H258" i="2"/>
  <c r="I258" i="2"/>
  <c r="J258" i="2"/>
  <c r="F259" i="2"/>
  <c r="G259" i="2"/>
  <c r="H259" i="2"/>
  <c r="I259" i="2"/>
  <c r="J259" i="2"/>
  <c r="F260" i="2"/>
  <c r="G260" i="2"/>
  <c r="H260" i="2"/>
  <c r="I260" i="2"/>
  <c r="J260" i="2"/>
  <c r="F261" i="2"/>
  <c r="G261" i="2"/>
  <c r="H261" i="2"/>
  <c r="I261" i="2"/>
  <c r="J261" i="2"/>
  <c r="F262" i="2"/>
  <c r="G262" i="2"/>
  <c r="H262" i="2"/>
  <c r="I262" i="2"/>
  <c r="J262" i="2"/>
  <c r="F263" i="2"/>
  <c r="G263" i="2"/>
  <c r="H263" i="2"/>
  <c r="I263" i="2"/>
  <c r="J263" i="2"/>
  <c r="F264" i="2"/>
  <c r="G264" i="2"/>
  <c r="H264" i="2"/>
  <c r="I264" i="2"/>
  <c r="J264" i="2"/>
  <c r="F265" i="2"/>
  <c r="G265" i="2"/>
  <c r="H265" i="2"/>
  <c r="I265" i="2"/>
  <c r="J265" i="2"/>
  <c r="F266" i="2"/>
  <c r="G266" i="2"/>
  <c r="H266" i="2"/>
  <c r="I266" i="2"/>
  <c r="J266" i="2"/>
  <c r="F267" i="2"/>
  <c r="G267" i="2"/>
  <c r="H267" i="2"/>
  <c r="I267" i="2"/>
  <c r="J267" i="2"/>
  <c r="F268" i="2"/>
  <c r="G268" i="2"/>
  <c r="H268" i="2"/>
  <c r="I268" i="2"/>
  <c r="J268" i="2"/>
  <c r="F269" i="2"/>
  <c r="G269" i="2"/>
  <c r="H269" i="2"/>
  <c r="I269" i="2"/>
  <c r="J269" i="2"/>
  <c r="F270" i="2"/>
  <c r="G270" i="2"/>
  <c r="H270" i="2"/>
  <c r="I270" i="2"/>
  <c r="J270" i="2"/>
  <c r="F271" i="2"/>
  <c r="G271" i="2"/>
  <c r="H271" i="2"/>
  <c r="I271" i="2"/>
  <c r="J271" i="2"/>
  <c r="F272" i="2"/>
  <c r="G272" i="2"/>
  <c r="H272" i="2"/>
  <c r="I272" i="2"/>
  <c r="J272" i="2"/>
  <c r="F273" i="2"/>
  <c r="G273" i="2"/>
  <c r="H273" i="2"/>
  <c r="I273" i="2"/>
  <c r="J273" i="2"/>
  <c r="F274" i="2"/>
  <c r="G274" i="2"/>
  <c r="H274" i="2"/>
  <c r="I274" i="2"/>
  <c r="J274" i="2"/>
  <c r="F275" i="2"/>
  <c r="G275" i="2"/>
  <c r="H275" i="2"/>
  <c r="I275" i="2"/>
  <c r="J275" i="2"/>
  <c r="F276" i="2"/>
  <c r="G276" i="2"/>
  <c r="H276" i="2"/>
  <c r="I276" i="2"/>
  <c r="J276" i="2"/>
  <c r="F277" i="2"/>
  <c r="G277" i="2"/>
  <c r="H277" i="2"/>
  <c r="I277" i="2"/>
  <c r="J277" i="2"/>
  <c r="F278" i="2"/>
  <c r="G278" i="2"/>
  <c r="H278" i="2"/>
  <c r="I278" i="2"/>
  <c r="J278" i="2"/>
  <c r="F279" i="2"/>
  <c r="G279" i="2"/>
  <c r="H279" i="2"/>
  <c r="I279" i="2"/>
  <c r="J279" i="2"/>
  <c r="F280" i="2"/>
  <c r="G280" i="2"/>
  <c r="H280" i="2"/>
  <c r="I280" i="2"/>
  <c r="J280" i="2"/>
  <c r="F281" i="2"/>
  <c r="G281" i="2"/>
  <c r="H281" i="2"/>
  <c r="I281" i="2"/>
  <c r="J281" i="2"/>
  <c r="F282" i="2"/>
  <c r="G282" i="2"/>
  <c r="H282" i="2"/>
  <c r="I282" i="2"/>
  <c r="J282" i="2"/>
  <c r="F283" i="2"/>
  <c r="G283" i="2"/>
  <c r="H283" i="2"/>
  <c r="I283" i="2"/>
  <c r="J283" i="2"/>
  <c r="F284" i="2"/>
  <c r="G284" i="2"/>
  <c r="H284" i="2"/>
  <c r="I284" i="2"/>
  <c r="J284" i="2"/>
  <c r="F285" i="2"/>
  <c r="G285" i="2"/>
  <c r="H285" i="2"/>
  <c r="I285" i="2"/>
  <c r="J285" i="2"/>
  <c r="F286" i="2"/>
  <c r="G286" i="2"/>
  <c r="H286" i="2"/>
  <c r="I286" i="2"/>
  <c r="J286" i="2"/>
  <c r="F287" i="2"/>
  <c r="G287" i="2"/>
  <c r="H287" i="2"/>
  <c r="I287" i="2"/>
  <c r="J287" i="2"/>
  <c r="F288" i="2"/>
  <c r="G288" i="2"/>
  <c r="H288" i="2"/>
  <c r="I288" i="2"/>
  <c r="J288" i="2"/>
  <c r="F289" i="2"/>
  <c r="G289" i="2"/>
  <c r="H289" i="2"/>
  <c r="I289" i="2"/>
  <c r="J289" i="2"/>
  <c r="F290" i="2"/>
  <c r="G290" i="2"/>
  <c r="H290" i="2"/>
  <c r="I290" i="2"/>
  <c r="J290" i="2"/>
  <c r="F291" i="2"/>
  <c r="G291" i="2"/>
  <c r="H291" i="2"/>
  <c r="I291" i="2"/>
  <c r="J291" i="2"/>
  <c r="F292" i="2"/>
  <c r="G292" i="2"/>
  <c r="H292" i="2"/>
  <c r="I292" i="2"/>
  <c r="J292" i="2"/>
  <c r="F293" i="2"/>
  <c r="G293" i="2"/>
  <c r="H293" i="2"/>
  <c r="I293" i="2"/>
  <c r="J293" i="2"/>
  <c r="F294" i="2"/>
  <c r="G294" i="2"/>
  <c r="H294" i="2"/>
  <c r="I294" i="2"/>
  <c r="J294" i="2"/>
  <c r="F295" i="2"/>
  <c r="G295" i="2"/>
  <c r="H295" i="2"/>
  <c r="I295" i="2"/>
  <c r="J295" i="2"/>
  <c r="F296" i="2"/>
  <c r="G296" i="2"/>
  <c r="H296" i="2"/>
  <c r="I296" i="2"/>
  <c r="J296" i="2"/>
  <c r="F297" i="2"/>
  <c r="G297" i="2"/>
  <c r="H297" i="2"/>
  <c r="I297" i="2"/>
  <c r="J297" i="2"/>
  <c r="F298" i="2"/>
  <c r="G298" i="2"/>
  <c r="H298" i="2"/>
  <c r="I298" i="2"/>
  <c r="J298" i="2"/>
  <c r="F299" i="2"/>
  <c r="G299" i="2"/>
  <c r="H299" i="2"/>
  <c r="I299" i="2"/>
  <c r="J299" i="2"/>
  <c r="F300" i="2"/>
  <c r="G300" i="2"/>
  <c r="H300" i="2"/>
  <c r="I300" i="2"/>
  <c r="J300" i="2"/>
  <c r="F301" i="2"/>
  <c r="G301" i="2"/>
  <c r="H301" i="2"/>
  <c r="I301" i="2"/>
  <c r="J301" i="2"/>
  <c r="F302" i="2"/>
  <c r="G302" i="2"/>
  <c r="H302" i="2"/>
  <c r="I302" i="2"/>
  <c r="J302" i="2"/>
  <c r="F303" i="2"/>
  <c r="G303" i="2"/>
  <c r="H303" i="2"/>
  <c r="I303" i="2"/>
  <c r="J303" i="2"/>
  <c r="F304" i="2"/>
  <c r="G304" i="2"/>
  <c r="H304" i="2"/>
  <c r="I304" i="2"/>
  <c r="J304" i="2"/>
  <c r="F305" i="2"/>
  <c r="G305" i="2"/>
  <c r="H305" i="2"/>
  <c r="I305" i="2"/>
  <c r="J305" i="2"/>
  <c r="F306" i="2"/>
  <c r="G306" i="2"/>
  <c r="H306" i="2"/>
  <c r="I306" i="2"/>
  <c r="J306" i="2"/>
  <c r="F307" i="2"/>
  <c r="G307" i="2"/>
  <c r="H307" i="2"/>
  <c r="I307" i="2"/>
  <c r="J307" i="2"/>
  <c r="F308" i="2"/>
  <c r="G308" i="2"/>
  <c r="H308" i="2"/>
  <c r="I308" i="2"/>
  <c r="J308" i="2"/>
  <c r="F309" i="2"/>
  <c r="G309" i="2"/>
  <c r="H309" i="2"/>
  <c r="I309" i="2"/>
  <c r="J309" i="2"/>
  <c r="F310" i="2"/>
  <c r="G310" i="2"/>
  <c r="H310" i="2"/>
  <c r="I310" i="2"/>
  <c r="J310" i="2"/>
  <c r="F311" i="2"/>
  <c r="G311" i="2"/>
  <c r="H311" i="2"/>
  <c r="I311" i="2"/>
  <c r="J311" i="2"/>
  <c r="F312" i="2"/>
  <c r="G312" i="2"/>
  <c r="H312" i="2"/>
  <c r="I312" i="2"/>
  <c r="J312" i="2"/>
  <c r="F313" i="2"/>
  <c r="G313" i="2"/>
  <c r="H313" i="2"/>
  <c r="I313" i="2"/>
  <c r="J313" i="2"/>
  <c r="F314" i="2"/>
  <c r="G314" i="2"/>
  <c r="H314" i="2"/>
  <c r="I314" i="2"/>
  <c r="J314" i="2"/>
  <c r="F315" i="2"/>
  <c r="G315" i="2"/>
  <c r="H315" i="2"/>
  <c r="I315" i="2"/>
  <c r="J315" i="2"/>
  <c r="F316" i="2"/>
  <c r="G316" i="2"/>
  <c r="H316" i="2"/>
  <c r="I316" i="2"/>
  <c r="J316" i="2"/>
  <c r="F317" i="2"/>
  <c r="G317" i="2"/>
  <c r="H317" i="2"/>
  <c r="I317" i="2"/>
  <c r="J317" i="2"/>
  <c r="F318" i="2"/>
  <c r="G318" i="2"/>
  <c r="H318" i="2"/>
  <c r="I318" i="2"/>
  <c r="J318" i="2"/>
  <c r="F319" i="2"/>
  <c r="G319" i="2"/>
  <c r="H319" i="2"/>
  <c r="I319" i="2"/>
  <c r="J319" i="2"/>
  <c r="F320" i="2"/>
  <c r="G320" i="2"/>
  <c r="H320" i="2"/>
  <c r="I320" i="2"/>
  <c r="J320" i="2"/>
  <c r="F321" i="2"/>
  <c r="G321" i="2"/>
  <c r="H321" i="2"/>
  <c r="I321" i="2"/>
  <c r="J321" i="2"/>
  <c r="F322" i="2"/>
  <c r="G322" i="2"/>
  <c r="H322" i="2"/>
  <c r="I322" i="2"/>
  <c r="J322" i="2"/>
  <c r="F323" i="2"/>
  <c r="G323" i="2"/>
  <c r="H323" i="2"/>
  <c r="I323" i="2"/>
  <c r="J323" i="2"/>
  <c r="F324" i="2"/>
  <c r="G324" i="2"/>
  <c r="H324" i="2"/>
  <c r="I324" i="2"/>
  <c r="J324" i="2"/>
  <c r="F325" i="2"/>
  <c r="G325" i="2"/>
  <c r="H325" i="2"/>
  <c r="I325" i="2"/>
  <c r="J325" i="2"/>
  <c r="F326" i="2"/>
  <c r="G326" i="2"/>
  <c r="H326" i="2"/>
  <c r="I326" i="2"/>
  <c r="J326" i="2"/>
  <c r="F327" i="2"/>
  <c r="G327" i="2"/>
  <c r="H327" i="2"/>
  <c r="I327" i="2"/>
  <c r="J327" i="2"/>
  <c r="F328" i="2"/>
  <c r="G328" i="2"/>
  <c r="H328" i="2"/>
  <c r="I328" i="2"/>
  <c r="J328" i="2"/>
  <c r="F329" i="2"/>
  <c r="G329" i="2"/>
  <c r="H329" i="2"/>
  <c r="I329" i="2"/>
  <c r="J329" i="2"/>
  <c r="F330" i="2"/>
  <c r="G330" i="2"/>
  <c r="H330" i="2"/>
  <c r="I330" i="2"/>
  <c r="J330" i="2"/>
  <c r="F331" i="2"/>
  <c r="G331" i="2"/>
  <c r="H331" i="2"/>
  <c r="I331" i="2"/>
  <c r="J331" i="2"/>
  <c r="F332" i="2"/>
  <c r="G332" i="2"/>
  <c r="H332" i="2"/>
  <c r="I332" i="2"/>
  <c r="J332" i="2"/>
  <c r="F333" i="2"/>
  <c r="G333" i="2"/>
  <c r="H333" i="2"/>
  <c r="I333" i="2"/>
  <c r="J333" i="2"/>
  <c r="F334" i="2"/>
  <c r="G334" i="2"/>
  <c r="H334" i="2"/>
  <c r="I334" i="2"/>
  <c r="J334" i="2"/>
  <c r="F335" i="2"/>
  <c r="G335" i="2"/>
  <c r="H335" i="2"/>
  <c r="I335" i="2"/>
  <c r="J335" i="2"/>
  <c r="F336" i="2"/>
  <c r="G336" i="2"/>
  <c r="H336" i="2"/>
  <c r="I336" i="2"/>
  <c r="J336" i="2"/>
  <c r="F337" i="2"/>
  <c r="G337" i="2"/>
  <c r="H337" i="2"/>
  <c r="I337" i="2"/>
  <c r="J337" i="2"/>
  <c r="F338" i="2"/>
  <c r="G338" i="2"/>
  <c r="H338" i="2"/>
  <c r="I338" i="2"/>
  <c r="J338" i="2"/>
  <c r="F339" i="2"/>
  <c r="G339" i="2"/>
  <c r="H339" i="2"/>
  <c r="I339" i="2"/>
  <c r="J339" i="2"/>
  <c r="F340" i="2"/>
  <c r="G340" i="2"/>
  <c r="H340" i="2"/>
  <c r="I340" i="2"/>
  <c r="J340" i="2"/>
  <c r="F341" i="2"/>
  <c r="G341" i="2"/>
  <c r="H341" i="2"/>
  <c r="I341" i="2"/>
  <c r="J341" i="2"/>
  <c r="F342" i="2"/>
  <c r="G342" i="2"/>
  <c r="H342" i="2"/>
  <c r="I342" i="2"/>
  <c r="J342" i="2"/>
  <c r="F343" i="2"/>
  <c r="G343" i="2"/>
  <c r="H343" i="2"/>
  <c r="I343" i="2"/>
  <c r="J343" i="2"/>
  <c r="F344" i="2"/>
  <c r="G344" i="2"/>
  <c r="H344" i="2"/>
  <c r="I344" i="2"/>
  <c r="J344" i="2"/>
  <c r="F345" i="2"/>
  <c r="G345" i="2"/>
  <c r="H345" i="2"/>
  <c r="I345" i="2"/>
  <c r="J345" i="2"/>
  <c r="F346" i="2"/>
  <c r="G346" i="2"/>
  <c r="H346" i="2"/>
  <c r="I346" i="2"/>
  <c r="J346" i="2"/>
  <c r="F347" i="2"/>
  <c r="G347" i="2"/>
  <c r="H347" i="2"/>
  <c r="I347" i="2"/>
  <c r="J347" i="2"/>
  <c r="F348" i="2"/>
  <c r="G348" i="2"/>
  <c r="H348" i="2"/>
  <c r="I348" i="2"/>
  <c r="J348" i="2"/>
  <c r="F349" i="2"/>
  <c r="G349" i="2"/>
  <c r="H349" i="2"/>
  <c r="I349" i="2"/>
  <c r="J349" i="2"/>
  <c r="F350" i="2"/>
  <c r="G350" i="2"/>
  <c r="H350" i="2"/>
  <c r="I350" i="2"/>
  <c r="J350" i="2"/>
  <c r="F351" i="2"/>
  <c r="G351" i="2"/>
  <c r="H351" i="2"/>
  <c r="I351" i="2"/>
  <c r="J351" i="2"/>
  <c r="F352" i="2"/>
  <c r="G352" i="2"/>
  <c r="H352" i="2"/>
  <c r="I352" i="2"/>
  <c r="J352" i="2"/>
  <c r="F353" i="2"/>
  <c r="G353" i="2"/>
  <c r="H353" i="2"/>
  <c r="I353" i="2"/>
  <c r="J353" i="2"/>
  <c r="F354" i="2"/>
  <c r="G354" i="2"/>
  <c r="H354" i="2"/>
  <c r="I354" i="2"/>
  <c r="J354" i="2"/>
  <c r="F355" i="2"/>
  <c r="G355" i="2"/>
  <c r="H355" i="2"/>
  <c r="I355" i="2"/>
  <c r="J355" i="2"/>
  <c r="F356" i="2"/>
  <c r="G356" i="2"/>
  <c r="H356" i="2"/>
  <c r="I356" i="2"/>
  <c r="J356" i="2"/>
  <c r="F357" i="2"/>
  <c r="G357" i="2"/>
  <c r="H357" i="2"/>
  <c r="I357" i="2"/>
  <c r="J357" i="2"/>
  <c r="F358" i="2"/>
  <c r="G358" i="2"/>
  <c r="H358" i="2"/>
  <c r="I358" i="2"/>
  <c r="J358" i="2"/>
  <c r="F359" i="2"/>
  <c r="G359" i="2"/>
  <c r="H359" i="2"/>
  <c r="I359" i="2"/>
  <c r="J359" i="2"/>
  <c r="F360" i="2"/>
  <c r="G360" i="2"/>
  <c r="H360" i="2"/>
  <c r="I360" i="2"/>
  <c r="J360" i="2"/>
  <c r="F361" i="2"/>
  <c r="G361" i="2"/>
  <c r="H361" i="2"/>
  <c r="I361" i="2"/>
  <c r="J361" i="2"/>
  <c r="F362" i="2"/>
  <c r="G362" i="2"/>
  <c r="H362" i="2"/>
  <c r="I362" i="2"/>
  <c r="J362" i="2"/>
  <c r="F363" i="2"/>
  <c r="G363" i="2"/>
  <c r="H363" i="2"/>
  <c r="I363" i="2"/>
  <c r="J363" i="2"/>
  <c r="F364" i="2"/>
  <c r="G364" i="2"/>
  <c r="H364" i="2"/>
  <c r="I364" i="2"/>
  <c r="J364" i="2"/>
  <c r="F365" i="2"/>
  <c r="G365" i="2"/>
  <c r="H365" i="2"/>
  <c r="I365" i="2"/>
  <c r="J365" i="2"/>
  <c r="F366" i="2"/>
  <c r="G366" i="2"/>
  <c r="H366" i="2"/>
  <c r="I366" i="2"/>
  <c r="J366" i="2"/>
  <c r="F367" i="2"/>
  <c r="G367" i="2"/>
  <c r="H367" i="2"/>
  <c r="I367" i="2"/>
  <c r="J367" i="2"/>
  <c r="F368" i="2"/>
  <c r="G368" i="2"/>
  <c r="H368" i="2"/>
  <c r="I368" i="2"/>
  <c r="J368" i="2"/>
  <c r="F369" i="2"/>
  <c r="G369" i="2"/>
  <c r="H369" i="2"/>
  <c r="I369" i="2"/>
  <c r="J369" i="2"/>
  <c r="F370" i="2"/>
  <c r="G370" i="2"/>
  <c r="H370" i="2"/>
  <c r="I370" i="2"/>
  <c r="J370" i="2"/>
  <c r="F371" i="2"/>
  <c r="G371" i="2"/>
  <c r="H371" i="2"/>
  <c r="I371" i="2"/>
  <c r="J371" i="2"/>
  <c r="F372" i="2"/>
  <c r="G372" i="2"/>
  <c r="H372" i="2"/>
  <c r="I372" i="2"/>
  <c r="J372" i="2"/>
  <c r="F373" i="2"/>
  <c r="G373" i="2"/>
  <c r="H373" i="2"/>
  <c r="I373" i="2"/>
  <c r="J373" i="2"/>
  <c r="F374" i="2"/>
  <c r="G374" i="2"/>
  <c r="H374" i="2"/>
  <c r="I374" i="2"/>
  <c r="J374" i="2"/>
  <c r="F375" i="2"/>
  <c r="G375" i="2"/>
  <c r="H375" i="2"/>
  <c r="I375" i="2"/>
  <c r="J375" i="2"/>
  <c r="F376" i="2"/>
  <c r="G376" i="2"/>
  <c r="H376" i="2"/>
  <c r="I376" i="2"/>
  <c r="J376" i="2"/>
  <c r="F377" i="2"/>
  <c r="G377" i="2"/>
  <c r="H377" i="2"/>
  <c r="I377" i="2"/>
  <c r="J377" i="2"/>
  <c r="F378" i="2"/>
  <c r="G378" i="2"/>
  <c r="H378" i="2"/>
  <c r="I378" i="2"/>
  <c r="J378" i="2"/>
  <c r="F379" i="2"/>
  <c r="G379" i="2"/>
  <c r="H379" i="2"/>
  <c r="I379" i="2"/>
  <c r="J379" i="2"/>
  <c r="F380" i="2"/>
  <c r="G380" i="2"/>
  <c r="H380" i="2"/>
  <c r="I380" i="2"/>
  <c r="J380" i="2"/>
  <c r="F381" i="2"/>
  <c r="G381" i="2"/>
  <c r="H381" i="2"/>
  <c r="I381" i="2"/>
  <c r="J381" i="2"/>
  <c r="F382" i="2"/>
  <c r="G382" i="2"/>
  <c r="H382" i="2"/>
  <c r="I382" i="2"/>
  <c r="J382" i="2"/>
  <c r="F383" i="2"/>
  <c r="G383" i="2"/>
  <c r="H383" i="2"/>
  <c r="I383" i="2"/>
  <c r="J383" i="2"/>
  <c r="F384" i="2"/>
  <c r="G384" i="2"/>
  <c r="H384" i="2"/>
  <c r="I384" i="2"/>
  <c r="J384" i="2"/>
  <c r="F385" i="2"/>
  <c r="G385" i="2"/>
  <c r="H385" i="2"/>
  <c r="I385" i="2"/>
  <c r="J385" i="2"/>
  <c r="F386" i="2"/>
  <c r="G386" i="2"/>
  <c r="H386" i="2"/>
  <c r="I386" i="2"/>
  <c r="J386" i="2"/>
  <c r="F387" i="2"/>
  <c r="G387" i="2"/>
  <c r="H387" i="2"/>
  <c r="I387" i="2"/>
  <c r="J387" i="2"/>
  <c r="F388" i="2"/>
  <c r="G388" i="2"/>
  <c r="H388" i="2"/>
  <c r="I388" i="2"/>
  <c r="J388" i="2"/>
  <c r="F389" i="2"/>
  <c r="G389" i="2"/>
  <c r="H389" i="2"/>
  <c r="I389" i="2"/>
  <c r="J389" i="2"/>
  <c r="F390" i="2"/>
  <c r="G390" i="2"/>
  <c r="H390" i="2"/>
  <c r="I390" i="2"/>
  <c r="J390" i="2"/>
  <c r="F391" i="2"/>
  <c r="G391" i="2"/>
  <c r="H391" i="2"/>
  <c r="I391" i="2"/>
  <c r="J391" i="2"/>
  <c r="F392" i="2"/>
  <c r="G392" i="2"/>
  <c r="H392" i="2"/>
  <c r="I392" i="2"/>
  <c r="J392" i="2"/>
  <c r="F393" i="2"/>
  <c r="G393" i="2"/>
  <c r="H393" i="2"/>
  <c r="I393" i="2"/>
  <c r="J393" i="2"/>
  <c r="F394" i="2"/>
  <c r="G394" i="2"/>
  <c r="H394" i="2"/>
  <c r="I394" i="2"/>
  <c r="J394" i="2"/>
  <c r="F395" i="2"/>
  <c r="G395" i="2"/>
  <c r="H395" i="2"/>
  <c r="I395" i="2"/>
  <c r="J395" i="2"/>
  <c r="F396" i="2"/>
  <c r="G396" i="2"/>
  <c r="H396" i="2"/>
  <c r="I396" i="2"/>
  <c r="J396" i="2"/>
  <c r="F397" i="2"/>
  <c r="G397" i="2"/>
  <c r="H397" i="2"/>
  <c r="I397" i="2"/>
  <c r="J397" i="2"/>
  <c r="F398" i="2"/>
  <c r="G398" i="2"/>
  <c r="H398" i="2"/>
  <c r="I398" i="2"/>
  <c r="J398" i="2"/>
  <c r="F399" i="2"/>
  <c r="G399" i="2"/>
  <c r="H399" i="2"/>
  <c r="I399" i="2"/>
  <c r="J399" i="2"/>
  <c r="F400" i="2"/>
  <c r="G400" i="2"/>
  <c r="H400" i="2"/>
  <c r="I400" i="2"/>
  <c r="J400" i="2"/>
  <c r="F401" i="2"/>
  <c r="G401" i="2"/>
  <c r="H401" i="2"/>
  <c r="I401" i="2"/>
  <c r="J401" i="2"/>
  <c r="F402" i="2"/>
  <c r="G402" i="2"/>
  <c r="H402" i="2"/>
  <c r="I402" i="2"/>
  <c r="J402" i="2"/>
  <c r="F403" i="2"/>
  <c r="G403" i="2"/>
  <c r="H403" i="2"/>
  <c r="I403" i="2"/>
  <c r="J403" i="2"/>
  <c r="F404" i="2"/>
  <c r="G404" i="2"/>
  <c r="H404" i="2"/>
  <c r="I404" i="2"/>
  <c r="J404" i="2"/>
  <c r="F405" i="2"/>
  <c r="G405" i="2"/>
  <c r="H405" i="2"/>
  <c r="I405" i="2"/>
  <c r="J405" i="2"/>
  <c r="F406" i="2"/>
  <c r="G406" i="2"/>
  <c r="H406" i="2"/>
  <c r="I406" i="2"/>
  <c r="J406" i="2"/>
  <c r="F407" i="2"/>
  <c r="G407" i="2"/>
  <c r="H407" i="2"/>
  <c r="I407" i="2"/>
  <c r="J407" i="2"/>
  <c r="F408" i="2"/>
  <c r="G408" i="2"/>
  <c r="H408" i="2"/>
  <c r="I408" i="2"/>
  <c r="J408" i="2"/>
  <c r="F409" i="2"/>
  <c r="G409" i="2"/>
  <c r="H409" i="2"/>
  <c r="I409" i="2"/>
  <c r="J409" i="2"/>
  <c r="F410" i="2"/>
  <c r="G410" i="2"/>
  <c r="H410" i="2"/>
  <c r="I410" i="2"/>
  <c r="J410" i="2"/>
  <c r="F411" i="2"/>
  <c r="G411" i="2"/>
  <c r="H411" i="2"/>
  <c r="I411" i="2"/>
  <c r="J411" i="2"/>
  <c r="F412" i="2"/>
  <c r="G412" i="2"/>
  <c r="H412" i="2"/>
  <c r="I412" i="2"/>
  <c r="J412" i="2"/>
  <c r="F413" i="2"/>
  <c r="G413" i="2"/>
  <c r="H413" i="2"/>
  <c r="I413" i="2"/>
  <c r="J413" i="2"/>
  <c r="F414" i="2"/>
  <c r="G414" i="2"/>
  <c r="H414" i="2"/>
  <c r="I414" i="2"/>
  <c r="J414" i="2"/>
  <c r="F415" i="2"/>
  <c r="G415" i="2"/>
  <c r="H415" i="2"/>
  <c r="I415" i="2"/>
  <c r="J415" i="2"/>
  <c r="F416" i="2"/>
  <c r="G416" i="2"/>
  <c r="H416" i="2"/>
  <c r="I416" i="2"/>
  <c r="J416" i="2"/>
  <c r="F417" i="2"/>
  <c r="G417" i="2"/>
  <c r="H417" i="2"/>
  <c r="I417" i="2"/>
  <c r="J417" i="2"/>
  <c r="F418" i="2"/>
  <c r="G418" i="2"/>
  <c r="H418" i="2"/>
  <c r="I418" i="2"/>
  <c r="J418" i="2"/>
  <c r="F419" i="2"/>
  <c r="G419" i="2"/>
  <c r="H419" i="2"/>
  <c r="I419" i="2"/>
  <c r="J419" i="2"/>
  <c r="F420" i="2"/>
  <c r="G420" i="2"/>
  <c r="H420" i="2"/>
  <c r="I420" i="2"/>
  <c r="J420" i="2"/>
  <c r="F421" i="2"/>
  <c r="G421" i="2"/>
  <c r="H421" i="2"/>
  <c r="I421" i="2"/>
  <c r="J421" i="2"/>
  <c r="F422" i="2"/>
  <c r="G422" i="2"/>
  <c r="H422" i="2"/>
  <c r="I422" i="2"/>
  <c r="J422" i="2"/>
  <c r="F423" i="2"/>
  <c r="G423" i="2"/>
  <c r="H423" i="2"/>
  <c r="I423" i="2"/>
  <c r="J423" i="2"/>
  <c r="F424" i="2"/>
  <c r="G424" i="2"/>
  <c r="H424" i="2"/>
  <c r="I424" i="2"/>
  <c r="J424" i="2"/>
  <c r="F425" i="2"/>
  <c r="G425" i="2"/>
  <c r="H425" i="2"/>
  <c r="I425" i="2"/>
  <c r="J425" i="2"/>
  <c r="F426" i="2"/>
  <c r="G426" i="2"/>
  <c r="H426" i="2"/>
  <c r="I426" i="2"/>
  <c r="J426" i="2"/>
  <c r="F427" i="2"/>
  <c r="G427" i="2"/>
  <c r="H427" i="2"/>
  <c r="I427" i="2"/>
  <c r="J427" i="2"/>
  <c r="F428" i="2"/>
  <c r="G428" i="2"/>
  <c r="H428" i="2"/>
  <c r="I428" i="2"/>
  <c r="J428" i="2"/>
  <c r="F429" i="2"/>
  <c r="G429" i="2"/>
  <c r="H429" i="2"/>
  <c r="I429" i="2"/>
  <c r="J429" i="2"/>
  <c r="F430" i="2"/>
  <c r="G430" i="2"/>
  <c r="H430" i="2"/>
  <c r="I430" i="2"/>
  <c r="J430" i="2"/>
  <c r="F431" i="2"/>
  <c r="G431" i="2"/>
  <c r="H431" i="2"/>
  <c r="I431" i="2"/>
  <c r="J431" i="2"/>
  <c r="F432" i="2"/>
  <c r="G432" i="2"/>
  <c r="H432" i="2"/>
  <c r="I432" i="2"/>
  <c r="J432" i="2"/>
  <c r="F433" i="2"/>
  <c r="G433" i="2"/>
  <c r="H433" i="2"/>
  <c r="I433" i="2"/>
  <c r="J433" i="2"/>
  <c r="F434" i="2"/>
  <c r="G434" i="2"/>
  <c r="H434" i="2"/>
  <c r="I434" i="2"/>
  <c r="J434" i="2"/>
  <c r="F435" i="2"/>
  <c r="G435" i="2"/>
  <c r="H435" i="2"/>
  <c r="I435" i="2"/>
  <c r="J435" i="2"/>
  <c r="F436" i="2"/>
  <c r="G436" i="2"/>
  <c r="H436" i="2"/>
  <c r="I436" i="2"/>
  <c r="J436" i="2"/>
  <c r="F437" i="2"/>
  <c r="G437" i="2"/>
  <c r="H437" i="2"/>
  <c r="I437" i="2"/>
  <c r="J437" i="2"/>
  <c r="F438" i="2"/>
  <c r="G438" i="2"/>
  <c r="H438" i="2"/>
  <c r="I438" i="2"/>
  <c r="J438" i="2"/>
  <c r="F439" i="2"/>
  <c r="G439" i="2"/>
  <c r="H439" i="2"/>
  <c r="I439" i="2"/>
  <c r="J439" i="2"/>
  <c r="F440" i="2"/>
  <c r="G440" i="2"/>
  <c r="H440" i="2"/>
  <c r="I440" i="2"/>
  <c r="J440" i="2"/>
  <c r="F441" i="2"/>
  <c r="G441" i="2"/>
  <c r="H441" i="2"/>
  <c r="I441" i="2"/>
  <c r="J441" i="2"/>
  <c r="F442" i="2"/>
  <c r="G442" i="2"/>
  <c r="H442" i="2"/>
  <c r="I442" i="2"/>
  <c r="J442" i="2"/>
  <c r="F443" i="2"/>
  <c r="G443" i="2"/>
  <c r="H443" i="2"/>
  <c r="I443" i="2"/>
  <c r="J443" i="2"/>
  <c r="F444" i="2"/>
  <c r="G444" i="2"/>
  <c r="H444" i="2"/>
  <c r="I444" i="2"/>
  <c r="J444" i="2"/>
  <c r="F445" i="2"/>
  <c r="G445" i="2"/>
  <c r="H445" i="2"/>
  <c r="I445" i="2"/>
  <c r="J445" i="2"/>
  <c r="F446" i="2"/>
  <c r="G446" i="2"/>
  <c r="H446" i="2"/>
  <c r="I446" i="2"/>
  <c r="J446" i="2"/>
  <c r="F447" i="2"/>
  <c r="G447" i="2"/>
  <c r="H447" i="2"/>
  <c r="I447" i="2"/>
  <c r="J447" i="2"/>
  <c r="F448" i="2"/>
  <c r="G448" i="2"/>
  <c r="H448" i="2"/>
  <c r="I448" i="2"/>
  <c r="J448" i="2"/>
  <c r="F449" i="2"/>
  <c r="G449" i="2"/>
  <c r="H449" i="2"/>
  <c r="I449" i="2"/>
  <c r="J449" i="2"/>
  <c r="F450" i="2"/>
  <c r="G450" i="2"/>
  <c r="H450" i="2"/>
  <c r="I450" i="2"/>
  <c r="J450" i="2"/>
  <c r="F451" i="2"/>
  <c r="G451" i="2"/>
  <c r="H451" i="2"/>
  <c r="I451" i="2"/>
  <c r="J451" i="2"/>
  <c r="F452" i="2"/>
  <c r="G452" i="2"/>
  <c r="H452" i="2"/>
  <c r="I452" i="2"/>
  <c r="J452" i="2"/>
  <c r="F453" i="2"/>
  <c r="G453" i="2"/>
  <c r="H453" i="2"/>
  <c r="I453" i="2"/>
  <c r="J453" i="2"/>
  <c r="F454" i="2"/>
  <c r="G454" i="2"/>
  <c r="H454" i="2"/>
  <c r="I454" i="2"/>
  <c r="J454" i="2"/>
  <c r="F455" i="2"/>
  <c r="G455" i="2"/>
  <c r="H455" i="2"/>
  <c r="I455" i="2"/>
  <c r="J455" i="2"/>
  <c r="F456" i="2"/>
  <c r="G456" i="2"/>
  <c r="H456" i="2"/>
  <c r="I456" i="2"/>
  <c r="J456" i="2"/>
  <c r="F457" i="2"/>
  <c r="G457" i="2"/>
  <c r="H457" i="2"/>
  <c r="I457" i="2"/>
  <c r="J457" i="2"/>
  <c r="F458" i="2"/>
  <c r="G458" i="2"/>
  <c r="H458" i="2"/>
  <c r="I458" i="2"/>
  <c r="J458" i="2"/>
  <c r="F459" i="2"/>
  <c r="G459" i="2"/>
  <c r="H459" i="2"/>
  <c r="I459" i="2"/>
  <c r="J459" i="2"/>
  <c r="F460" i="2"/>
  <c r="G460" i="2"/>
  <c r="H460" i="2"/>
  <c r="I460" i="2"/>
  <c r="J460" i="2"/>
  <c r="F461" i="2"/>
  <c r="G461" i="2"/>
  <c r="H461" i="2"/>
  <c r="I461" i="2"/>
  <c r="J461" i="2"/>
  <c r="F462" i="2"/>
  <c r="G462" i="2"/>
  <c r="H462" i="2"/>
  <c r="I462" i="2"/>
  <c r="J462" i="2"/>
  <c r="F463" i="2"/>
  <c r="G463" i="2"/>
  <c r="H463" i="2"/>
  <c r="I463" i="2"/>
  <c r="J463" i="2"/>
  <c r="F464" i="2"/>
  <c r="G464" i="2"/>
  <c r="H464" i="2"/>
  <c r="I464" i="2"/>
  <c r="J464" i="2"/>
  <c r="F465" i="2"/>
  <c r="G465" i="2"/>
  <c r="H465" i="2"/>
  <c r="I465" i="2"/>
  <c r="J465" i="2"/>
  <c r="F466" i="2"/>
  <c r="G466" i="2"/>
  <c r="H466" i="2"/>
  <c r="I466" i="2"/>
  <c r="J466" i="2"/>
  <c r="F467" i="2"/>
  <c r="G467" i="2"/>
  <c r="H467" i="2"/>
  <c r="I467" i="2"/>
  <c r="J467" i="2"/>
  <c r="F468" i="2"/>
  <c r="G468" i="2"/>
  <c r="H468" i="2"/>
  <c r="I468" i="2"/>
  <c r="J468" i="2"/>
  <c r="F469" i="2"/>
  <c r="G469" i="2"/>
  <c r="H469" i="2"/>
  <c r="I469" i="2"/>
  <c r="J469" i="2"/>
  <c r="F470" i="2"/>
  <c r="G470" i="2"/>
  <c r="H470" i="2"/>
  <c r="I470" i="2"/>
  <c r="J470" i="2"/>
  <c r="F471" i="2"/>
  <c r="G471" i="2"/>
  <c r="H471" i="2"/>
  <c r="I471" i="2"/>
  <c r="J471" i="2"/>
  <c r="F472" i="2"/>
  <c r="G472" i="2"/>
  <c r="H472" i="2"/>
  <c r="I472" i="2"/>
  <c r="J472" i="2"/>
  <c r="F473" i="2"/>
  <c r="G473" i="2"/>
  <c r="H473" i="2"/>
  <c r="I473" i="2"/>
  <c r="J473" i="2"/>
  <c r="F474" i="2"/>
  <c r="G474" i="2"/>
  <c r="H474" i="2"/>
  <c r="I474" i="2"/>
  <c r="J474" i="2"/>
  <c r="F475" i="2"/>
  <c r="G475" i="2"/>
  <c r="H475" i="2"/>
  <c r="I475" i="2"/>
  <c r="J475" i="2"/>
  <c r="F476" i="2"/>
  <c r="G476" i="2"/>
  <c r="H476" i="2"/>
  <c r="I476" i="2"/>
  <c r="J476" i="2"/>
  <c r="F477" i="2"/>
  <c r="G477" i="2"/>
  <c r="H477" i="2"/>
  <c r="I477" i="2"/>
  <c r="J477" i="2"/>
  <c r="F478" i="2"/>
  <c r="G478" i="2"/>
  <c r="H478" i="2"/>
  <c r="I478" i="2"/>
  <c r="J478" i="2"/>
  <c r="F479" i="2"/>
  <c r="G479" i="2"/>
  <c r="H479" i="2"/>
  <c r="I479" i="2"/>
  <c r="J479" i="2"/>
  <c r="F480" i="2"/>
  <c r="G480" i="2"/>
  <c r="H480" i="2"/>
  <c r="I480" i="2"/>
  <c r="J480" i="2"/>
  <c r="F481" i="2"/>
  <c r="G481" i="2"/>
  <c r="H481" i="2"/>
  <c r="I481" i="2"/>
  <c r="J481" i="2"/>
  <c r="F482" i="2"/>
  <c r="G482" i="2"/>
  <c r="H482" i="2"/>
  <c r="I482" i="2"/>
  <c r="J482" i="2"/>
  <c r="F483" i="2"/>
  <c r="G483" i="2"/>
  <c r="H483" i="2"/>
  <c r="I483" i="2"/>
  <c r="J483" i="2"/>
  <c r="F484" i="2"/>
  <c r="G484" i="2"/>
  <c r="H484" i="2"/>
  <c r="I484" i="2"/>
  <c r="J484" i="2"/>
  <c r="F485" i="2"/>
  <c r="G485" i="2"/>
  <c r="H485" i="2"/>
  <c r="I485" i="2"/>
  <c r="J485" i="2"/>
  <c r="F486" i="2"/>
  <c r="G486" i="2"/>
  <c r="H486" i="2"/>
  <c r="I486" i="2"/>
  <c r="J486" i="2"/>
  <c r="F487" i="2"/>
  <c r="G487" i="2"/>
  <c r="H487" i="2"/>
  <c r="I487" i="2"/>
  <c r="J487" i="2"/>
  <c r="F488" i="2"/>
  <c r="G488" i="2"/>
  <c r="H488" i="2"/>
  <c r="I488" i="2"/>
  <c r="J488" i="2"/>
  <c r="F489" i="2"/>
  <c r="G489" i="2"/>
  <c r="H489" i="2"/>
  <c r="I489" i="2"/>
  <c r="J489" i="2"/>
  <c r="F490" i="2"/>
  <c r="G490" i="2"/>
  <c r="H490" i="2"/>
  <c r="I490" i="2"/>
  <c r="J490" i="2"/>
  <c r="F491" i="2"/>
  <c r="G491" i="2"/>
  <c r="H491" i="2"/>
  <c r="I491" i="2"/>
  <c r="J491" i="2"/>
  <c r="F492" i="2"/>
  <c r="G492" i="2"/>
  <c r="H492" i="2"/>
  <c r="I492" i="2"/>
  <c r="J492" i="2"/>
  <c r="F493" i="2"/>
  <c r="G493" i="2"/>
  <c r="H493" i="2"/>
  <c r="I493" i="2"/>
  <c r="J493" i="2"/>
  <c r="F494" i="2"/>
  <c r="G494" i="2"/>
  <c r="H494" i="2"/>
  <c r="I494" i="2"/>
  <c r="J494" i="2"/>
  <c r="F495" i="2"/>
  <c r="G495" i="2"/>
  <c r="H495" i="2"/>
  <c r="I495" i="2"/>
  <c r="J495" i="2"/>
  <c r="F496" i="2"/>
  <c r="G496" i="2"/>
  <c r="H496" i="2"/>
  <c r="I496" i="2"/>
  <c r="J496" i="2"/>
  <c r="F497" i="2"/>
  <c r="G497" i="2"/>
  <c r="H497" i="2"/>
  <c r="I497" i="2"/>
  <c r="J497" i="2"/>
  <c r="F498" i="2"/>
  <c r="G498" i="2"/>
  <c r="H498" i="2"/>
  <c r="I498" i="2"/>
  <c r="J498" i="2"/>
  <c r="F499" i="2"/>
  <c r="G499" i="2"/>
  <c r="H499" i="2"/>
  <c r="I499" i="2"/>
  <c r="J499" i="2"/>
  <c r="F500" i="2"/>
  <c r="G500" i="2"/>
  <c r="H500" i="2"/>
  <c r="I500" i="2"/>
  <c r="J500" i="2"/>
  <c r="F501" i="2"/>
  <c r="G501" i="2"/>
  <c r="H501" i="2"/>
  <c r="I501" i="2"/>
  <c r="J501" i="2"/>
  <c r="F502" i="2"/>
  <c r="G502" i="2"/>
  <c r="H502" i="2"/>
  <c r="I502" i="2"/>
  <c r="J502" i="2"/>
  <c r="F503" i="2"/>
  <c r="G503" i="2"/>
  <c r="H503" i="2"/>
  <c r="I503" i="2"/>
  <c r="J503" i="2"/>
  <c r="F504" i="2"/>
  <c r="G504" i="2"/>
  <c r="H504" i="2"/>
  <c r="I504" i="2"/>
  <c r="J504" i="2"/>
  <c r="F505" i="2"/>
  <c r="G505" i="2"/>
  <c r="H505" i="2"/>
  <c r="I505" i="2"/>
  <c r="J505" i="2"/>
  <c r="F506" i="2"/>
  <c r="G506" i="2"/>
  <c r="H506" i="2"/>
  <c r="I506" i="2"/>
  <c r="J506" i="2"/>
  <c r="F507" i="2"/>
  <c r="G507" i="2"/>
  <c r="H507" i="2"/>
  <c r="I507" i="2"/>
  <c r="J507" i="2"/>
  <c r="F508" i="2"/>
  <c r="G508" i="2"/>
  <c r="H508" i="2"/>
  <c r="I508" i="2"/>
  <c r="J508" i="2"/>
  <c r="F509" i="2"/>
  <c r="G509" i="2"/>
  <c r="H509" i="2"/>
  <c r="I509" i="2"/>
  <c r="J509" i="2"/>
  <c r="F510" i="2"/>
  <c r="G510" i="2"/>
  <c r="H510" i="2"/>
  <c r="I510" i="2"/>
  <c r="J510" i="2"/>
  <c r="F511" i="2"/>
  <c r="G511" i="2"/>
  <c r="H511" i="2"/>
  <c r="I511" i="2"/>
  <c r="J511" i="2"/>
  <c r="F512" i="2"/>
  <c r="G512" i="2"/>
  <c r="H512" i="2"/>
  <c r="I512" i="2"/>
  <c r="J512" i="2"/>
  <c r="F513" i="2"/>
  <c r="G513" i="2"/>
  <c r="H513" i="2"/>
  <c r="I513" i="2"/>
  <c r="J513" i="2"/>
  <c r="F514" i="2"/>
  <c r="G514" i="2"/>
  <c r="H514" i="2"/>
  <c r="I514" i="2"/>
  <c r="J514" i="2"/>
  <c r="F515" i="2"/>
  <c r="G515" i="2"/>
  <c r="H515" i="2"/>
  <c r="I515" i="2"/>
  <c r="J515" i="2"/>
  <c r="F516" i="2"/>
  <c r="G516" i="2"/>
  <c r="H516" i="2"/>
  <c r="I516" i="2"/>
  <c r="J516" i="2"/>
  <c r="F517" i="2"/>
  <c r="G517" i="2"/>
  <c r="H517" i="2"/>
  <c r="I517" i="2"/>
  <c r="J517" i="2"/>
  <c r="F518" i="2"/>
  <c r="G518" i="2"/>
  <c r="H518" i="2"/>
  <c r="I518" i="2"/>
  <c r="J518" i="2"/>
  <c r="F519" i="2"/>
  <c r="G519" i="2"/>
  <c r="H519" i="2"/>
  <c r="I519" i="2"/>
  <c r="J519" i="2"/>
  <c r="F520" i="2"/>
  <c r="G520" i="2"/>
  <c r="H520" i="2"/>
  <c r="I520" i="2"/>
  <c r="J520" i="2"/>
  <c r="F521" i="2"/>
  <c r="G521" i="2"/>
  <c r="H521" i="2"/>
  <c r="I521" i="2"/>
  <c r="J521" i="2"/>
  <c r="F522" i="2"/>
  <c r="G522" i="2"/>
  <c r="H522" i="2"/>
  <c r="I522" i="2"/>
  <c r="J522" i="2"/>
  <c r="F523" i="2"/>
  <c r="G523" i="2"/>
  <c r="H523" i="2"/>
  <c r="I523" i="2"/>
  <c r="J523" i="2"/>
  <c r="F524" i="2"/>
  <c r="G524" i="2"/>
  <c r="H524" i="2"/>
  <c r="I524" i="2"/>
  <c r="J524" i="2"/>
  <c r="F525" i="2"/>
  <c r="G525" i="2"/>
  <c r="H525" i="2"/>
  <c r="I525" i="2"/>
  <c r="J525" i="2"/>
  <c r="F526" i="2"/>
  <c r="G526" i="2"/>
  <c r="H526" i="2"/>
  <c r="I526" i="2"/>
  <c r="J526" i="2"/>
  <c r="F527" i="2"/>
  <c r="G527" i="2"/>
  <c r="H527" i="2"/>
  <c r="I527" i="2"/>
  <c r="J527" i="2"/>
  <c r="F528" i="2"/>
  <c r="G528" i="2"/>
  <c r="H528" i="2"/>
  <c r="I528" i="2"/>
  <c r="J528" i="2"/>
  <c r="F529" i="2"/>
  <c r="G529" i="2"/>
  <c r="H529" i="2"/>
  <c r="I529" i="2"/>
  <c r="J529" i="2"/>
  <c r="F530" i="2"/>
  <c r="G530" i="2"/>
  <c r="H530" i="2"/>
  <c r="I530" i="2"/>
  <c r="J530" i="2"/>
  <c r="F531" i="2"/>
  <c r="G531" i="2"/>
  <c r="H531" i="2"/>
  <c r="I531" i="2"/>
  <c r="J531" i="2"/>
  <c r="F532" i="2"/>
  <c r="G532" i="2"/>
  <c r="H532" i="2"/>
  <c r="I532" i="2"/>
  <c r="J532" i="2"/>
  <c r="F533" i="2"/>
  <c r="G533" i="2"/>
  <c r="H533" i="2"/>
  <c r="I533" i="2"/>
  <c r="J533" i="2"/>
  <c r="F534" i="2"/>
  <c r="G534" i="2"/>
  <c r="H534" i="2"/>
  <c r="I534" i="2"/>
  <c r="J534" i="2"/>
  <c r="F535" i="2"/>
  <c r="G535" i="2"/>
  <c r="H535" i="2"/>
  <c r="I535" i="2"/>
  <c r="J535" i="2"/>
  <c r="F536" i="2"/>
  <c r="G536" i="2"/>
  <c r="H536" i="2"/>
  <c r="I536" i="2"/>
  <c r="J536" i="2"/>
  <c r="F537" i="2"/>
  <c r="G537" i="2"/>
  <c r="H537" i="2"/>
  <c r="I537" i="2"/>
  <c r="J537" i="2"/>
  <c r="F538" i="2"/>
  <c r="G538" i="2"/>
  <c r="H538" i="2"/>
  <c r="I538" i="2"/>
  <c r="J538" i="2"/>
  <c r="F539" i="2"/>
  <c r="G539" i="2"/>
  <c r="H539" i="2"/>
  <c r="I539" i="2"/>
  <c r="J539" i="2"/>
  <c r="F540" i="2"/>
  <c r="G540" i="2"/>
  <c r="H540" i="2"/>
  <c r="I540" i="2"/>
  <c r="J540" i="2"/>
  <c r="F541" i="2"/>
  <c r="G541" i="2"/>
  <c r="H541" i="2"/>
  <c r="I541" i="2"/>
  <c r="J541" i="2"/>
  <c r="F542" i="2"/>
  <c r="G542" i="2"/>
  <c r="H542" i="2"/>
  <c r="I542" i="2"/>
  <c r="J542" i="2"/>
  <c r="F543" i="2"/>
  <c r="G543" i="2"/>
  <c r="H543" i="2"/>
  <c r="I543" i="2"/>
  <c r="J543" i="2"/>
  <c r="F544" i="2"/>
  <c r="G544" i="2"/>
  <c r="H544" i="2"/>
  <c r="I544" i="2"/>
  <c r="J544" i="2"/>
  <c r="F545" i="2"/>
  <c r="G545" i="2"/>
  <c r="H545" i="2"/>
  <c r="I545" i="2"/>
  <c r="J545" i="2"/>
  <c r="F546" i="2"/>
  <c r="G546" i="2"/>
  <c r="H546" i="2"/>
  <c r="I546" i="2"/>
  <c r="J546" i="2"/>
  <c r="F547" i="2"/>
  <c r="G547" i="2"/>
  <c r="H547" i="2"/>
  <c r="I547" i="2"/>
  <c r="J547" i="2"/>
  <c r="F548" i="2"/>
  <c r="G548" i="2"/>
  <c r="H548" i="2"/>
  <c r="I548" i="2"/>
  <c r="J548" i="2"/>
  <c r="F549" i="2"/>
  <c r="G549" i="2"/>
  <c r="H549" i="2"/>
  <c r="I549" i="2"/>
  <c r="J549" i="2"/>
  <c r="F550" i="2"/>
  <c r="G550" i="2"/>
  <c r="H550" i="2"/>
  <c r="I550" i="2"/>
  <c r="J550" i="2"/>
  <c r="F551" i="2"/>
  <c r="G551" i="2"/>
  <c r="H551" i="2"/>
  <c r="I551" i="2"/>
  <c r="J551" i="2"/>
  <c r="F552" i="2"/>
  <c r="G552" i="2"/>
  <c r="H552" i="2"/>
  <c r="I552" i="2"/>
  <c r="J552" i="2"/>
  <c r="F553" i="2"/>
  <c r="G553" i="2"/>
  <c r="H553" i="2"/>
  <c r="I553" i="2"/>
  <c r="J553" i="2"/>
  <c r="F554" i="2"/>
  <c r="G554" i="2"/>
  <c r="H554" i="2"/>
  <c r="I554" i="2"/>
  <c r="J554" i="2"/>
  <c r="F555" i="2"/>
  <c r="G555" i="2"/>
  <c r="H555" i="2"/>
  <c r="I555" i="2"/>
  <c r="J555" i="2"/>
  <c r="F556" i="2"/>
  <c r="G556" i="2"/>
  <c r="H556" i="2"/>
  <c r="I556" i="2"/>
  <c r="J556" i="2"/>
  <c r="F557" i="2"/>
  <c r="G557" i="2"/>
  <c r="H557" i="2"/>
  <c r="I557" i="2"/>
  <c r="J557" i="2"/>
  <c r="F558" i="2"/>
  <c r="G558" i="2"/>
  <c r="H558" i="2"/>
  <c r="I558" i="2"/>
  <c r="J558" i="2"/>
  <c r="F559" i="2"/>
  <c r="G559" i="2"/>
  <c r="H559" i="2"/>
  <c r="I559" i="2"/>
  <c r="J559" i="2"/>
  <c r="F560" i="2"/>
  <c r="G560" i="2"/>
  <c r="H560" i="2"/>
  <c r="I560" i="2"/>
  <c r="J560" i="2"/>
  <c r="F561" i="2"/>
  <c r="G561" i="2"/>
  <c r="H561" i="2"/>
  <c r="I561" i="2"/>
  <c r="J561" i="2"/>
  <c r="F562" i="2"/>
  <c r="G562" i="2"/>
  <c r="H562" i="2"/>
  <c r="I562" i="2"/>
  <c r="J562" i="2"/>
  <c r="F563" i="2"/>
  <c r="G563" i="2"/>
  <c r="H563" i="2"/>
  <c r="I563" i="2"/>
  <c r="J563" i="2"/>
  <c r="F564" i="2"/>
  <c r="G564" i="2"/>
  <c r="H564" i="2"/>
  <c r="I564" i="2"/>
  <c r="J564" i="2"/>
  <c r="F565" i="2"/>
  <c r="G565" i="2"/>
  <c r="H565" i="2"/>
  <c r="I565" i="2"/>
  <c r="J565" i="2"/>
  <c r="F566" i="2"/>
  <c r="G566" i="2"/>
  <c r="H566" i="2"/>
  <c r="I566" i="2"/>
  <c r="J566" i="2"/>
  <c r="F567" i="2"/>
  <c r="G567" i="2"/>
  <c r="H567" i="2"/>
  <c r="I567" i="2"/>
  <c r="J567" i="2"/>
  <c r="F568" i="2"/>
  <c r="G568" i="2"/>
  <c r="H568" i="2"/>
  <c r="I568" i="2"/>
  <c r="J568" i="2"/>
  <c r="F569" i="2"/>
  <c r="G569" i="2"/>
  <c r="H569" i="2"/>
  <c r="I569" i="2"/>
  <c r="J569" i="2"/>
  <c r="F570" i="2"/>
  <c r="G570" i="2"/>
  <c r="H570" i="2"/>
  <c r="I570" i="2"/>
  <c r="J570" i="2"/>
  <c r="F571" i="2"/>
  <c r="G571" i="2"/>
  <c r="H571" i="2"/>
  <c r="I571" i="2"/>
  <c r="J571" i="2"/>
  <c r="F572" i="2"/>
  <c r="G572" i="2"/>
  <c r="H572" i="2"/>
  <c r="I572" i="2"/>
  <c r="J572" i="2"/>
  <c r="F573" i="2"/>
  <c r="G573" i="2"/>
  <c r="H573" i="2"/>
  <c r="I573" i="2"/>
  <c r="J573" i="2"/>
  <c r="F574" i="2"/>
  <c r="G574" i="2"/>
  <c r="H574" i="2"/>
  <c r="I574" i="2"/>
  <c r="J574" i="2"/>
  <c r="F575" i="2"/>
  <c r="G575" i="2"/>
  <c r="H575" i="2"/>
  <c r="I575" i="2"/>
  <c r="J575" i="2"/>
  <c r="F576" i="2"/>
  <c r="G576" i="2"/>
  <c r="H576" i="2"/>
  <c r="I576" i="2"/>
  <c r="J576" i="2"/>
  <c r="F577" i="2"/>
  <c r="G577" i="2"/>
  <c r="H577" i="2"/>
  <c r="I577" i="2"/>
  <c r="J577" i="2"/>
  <c r="F578" i="2"/>
  <c r="G578" i="2"/>
  <c r="H578" i="2"/>
  <c r="I578" i="2"/>
  <c r="J578" i="2"/>
  <c r="F579" i="2"/>
  <c r="G579" i="2"/>
  <c r="H579" i="2"/>
  <c r="I579" i="2"/>
  <c r="J579" i="2"/>
  <c r="F580" i="2"/>
  <c r="G580" i="2"/>
  <c r="H580" i="2"/>
  <c r="I580" i="2"/>
  <c r="J580" i="2"/>
  <c r="F581" i="2"/>
  <c r="G581" i="2"/>
  <c r="H581" i="2"/>
  <c r="I581" i="2"/>
  <c r="J581" i="2"/>
  <c r="F582" i="2"/>
  <c r="G582" i="2"/>
  <c r="H582" i="2"/>
  <c r="I582" i="2"/>
  <c r="J582" i="2"/>
  <c r="F583" i="2"/>
  <c r="G583" i="2"/>
  <c r="H583" i="2"/>
  <c r="I583" i="2"/>
  <c r="J583" i="2"/>
  <c r="F584" i="2"/>
  <c r="G584" i="2"/>
  <c r="H584" i="2"/>
  <c r="I584" i="2"/>
  <c r="J584" i="2"/>
  <c r="F585" i="2"/>
  <c r="G585" i="2"/>
  <c r="H585" i="2"/>
  <c r="I585" i="2"/>
  <c r="J585" i="2"/>
  <c r="F586" i="2"/>
  <c r="G586" i="2"/>
  <c r="H586" i="2"/>
  <c r="I586" i="2"/>
  <c r="J586" i="2"/>
  <c r="F587" i="2"/>
  <c r="G587" i="2"/>
  <c r="H587" i="2"/>
  <c r="I587" i="2"/>
  <c r="J587" i="2"/>
  <c r="F588" i="2"/>
  <c r="G588" i="2"/>
  <c r="H588" i="2"/>
  <c r="I588" i="2"/>
  <c r="J588" i="2"/>
  <c r="F589" i="2"/>
  <c r="G589" i="2"/>
  <c r="H589" i="2"/>
  <c r="I589" i="2"/>
  <c r="J589" i="2"/>
  <c r="F590" i="2"/>
  <c r="G590" i="2"/>
  <c r="H590" i="2"/>
  <c r="I590" i="2"/>
  <c r="J590" i="2"/>
  <c r="F591" i="2"/>
  <c r="G591" i="2"/>
  <c r="H591" i="2"/>
  <c r="I591" i="2"/>
  <c r="J591" i="2"/>
  <c r="F592" i="2"/>
  <c r="G592" i="2"/>
  <c r="H592" i="2"/>
  <c r="I592" i="2"/>
  <c r="J592" i="2"/>
  <c r="F593" i="2"/>
  <c r="G593" i="2"/>
  <c r="H593" i="2"/>
  <c r="I593" i="2"/>
  <c r="J593" i="2"/>
  <c r="F594" i="2"/>
  <c r="G594" i="2"/>
  <c r="H594" i="2"/>
  <c r="I594" i="2"/>
  <c r="J594" i="2"/>
  <c r="F595" i="2"/>
  <c r="G595" i="2"/>
  <c r="H595" i="2"/>
  <c r="I595" i="2"/>
  <c r="J595" i="2"/>
  <c r="F596" i="2"/>
  <c r="G596" i="2"/>
  <c r="H596" i="2"/>
  <c r="I596" i="2"/>
  <c r="J596" i="2"/>
  <c r="F597" i="2"/>
  <c r="G597" i="2"/>
  <c r="H597" i="2"/>
  <c r="I597" i="2"/>
  <c r="J597" i="2"/>
  <c r="F598" i="2"/>
  <c r="G598" i="2"/>
  <c r="H598" i="2"/>
  <c r="I598" i="2"/>
  <c r="J598" i="2"/>
  <c r="F599" i="2"/>
  <c r="G599" i="2"/>
  <c r="H599" i="2"/>
  <c r="I599" i="2"/>
  <c r="J599" i="2"/>
  <c r="F600" i="2"/>
  <c r="G600" i="2"/>
  <c r="H600" i="2"/>
  <c r="I600" i="2"/>
  <c r="J600" i="2"/>
  <c r="F601" i="2"/>
  <c r="G601" i="2"/>
  <c r="H601" i="2"/>
  <c r="I601" i="2"/>
  <c r="J601" i="2"/>
  <c r="F602" i="2"/>
  <c r="G602" i="2"/>
  <c r="H602" i="2"/>
  <c r="I602" i="2"/>
  <c r="J602" i="2"/>
  <c r="F603" i="2"/>
  <c r="G603" i="2"/>
  <c r="H603" i="2"/>
  <c r="I603" i="2"/>
  <c r="J603" i="2"/>
  <c r="F604" i="2"/>
  <c r="G604" i="2"/>
  <c r="H604" i="2"/>
  <c r="I604" i="2"/>
  <c r="J604" i="2"/>
  <c r="F605" i="2"/>
  <c r="G605" i="2"/>
  <c r="H605" i="2"/>
  <c r="I605" i="2"/>
  <c r="J605" i="2"/>
  <c r="F606" i="2"/>
  <c r="G606" i="2"/>
  <c r="H606" i="2"/>
  <c r="I606" i="2"/>
  <c r="J606" i="2"/>
  <c r="F607" i="2"/>
  <c r="G607" i="2"/>
  <c r="H607" i="2"/>
  <c r="I607" i="2"/>
  <c r="J607" i="2"/>
  <c r="F608" i="2"/>
  <c r="G608" i="2"/>
  <c r="H608" i="2"/>
  <c r="I608" i="2"/>
  <c r="J608" i="2"/>
  <c r="F609" i="2"/>
  <c r="G609" i="2"/>
  <c r="H609" i="2"/>
  <c r="I609" i="2"/>
  <c r="J609" i="2"/>
  <c r="F610" i="2"/>
  <c r="G610" i="2"/>
  <c r="H610" i="2"/>
  <c r="I610" i="2"/>
  <c r="J610" i="2"/>
  <c r="F611" i="2"/>
  <c r="G611" i="2"/>
  <c r="H611" i="2"/>
  <c r="I611" i="2"/>
  <c r="J611" i="2"/>
  <c r="F612" i="2"/>
  <c r="G612" i="2"/>
  <c r="H612" i="2"/>
  <c r="I612" i="2"/>
  <c r="J612" i="2"/>
  <c r="F613" i="2"/>
  <c r="G613" i="2"/>
  <c r="H613" i="2"/>
  <c r="I613" i="2"/>
  <c r="J613" i="2"/>
  <c r="F614" i="2"/>
  <c r="G614" i="2"/>
  <c r="H614" i="2"/>
  <c r="I614" i="2"/>
  <c r="J614" i="2"/>
  <c r="F615" i="2"/>
  <c r="G615" i="2"/>
  <c r="H615" i="2"/>
  <c r="I615" i="2"/>
  <c r="J615" i="2"/>
  <c r="F616" i="2"/>
  <c r="G616" i="2"/>
  <c r="H616" i="2"/>
  <c r="I616" i="2"/>
  <c r="J616" i="2"/>
  <c r="F617" i="2"/>
  <c r="G617" i="2"/>
  <c r="H617" i="2"/>
  <c r="I617" i="2"/>
  <c r="J617" i="2"/>
  <c r="F618" i="2"/>
  <c r="G618" i="2"/>
  <c r="H618" i="2"/>
  <c r="I618" i="2"/>
  <c r="J618" i="2"/>
  <c r="F619" i="2"/>
  <c r="G619" i="2"/>
  <c r="H619" i="2"/>
  <c r="I619" i="2"/>
  <c r="J619" i="2"/>
  <c r="F620" i="2"/>
  <c r="G620" i="2"/>
  <c r="H620" i="2"/>
  <c r="I620" i="2"/>
  <c r="J620" i="2"/>
  <c r="F621" i="2"/>
  <c r="G621" i="2"/>
  <c r="H621" i="2"/>
  <c r="I621" i="2"/>
  <c r="J621" i="2"/>
  <c r="F622" i="2"/>
  <c r="G622" i="2"/>
  <c r="H622" i="2"/>
  <c r="I622" i="2"/>
  <c r="J622" i="2"/>
  <c r="F623" i="2"/>
  <c r="G623" i="2"/>
  <c r="H623" i="2"/>
  <c r="I623" i="2"/>
  <c r="J623" i="2"/>
  <c r="F624" i="2"/>
  <c r="G624" i="2"/>
  <c r="H624" i="2"/>
  <c r="I624" i="2"/>
  <c r="J624" i="2"/>
  <c r="F625" i="2"/>
  <c r="G625" i="2"/>
  <c r="H625" i="2"/>
  <c r="I625" i="2"/>
  <c r="J625" i="2"/>
  <c r="F626" i="2"/>
  <c r="G626" i="2"/>
  <c r="H626" i="2"/>
  <c r="I626" i="2"/>
  <c r="J626" i="2"/>
  <c r="F627" i="2"/>
  <c r="G627" i="2"/>
  <c r="H627" i="2"/>
  <c r="I627" i="2"/>
  <c r="J627" i="2"/>
  <c r="F628" i="2"/>
  <c r="G628" i="2"/>
  <c r="H628" i="2"/>
  <c r="I628" i="2"/>
  <c r="J628" i="2"/>
  <c r="F629" i="2"/>
  <c r="G629" i="2"/>
  <c r="H629" i="2"/>
  <c r="I629" i="2"/>
  <c r="J629" i="2"/>
  <c r="F630" i="2"/>
  <c r="G630" i="2"/>
  <c r="H630" i="2"/>
  <c r="I630" i="2"/>
  <c r="J630" i="2"/>
  <c r="F631" i="2"/>
  <c r="G631" i="2"/>
  <c r="H631" i="2"/>
  <c r="I631" i="2"/>
  <c r="J631" i="2"/>
  <c r="F632" i="2"/>
  <c r="G632" i="2"/>
  <c r="H632" i="2"/>
  <c r="I632" i="2"/>
  <c r="J632" i="2"/>
  <c r="F633" i="2"/>
  <c r="G633" i="2"/>
  <c r="H633" i="2"/>
  <c r="I633" i="2"/>
  <c r="J633" i="2"/>
  <c r="F634" i="2"/>
  <c r="G634" i="2"/>
  <c r="H634" i="2"/>
  <c r="I634" i="2"/>
  <c r="J634" i="2"/>
  <c r="F635" i="2"/>
  <c r="G635" i="2"/>
  <c r="H635" i="2"/>
  <c r="I635" i="2"/>
  <c r="J635" i="2"/>
  <c r="F636" i="2"/>
  <c r="G636" i="2"/>
  <c r="H636" i="2"/>
  <c r="I636" i="2"/>
  <c r="J636" i="2"/>
  <c r="F637" i="2"/>
  <c r="G637" i="2"/>
  <c r="H637" i="2"/>
  <c r="I637" i="2"/>
  <c r="J637" i="2"/>
  <c r="F638" i="2"/>
  <c r="G638" i="2"/>
  <c r="H638" i="2"/>
  <c r="I638" i="2"/>
  <c r="J638" i="2"/>
  <c r="F639" i="2"/>
  <c r="G639" i="2"/>
  <c r="H639" i="2"/>
  <c r="I639" i="2"/>
  <c r="J639" i="2"/>
  <c r="F640" i="2"/>
  <c r="G640" i="2"/>
  <c r="H640" i="2"/>
  <c r="I640" i="2"/>
  <c r="J640" i="2"/>
  <c r="F641" i="2"/>
  <c r="G641" i="2"/>
  <c r="H641" i="2"/>
  <c r="I641" i="2"/>
  <c r="J641" i="2"/>
  <c r="F642" i="2"/>
  <c r="G642" i="2"/>
  <c r="H642" i="2"/>
  <c r="I642" i="2"/>
  <c r="J642" i="2"/>
  <c r="F643" i="2"/>
  <c r="G643" i="2"/>
  <c r="H643" i="2"/>
  <c r="I643" i="2"/>
  <c r="J643" i="2"/>
  <c r="F644" i="2"/>
  <c r="G644" i="2"/>
  <c r="H644" i="2"/>
  <c r="I644" i="2"/>
  <c r="J644" i="2"/>
  <c r="F645" i="2"/>
  <c r="G645" i="2"/>
  <c r="H645" i="2"/>
  <c r="I645" i="2"/>
  <c r="J645" i="2"/>
  <c r="F646" i="2"/>
  <c r="G646" i="2"/>
  <c r="H646" i="2"/>
  <c r="I646" i="2"/>
  <c r="J646" i="2"/>
  <c r="F647" i="2"/>
  <c r="G647" i="2"/>
  <c r="H647" i="2"/>
  <c r="I647" i="2"/>
  <c r="J647" i="2"/>
  <c r="F648" i="2"/>
  <c r="G648" i="2"/>
  <c r="H648" i="2"/>
  <c r="I648" i="2"/>
  <c r="J648" i="2"/>
  <c r="F649" i="2"/>
  <c r="G649" i="2"/>
  <c r="H649" i="2"/>
  <c r="I649" i="2"/>
  <c r="J649" i="2"/>
  <c r="F650" i="2"/>
  <c r="G650" i="2"/>
  <c r="H650" i="2"/>
  <c r="I650" i="2"/>
  <c r="J650" i="2"/>
  <c r="F651" i="2"/>
  <c r="G651" i="2"/>
  <c r="H651" i="2"/>
  <c r="I651" i="2"/>
  <c r="J651" i="2"/>
  <c r="F652" i="2"/>
  <c r="G652" i="2"/>
  <c r="H652" i="2"/>
  <c r="I652" i="2"/>
  <c r="J652" i="2"/>
  <c r="F653" i="2"/>
  <c r="G653" i="2"/>
  <c r="H653" i="2"/>
  <c r="I653" i="2"/>
  <c r="J653" i="2"/>
  <c r="F654" i="2"/>
  <c r="G654" i="2"/>
  <c r="H654" i="2"/>
  <c r="I654" i="2"/>
  <c r="J654" i="2"/>
  <c r="F655" i="2"/>
  <c r="G655" i="2"/>
  <c r="H655" i="2"/>
  <c r="I655" i="2"/>
  <c r="J655" i="2"/>
  <c r="F656" i="2"/>
  <c r="G656" i="2"/>
  <c r="H656" i="2"/>
  <c r="I656" i="2"/>
  <c r="J656" i="2"/>
  <c r="F657" i="2"/>
  <c r="G657" i="2"/>
  <c r="H657" i="2"/>
  <c r="I657" i="2"/>
  <c r="J657" i="2"/>
  <c r="F658" i="2"/>
  <c r="G658" i="2"/>
  <c r="H658" i="2"/>
  <c r="I658" i="2"/>
  <c r="J658" i="2"/>
  <c r="F659" i="2"/>
  <c r="G659" i="2"/>
  <c r="H659" i="2"/>
  <c r="I659" i="2"/>
  <c r="J659" i="2"/>
  <c r="F660" i="2"/>
  <c r="G660" i="2"/>
  <c r="H660" i="2"/>
  <c r="I660" i="2"/>
  <c r="J660" i="2"/>
  <c r="F661" i="2"/>
  <c r="G661" i="2"/>
  <c r="H661" i="2"/>
  <c r="I661" i="2"/>
  <c r="J661" i="2"/>
  <c r="F662" i="2"/>
  <c r="G662" i="2"/>
  <c r="H662" i="2"/>
  <c r="I662" i="2"/>
  <c r="J662" i="2"/>
  <c r="F663" i="2"/>
  <c r="G663" i="2"/>
  <c r="H663" i="2"/>
  <c r="I663" i="2"/>
  <c r="J663" i="2"/>
  <c r="F664" i="2"/>
  <c r="G664" i="2"/>
  <c r="H664" i="2"/>
  <c r="I664" i="2"/>
  <c r="J664" i="2"/>
  <c r="F665" i="2"/>
  <c r="G665" i="2"/>
  <c r="H665" i="2"/>
  <c r="I665" i="2"/>
  <c r="J665" i="2"/>
  <c r="F666" i="2"/>
  <c r="G666" i="2"/>
  <c r="H666" i="2"/>
  <c r="I666" i="2"/>
  <c r="J666" i="2"/>
  <c r="F667" i="2"/>
  <c r="G667" i="2"/>
  <c r="H667" i="2"/>
  <c r="I667" i="2"/>
  <c r="J667" i="2"/>
  <c r="F668" i="2"/>
  <c r="G668" i="2"/>
  <c r="H668" i="2"/>
  <c r="I668" i="2"/>
  <c r="J668" i="2"/>
  <c r="F669" i="2"/>
  <c r="G669" i="2"/>
  <c r="H669" i="2"/>
  <c r="I669" i="2"/>
  <c r="J669" i="2"/>
  <c r="F670" i="2"/>
  <c r="G670" i="2"/>
  <c r="H670" i="2"/>
  <c r="I670" i="2"/>
  <c r="J670" i="2"/>
  <c r="F671" i="2"/>
  <c r="G671" i="2"/>
  <c r="H671" i="2"/>
  <c r="I671" i="2"/>
  <c r="J671" i="2"/>
  <c r="F672" i="2"/>
  <c r="G672" i="2"/>
  <c r="H672" i="2"/>
  <c r="I672" i="2"/>
  <c r="J672" i="2"/>
  <c r="F673" i="2"/>
  <c r="G673" i="2"/>
  <c r="H673" i="2"/>
  <c r="I673" i="2"/>
  <c r="J673" i="2"/>
  <c r="F674" i="2"/>
  <c r="G674" i="2"/>
  <c r="H674" i="2"/>
  <c r="I674" i="2"/>
  <c r="J674" i="2"/>
  <c r="F675" i="2"/>
  <c r="G675" i="2"/>
  <c r="H675" i="2"/>
  <c r="I675" i="2"/>
  <c r="J675" i="2"/>
  <c r="F676" i="2"/>
  <c r="G676" i="2"/>
  <c r="H676" i="2"/>
  <c r="I676" i="2"/>
  <c r="J676" i="2"/>
  <c r="F677" i="2"/>
  <c r="G677" i="2"/>
  <c r="H677" i="2"/>
  <c r="I677" i="2"/>
  <c r="J677" i="2"/>
  <c r="F678" i="2"/>
  <c r="G678" i="2"/>
  <c r="H678" i="2"/>
  <c r="I678" i="2"/>
  <c r="J678" i="2"/>
  <c r="F679" i="2"/>
  <c r="G679" i="2"/>
  <c r="H679" i="2"/>
  <c r="I679" i="2"/>
  <c r="J679" i="2"/>
  <c r="F680" i="2"/>
  <c r="G680" i="2"/>
  <c r="H680" i="2"/>
  <c r="I680" i="2"/>
  <c r="J680" i="2"/>
  <c r="F681" i="2"/>
  <c r="G681" i="2"/>
  <c r="H681" i="2"/>
  <c r="I681" i="2"/>
  <c r="J681" i="2"/>
  <c r="F682" i="2"/>
  <c r="G682" i="2"/>
  <c r="H682" i="2"/>
  <c r="I682" i="2"/>
  <c r="J682" i="2"/>
  <c r="F683" i="2"/>
  <c r="G683" i="2"/>
  <c r="H683" i="2"/>
  <c r="I683" i="2"/>
  <c r="J683" i="2"/>
  <c r="F684" i="2"/>
  <c r="G684" i="2"/>
  <c r="H684" i="2"/>
  <c r="I684" i="2"/>
  <c r="J684" i="2"/>
  <c r="F685" i="2"/>
  <c r="G685" i="2"/>
  <c r="H685" i="2"/>
  <c r="I685" i="2"/>
  <c r="J685" i="2"/>
  <c r="F686" i="2"/>
  <c r="G686" i="2"/>
  <c r="H686" i="2"/>
  <c r="I686" i="2"/>
  <c r="J686" i="2"/>
  <c r="F687" i="2"/>
  <c r="G687" i="2"/>
  <c r="H687" i="2"/>
  <c r="I687" i="2"/>
  <c r="J687" i="2"/>
  <c r="F688" i="2"/>
  <c r="G688" i="2"/>
  <c r="H688" i="2"/>
  <c r="I688" i="2"/>
  <c r="J688" i="2"/>
  <c r="F689" i="2"/>
  <c r="G689" i="2"/>
  <c r="H689" i="2"/>
  <c r="I689" i="2"/>
  <c r="J689" i="2"/>
  <c r="F690" i="2"/>
  <c r="G690" i="2"/>
  <c r="H690" i="2"/>
  <c r="I690" i="2"/>
  <c r="J690" i="2"/>
  <c r="F691" i="2"/>
  <c r="G691" i="2"/>
  <c r="H691" i="2"/>
  <c r="I691" i="2"/>
  <c r="J691" i="2"/>
  <c r="F692" i="2"/>
  <c r="G692" i="2"/>
  <c r="H692" i="2"/>
  <c r="I692" i="2"/>
  <c r="J692" i="2"/>
  <c r="F693" i="2"/>
  <c r="G693" i="2"/>
  <c r="H693" i="2"/>
  <c r="I693" i="2"/>
  <c r="J693" i="2"/>
  <c r="F694" i="2"/>
  <c r="G694" i="2"/>
  <c r="H694" i="2"/>
  <c r="I694" i="2"/>
  <c r="J694" i="2"/>
  <c r="F695" i="2"/>
  <c r="G695" i="2"/>
  <c r="H695" i="2"/>
  <c r="I695" i="2"/>
  <c r="J695" i="2"/>
  <c r="F696" i="2"/>
  <c r="G696" i="2"/>
  <c r="H696" i="2"/>
  <c r="I696" i="2"/>
  <c r="J696" i="2"/>
  <c r="F697" i="2"/>
  <c r="G697" i="2"/>
  <c r="H697" i="2"/>
  <c r="I697" i="2"/>
  <c r="J697" i="2"/>
  <c r="F698" i="2"/>
  <c r="G698" i="2"/>
  <c r="H698" i="2"/>
  <c r="I698" i="2"/>
  <c r="J698" i="2"/>
  <c r="F699" i="2"/>
  <c r="G699" i="2"/>
  <c r="H699" i="2"/>
  <c r="I699" i="2"/>
  <c r="J699" i="2"/>
  <c r="F700" i="2"/>
  <c r="G700" i="2"/>
  <c r="H700" i="2"/>
  <c r="I700" i="2"/>
  <c r="J700" i="2"/>
  <c r="F701" i="2"/>
  <c r="G701" i="2"/>
  <c r="H701" i="2"/>
  <c r="I701" i="2"/>
  <c r="J701" i="2"/>
  <c r="F702" i="2"/>
  <c r="G702" i="2"/>
  <c r="H702" i="2"/>
  <c r="I702" i="2"/>
  <c r="J702" i="2"/>
  <c r="F703" i="2"/>
  <c r="G703" i="2"/>
  <c r="H703" i="2"/>
  <c r="I703" i="2"/>
  <c r="J703" i="2"/>
  <c r="F704" i="2"/>
  <c r="G704" i="2"/>
  <c r="H704" i="2"/>
  <c r="I704" i="2"/>
  <c r="J704" i="2"/>
  <c r="F705" i="2"/>
  <c r="G705" i="2"/>
  <c r="H705" i="2"/>
  <c r="I705" i="2"/>
  <c r="J705" i="2"/>
  <c r="F706" i="2"/>
  <c r="G706" i="2"/>
  <c r="H706" i="2"/>
  <c r="I706" i="2"/>
  <c r="J706" i="2"/>
  <c r="F707" i="2"/>
  <c r="G707" i="2"/>
  <c r="H707" i="2"/>
  <c r="I707" i="2"/>
  <c r="J707" i="2"/>
  <c r="F708" i="2"/>
  <c r="G708" i="2"/>
  <c r="H708" i="2"/>
  <c r="I708" i="2"/>
  <c r="J708" i="2"/>
  <c r="F709" i="2"/>
  <c r="G709" i="2"/>
  <c r="H709" i="2"/>
  <c r="I709" i="2"/>
  <c r="J709" i="2"/>
  <c r="F710" i="2"/>
  <c r="G710" i="2"/>
  <c r="H710" i="2"/>
  <c r="I710" i="2"/>
  <c r="J710" i="2"/>
  <c r="F711" i="2"/>
  <c r="G711" i="2"/>
  <c r="H711" i="2"/>
  <c r="I711" i="2"/>
  <c r="J711" i="2"/>
  <c r="F712" i="2"/>
  <c r="G712" i="2"/>
  <c r="H712" i="2"/>
  <c r="I712" i="2"/>
  <c r="J712" i="2"/>
  <c r="F713" i="2"/>
  <c r="G713" i="2"/>
  <c r="H713" i="2"/>
  <c r="I713" i="2"/>
  <c r="J713" i="2"/>
  <c r="F714" i="2"/>
  <c r="G714" i="2"/>
  <c r="H714" i="2"/>
  <c r="I714" i="2"/>
  <c r="J714" i="2"/>
  <c r="F715" i="2"/>
  <c r="G715" i="2"/>
  <c r="H715" i="2"/>
  <c r="I715" i="2"/>
  <c r="J715" i="2"/>
  <c r="F716" i="2"/>
  <c r="G716" i="2"/>
  <c r="H716" i="2"/>
  <c r="I716" i="2"/>
  <c r="J716" i="2"/>
  <c r="F717" i="2"/>
  <c r="G717" i="2"/>
  <c r="H717" i="2"/>
  <c r="I717" i="2"/>
  <c r="J717" i="2"/>
  <c r="F718" i="2"/>
  <c r="G718" i="2"/>
  <c r="H718" i="2"/>
  <c r="I718" i="2"/>
  <c r="J718" i="2"/>
  <c r="F719" i="2"/>
  <c r="G719" i="2"/>
  <c r="H719" i="2"/>
  <c r="I719" i="2"/>
  <c r="J719" i="2"/>
  <c r="F720" i="2"/>
  <c r="G720" i="2"/>
  <c r="H720" i="2"/>
  <c r="I720" i="2"/>
  <c r="J720" i="2"/>
  <c r="F721" i="2"/>
  <c r="G721" i="2"/>
  <c r="H721" i="2"/>
  <c r="I721" i="2"/>
  <c r="J721" i="2"/>
  <c r="F722" i="2"/>
  <c r="G722" i="2"/>
  <c r="H722" i="2"/>
  <c r="I722" i="2"/>
  <c r="J722" i="2"/>
  <c r="F723" i="2"/>
  <c r="G723" i="2"/>
  <c r="H723" i="2"/>
  <c r="I723" i="2"/>
  <c r="J723" i="2"/>
  <c r="F724" i="2"/>
  <c r="G724" i="2"/>
  <c r="H724" i="2"/>
  <c r="I724" i="2"/>
  <c r="J724" i="2"/>
  <c r="F725" i="2"/>
  <c r="G725" i="2"/>
  <c r="H725" i="2"/>
  <c r="I725" i="2"/>
  <c r="J725" i="2"/>
  <c r="F726" i="2"/>
  <c r="G726" i="2"/>
  <c r="H726" i="2"/>
  <c r="I726" i="2"/>
  <c r="J726" i="2"/>
  <c r="F727" i="2"/>
  <c r="G727" i="2"/>
  <c r="H727" i="2"/>
  <c r="I727" i="2"/>
  <c r="J727" i="2"/>
  <c r="F728" i="2"/>
  <c r="G728" i="2"/>
  <c r="H728" i="2"/>
  <c r="I728" i="2"/>
  <c r="J728" i="2"/>
  <c r="F729" i="2"/>
  <c r="G729" i="2"/>
  <c r="H729" i="2"/>
  <c r="I729" i="2"/>
  <c r="J729" i="2"/>
  <c r="F730" i="2"/>
  <c r="G730" i="2"/>
  <c r="H730" i="2"/>
  <c r="I730" i="2"/>
  <c r="J730" i="2"/>
  <c r="F731" i="2"/>
  <c r="G731" i="2"/>
  <c r="H731" i="2"/>
  <c r="I731" i="2"/>
  <c r="J731" i="2"/>
  <c r="F732" i="2"/>
  <c r="G732" i="2"/>
  <c r="H732" i="2"/>
  <c r="I732" i="2"/>
  <c r="J732" i="2"/>
  <c r="F733" i="2"/>
  <c r="G733" i="2"/>
  <c r="H733" i="2"/>
  <c r="I733" i="2"/>
  <c r="J733" i="2"/>
  <c r="F734" i="2"/>
  <c r="G734" i="2"/>
  <c r="H734" i="2"/>
  <c r="I734" i="2"/>
  <c r="J734" i="2"/>
  <c r="F735" i="2"/>
  <c r="G735" i="2"/>
  <c r="H735" i="2"/>
  <c r="I735" i="2"/>
  <c r="J735" i="2"/>
  <c r="F736" i="2"/>
  <c r="G736" i="2"/>
  <c r="H736" i="2"/>
  <c r="I736" i="2"/>
  <c r="J736" i="2"/>
  <c r="F737" i="2"/>
  <c r="G737" i="2"/>
  <c r="H737" i="2"/>
  <c r="I737" i="2"/>
  <c r="J737" i="2"/>
  <c r="F738" i="2"/>
  <c r="G738" i="2"/>
  <c r="H738" i="2"/>
  <c r="I738" i="2"/>
  <c r="J738" i="2"/>
  <c r="F739" i="2"/>
  <c r="G739" i="2"/>
  <c r="H739" i="2"/>
  <c r="I739" i="2"/>
  <c r="J739" i="2"/>
  <c r="F740" i="2"/>
  <c r="G740" i="2"/>
  <c r="H740" i="2"/>
  <c r="I740" i="2"/>
  <c r="J740" i="2"/>
  <c r="F741" i="2"/>
  <c r="G741" i="2"/>
  <c r="H741" i="2"/>
  <c r="I741" i="2"/>
  <c r="J741" i="2"/>
  <c r="F742" i="2"/>
  <c r="G742" i="2"/>
  <c r="H742" i="2"/>
  <c r="I742" i="2"/>
  <c r="J742" i="2"/>
  <c r="F743" i="2"/>
  <c r="G743" i="2"/>
  <c r="H743" i="2"/>
  <c r="I743" i="2"/>
  <c r="J743" i="2"/>
  <c r="F744" i="2"/>
  <c r="G744" i="2"/>
  <c r="H744" i="2"/>
  <c r="I744" i="2"/>
  <c r="J744" i="2"/>
  <c r="F745" i="2"/>
  <c r="G745" i="2"/>
  <c r="H745" i="2"/>
  <c r="I745" i="2"/>
  <c r="J745" i="2"/>
  <c r="F746" i="2"/>
  <c r="G746" i="2"/>
  <c r="H746" i="2"/>
  <c r="I746" i="2"/>
  <c r="J746" i="2"/>
  <c r="F747" i="2"/>
  <c r="G747" i="2"/>
  <c r="H747" i="2"/>
  <c r="I747" i="2"/>
  <c r="J747" i="2"/>
  <c r="F748" i="2"/>
  <c r="G748" i="2"/>
  <c r="H748" i="2"/>
  <c r="I748" i="2"/>
  <c r="J748" i="2"/>
  <c r="F749" i="2"/>
  <c r="G749" i="2"/>
  <c r="H749" i="2"/>
  <c r="I749" i="2"/>
  <c r="J749" i="2"/>
  <c r="F750" i="2"/>
  <c r="G750" i="2"/>
  <c r="H750" i="2"/>
  <c r="I750" i="2"/>
  <c r="J750" i="2"/>
  <c r="F751" i="2"/>
  <c r="G751" i="2"/>
  <c r="H751" i="2"/>
  <c r="I751" i="2"/>
  <c r="J751" i="2"/>
  <c r="F752" i="2"/>
  <c r="G752" i="2"/>
  <c r="H752" i="2"/>
  <c r="I752" i="2"/>
  <c r="J752" i="2"/>
  <c r="F753" i="2"/>
  <c r="G753" i="2"/>
  <c r="H753" i="2"/>
  <c r="I753" i="2"/>
  <c r="J753" i="2"/>
  <c r="F754" i="2"/>
  <c r="G754" i="2"/>
  <c r="H754" i="2"/>
  <c r="I754" i="2"/>
  <c r="J754" i="2"/>
  <c r="F755" i="2"/>
  <c r="G755" i="2"/>
  <c r="H755" i="2"/>
  <c r="I755" i="2"/>
  <c r="J755" i="2"/>
  <c r="F756" i="2"/>
  <c r="G756" i="2"/>
  <c r="H756" i="2"/>
  <c r="I756" i="2"/>
  <c r="J756" i="2"/>
  <c r="F757" i="2"/>
  <c r="G757" i="2"/>
  <c r="H757" i="2"/>
  <c r="I757" i="2"/>
  <c r="J757" i="2"/>
  <c r="F758" i="2"/>
  <c r="G758" i="2"/>
  <c r="H758" i="2"/>
  <c r="I758" i="2"/>
  <c r="J758" i="2"/>
  <c r="F759" i="2"/>
  <c r="G759" i="2"/>
  <c r="H759" i="2"/>
  <c r="I759" i="2"/>
  <c r="J759" i="2"/>
  <c r="F760" i="2"/>
  <c r="G760" i="2"/>
  <c r="H760" i="2"/>
  <c r="I760" i="2"/>
  <c r="J760" i="2"/>
  <c r="F761" i="2"/>
  <c r="G761" i="2"/>
  <c r="H761" i="2"/>
  <c r="I761" i="2"/>
  <c r="J761" i="2"/>
  <c r="F762" i="2"/>
  <c r="G762" i="2"/>
  <c r="H762" i="2"/>
  <c r="I762" i="2"/>
  <c r="J762" i="2"/>
  <c r="F763" i="2"/>
  <c r="G763" i="2"/>
  <c r="H763" i="2"/>
  <c r="I763" i="2"/>
  <c r="J763" i="2"/>
  <c r="F764" i="2"/>
  <c r="G764" i="2"/>
  <c r="H764" i="2"/>
  <c r="I764" i="2"/>
  <c r="J764" i="2"/>
  <c r="F765" i="2"/>
  <c r="G765" i="2"/>
  <c r="H765" i="2"/>
  <c r="I765" i="2"/>
  <c r="J765" i="2"/>
  <c r="F766" i="2"/>
  <c r="G766" i="2"/>
  <c r="H766" i="2"/>
  <c r="I766" i="2"/>
  <c r="J766" i="2"/>
  <c r="F767" i="2"/>
  <c r="G767" i="2"/>
  <c r="H767" i="2"/>
  <c r="I767" i="2"/>
  <c r="J767" i="2"/>
  <c r="F768" i="2"/>
  <c r="G768" i="2"/>
  <c r="H768" i="2"/>
  <c r="I768" i="2"/>
  <c r="J768" i="2"/>
  <c r="F769" i="2"/>
  <c r="G769" i="2"/>
  <c r="H769" i="2"/>
  <c r="I769" i="2"/>
  <c r="J769" i="2"/>
  <c r="F770" i="2"/>
  <c r="G770" i="2"/>
  <c r="H770" i="2"/>
  <c r="I770" i="2"/>
  <c r="J770" i="2"/>
  <c r="F771" i="2"/>
  <c r="G771" i="2"/>
  <c r="H771" i="2"/>
  <c r="I771" i="2"/>
  <c r="J771" i="2"/>
  <c r="F772" i="2"/>
  <c r="G772" i="2"/>
  <c r="H772" i="2"/>
  <c r="I772" i="2"/>
  <c r="J772" i="2"/>
  <c r="F773" i="2"/>
  <c r="G773" i="2"/>
  <c r="H773" i="2"/>
  <c r="I773" i="2"/>
  <c r="J773" i="2"/>
  <c r="F774" i="2"/>
  <c r="G774" i="2"/>
  <c r="H774" i="2"/>
  <c r="I774" i="2"/>
  <c r="J774" i="2"/>
  <c r="F775" i="2"/>
  <c r="G775" i="2"/>
  <c r="H775" i="2"/>
  <c r="I775" i="2"/>
  <c r="J775" i="2"/>
  <c r="F776" i="2"/>
  <c r="G776" i="2"/>
  <c r="H776" i="2"/>
  <c r="I776" i="2"/>
  <c r="J776" i="2"/>
  <c r="F777" i="2"/>
  <c r="G777" i="2"/>
  <c r="H777" i="2"/>
  <c r="I777" i="2"/>
  <c r="J777" i="2"/>
  <c r="F778" i="2"/>
  <c r="G778" i="2"/>
  <c r="H778" i="2"/>
  <c r="I778" i="2"/>
  <c r="J778" i="2"/>
  <c r="F779" i="2"/>
  <c r="G779" i="2"/>
  <c r="H779" i="2"/>
  <c r="I779" i="2"/>
  <c r="J779" i="2"/>
  <c r="F780" i="2"/>
  <c r="G780" i="2"/>
  <c r="H780" i="2"/>
  <c r="I780" i="2"/>
  <c r="J780" i="2"/>
  <c r="F781" i="2"/>
  <c r="G781" i="2"/>
  <c r="H781" i="2"/>
  <c r="I781" i="2"/>
  <c r="J781" i="2"/>
  <c r="F782" i="2"/>
  <c r="G782" i="2"/>
  <c r="H782" i="2"/>
  <c r="I782" i="2"/>
  <c r="J782" i="2"/>
  <c r="F783" i="2"/>
  <c r="G783" i="2"/>
  <c r="H783" i="2"/>
  <c r="I783" i="2"/>
  <c r="J783" i="2"/>
  <c r="F784" i="2"/>
  <c r="G784" i="2"/>
  <c r="H784" i="2"/>
  <c r="I784" i="2"/>
  <c r="J784" i="2"/>
  <c r="F785" i="2"/>
  <c r="G785" i="2"/>
  <c r="H785" i="2"/>
  <c r="I785" i="2"/>
  <c r="J785" i="2"/>
  <c r="F786" i="2"/>
  <c r="G786" i="2"/>
  <c r="H786" i="2"/>
  <c r="I786" i="2"/>
  <c r="J786" i="2"/>
  <c r="F787" i="2"/>
  <c r="G787" i="2"/>
  <c r="H787" i="2"/>
  <c r="I787" i="2"/>
  <c r="J787" i="2"/>
  <c r="F788" i="2"/>
  <c r="G788" i="2"/>
  <c r="H788" i="2"/>
  <c r="I788" i="2"/>
  <c r="J788" i="2"/>
  <c r="F789" i="2"/>
  <c r="G789" i="2"/>
  <c r="H789" i="2"/>
  <c r="I789" i="2"/>
  <c r="J789" i="2"/>
  <c r="F790" i="2"/>
  <c r="G790" i="2"/>
  <c r="H790" i="2"/>
  <c r="I790" i="2"/>
  <c r="J790" i="2"/>
  <c r="F791" i="2"/>
  <c r="G791" i="2"/>
  <c r="H791" i="2"/>
  <c r="I791" i="2"/>
  <c r="J791" i="2"/>
  <c r="F792" i="2"/>
  <c r="G792" i="2"/>
  <c r="H792" i="2"/>
  <c r="I792" i="2"/>
  <c r="J792" i="2"/>
  <c r="F793" i="2"/>
  <c r="G793" i="2"/>
  <c r="H793" i="2"/>
  <c r="I793" i="2"/>
  <c r="J793" i="2"/>
  <c r="F794" i="2"/>
  <c r="G794" i="2"/>
  <c r="H794" i="2"/>
  <c r="I794" i="2"/>
  <c r="J794" i="2"/>
  <c r="F795" i="2"/>
  <c r="G795" i="2"/>
  <c r="H795" i="2"/>
  <c r="I795" i="2"/>
  <c r="J795" i="2"/>
  <c r="F796" i="2"/>
  <c r="G796" i="2"/>
  <c r="H796" i="2"/>
  <c r="I796" i="2"/>
  <c r="J796" i="2"/>
  <c r="F797" i="2"/>
  <c r="G797" i="2"/>
  <c r="H797" i="2"/>
  <c r="I797" i="2"/>
  <c r="J797" i="2"/>
  <c r="F798" i="2"/>
  <c r="G798" i="2"/>
  <c r="H798" i="2"/>
  <c r="I798" i="2"/>
  <c r="J798" i="2"/>
  <c r="F799" i="2"/>
  <c r="G799" i="2"/>
  <c r="H799" i="2"/>
  <c r="I799" i="2"/>
  <c r="J799" i="2"/>
  <c r="F800" i="2"/>
  <c r="G800" i="2"/>
  <c r="H800" i="2"/>
  <c r="I800" i="2"/>
  <c r="J800" i="2"/>
  <c r="F801" i="2"/>
  <c r="G801" i="2"/>
  <c r="H801" i="2"/>
  <c r="I801" i="2"/>
  <c r="J801" i="2"/>
  <c r="F802" i="2"/>
  <c r="G802" i="2"/>
  <c r="H802" i="2"/>
  <c r="I802" i="2"/>
  <c r="J802" i="2"/>
  <c r="F803" i="2"/>
  <c r="G803" i="2"/>
  <c r="H803" i="2"/>
  <c r="I803" i="2"/>
  <c r="J803" i="2"/>
  <c r="F804" i="2"/>
  <c r="G804" i="2"/>
  <c r="H804" i="2"/>
  <c r="I804" i="2"/>
  <c r="J804" i="2"/>
  <c r="F805" i="2"/>
  <c r="G805" i="2"/>
  <c r="H805" i="2"/>
  <c r="I805" i="2"/>
  <c r="J805" i="2"/>
  <c r="F806" i="2"/>
  <c r="G806" i="2"/>
  <c r="H806" i="2"/>
  <c r="I806" i="2"/>
  <c r="J806" i="2"/>
  <c r="F807" i="2"/>
  <c r="G807" i="2"/>
  <c r="H807" i="2"/>
  <c r="I807" i="2"/>
  <c r="J807" i="2"/>
  <c r="F808" i="2"/>
  <c r="G808" i="2"/>
  <c r="H808" i="2"/>
  <c r="I808" i="2"/>
  <c r="J808" i="2"/>
  <c r="F809" i="2"/>
  <c r="G809" i="2"/>
  <c r="H809" i="2"/>
  <c r="I809" i="2"/>
  <c r="J809" i="2"/>
  <c r="F810" i="2"/>
  <c r="G810" i="2"/>
  <c r="H810" i="2"/>
  <c r="I810" i="2"/>
  <c r="J810" i="2"/>
  <c r="F811" i="2"/>
  <c r="G811" i="2"/>
  <c r="H811" i="2"/>
  <c r="I811" i="2"/>
  <c r="J811" i="2"/>
  <c r="F812" i="2"/>
  <c r="G812" i="2"/>
  <c r="H812" i="2"/>
  <c r="I812" i="2"/>
  <c r="J812" i="2"/>
  <c r="F813" i="2"/>
  <c r="G813" i="2"/>
  <c r="H813" i="2"/>
  <c r="I813" i="2"/>
  <c r="J813" i="2"/>
  <c r="F814" i="2"/>
  <c r="G814" i="2"/>
  <c r="H814" i="2"/>
  <c r="I814" i="2"/>
  <c r="J814" i="2"/>
  <c r="F815" i="2"/>
  <c r="G815" i="2"/>
  <c r="H815" i="2"/>
  <c r="I815" i="2"/>
  <c r="J815" i="2"/>
  <c r="F816" i="2"/>
  <c r="G816" i="2"/>
  <c r="H816" i="2"/>
  <c r="I816" i="2"/>
  <c r="J816" i="2"/>
  <c r="F817" i="2"/>
  <c r="G817" i="2"/>
  <c r="H817" i="2"/>
  <c r="I817" i="2"/>
  <c r="J817" i="2"/>
  <c r="F818" i="2"/>
  <c r="G818" i="2"/>
  <c r="H818" i="2"/>
  <c r="I818" i="2"/>
  <c r="J818" i="2"/>
  <c r="F819" i="2"/>
  <c r="G819" i="2"/>
  <c r="H819" i="2"/>
  <c r="I819" i="2"/>
  <c r="J819" i="2"/>
  <c r="F820" i="2"/>
  <c r="G820" i="2"/>
  <c r="H820" i="2"/>
  <c r="I820" i="2"/>
  <c r="J820" i="2"/>
  <c r="F821" i="2"/>
  <c r="G821" i="2"/>
  <c r="H821" i="2"/>
  <c r="I821" i="2"/>
  <c r="J821" i="2"/>
  <c r="F822" i="2"/>
  <c r="G822" i="2"/>
  <c r="H822" i="2"/>
  <c r="I822" i="2"/>
  <c r="J822" i="2"/>
  <c r="F823" i="2"/>
  <c r="G823" i="2"/>
  <c r="H823" i="2"/>
  <c r="I823" i="2"/>
  <c r="J823" i="2"/>
  <c r="F824" i="2"/>
  <c r="G824" i="2"/>
  <c r="H824" i="2"/>
  <c r="I824" i="2"/>
  <c r="J824" i="2"/>
  <c r="F825" i="2"/>
  <c r="G825" i="2"/>
  <c r="H825" i="2"/>
  <c r="I825" i="2"/>
  <c r="J825" i="2"/>
  <c r="F826" i="2"/>
  <c r="G826" i="2"/>
  <c r="H826" i="2"/>
  <c r="I826" i="2"/>
  <c r="J826" i="2"/>
  <c r="F827" i="2"/>
  <c r="G827" i="2"/>
  <c r="H827" i="2"/>
  <c r="I827" i="2"/>
  <c r="J827" i="2"/>
  <c r="F828" i="2"/>
  <c r="G828" i="2"/>
  <c r="H828" i="2"/>
  <c r="I828" i="2"/>
  <c r="J828" i="2"/>
  <c r="F829" i="2"/>
  <c r="G829" i="2"/>
  <c r="H829" i="2"/>
  <c r="I829" i="2"/>
  <c r="J829" i="2"/>
  <c r="F830" i="2"/>
  <c r="G830" i="2"/>
  <c r="H830" i="2"/>
  <c r="I830" i="2"/>
  <c r="J830" i="2"/>
  <c r="F831" i="2"/>
  <c r="G831" i="2"/>
  <c r="H831" i="2"/>
  <c r="I831" i="2"/>
  <c r="J831" i="2"/>
  <c r="F832" i="2"/>
  <c r="G832" i="2"/>
  <c r="H832" i="2"/>
  <c r="I832" i="2"/>
  <c r="J832" i="2"/>
  <c r="F833" i="2"/>
  <c r="G833" i="2"/>
  <c r="H833" i="2"/>
  <c r="I833" i="2"/>
  <c r="J833" i="2"/>
  <c r="F834" i="2"/>
  <c r="G834" i="2"/>
  <c r="H834" i="2"/>
  <c r="I834" i="2"/>
  <c r="J834" i="2"/>
  <c r="F835" i="2"/>
  <c r="G835" i="2"/>
  <c r="H835" i="2"/>
  <c r="I835" i="2"/>
  <c r="J835" i="2"/>
  <c r="F836" i="2"/>
  <c r="G836" i="2"/>
  <c r="H836" i="2"/>
  <c r="I836" i="2"/>
  <c r="J836" i="2"/>
  <c r="F837" i="2"/>
  <c r="G837" i="2"/>
  <c r="H837" i="2"/>
  <c r="I837" i="2"/>
  <c r="J837" i="2"/>
  <c r="F838" i="2"/>
  <c r="G838" i="2"/>
  <c r="H838" i="2"/>
  <c r="I838" i="2"/>
  <c r="J838" i="2"/>
  <c r="F839" i="2"/>
  <c r="G839" i="2"/>
  <c r="H839" i="2"/>
  <c r="I839" i="2"/>
  <c r="J839" i="2"/>
  <c r="F840" i="2"/>
  <c r="G840" i="2"/>
  <c r="H840" i="2"/>
  <c r="I840" i="2"/>
  <c r="J840" i="2"/>
  <c r="F841" i="2"/>
  <c r="G841" i="2"/>
  <c r="H841" i="2"/>
  <c r="I841" i="2"/>
  <c r="J841" i="2"/>
  <c r="F842" i="2"/>
  <c r="G842" i="2"/>
  <c r="H842" i="2"/>
  <c r="I842" i="2"/>
  <c r="J842" i="2"/>
  <c r="F843" i="2"/>
  <c r="G843" i="2"/>
  <c r="H843" i="2"/>
  <c r="I843" i="2"/>
  <c r="J843" i="2"/>
  <c r="F844" i="2"/>
  <c r="G844" i="2"/>
  <c r="H844" i="2"/>
  <c r="I844" i="2"/>
  <c r="J844" i="2"/>
  <c r="F845" i="2"/>
  <c r="G845" i="2"/>
  <c r="H845" i="2"/>
  <c r="I845" i="2"/>
  <c r="J845" i="2"/>
  <c r="F846" i="2"/>
  <c r="G846" i="2"/>
  <c r="H846" i="2"/>
  <c r="I846" i="2"/>
  <c r="J846" i="2"/>
  <c r="F847" i="2"/>
  <c r="G847" i="2"/>
  <c r="H847" i="2"/>
  <c r="I847" i="2"/>
  <c r="J847" i="2"/>
  <c r="F848" i="2"/>
  <c r="G848" i="2"/>
  <c r="H848" i="2"/>
  <c r="I848" i="2"/>
  <c r="J848" i="2"/>
  <c r="F849" i="2"/>
  <c r="G849" i="2"/>
  <c r="H849" i="2"/>
  <c r="I849" i="2"/>
  <c r="J849" i="2"/>
  <c r="F850" i="2"/>
  <c r="G850" i="2"/>
  <c r="H850" i="2"/>
  <c r="I850" i="2"/>
  <c r="J850" i="2"/>
  <c r="F851" i="2"/>
  <c r="G851" i="2"/>
  <c r="H851" i="2"/>
  <c r="I851" i="2"/>
  <c r="J851" i="2"/>
  <c r="F852" i="2"/>
  <c r="G852" i="2"/>
  <c r="H852" i="2"/>
  <c r="I852" i="2"/>
  <c r="J852" i="2"/>
  <c r="F853" i="2"/>
  <c r="G853" i="2"/>
  <c r="H853" i="2"/>
  <c r="I853" i="2"/>
  <c r="J853" i="2"/>
  <c r="F854" i="2"/>
  <c r="G854" i="2"/>
  <c r="H854" i="2"/>
  <c r="I854" i="2"/>
  <c r="J854" i="2"/>
  <c r="F855" i="2"/>
  <c r="G855" i="2"/>
  <c r="H855" i="2"/>
  <c r="I855" i="2"/>
  <c r="J855" i="2"/>
  <c r="F856" i="2"/>
  <c r="G856" i="2"/>
  <c r="H856" i="2"/>
  <c r="I856" i="2"/>
  <c r="J856" i="2"/>
  <c r="F857" i="2"/>
  <c r="G857" i="2"/>
  <c r="H857" i="2"/>
  <c r="I857" i="2"/>
  <c r="J857" i="2"/>
  <c r="F858" i="2"/>
  <c r="G858" i="2"/>
  <c r="H858" i="2"/>
  <c r="I858" i="2"/>
  <c r="J858" i="2"/>
  <c r="F859" i="2"/>
  <c r="G859" i="2"/>
  <c r="H859" i="2"/>
  <c r="I859" i="2"/>
  <c r="J859" i="2"/>
  <c r="F860" i="2"/>
  <c r="G860" i="2"/>
  <c r="H860" i="2"/>
  <c r="I860" i="2"/>
  <c r="J860" i="2"/>
  <c r="F861" i="2"/>
  <c r="G861" i="2"/>
  <c r="H861" i="2"/>
  <c r="I861" i="2"/>
  <c r="J861" i="2"/>
  <c r="F862" i="2"/>
  <c r="G862" i="2"/>
  <c r="H862" i="2"/>
  <c r="I862" i="2"/>
  <c r="J862" i="2"/>
  <c r="F863" i="2"/>
  <c r="G863" i="2"/>
  <c r="H863" i="2"/>
  <c r="I863" i="2"/>
  <c r="J863" i="2"/>
  <c r="F864" i="2"/>
  <c r="G864" i="2"/>
  <c r="H864" i="2"/>
  <c r="I864" i="2"/>
  <c r="J864" i="2"/>
  <c r="F865" i="2"/>
  <c r="G865" i="2"/>
  <c r="H865" i="2"/>
  <c r="I865" i="2"/>
  <c r="J865" i="2"/>
  <c r="F866" i="2"/>
  <c r="G866" i="2"/>
  <c r="H866" i="2"/>
  <c r="I866" i="2"/>
  <c r="J866" i="2"/>
  <c r="F867" i="2"/>
  <c r="G867" i="2"/>
  <c r="H867" i="2"/>
  <c r="I867" i="2"/>
  <c r="J867" i="2"/>
  <c r="F868" i="2"/>
  <c r="G868" i="2"/>
  <c r="H868" i="2"/>
  <c r="I868" i="2"/>
  <c r="J868" i="2"/>
  <c r="F869" i="2"/>
  <c r="G869" i="2"/>
  <c r="H869" i="2"/>
  <c r="I869" i="2"/>
  <c r="J869" i="2"/>
  <c r="F870" i="2"/>
  <c r="G870" i="2"/>
  <c r="H870" i="2"/>
  <c r="I870" i="2"/>
  <c r="J870" i="2"/>
  <c r="F871" i="2"/>
  <c r="G871" i="2"/>
  <c r="H871" i="2"/>
  <c r="I871" i="2"/>
  <c r="J871" i="2"/>
  <c r="F872" i="2"/>
  <c r="G872" i="2"/>
  <c r="H872" i="2"/>
  <c r="I872" i="2"/>
  <c r="J872" i="2"/>
  <c r="F873" i="2"/>
  <c r="G873" i="2"/>
  <c r="H873" i="2"/>
  <c r="I873" i="2"/>
  <c r="J873" i="2"/>
  <c r="F874" i="2"/>
  <c r="G874" i="2"/>
  <c r="H874" i="2"/>
  <c r="I874" i="2"/>
  <c r="J874" i="2"/>
  <c r="F875" i="2"/>
  <c r="G875" i="2"/>
  <c r="H875" i="2"/>
  <c r="I875" i="2"/>
  <c r="J875" i="2"/>
  <c r="F876" i="2"/>
  <c r="G876" i="2"/>
  <c r="H876" i="2"/>
  <c r="I876" i="2"/>
  <c r="J876" i="2"/>
  <c r="F877" i="2"/>
  <c r="G877" i="2"/>
  <c r="H877" i="2"/>
  <c r="I877" i="2"/>
  <c r="J877" i="2"/>
  <c r="F878" i="2"/>
  <c r="G878" i="2"/>
  <c r="H878" i="2"/>
  <c r="I878" i="2"/>
  <c r="J878" i="2"/>
  <c r="F879" i="2"/>
  <c r="G879" i="2"/>
  <c r="H879" i="2"/>
  <c r="I879" i="2"/>
  <c r="J879" i="2"/>
  <c r="F880" i="2"/>
  <c r="G880" i="2"/>
  <c r="H880" i="2"/>
  <c r="I880" i="2"/>
  <c r="J880" i="2"/>
  <c r="F881" i="2"/>
  <c r="G881" i="2"/>
  <c r="H881" i="2"/>
  <c r="I881" i="2"/>
  <c r="J881" i="2"/>
  <c r="F882" i="2"/>
  <c r="G882" i="2"/>
  <c r="H882" i="2"/>
  <c r="I882" i="2"/>
  <c r="J882" i="2"/>
  <c r="F883" i="2"/>
  <c r="G883" i="2"/>
  <c r="H883" i="2"/>
  <c r="I883" i="2"/>
  <c r="J883" i="2"/>
  <c r="F884" i="2"/>
  <c r="G884" i="2"/>
  <c r="H884" i="2"/>
  <c r="I884" i="2"/>
  <c r="J884" i="2"/>
  <c r="F885" i="2"/>
  <c r="G885" i="2"/>
  <c r="H885" i="2"/>
  <c r="I885" i="2"/>
  <c r="J885" i="2"/>
  <c r="F886" i="2"/>
  <c r="G886" i="2"/>
  <c r="H886" i="2"/>
  <c r="I886" i="2"/>
  <c r="J886" i="2"/>
  <c r="F887" i="2"/>
  <c r="G887" i="2"/>
  <c r="H887" i="2"/>
  <c r="I887" i="2"/>
  <c r="J887" i="2"/>
  <c r="F888" i="2"/>
  <c r="G888" i="2"/>
  <c r="H888" i="2"/>
  <c r="I888" i="2"/>
  <c r="J888" i="2"/>
  <c r="F889" i="2"/>
  <c r="G889" i="2"/>
  <c r="H889" i="2"/>
  <c r="I889" i="2"/>
  <c r="J889" i="2"/>
  <c r="F890" i="2"/>
  <c r="G890" i="2"/>
  <c r="H890" i="2"/>
  <c r="I890" i="2"/>
  <c r="J890" i="2"/>
  <c r="F891" i="2"/>
  <c r="G891" i="2"/>
  <c r="H891" i="2"/>
  <c r="I891" i="2"/>
  <c r="J891" i="2"/>
  <c r="F892" i="2"/>
  <c r="G892" i="2"/>
  <c r="H892" i="2"/>
  <c r="I892" i="2"/>
  <c r="J892" i="2"/>
  <c r="F893" i="2"/>
  <c r="G893" i="2"/>
  <c r="H893" i="2"/>
  <c r="I893" i="2"/>
  <c r="J893" i="2"/>
  <c r="F894" i="2"/>
  <c r="G894" i="2"/>
  <c r="H894" i="2"/>
  <c r="I894" i="2"/>
  <c r="J894" i="2"/>
  <c r="F895" i="2"/>
  <c r="G895" i="2"/>
  <c r="H895" i="2"/>
  <c r="I895" i="2"/>
  <c r="J895" i="2"/>
  <c r="F896" i="2"/>
  <c r="G896" i="2"/>
  <c r="H896" i="2"/>
  <c r="I896" i="2"/>
  <c r="J896" i="2"/>
  <c r="F897" i="2"/>
  <c r="G897" i="2"/>
  <c r="H897" i="2"/>
  <c r="I897" i="2"/>
  <c r="J897" i="2"/>
  <c r="F898" i="2"/>
  <c r="G898" i="2"/>
  <c r="H898" i="2"/>
  <c r="I898" i="2"/>
  <c r="J898" i="2"/>
  <c r="F899" i="2"/>
  <c r="G899" i="2"/>
  <c r="H899" i="2"/>
  <c r="I899" i="2"/>
  <c r="J899" i="2"/>
  <c r="F900" i="2"/>
  <c r="G900" i="2"/>
  <c r="H900" i="2"/>
  <c r="I900" i="2"/>
  <c r="J900" i="2"/>
  <c r="F901" i="2"/>
  <c r="G901" i="2"/>
  <c r="H901" i="2"/>
  <c r="I901" i="2"/>
  <c r="J901" i="2"/>
  <c r="F902" i="2"/>
  <c r="G902" i="2"/>
  <c r="H902" i="2"/>
  <c r="I902" i="2"/>
  <c r="J902" i="2"/>
  <c r="F903" i="2"/>
  <c r="G903" i="2"/>
  <c r="H903" i="2"/>
  <c r="I903" i="2"/>
  <c r="J903" i="2"/>
  <c r="F904" i="2"/>
  <c r="G904" i="2"/>
  <c r="H904" i="2"/>
  <c r="I904" i="2"/>
  <c r="J904" i="2"/>
  <c r="F905" i="2"/>
  <c r="G905" i="2"/>
  <c r="H905" i="2"/>
  <c r="I905" i="2"/>
  <c r="J905" i="2"/>
  <c r="F906" i="2"/>
  <c r="G906" i="2"/>
  <c r="H906" i="2"/>
  <c r="I906" i="2"/>
  <c r="J906" i="2"/>
  <c r="F907" i="2"/>
  <c r="G907" i="2"/>
  <c r="H907" i="2"/>
  <c r="I907" i="2"/>
  <c r="J907" i="2"/>
  <c r="F908" i="2"/>
  <c r="G908" i="2"/>
  <c r="H908" i="2"/>
  <c r="I908" i="2"/>
  <c r="J908" i="2"/>
  <c r="F909" i="2"/>
  <c r="G909" i="2"/>
  <c r="H909" i="2"/>
  <c r="I909" i="2"/>
  <c r="J909" i="2"/>
  <c r="F910" i="2"/>
  <c r="G910" i="2"/>
  <c r="H910" i="2"/>
  <c r="I910" i="2"/>
  <c r="J910" i="2"/>
  <c r="F911" i="2"/>
  <c r="G911" i="2"/>
  <c r="H911" i="2"/>
  <c r="I911" i="2"/>
  <c r="J911" i="2"/>
  <c r="F912" i="2"/>
  <c r="G912" i="2"/>
  <c r="H912" i="2"/>
  <c r="I912" i="2"/>
  <c r="J912" i="2"/>
  <c r="F913" i="2"/>
  <c r="G913" i="2"/>
  <c r="H913" i="2"/>
  <c r="I913" i="2"/>
  <c r="J913" i="2"/>
  <c r="F914" i="2"/>
  <c r="G914" i="2"/>
  <c r="H914" i="2"/>
  <c r="I914" i="2"/>
  <c r="J914" i="2"/>
  <c r="F915" i="2"/>
  <c r="G915" i="2"/>
  <c r="H915" i="2"/>
  <c r="I915" i="2"/>
  <c r="J915" i="2"/>
  <c r="F916" i="2"/>
  <c r="G916" i="2"/>
  <c r="H916" i="2"/>
  <c r="I916" i="2"/>
  <c r="J916" i="2"/>
  <c r="F917" i="2"/>
  <c r="G917" i="2"/>
  <c r="H917" i="2"/>
  <c r="I917" i="2"/>
  <c r="J917" i="2"/>
  <c r="F918" i="2"/>
  <c r="G918" i="2"/>
  <c r="H918" i="2"/>
  <c r="I918" i="2"/>
  <c r="J918" i="2"/>
  <c r="F919" i="2"/>
  <c r="G919" i="2"/>
  <c r="H919" i="2"/>
  <c r="I919" i="2"/>
  <c r="J919" i="2"/>
  <c r="F920" i="2"/>
  <c r="G920" i="2"/>
  <c r="H920" i="2"/>
  <c r="I920" i="2"/>
  <c r="J920" i="2"/>
  <c r="F921" i="2"/>
  <c r="G921" i="2"/>
  <c r="H921" i="2"/>
  <c r="I921" i="2"/>
  <c r="J921" i="2"/>
  <c r="F922" i="2"/>
  <c r="G922" i="2"/>
  <c r="H922" i="2"/>
  <c r="I922" i="2"/>
  <c r="J922" i="2"/>
  <c r="F923" i="2"/>
  <c r="G923" i="2"/>
  <c r="H923" i="2"/>
  <c r="I923" i="2"/>
  <c r="J923" i="2"/>
  <c r="F924" i="2"/>
  <c r="G924" i="2"/>
  <c r="H924" i="2"/>
  <c r="I924" i="2"/>
  <c r="J924" i="2"/>
  <c r="F925" i="2"/>
  <c r="G925" i="2"/>
  <c r="H925" i="2"/>
  <c r="I925" i="2"/>
  <c r="J925" i="2"/>
  <c r="F926" i="2"/>
  <c r="G926" i="2"/>
  <c r="H926" i="2"/>
  <c r="I926" i="2"/>
  <c r="J926" i="2"/>
  <c r="F927" i="2"/>
  <c r="G927" i="2"/>
  <c r="H927" i="2"/>
  <c r="I927" i="2"/>
  <c r="J927" i="2"/>
  <c r="F928" i="2"/>
  <c r="G928" i="2"/>
  <c r="H928" i="2"/>
  <c r="I928" i="2"/>
  <c r="J928" i="2"/>
  <c r="F929" i="2"/>
  <c r="G929" i="2"/>
  <c r="H929" i="2"/>
  <c r="I929" i="2"/>
  <c r="J929" i="2"/>
  <c r="F930" i="2"/>
  <c r="G930" i="2"/>
  <c r="H930" i="2"/>
  <c r="I930" i="2"/>
  <c r="J930" i="2"/>
  <c r="F931" i="2"/>
  <c r="G931" i="2"/>
  <c r="H931" i="2"/>
  <c r="I931" i="2"/>
  <c r="J931" i="2"/>
  <c r="F932" i="2"/>
  <c r="G932" i="2"/>
  <c r="H932" i="2"/>
  <c r="I932" i="2"/>
  <c r="J932" i="2"/>
  <c r="F933" i="2"/>
  <c r="G933" i="2"/>
  <c r="H933" i="2"/>
  <c r="I933" i="2"/>
  <c r="J933" i="2"/>
  <c r="F934" i="2"/>
  <c r="G934" i="2"/>
  <c r="H934" i="2"/>
  <c r="I934" i="2"/>
  <c r="J934" i="2"/>
  <c r="F935" i="2"/>
  <c r="G935" i="2"/>
  <c r="H935" i="2"/>
  <c r="I935" i="2"/>
  <c r="J935" i="2"/>
  <c r="F936" i="2"/>
  <c r="G936" i="2"/>
  <c r="H936" i="2"/>
  <c r="I936" i="2"/>
  <c r="J936" i="2"/>
  <c r="F937" i="2"/>
  <c r="G937" i="2"/>
  <c r="H937" i="2"/>
  <c r="I937" i="2"/>
  <c r="J937" i="2"/>
  <c r="F938" i="2"/>
  <c r="G938" i="2"/>
  <c r="H938" i="2"/>
  <c r="I938" i="2"/>
  <c r="J938" i="2"/>
  <c r="F939" i="2"/>
  <c r="G939" i="2"/>
  <c r="H939" i="2"/>
  <c r="I939" i="2"/>
  <c r="J939" i="2"/>
  <c r="F940" i="2"/>
  <c r="G940" i="2"/>
  <c r="H940" i="2"/>
  <c r="I940" i="2"/>
  <c r="J940" i="2"/>
  <c r="F941" i="2"/>
  <c r="G941" i="2"/>
  <c r="H941" i="2"/>
  <c r="I941" i="2"/>
  <c r="J941" i="2"/>
  <c r="F942" i="2"/>
  <c r="G942" i="2"/>
  <c r="H942" i="2"/>
  <c r="I942" i="2"/>
  <c r="J942" i="2"/>
  <c r="F943" i="2"/>
  <c r="G943" i="2"/>
  <c r="H943" i="2"/>
  <c r="I943" i="2"/>
  <c r="J943" i="2"/>
  <c r="F944" i="2"/>
  <c r="G944" i="2"/>
  <c r="H944" i="2"/>
  <c r="I944" i="2"/>
  <c r="J944" i="2"/>
  <c r="F945" i="2"/>
  <c r="G945" i="2"/>
  <c r="H945" i="2"/>
  <c r="I945" i="2"/>
  <c r="J945" i="2"/>
  <c r="F946" i="2"/>
  <c r="G946" i="2"/>
  <c r="H946" i="2"/>
  <c r="I946" i="2"/>
  <c r="J946" i="2"/>
  <c r="F947" i="2"/>
  <c r="G947" i="2"/>
  <c r="H947" i="2"/>
  <c r="I947" i="2"/>
  <c r="J947" i="2"/>
  <c r="F948" i="2"/>
  <c r="G948" i="2"/>
  <c r="H948" i="2"/>
  <c r="I948" i="2"/>
  <c r="J948" i="2"/>
  <c r="F949" i="2"/>
  <c r="G949" i="2"/>
  <c r="H949" i="2"/>
  <c r="I949" i="2"/>
  <c r="J949" i="2"/>
  <c r="F950" i="2"/>
  <c r="G950" i="2"/>
  <c r="H950" i="2"/>
  <c r="I950" i="2"/>
  <c r="J950" i="2"/>
  <c r="F951" i="2"/>
  <c r="G951" i="2"/>
  <c r="H951" i="2"/>
  <c r="I951" i="2"/>
  <c r="J951" i="2"/>
  <c r="F952" i="2"/>
  <c r="G952" i="2"/>
  <c r="H952" i="2"/>
  <c r="I952" i="2"/>
  <c r="J952" i="2"/>
  <c r="F953" i="2"/>
  <c r="G953" i="2"/>
  <c r="H953" i="2"/>
  <c r="I953" i="2"/>
  <c r="J953" i="2"/>
  <c r="F954" i="2"/>
  <c r="G954" i="2"/>
  <c r="H954" i="2"/>
  <c r="I954" i="2"/>
  <c r="J954" i="2"/>
  <c r="F955" i="2"/>
  <c r="G955" i="2"/>
  <c r="H955" i="2"/>
  <c r="I955" i="2"/>
  <c r="J955" i="2"/>
  <c r="F956" i="2"/>
  <c r="G956" i="2"/>
  <c r="H956" i="2"/>
  <c r="I956" i="2"/>
  <c r="J956" i="2"/>
  <c r="F957" i="2"/>
  <c r="G957" i="2"/>
  <c r="H957" i="2"/>
  <c r="I957" i="2"/>
  <c r="J957" i="2"/>
  <c r="F958" i="2"/>
  <c r="G958" i="2"/>
  <c r="H958" i="2"/>
  <c r="I958" i="2"/>
  <c r="J958" i="2"/>
  <c r="F959" i="2"/>
  <c r="G959" i="2"/>
  <c r="H959" i="2"/>
  <c r="I959" i="2"/>
  <c r="J959" i="2"/>
  <c r="F960" i="2"/>
  <c r="G960" i="2"/>
  <c r="H960" i="2"/>
  <c r="I960" i="2"/>
  <c r="J960" i="2"/>
  <c r="F961" i="2"/>
  <c r="G961" i="2"/>
  <c r="H961" i="2"/>
  <c r="I961" i="2"/>
  <c r="J961" i="2"/>
  <c r="F962" i="2"/>
  <c r="G962" i="2"/>
  <c r="H962" i="2"/>
  <c r="I962" i="2"/>
  <c r="J962" i="2"/>
  <c r="F963" i="2"/>
  <c r="G963" i="2"/>
  <c r="H963" i="2"/>
  <c r="I963" i="2"/>
  <c r="J963" i="2"/>
  <c r="F964" i="2"/>
  <c r="G964" i="2"/>
  <c r="H964" i="2"/>
  <c r="I964" i="2"/>
  <c r="J964" i="2"/>
  <c r="F965" i="2"/>
  <c r="G965" i="2"/>
  <c r="H965" i="2"/>
  <c r="I965" i="2"/>
  <c r="J965" i="2"/>
  <c r="F966" i="2"/>
  <c r="G966" i="2"/>
  <c r="H966" i="2"/>
  <c r="I966" i="2"/>
  <c r="J966" i="2"/>
  <c r="F967" i="2"/>
  <c r="G967" i="2"/>
  <c r="H967" i="2"/>
  <c r="I967" i="2"/>
  <c r="J967" i="2"/>
  <c r="F968" i="2"/>
  <c r="G968" i="2"/>
  <c r="H968" i="2"/>
  <c r="I968" i="2"/>
  <c r="J968" i="2"/>
  <c r="F969" i="2"/>
  <c r="G969" i="2"/>
  <c r="H969" i="2"/>
  <c r="I969" i="2"/>
  <c r="J969" i="2"/>
  <c r="F970" i="2"/>
  <c r="G970" i="2"/>
  <c r="H970" i="2"/>
  <c r="I970" i="2"/>
  <c r="J970" i="2"/>
  <c r="F971" i="2"/>
  <c r="G971" i="2"/>
  <c r="H971" i="2"/>
  <c r="I971" i="2"/>
  <c r="J971" i="2"/>
  <c r="F972" i="2"/>
  <c r="G972" i="2"/>
  <c r="H972" i="2"/>
  <c r="I972" i="2"/>
  <c r="J972" i="2"/>
  <c r="F973" i="2"/>
  <c r="G973" i="2"/>
  <c r="H973" i="2"/>
  <c r="I973" i="2"/>
  <c r="J973" i="2"/>
  <c r="F974" i="2"/>
  <c r="G974" i="2"/>
  <c r="H974" i="2"/>
  <c r="I974" i="2"/>
  <c r="J974" i="2"/>
  <c r="F975" i="2"/>
  <c r="G975" i="2"/>
  <c r="H975" i="2"/>
  <c r="I975" i="2"/>
  <c r="J975" i="2"/>
  <c r="F976" i="2"/>
  <c r="G976" i="2"/>
  <c r="H976" i="2"/>
  <c r="I976" i="2"/>
  <c r="J976" i="2"/>
  <c r="F977" i="2"/>
  <c r="G977" i="2"/>
  <c r="H977" i="2"/>
  <c r="I977" i="2"/>
  <c r="J977" i="2"/>
  <c r="F978" i="2"/>
  <c r="G978" i="2"/>
  <c r="H978" i="2"/>
  <c r="I978" i="2"/>
  <c r="J978" i="2"/>
  <c r="F979" i="2"/>
  <c r="G979" i="2"/>
  <c r="H979" i="2"/>
  <c r="I979" i="2"/>
  <c r="J979" i="2"/>
  <c r="F980" i="2"/>
  <c r="G980" i="2"/>
  <c r="H980" i="2"/>
  <c r="I980" i="2"/>
  <c r="J980" i="2"/>
  <c r="F981" i="2"/>
  <c r="G981" i="2"/>
  <c r="H981" i="2"/>
  <c r="I981" i="2"/>
  <c r="J981" i="2"/>
  <c r="F982" i="2"/>
  <c r="G982" i="2"/>
  <c r="H982" i="2"/>
  <c r="I982" i="2"/>
  <c r="J982" i="2"/>
  <c r="F983" i="2"/>
  <c r="G983" i="2"/>
  <c r="H983" i="2"/>
  <c r="I983" i="2"/>
  <c r="J983" i="2"/>
  <c r="F984" i="2"/>
  <c r="G984" i="2"/>
  <c r="H984" i="2"/>
  <c r="I984" i="2"/>
  <c r="J984" i="2"/>
  <c r="F985" i="2"/>
  <c r="G985" i="2"/>
  <c r="H985" i="2"/>
  <c r="I985" i="2"/>
  <c r="J985" i="2"/>
  <c r="F986" i="2"/>
  <c r="G986" i="2"/>
  <c r="H986" i="2"/>
  <c r="I986" i="2"/>
  <c r="J986" i="2"/>
  <c r="F987" i="2"/>
  <c r="G987" i="2"/>
  <c r="H987" i="2"/>
  <c r="I987" i="2"/>
  <c r="J987" i="2"/>
  <c r="F988" i="2"/>
  <c r="G988" i="2"/>
  <c r="H988" i="2"/>
  <c r="I988" i="2"/>
  <c r="J988" i="2"/>
  <c r="F989" i="2"/>
  <c r="G989" i="2"/>
  <c r="H989" i="2"/>
  <c r="I989" i="2"/>
  <c r="J989" i="2"/>
  <c r="F990" i="2"/>
  <c r="G990" i="2"/>
  <c r="H990" i="2"/>
  <c r="I990" i="2"/>
  <c r="J990" i="2"/>
  <c r="F991" i="2"/>
  <c r="G991" i="2"/>
  <c r="H991" i="2"/>
  <c r="I991" i="2"/>
  <c r="J991" i="2"/>
  <c r="F992" i="2"/>
  <c r="G992" i="2"/>
  <c r="H992" i="2"/>
  <c r="I992" i="2"/>
  <c r="J992" i="2"/>
  <c r="F993" i="2"/>
  <c r="G993" i="2"/>
  <c r="H993" i="2"/>
  <c r="I993" i="2"/>
  <c r="J993" i="2"/>
  <c r="F994" i="2"/>
  <c r="G994" i="2"/>
  <c r="H994" i="2"/>
  <c r="I994" i="2"/>
  <c r="J994" i="2"/>
  <c r="F995" i="2"/>
  <c r="G995" i="2"/>
  <c r="H995" i="2"/>
  <c r="I995" i="2"/>
  <c r="J995" i="2"/>
  <c r="F996" i="2"/>
  <c r="G996" i="2"/>
  <c r="H996" i="2"/>
  <c r="I996" i="2"/>
  <c r="J996" i="2"/>
  <c r="F997" i="2"/>
  <c r="G997" i="2"/>
  <c r="H997" i="2"/>
  <c r="I997" i="2"/>
  <c r="J997" i="2"/>
  <c r="F998" i="2"/>
  <c r="G998" i="2"/>
  <c r="H998" i="2"/>
  <c r="I998" i="2"/>
  <c r="J998" i="2"/>
  <c r="F999" i="2"/>
  <c r="G999" i="2"/>
  <c r="H999" i="2"/>
  <c r="I999" i="2"/>
  <c r="J999" i="2"/>
  <c r="F1000" i="2"/>
  <c r="G1000" i="2"/>
  <c r="H1000" i="2"/>
  <c r="I1000" i="2"/>
  <c r="J1000" i="2"/>
  <c r="F1001" i="2"/>
  <c r="G1001" i="2"/>
  <c r="H1001" i="2"/>
  <c r="I1001" i="2"/>
  <c r="J1001" i="2"/>
  <c r="F1002" i="2"/>
  <c r="G1002" i="2"/>
  <c r="H1002" i="2"/>
  <c r="I1002" i="2"/>
  <c r="J1002" i="2"/>
  <c r="F1003" i="2"/>
  <c r="G1003" i="2"/>
  <c r="H1003" i="2"/>
  <c r="I1003" i="2"/>
  <c r="J1003" i="2"/>
  <c r="F1004" i="2"/>
  <c r="G1004" i="2"/>
  <c r="H1004" i="2"/>
  <c r="I1004" i="2"/>
  <c r="J1004" i="2"/>
  <c r="F1005" i="2"/>
  <c r="G1005" i="2"/>
  <c r="H1005" i="2"/>
  <c r="I1005" i="2"/>
  <c r="J1005" i="2"/>
  <c r="F1006" i="2"/>
  <c r="G1006" i="2"/>
  <c r="H1006" i="2"/>
  <c r="I1006" i="2"/>
  <c r="J1006" i="2"/>
  <c r="F1007" i="2"/>
  <c r="G1007" i="2"/>
  <c r="H1007" i="2"/>
  <c r="I1007" i="2"/>
  <c r="J1007" i="2"/>
  <c r="F1008" i="2"/>
  <c r="G1008" i="2"/>
  <c r="H1008" i="2"/>
  <c r="I1008" i="2"/>
  <c r="J1008" i="2"/>
  <c r="F1009" i="2"/>
  <c r="G1009" i="2"/>
  <c r="H1009" i="2"/>
  <c r="I1009" i="2"/>
  <c r="J1009" i="2"/>
  <c r="F1010" i="2"/>
  <c r="G1010" i="2"/>
  <c r="H1010" i="2"/>
  <c r="I1010" i="2"/>
  <c r="J1010" i="2"/>
  <c r="F1011" i="2"/>
  <c r="G1011" i="2"/>
  <c r="H1011" i="2"/>
  <c r="I1011" i="2"/>
  <c r="J1011" i="2"/>
  <c r="F1012" i="2"/>
  <c r="G1012" i="2"/>
  <c r="H1012" i="2"/>
  <c r="I1012" i="2"/>
  <c r="J1012" i="2"/>
  <c r="F1013" i="2"/>
  <c r="G1013" i="2"/>
  <c r="H1013" i="2"/>
  <c r="I1013" i="2"/>
  <c r="J1013" i="2"/>
  <c r="F1014" i="2"/>
  <c r="G1014" i="2"/>
  <c r="H1014" i="2"/>
  <c r="I1014" i="2"/>
  <c r="J1014" i="2"/>
  <c r="F1015" i="2"/>
  <c r="G1015" i="2"/>
  <c r="H1015" i="2"/>
  <c r="I1015" i="2"/>
  <c r="J1015" i="2"/>
  <c r="F1016" i="2"/>
  <c r="G1016" i="2"/>
  <c r="H1016" i="2"/>
  <c r="I1016" i="2"/>
  <c r="J1016" i="2"/>
  <c r="F1017" i="2"/>
  <c r="G1017" i="2"/>
  <c r="H1017" i="2"/>
  <c r="I1017" i="2"/>
  <c r="J1017" i="2"/>
  <c r="F1018" i="2"/>
  <c r="G1018" i="2"/>
  <c r="H1018" i="2"/>
  <c r="I1018" i="2"/>
  <c r="J1018" i="2"/>
  <c r="F1019" i="2"/>
  <c r="G1019" i="2"/>
  <c r="H1019" i="2"/>
  <c r="I1019" i="2"/>
  <c r="J1019" i="2"/>
  <c r="F1020" i="2"/>
  <c r="G1020" i="2"/>
  <c r="H1020" i="2"/>
  <c r="I1020" i="2"/>
  <c r="J1020" i="2"/>
  <c r="F1021" i="2"/>
  <c r="G1021" i="2"/>
  <c r="H1021" i="2"/>
  <c r="I1021" i="2"/>
  <c r="J1021" i="2"/>
  <c r="F1022" i="2"/>
  <c r="G1022" i="2"/>
  <c r="H1022" i="2"/>
  <c r="I1022" i="2"/>
  <c r="J1022" i="2"/>
  <c r="F1023" i="2"/>
  <c r="G1023" i="2"/>
  <c r="H1023" i="2"/>
  <c r="I1023" i="2"/>
  <c r="J1023" i="2"/>
  <c r="F1024" i="2"/>
  <c r="G1024" i="2"/>
  <c r="H1024" i="2"/>
  <c r="I1024" i="2"/>
  <c r="J1024" i="2"/>
  <c r="F1025" i="2"/>
  <c r="G1025" i="2"/>
  <c r="H1025" i="2"/>
  <c r="I1025" i="2"/>
  <c r="J1025" i="2"/>
  <c r="F1026" i="2"/>
  <c r="G1026" i="2"/>
  <c r="H1026" i="2"/>
  <c r="I1026" i="2"/>
  <c r="J1026" i="2"/>
  <c r="F1027" i="2"/>
  <c r="G1027" i="2"/>
  <c r="H1027" i="2"/>
  <c r="I1027" i="2"/>
  <c r="J1027" i="2"/>
  <c r="F1028" i="2"/>
  <c r="G1028" i="2"/>
  <c r="H1028" i="2"/>
  <c r="I1028" i="2"/>
  <c r="J1028" i="2"/>
  <c r="F1029" i="2"/>
  <c r="G1029" i="2"/>
  <c r="H1029" i="2"/>
  <c r="I1029" i="2"/>
  <c r="J1029" i="2"/>
  <c r="F1030" i="2"/>
  <c r="G1030" i="2"/>
  <c r="H1030" i="2"/>
  <c r="I1030" i="2"/>
  <c r="J1030" i="2"/>
  <c r="F1031" i="2"/>
  <c r="G1031" i="2"/>
  <c r="H1031" i="2"/>
  <c r="I1031" i="2"/>
  <c r="J1031" i="2"/>
  <c r="F1032" i="2"/>
  <c r="G1032" i="2"/>
  <c r="H1032" i="2"/>
  <c r="I1032" i="2"/>
  <c r="J1032" i="2"/>
  <c r="F1033" i="2"/>
  <c r="G1033" i="2"/>
  <c r="H1033" i="2"/>
  <c r="I1033" i="2"/>
  <c r="J1033" i="2"/>
  <c r="F1034" i="2"/>
  <c r="G1034" i="2"/>
  <c r="H1034" i="2"/>
  <c r="I1034" i="2"/>
  <c r="J1034" i="2"/>
  <c r="F1035" i="2"/>
  <c r="G1035" i="2"/>
  <c r="H1035" i="2"/>
  <c r="I1035" i="2"/>
  <c r="J1035" i="2"/>
  <c r="F1036" i="2"/>
  <c r="G1036" i="2"/>
  <c r="H1036" i="2"/>
  <c r="I1036" i="2"/>
  <c r="J1036" i="2"/>
  <c r="F1037" i="2"/>
  <c r="G1037" i="2"/>
  <c r="H1037" i="2"/>
  <c r="I1037" i="2"/>
  <c r="J1037" i="2"/>
  <c r="F1038" i="2"/>
  <c r="G1038" i="2"/>
  <c r="H1038" i="2"/>
  <c r="I1038" i="2"/>
  <c r="J1038" i="2"/>
  <c r="F1039" i="2"/>
  <c r="G1039" i="2"/>
  <c r="H1039" i="2"/>
  <c r="I1039" i="2"/>
  <c r="J1039" i="2"/>
  <c r="F1040" i="2"/>
  <c r="G1040" i="2"/>
  <c r="H1040" i="2"/>
  <c r="I1040" i="2"/>
  <c r="J1040" i="2"/>
  <c r="F1041" i="2"/>
  <c r="G1041" i="2"/>
  <c r="H1041" i="2"/>
  <c r="I1041" i="2"/>
  <c r="J1041" i="2"/>
  <c r="F1042" i="2"/>
  <c r="G1042" i="2"/>
  <c r="H1042" i="2"/>
  <c r="I1042" i="2"/>
  <c r="J1042" i="2"/>
  <c r="F1043" i="2"/>
  <c r="G1043" i="2"/>
  <c r="H1043" i="2"/>
  <c r="I1043" i="2"/>
  <c r="J1043" i="2"/>
  <c r="F1044" i="2"/>
  <c r="G1044" i="2"/>
  <c r="H1044" i="2"/>
  <c r="I1044" i="2"/>
  <c r="J1044" i="2"/>
  <c r="F1045" i="2"/>
  <c r="G1045" i="2"/>
  <c r="H1045" i="2"/>
  <c r="I1045" i="2"/>
  <c r="J1045" i="2"/>
  <c r="F1046" i="2"/>
  <c r="G1046" i="2"/>
  <c r="H1046" i="2"/>
  <c r="I1046" i="2"/>
  <c r="J1046" i="2"/>
  <c r="F1047" i="2"/>
  <c r="G1047" i="2"/>
  <c r="H1047" i="2"/>
  <c r="I1047" i="2"/>
  <c r="J1047" i="2"/>
  <c r="F1048" i="2"/>
  <c r="G1048" i="2"/>
  <c r="H1048" i="2"/>
  <c r="I1048" i="2"/>
  <c r="J1048" i="2"/>
  <c r="F1049" i="2"/>
  <c r="G1049" i="2"/>
  <c r="H1049" i="2"/>
  <c r="I1049" i="2"/>
  <c r="J1049" i="2"/>
  <c r="F1050" i="2"/>
  <c r="G1050" i="2"/>
  <c r="H1050" i="2"/>
  <c r="I1050" i="2"/>
  <c r="J1050" i="2"/>
  <c r="F1051" i="2"/>
  <c r="G1051" i="2"/>
  <c r="H1051" i="2"/>
  <c r="I1051" i="2"/>
  <c r="J1051" i="2"/>
  <c r="F1052" i="2"/>
  <c r="G1052" i="2"/>
  <c r="H1052" i="2"/>
  <c r="I1052" i="2"/>
  <c r="J1052" i="2"/>
  <c r="F1053" i="2"/>
  <c r="G1053" i="2"/>
  <c r="H1053" i="2"/>
  <c r="I1053" i="2"/>
  <c r="J1053" i="2"/>
  <c r="F1054" i="2"/>
  <c r="G1054" i="2"/>
  <c r="H1054" i="2"/>
  <c r="I1054" i="2"/>
  <c r="J1054" i="2"/>
  <c r="F1055" i="2"/>
  <c r="G1055" i="2"/>
  <c r="H1055" i="2"/>
  <c r="I1055" i="2"/>
  <c r="J1055" i="2"/>
  <c r="F1056" i="2"/>
  <c r="G1056" i="2"/>
  <c r="H1056" i="2"/>
  <c r="I1056" i="2"/>
  <c r="J1056" i="2"/>
  <c r="F1057" i="2"/>
  <c r="G1057" i="2"/>
  <c r="H1057" i="2"/>
  <c r="I1057" i="2"/>
  <c r="J1057" i="2"/>
  <c r="F1058" i="2"/>
  <c r="G1058" i="2"/>
  <c r="H1058" i="2"/>
  <c r="I1058" i="2"/>
  <c r="J1058" i="2"/>
  <c r="F1059" i="2"/>
  <c r="G1059" i="2"/>
  <c r="H1059" i="2"/>
  <c r="I1059" i="2"/>
  <c r="J1059" i="2"/>
  <c r="F1060" i="2"/>
  <c r="G1060" i="2"/>
  <c r="H1060" i="2"/>
  <c r="I1060" i="2"/>
  <c r="J1060" i="2"/>
  <c r="F1061" i="2"/>
  <c r="G1061" i="2"/>
  <c r="H1061" i="2"/>
  <c r="I1061" i="2"/>
  <c r="J1061" i="2"/>
  <c r="F1062" i="2"/>
  <c r="G1062" i="2"/>
  <c r="H1062" i="2"/>
  <c r="I1062" i="2"/>
  <c r="J1062" i="2"/>
  <c r="F1063" i="2"/>
  <c r="G1063" i="2"/>
  <c r="H1063" i="2"/>
  <c r="I1063" i="2"/>
  <c r="J1063" i="2"/>
  <c r="F1064" i="2"/>
  <c r="G1064" i="2"/>
  <c r="H1064" i="2"/>
  <c r="I1064" i="2"/>
  <c r="J1064" i="2"/>
  <c r="F1065" i="2"/>
  <c r="G1065" i="2"/>
  <c r="H1065" i="2"/>
  <c r="I1065" i="2"/>
  <c r="J1065" i="2"/>
  <c r="F1066" i="2"/>
  <c r="G1066" i="2"/>
  <c r="H1066" i="2"/>
  <c r="I1066" i="2"/>
  <c r="J1066" i="2"/>
  <c r="F1067" i="2"/>
  <c r="G1067" i="2"/>
  <c r="H1067" i="2"/>
  <c r="I1067" i="2"/>
  <c r="J1067" i="2"/>
  <c r="F1068" i="2"/>
  <c r="G1068" i="2"/>
  <c r="H1068" i="2"/>
  <c r="I1068" i="2"/>
  <c r="J1068" i="2"/>
  <c r="F1069" i="2"/>
  <c r="G1069" i="2"/>
  <c r="H1069" i="2"/>
  <c r="I1069" i="2"/>
  <c r="J1069" i="2"/>
  <c r="F1070" i="2"/>
  <c r="G1070" i="2"/>
  <c r="H1070" i="2"/>
  <c r="I1070" i="2"/>
  <c r="J1070" i="2"/>
  <c r="F1071" i="2"/>
  <c r="G1071" i="2"/>
  <c r="H1071" i="2"/>
  <c r="I1071" i="2"/>
  <c r="J1071" i="2"/>
  <c r="F1072" i="2"/>
  <c r="G1072" i="2"/>
  <c r="H1072" i="2"/>
  <c r="I1072" i="2"/>
  <c r="J1072" i="2"/>
  <c r="F1073" i="2"/>
  <c r="G1073" i="2"/>
  <c r="H1073" i="2"/>
  <c r="I1073" i="2"/>
  <c r="J1073" i="2"/>
  <c r="F1074" i="2"/>
  <c r="G1074" i="2"/>
  <c r="H1074" i="2"/>
  <c r="I1074" i="2"/>
  <c r="J1074" i="2"/>
  <c r="F1075" i="2"/>
  <c r="G1075" i="2"/>
  <c r="H1075" i="2"/>
  <c r="I1075" i="2"/>
  <c r="J1075" i="2"/>
  <c r="F1076" i="2"/>
  <c r="G1076" i="2"/>
  <c r="H1076" i="2"/>
  <c r="I1076" i="2"/>
  <c r="J1076" i="2"/>
  <c r="F1077" i="2"/>
  <c r="G1077" i="2"/>
  <c r="H1077" i="2"/>
  <c r="I1077" i="2"/>
  <c r="J1077" i="2"/>
  <c r="F1078" i="2"/>
  <c r="G1078" i="2"/>
  <c r="H1078" i="2"/>
  <c r="I1078" i="2"/>
  <c r="J1078" i="2"/>
  <c r="F1079" i="2"/>
  <c r="G1079" i="2"/>
  <c r="H1079" i="2"/>
  <c r="I1079" i="2"/>
  <c r="J1079" i="2"/>
  <c r="F1080" i="2"/>
  <c r="G1080" i="2"/>
  <c r="H1080" i="2"/>
  <c r="I1080" i="2"/>
  <c r="J1080" i="2"/>
  <c r="F1081" i="2"/>
  <c r="G1081" i="2"/>
  <c r="H1081" i="2"/>
  <c r="I1081" i="2"/>
  <c r="J1081" i="2"/>
  <c r="F1082" i="2"/>
  <c r="G1082" i="2"/>
  <c r="H1082" i="2"/>
  <c r="I1082" i="2"/>
  <c r="J1082" i="2"/>
  <c r="F1083" i="2"/>
  <c r="G1083" i="2"/>
  <c r="H1083" i="2"/>
  <c r="I1083" i="2"/>
  <c r="J1083" i="2"/>
  <c r="F1084" i="2"/>
  <c r="G1084" i="2"/>
  <c r="H1084" i="2"/>
  <c r="I1084" i="2"/>
  <c r="J1084" i="2"/>
  <c r="F1085" i="2"/>
  <c r="G1085" i="2"/>
  <c r="H1085" i="2"/>
  <c r="I1085" i="2"/>
  <c r="J1085" i="2"/>
  <c r="F1086" i="2"/>
  <c r="G1086" i="2"/>
  <c r="H1086" i="2"/>
  <c r="I1086" i="2"/>
  <c r="J1086" i="2"/>
  <c r="F1087" i="2"/>
  <c r="G1087" i="2"/>
  <c r="H1087" i="2"/>
  <c r="I1087" i="2"/>
  <c r="J1087" i="2"/>
  <c r="F1088" i="2"/>
  <c r="G1088" i="2"/>
  <c r="H1088" i="2"/>
  <c r="I1088" i="2"/>
  <c r="J1088" i="2"/>
  <c r="F1089" i="2"/>
  <c r="G1089" i="2"/>
  <c r="H1089" i="2"/>
  <c r="I1089" i="2"/>
  <c r="J1089" i="2"/>
  <c r="F1090" i="2"/>
  <c r="G1090" i="2"/>
  <c r="H1090" i="2"/>
  <c r="I1090" i="2"/>
  <c r="J1090" i="2"/>
  <c r="F1091" i="2"/>
  <c r="G1091" i="2"/>
  <c r="H1091" i="2"/>
  <c r="I1091" i="2"/>
  <c r="J1091" i="2"/>
  <c r="F1092" i="2"/>
  <c r="G1092" i="2"/>
  <c r="H1092" i="2"/>
  <c r="I1092" i="2"/>
  <c r="J1092" i="2"/>
  <c r="F1093" i="2"/>
  <c r="G1093" i="2"/>
  <c r="H1093" i="2"/>
  <c r="I1093" i="2"/>
  <c r="J1093" i="2"/>
  <c r="F1094" i="2"/>
  <c r="G1094" i="2"/>
  <c r="H1094" i="2"/>
  <c r="I1094" i="2"/>
  <c r="J1094" i="2"/>
  <c r="F1095" i="2"/>
  <c r="G1095" i="2"/>
  <c r="H1095" i="2"/>
  <c r="I1095" i="2"/>
  <c r="J1095" i="2"/>
  <c r="F1096" i="2"/>
  <c r="G1096" i="2"/>
  <c r="H1096" i="2"/>
  <c r="I1096" i="2"/>
  <c r="J1096" i="2"/>
  <c r="F1097" i="2"/>
  <c r="G1097" i="2"/>
  <c r="H1097" i="2"/>
  <c r="I1097" i="2"/>
  <c r="J1097" i="2"/>
  <c r="F1098" i="2"/>
  <c r="G1098" i="2"/>
  <c r="H1098" i="2"/>
  <c r="I1098" i="2"/>
  <c r="J1098" i="2"/>
  <c r="F1099" i="2"/>
  <c r="G1099" i="2"/>
  <c r="H1099" i="2"/>
  <c r="I1099" i="2"/>
  <c r="J1099" i="2"/>
  <c r="F1100" i="2"/>
  <c r="G1100" i="2"/>
  <c r="H1100" i="2"/>
  <c r="I1100" i="2"/>
  <c r="J1100" i="2"/>
  <c r="F1101" i="2"/>
  <c r="G1101" i="2"/>
  <c r="H1101" i="2"/>
  <c r="I1101" i="2"/>
  <c r="J1101" i="2"/>
  <c r="F1102" i="2"/>
  <c r="G1102" i="2"/>
  <c r="H1102" i="2"/>
  <c r="I1102" i="2"/>
  <c r="J1102" i="2"/>
  <c r="F1103" i="2"/>
  <c r="G1103" i="2"/>
  <c r="H1103" i="2"/>
  <c r="I1103" i="2"/>
  <c r="J1103" i="2"/>
  <c r="F1104" i="2"/>
  <c r="G1104" i="2"/>
  <c r="H1104" i="2"/>
  <c r="I1104" i="2"/>
  <c r="J1104" i="2"/>
  <c r="F1105" i="2"/>
  <c r="G1105" i="2"/>
  <c r="H1105" i="2"/>
  <c r="I1105" i="2"/>
  <c r="J1105" i="2"/>
  <c r="F1106" i="2"/>
  <c r="G1106" i="2"/>
  <c r="H1106" i="2"/>
  <c r="I1106" i="2"/>
  <c r="J1106" i="2"/>
  <c r="F1107" i="2"/>
  <c r="G1107" i="2"/>
  <c r="H1107" i="2"/>
  <c r="I1107" i="2"/>
  <c r="J1107" i="2"/>
  <c r="F1108" i="2"/>
  <c r="G1108" i="2"/>
  <c r="H1108" i="2"/>
  <c r="I1108" i="2"/>
  <c r="J1108" i="2"/>
  <c r="F1109" i="2"/>
  <c r="G1109" i="2"/>
  <c r="H1109" i="2"/>
  <c r="I1109" i="2"/>
  <c r="J1109" i="2"/>
  <c r="F1110" i="2"/>
  <c r="G1110" i="2"/>
  <c r="H1110" i="2"/>
  <c r="I1110" i="2"/>
  <c r="J1110" i="2"/>
  <c r="F1111" i="2"/>
  <c r="G1111" i="2"/>
  <c r="H1111" i="2"/>
  <c r="I1111" i="2"/>
  <c r="J1111" i="2"/>
  <c r="F1112" i="2"/>
  <c r="G1112" i="2"/>
  <c r="H1112" i="2"/>
  <c r="I1112" i="2"/>
  <c r="J1112" i="2"/>
  <c r="F1113" i="2"/>
  <c r="G1113" i="2"/>
  <c r="H1113" i="2"/>
  <c r="I1113" i="2"/>
  <c r="J1113" i="2"/>
  <c r="F1114" i="2"/>
  <c r="G1114" i="2"/>
  <c r="H1114" i="2"/>
  <c r="I1114" i="2"/>
  <c r="J1114" i="2"/>
  <c r="F1115" i="2"/>
  <c r="G1115" i="2"/>
  <c r="H1115" i="2"/>
  <c r="I1115" i="2"/>
  <c r="J1115" i="2"/>
  <c r="F1116" i="2"/>
  <c r="G1116" i="2"/>
  <c r="H1116" i="2"/>
  <c r="I1116" i="2"/>
  <c r="J1116" i="2"/>
  <c r="F1117" i="2"/>
  <c r="G1117" i="2"/>
  <c r="H1117" i="2"/>
  <c r="I1117" i="2"/>
  <c r="J1117" i="2"/>
  <c r="F1118" i="2"/>
  <c r="G1118" i="2"/>
  <c r="H1118" i="2"/>
  <c r="I1118" i="2"/>
  <c r="J1118" i="2"/>
  <c r="F1119" i="2"/>
  <c r="G1119" i="2"/>
  <c r="H1119" i="2"/>
  <c r="I1119" i="2"/>
  <c r="J1119" i="2"/>
  <c r="F1120" i="2"/>
  <c r="G1120" i="2"/>
  <c r="H1120" i="2"/>
  <c r="I1120" i="2"/>
  <c r="J1120" i="2"/>
  <c r="F1121" i="2"/>
  <c r="G1121" i="2"/>
  <c r="H1121" i="2"/>
  <c r="I1121" i="2"/>
  <c r="J1121" i="2"/>
  <c r="F1122" i="2"/>
  <c r="G1122" i="2"/>
  <c r="H1122" i="2"/>
  <c r="I1122" i="2"/>
  <c r="J1122" i="2"/>
  <c r="F1123" i="2"/>
  <c r="G1123" i="2"/>
  <c r="H1123" i="2"/>
  <c r="I1123" i="2"/>
  <c r="J1123" i="2"/>
  <c r="F1124" i="2"/>
  <c r="G1124" i="2"/>
  <c r="H1124" i="2"/>
  <c r="I1124" i="2"/>
  <c r="J1124" i="2"/>
  <c r="F1125" i="2"/>
  <c r="G1125" i="2"/>
  <c r="H1125" i="2"/>
  <c r="I1125" i="2"/>
  <c r="J1125" i="2"/>
  <c r="F1126" i="2"/>
  <c r="G1126" i="2"/>
  <c r="H1126" i="2"/>
  <c r="I1126" i="2"/>
  <c r="J1126" i="2"/>
  <c r="F1127" i="2"/>
  <c r="G1127" i="2"/>
  <c r="H1127" i="2"/>
  <c r="I1127" i="2"/>
  <c r="J1127" i="2"/>
  <c r="F1128" i="2"/>
  <c r="G1128" i="2"/>
  <c r="H1128" i="2"/>
  <c r="I1128" i="2"/>
  <c r="J1128" i="2"/>
  <c r="F1129" i="2"/>
  <c r="G1129" i="2"/>
  <c r="H1129" i="2"/>
  <c r="I1129" i="2"/>
  <c r="J1129" i="2"/>
  <c r="F1130" i="2"/>
  <c r="G1130" i="2"/>
  <c r="H1130" i="2"/>
  <c r="I1130" i="2"/>
  <c r="J1130" i="2"/>
  <c r="F1131" i="2"/>
  <c r="G1131" i="2"/>
  <c r="H1131" i="2"/>
  <c r="I1131" i="2"/>
  <c r="J1131" i="2"/>
  <c r="F1132" i="2"/>
  <c r="G1132" i="2"/>
  <c r="H1132" i="2"/>
  <c r="I1132" i="2"/>
  <c r="J1132" i="2"/>
  <c r="F1133" i="2"/>
  <c r="G1133" i="2"/>
  <c r="H1133" i="2"/>
  <c r="I1133" i="2"/>
  <c r="J1133" i="2"/>
  <c r="F1134" i="2"/>
  <c r="G1134" i="2"/>
  <c r="H1134" i="2"/>
  <c r="I1134" i="2"/>
  <c r="J1134" i="2"/>
  <c r="F1135" i="2"/>
  <c r="G1135" i="2"/>
  <c r="H1135" i="2"/>
  <c r="I1135" i="2"/>
  <c r="J1135" i="2"/>
  <c r="F1136" i="2"/>
  <c r="G1136" i="2"/>
  <c r="H1136" i="2"/>
  <c r="I1136" i="2"/>
  <c r="J1136" i="2"/>
  <c r="F1137" i="2"/>
  <c r="G1137" i="2"/>
  <c r="H1137" i="2"/>
  <c r="I1137" i="2"/>
  <c r="J1137" i="2"/>
  <c r="F1138" i="2"/>
  <c r="G1138" i="2"/>
  <c r="H1138" i="2"/>
  <c r="I1138" i="2"/>
  <c r="J1138" i="2"/>
  <c r="F1139" i="2"/>
  <c r="G1139" i="2"/>
  <c r="H1139" i="2"/>
  <c r="I1139" i="2"/>
  <c r="J1139" i="2"/>
  <c r="F1140" i="2"/>
  <c r="G1140" i="2"/>
  <c r="H1140" i="2"/>
  <c r="I1140" i="2"/>
  <c r="J1140" i="2"/>
  <c r="F1141" i="2"/>
  <c r="G1141" i="2"/>
  <c r="H1141" i="2"/>
  <c r="I1141" i="2"/>
  <c r="J1141" i="2"/>
  <c r="F1142" i="2"/>
  <c r="G1142" i="2"/>
  <c r="H1142" i="2"/>
  <c r="I1142" i="2"/>
  <c r="J1142" i="2"/>
  <c r="F1143" i="2"/>
  <c r="G1143" i="2"/>
  <c r="H1143" i="2"/>
  <c r="I1143" i="2"/>
  <c r="J1143" i="2"/>
  <c r="F1144" i="2"/>
  <c r="G1144" i="2"/>
  <c r="H1144" i="2"/>
  <c r="I1144" i="2"/>
  <c r="J1144" i="2"/>
  <c r="F1145" i="2"/>
  <c r="G1145" i="2"/>
  <c r="H1145" i="2"/>
  <c r="I1145" i="2"/>
  <c r="J1145" i="2"/>
  <c r="F1146" i="2"/>
  <c r="G1146" i="2"/>
  <c r="H1146" i="2"/>
  <c r="I1146" i="2"/>
  <c r="J1146" i="2"/>
  <c r="F1147" i="2"/>
  <c r="G1147" i="2"/>
  <c r="H1147" i="2"/>
  <c r="I1147" i="2"/>
  <c r="J1147" i="2"/>
  <c r="F1148" i="2"/>
  <c r="G1148" i="2"/>
  <c r="H1148" i="2"/>
  <c r="I1148" i="2"/>
  <c r="J1148" i="2"/>
  <c r="F1149" i="2"/>
  <c r="G1149" i="2"/>
  <c r="H1149" i="2"/>
  <c r="I1149" i="2"/>
  <c r="J1149" i="2"/>
  <c r="F1150" i="2"/>
  <c r="G1150" i="2"/>
  <c r="H1150" i="2"/>
  <c r="I1150" i="2"/>
  <c r="J1150" i="2"/>
  <c r="F1151" i="2"/>
  <c r="G1151" i="2"/>
  <c r="H1151" i="2"/>
  <c r="I1151" i="2"/>
  <c r="J1151" i="2"/>
  <c r="F1152" i="2"/>
  <c r="G1152" i="2"/>
  <c r="H1152" i="2"/>
  <c r="I1152" i="2"/>
  <c r="J1152" i="2"/>
  <c r="F1153" i="2"/>
  <c r="G1153" i="2"/>
  <c r="H1153" i="2"/>
  <c r="I1153" i="2"/>
  <c r="J1153" i="2"/>
  <c r="F1154" i="2"/>
  <c r="G1154" i="2"/>
  <c r="H1154" i="2"/>
  <c r="I1154" i="2"/>
  <c r="J1154" i="2"/>
  <c r="F1155" i="2"/>
  <c r="G1155" i="2"/>
  <c r="H1155" i="2"/>
  <c r="I1155" i="2"/>
  <c r="J1155" i="2"/>
  <c r="F1156" i="2"/>
  <c r="G1156" i="2"/>
  <c r="H1156" i="2"/>
  <c r="I1156" i="2"/>
  <c r="J1156" i="2"/>
  <c r="F1157" i="2"/>
  <c r="G1157" i="2"/>
  <c r="H1157" i="2"/>
  <c r="I1157" i="2"/>
  <c r="J1157" i="2"/>
  <c r="F1158" i="2"/>
  <c r="G1158" i="2"/>
  <c r="H1158" i="2"/>
  <c r="I1158" i="2"/>
  <c r="J1158" i="2"/>
  <c r="F1159" i="2"/>
  <c r="G1159" i="2"/>
  <c r="H1159" i="2"/>
  <c r="I1159" i="2"/>
  <c r="J1159" i="2"/>
  <c r="F1160" i="2"/>
  <c r="G1160" i="2"/>
  <c r="H1160" i="2"/>
  <c r="I1160" i="2"/>
  <c r="J1160" i="2"/>
  <c r="F1161" i="2"/>
  <c r="G1161" i="2"/>
  <c r="H1161" i="2"/>
  <c r="I1161" i="2"/>
  <c r="J1161" i="2"/>
  <c r="F1162" i="2"/>
  <c r="G1162" i="2"/>
  <c r="H1162" i="2"/>
  <c r="I1162" i="2"/>
  <c r="J1162" i="2"/>
  <c r="F1163" i="2"/>
  <c r="G1163" i="2"/>
  <c r="H1163" i="2"/>
  <c r="I1163" i="2"/>
  <c r="J1163" i="2"/>
  <c r="F1164" i="2"/>
  <c r="G1164" i="2"/>
  <c r="H1164" i="2"/>
  <c r="I1164" i="2"/>
  <c r="J1164" i="2"/>
  <c r="F1165" i="2"/>
  <c r="G1165" i="2"/>
  <c r="H1165" i="2"/>
  <c r="I1165" i="2"/>
  <c r="J1165" i="2"/>
  <c r="F1166" i="2"/>
  <c r="G1166" i="2"/>
  <c r="H1166" i="2"/>
  <c r="I1166" i="2"/>
  <c r="J1166" i="2"/>
  <c r="F1167" i="2"/>
  <c r="G1167" i="2"/>
  <c r="H1167" i="2"/>
  <c r="I1167" i="2"/>
  <c r="J1167" i="2"/>
  <c r="F1168" i="2"/>
  <c r="G1168" i="2"/>
  <c r="H1168" i="2"/>
  <c r="I1168" i="2"/>
  <c r="J1168" i="2"/>
  <c r="F1169" i="2"/>
  <c r="G1169" i="2"/>
  <c r="H1169" i="2"/>
  <c r="I1169" i="2"/>
  <c r="J1169" i="2"/>
  <c r="F1170" i="2"/>
  <c r="G1170" i="2"/>
  <c r="H1170" i="2"/>
  <c r="I1170" i="2"/>
  <c r="J1170" i="2"/>
  <c r="F1171" i="2"/>
  <c r="G1171" i="2"/>
  <c r="H1171" i="2"/>
  <c r="I1171" i="2"/>
  <c r="J1171" i="2"/>
  <c r="F1172" i="2"/>
  <c r="G1172" i="2"/>
  <c r="H1172" i="2"/>
  <c r="I1172" i="2"/>
  <c r="J1172" i="2"/>
  <c r="F1173" i="2"/>
  <c r="G1173" i="2"/>
  <c r="H1173" i="2"/>
  <c r="I1173" i="2"/>
  <c r="J1173" i="2"/>
  <c r="F1174" i="2"/>
  <c r="G1174" i="2"/>
  <c r="H1174" i="2"/>
  <c r="I1174" i="2"/>
  <c r="J1174" i="2"/>
  <c r="F1175" i="2"/>
  <c r="G1175" i="2"/>
  <c r="H1175" i="2"/>
  <c r="I1175" i="2"/>
  <c r="J1175" i="2"/>
  <c r="F1176" i="2"/>
  <c r="G1176" i="2"/>
  <c r="H1176" i="2"/>
  <c r="I1176" i="2"/>
  <c r="J1176" i="2"/>
  <c r="F1177" i="2"/>
  <c r="G1177" i="2"/>
  <c r="H1177" i="2"/>
  <c r="I1177" i="2"/>
  <c r="J1177" i="2"/>
  <c r="F1178" i="2"/>
  <c r="G1178" i="2"/>
  <c r="H1178" i="2"/>
  <c r="I1178" i="2"/>
  <c r="J1178" i="2"/>
  <c r="F1179" i="2"/>
  <c r="G1179" i="2"/>
  <c r="H1179" i="2"/>
  <c r="I1179" i="2"/>
  <c r="J1179" i="2"/>
  <c r="F1180" i="2"/>
  <c r="G1180" i="2"/>
  <c r="H1180" i="2"/>
  <c r="I1180" i="2"/>
  <c r="J1180" i="2"/>
  <c r="F1181" i="2"/>
  <c r="G1181" i="2"/>
  <c r="H1181" i="2"/>
  <c r="I1181" i="2"/>
  <c r="J1181" i="2"/>
  <c r="F1182" i="2"/>
  <c r="G1182" i="2"/>
  <c r="H1182" i="2"/>
  <c r="I1182" i="2"/>
  <c r="J1182" i="2"/>
  <c r="F1183" i="2"/>
  <c r="G1183" i="2"/>
  <c r="H1183" i="2"/>
  <c r="I1183" i="2"/>
  <c r="J1183" i="2"/>
  <c r="F1184" i="2"/>
  <c r="G1184" i="2"/>
  <c r="H1184" i="2"/>
  <c r="I1184" i="2"/>
  <c r="J1184" i="2"/>
  <c r="F1185" i="2"/>
  <c r="G1185" i="2"/>
  <c r="H1185" i="2"/>
  <c r="I1185" i="2"/>
  <c r="J1185" i="2"/>
  <c r="F1186" i="2"/>
  <c r="G1186" i="2"/>
  <c r="H1186" i="2"/>
  <c r="I1186" i="2"/>
  <c r="J1186" i="2"/>
  <c r="F1187" i="2"/>
  <c r="G1187" i="2"/>
  <c r="H1187" i="2"/>
  <c r="I1187" i="2"/>
  <c r="J1187" i="2"/>
  <c r="F1188" i="2"/>
  <c r="G1188" i="2"/>
  <c r="H1188" i="2"/>
  <c r="I1188" i="2"/>
  <c r="J1188" i="2"/>
  <c r="F1189" i="2"/>
  <c r="G1189" i="2"/>
  <c r="H1189" i="2"/>
  <c r="I1189" i="2"/>
  <c r="J1189" i="2"/>
  <c r="F1190" i="2"/>
  <c r="G1190" i="2"/>
  <c r="H1190" i="2"/>
  <c r="I1190" i="2"/>
  <c r="J1190" i="2"/>
  <c r="F1191" i="2"/>
  <c r="G1191" i="2"/>
  <c r="H1191" i="2"/>
  <c r="I1191" i="2"/>
  <c r="J1191" i="2"/>
  <c r="F1192" i="2"/>
  <c r="G1192" i="2"/>
  <c r="H1192" i="2"/>
  <c r="I1192" i="2"/>
  <c r="J1192" i="2"/>
  <c r="F1193" i="2"/>
  <c r="G1193" i="2"/>
  <c r="H1193" i="2"/>
  <c r="I1193" i="2"/>
  <c r="J1193" i="2"/>
  <c r="F1194" i="2"/>
  <c r="G1194" i="2"/>
  <c r="H1194" i="2"/>
  <c r="I1194" i="2"/>
  <c r="J1194" i="2"/>
  <c r="F1195" i="2"/>
  <c r="G1195" i="2"/>
  <c r="H1195" i="2"/>
  <c r="I1195" i="2"/>
  <c r="J1195" i="2"/>
  <c r="F1196" i="2"/>
  <c r="G1196" i="2"/>
  <c r="H1196" i="2"/>
  <c r="I1196" i="2"/>
  <c r="J1196" i="2"/>
  <c r="F1197" i="2"/>
  <c r="G1197" i="2"/>
  <c r="H1197" i="2"/>
  <c r="I1197" i="2"/>
  <c r="J1197" i="2"/>
  <c r="F1198" i="2"/>
  <c r="G1198" i="2"/>
  <c r="H1198" i="2"/>
  <c r="I1198" i="2"/>
  <c r="J1198" i="2"/>
  <c r="F1199" i="2"/>
  <c r="G1199" i="2"/>
  <c r="H1199" i="2"/>
  <c r="I1199" i="2"/>
  <c r="J1199" i="2"/>
  <c r="F1200" i="2"/>
  <c r="G1200" i="2"/>
  <c r="H1200" i="2"/>
  <c r="I1200" i="2"/>
  <c r="J1200" i="2"/>
  <c r="F1201" i="2"/>
  <c r="G1201" i="2"/>
  <c r="H1201" i="2"/>
  <c r="I1201" i="2"/>
  <c r="J1201" i="2"/>
  <c r="F1202" i="2"/>
  <c r="G1202" i="2"/>
  <c r="H1202" i="2"/>
  <c r="I1202" i="2"/>
  <c r="J1202" i="2"/>
  <c r="F1203" i="2"/>
  <c r="G1203" i="2"/>
  <c r="H1203" i="2"/>
  <c r="I1203" i="2"/>
  <c r="J1203" i="2"/>
  <c r="F1204" i="2"/>
  <c r="G1204" i="2"/>
  <c r="H1204" i="2"/>
  <c r="I1204" i="2"/>
  <c r="J1204" i="2"/>
  <c r="F1205" i="2"/>
  <c r="G1205" i="2"/>
  <c r="H1205" i="2"/>
  <c r="I1205" i="2"/>
  <c r="J1205" i="2"/>
  <c r="F1206" i="2"/>
  <c r="G1206" i="2"/>
  <c r="H1206" i="2"/>
  <c r="I1206" i="2"/>
  <c r="J1206" i="2"/>
  <c r="F1207" i="2"/>
  <c r="G1207" i="2"/>
  <c r="H1207" i="2"/>
  <c r="I1207" i="2"/>
  <c r="J1207" i="2"/>
  <c r="F1208" i="2"/>
  <c r="G1208" i="2"/>
  <c r="H1208" i="2"/>
  <c r="I1208" i="2"/>
  <c r="J1208" i="2"/>
  <c r="F1209" i="2"/>
  <c r="G1209" i="2"/>
  <c r="H1209" i="2"/>
  <c r="I1209" i="2"/>
  <c r="J1209" i="2"/>
  <c r="F1210" i="2"/>
  <c r="G1210" i="2"/>
  <c r="H1210" i="2"/>
  <c r="I1210" i="2"/>
  <c r="J1210" i="2"/>
  <c r="F1211" i="2"/>
  <c r="G1211" i="2"/>
  <c r="H1211" i="2"/>
  <c r="I1211" i="2"/>
  <c r="J1211" i="2"/>
  <c r="F1212" i="2"/>
  <c r="G1212" i="2"/>
  <c r="H1212" i="2"/>
  <c r="I1212" i="2"/>
  <c r="J1212" i="2"/>
  <c r="F1213" i="2"/>
  <c r="G1213" i="2"/>
  <c r="H1213" i="2"/>
  <c r="I1213" i="2"/>
  <c r="J1213" i="2"/>
  <c r="F1214" i="2"/>
  <c r="G1214" i="2"/>
  <c r="H1214" i="2"/>
  <c r="I1214" i="2"/>
  <c r="J1214" i="2"/>
  <c r="F1215" i="2"/>
  <c r="G1215" i="2"/>
  <c r="H1215" i="2"/>
  <c r="I1215" i="2"/>
  <c r="J1215" i="2"/>
  <c r="F1216" i="2"/>
  <c r="G1216" i="2"/>
  <c r="H1216" i="2"/>
  <c r="I1216" i="2"/>
  <c r="J1216" i="2"/>
  <c r="F1217" i="2"/>
  <c r="G1217" i="2"/>
  <c r="H1217" i="2"/>
  <c r="I1217" i="2"/>
  <c r="J1217" i="2"/>
  <c r="F1218" i="2"/>
  <c r="G1218" i="2"/>
  <c r="H1218" i="2"/>
  <c r="I1218" i="2"/>
  <c r="J1218" i="2"/>
  <c r="F1219" i="2"/>
  <c r="G1219" i="2"/>
  <c r="H1219" i="2"/>
  <c r="I1219" i="2"/>
  <c r="J1219" i="2"/>
  <c r="F1220" i="2"/>
  <c r="G1220" i="2"/>
  <c r="H1220" i="2"/>
  <c r="I1220" i="2"/>
  <c r="J1220" i="2"/>
  <c r="F1221" i="2"/>
  <c r="G1221" i="2"/>
  <c r="H1221" i="2"/>
  <c r="I1221" i="2"/>
  <c r="J1221" i="2"/>
  <c r="F1222" i="2"/>
  <c r="G1222" i="2"/>
  <c r="H1222" i="2"/>
  <c r="I1222" i="2"/>
  <c r="J1222" i="2"/>
  <c r="F1223" i="2"/>
  <c r="G1223" i="2"/>
  <c r="H1223" i="2"/>
  <c r="I1223" i="2"/>
  <c r="J1223" i="2"/>
  <c r="F1224" i="2"/>
  <c r="G1224" i="2"/>
  <c r="H1224" i="2"/>
  <c r="I1224" i="2"/>
  <c r="J1224" i="2"/>
  <c r="F1225" i="2"/>
  <c r="G1225" i="2"/>
  <c r="H1225" i="2"/>
  <c r="I1225" i="2"/>
  <c r="J1225" i="2"/>
  <c r="F1226" i="2"/>
  <c r="G1226" i="2"/>
  <c r="H1226" i="2"/>
  <c r="I1226" i="2"/>
  <c r="J1226" i="2"/>
  <c r="F1227" i="2"/>
  <c r="G1227" i="2"/>
  <c r="H1227" i="2"/>
  <c r="I1227" i="2"/>
  <c r="J1227" i="2"/>
  <c r="F1228" i="2"/>
  <c r="G1228" i="2"/>
  <c r="H1228" i="2"/>
  <c r="I1228" i="2"/>
  <c r="J1228" i="2"/>
  <c r="F1229" i="2"/>
  <c r="G1229" i="2"/>
  <c r="H1229" i="2"/>
  <c r="I1229" i="2"/>
  <c r="J1229" i="2"/>
  <c r="F1230" i="2"/>
  <c r="G1230" i="2"/>
  <c r="H1230" i="2"/>
  <c r="I1230" i="2"/>
  <c r="J1230" i="2"/>
  <c r="F1231" i="2"/>
  <c r="G1231" i="2"/>
  <c r="H1231" i="2"/>
  <c r="I1231" i="2"/>
  <c r="J1231" i="2"/>
  <c r="F1232" i="2"/>
  <c r="G1232" i="2"/>
  <c r="H1232" i="2"/>
  <c r="I1232" i="2"/>
  <c r="J1232" i="2"/>
  <c r="F1233" i="2"/>
  <c r="G1233" i="2"/>
  <c r="H1233" i="2"/>
  <c r="I1233" i="2"/>
  <c r="J1233" i="2"/>
  <c r="F1234" i="2"/>
  <c r="G1234" i="2"/>
  <c r="H1234" i="2"/>
  <c r="I1234" i="2"/>
  <c r="J1234" i="2"/>
  <c r="F1235" i="2"/>
  <c r="G1235" i="2"/>
  <c r="H1235" i="2"/>
  <c r="I1235" i="2"/>
  <c r="J1235" i="2"/>
  <c r="F1236" i="2"/>
  <c r="G1236" i="2"/>
  <c r="H1236" i="2"/>
  <c r="I1236" i="2"/>
  <c r="J1236" i="2"/>
  <c r="F1237" i="2"/>
  <c r="G1237" i="2"/>
  <c r="H1237" i="2"/>
  <c r="I1237" i="2"/>
  <c r="J1237" i="2"/>
  <c r="F1238" i="2"/>
  <c r="G1238" i="2"/>
  <c r="H1238" i="2"/>
  <c r="I1238" i="2"/>
  <c r="J1238" i="2"/>
  <c r="F1239" i="2"/>
  <c r="G1239" i="2"/>
  <c r="H1239" i="2"/>
  <c r="I1239" i="2"/>
  <c r="J1239" i="2"/>
  <c r="F1240" i="2"/>
  <c r="G1240" i="2"/>
  <c r="H1240" i="2"/>
  <c r="I1240" i="2"/>
  <c r="J1240" i="2"/>
  <c r="F1241" i="2"/>
  <c r="G1241" i="2"/>
  <c r="H1241" i="2"/>
  <c r="I1241" i="2"/>
  <c r="J1241" i="2"/>
  <c r="F1242" i="2"/>
  <c r="G1242" i="2"/>
  <c r="H1242" i="2"/>
  <c r="I1242" i="2"/>
  <c r="J1242" i="2"/>
  <c r="F1243" i="2"/>
  <c r="G1243" i="2"/>
  <c r="H1243" i="2"/>
  <c r="I1243" i="2"/>
  <c r="J1243" i="2"/>
  <c r="F1244" i="2"/>
  <c r="G1244" i="2"/>
  <c r="H1244" i="2"/>
  <c r="I1244" i="2"/>
  <c r="J1244" i="2"/>
  <c r="F1245" i="2"/>
  <c r="G1245" i="2"/>
  <c r="H1245" i="2"/>
  <c r="I1245" i="2"/>
  <c r="J1245" i="2"/>
  <c r="F1246" i="2"/>
  <c r="G1246" i="2"/>
  <c r="H1246" i="2"/>
  <c r="I1246" i="2"/>
  <c r="J1246" i="2"/>
  <c r="F1247" i="2"/>
  <c r="G1247" i="2"/>
  <c r="H1247" i="2"/>
  <c r="I1247" i="2"/>
  <c r="J1247" i="2"/>
  <c r="F1248" i="2"/>
  <c r="G1248" i="2"/>
  <c r="H1248" i="2"/>
  <c r="I1248" i="2"/>
  <c r="J1248" i="2"/>
  <c r="F1249" i="2"/>
  <c r="G1249" i="2"/>
  <c r="H1249" i="2"/>
  <c r="I1249" i="2"/>
  <c r="J1249" i="2"/>
  <c r="F1250" i="2"/>
  <c r="G1250" i="2"/>
  <c r="H1250" i="2"/>
  <c r="I1250" i="2"/>
  <c r="J1250" i="2"/>
  <c r="F1251" i="2"/>
  <c r="G1251" i="2"/>
  <c r="H1251" i="2"/>
  <c r="I1251" i="2"/>
  <c r="J1251" i="2"/>
  <c r="F1252" i="2"/>
  <c r="G1252" i="2"/>
  <c r="H1252" i="2"/>
  <c r="I1252" i="2"/>
  <c r="J1252" i="2"/>
  <c r="F1253" i="2"/>
  <c r="G1253" i="2"/>
  <c r="H1253" i="2"/>
  <c r="I1253" i="2"/>
  <c r="J1253" i="2"/>
  <c r="F1254" i="2"/>
  <c r="G1254" i="2"/>
  <c r="H1254" i="2"/>
  <c r="I1254" i="2"/>
  <c r="J1254" i="2"/>
  <c r="F1255" i="2"/>
  <c r="G1255" i="2"/>
  <c r="H1255" i="2"/>
  <c r="I1255" i="2"/>
  <c r="J1255" i="2"/>
  <c r="F1256" i="2"/>
  <c r="G1256" i="2"/>
  <c r="H1256" i="2"/>
  <c r="I1256" i="2"/>
  <c r="J1256" i="2"/>
  <c r="F1257" i="2"/>
  <c r="G1257" i="2"/>
  <c r="H1257" i="2"/>
  <c r="I1257" i="2"/>
  <c r="J1257" i="2"/>
  <c r="F1258" i="2"/>
  <c r="G1258" i="2"/>
  <c r="H1258" i="2"/>
  <c r="I1258" i="2"/>
  <c r="J1258" i="2"/>
  <c r="F1259" i="2"/>
  <c r="G1259" i="2"/>
  <c r="H1259" i="2"/>
  <c r="I1259" i="2"/>
  <c r="J1259" i="2"/>
  <c r="F1260" i="2"/>
  <c r="G1260" i="2"/>
  <c r="H1260" i="2"/>
  <c r="I1260" i="2"/>
  <c r="J1260" i="2"/>
  <c r="F1261" i="2"/>
  <c r="G1261" i="2"/>
  <c r="H1261" i="2"/>
  <c r="I1261" i="2"/>
  <c r="J1261" i="2"/>
  <c r="F1262" i="2"/>
  <c r="G1262" i="2"/>
  <c r="H1262" i="2"/>
  <c r="I1262" i="2"/>
  <c r="J1262" i="2"/>
  <c r="F1263" i="2"/>
  <c r="G1263" i="2"/>
  <c r="H1263" i="2"/>
  <c r="I1263" i="2"/>
  <c r="J1263" i="2"/>
  <c r="F1264" i="2"/>
  <c r="G1264" i="2"/>
  <c r="H1264" i="2"/>
  <c r="I1264" i="2"/>
  <c r="J1264" i="2"/>
  <c r="F1265" i="2"/>
  <c r="G1265" i="2"/>
  <c r="H1265" i="2"/>
  <c r="I1265" i="2"/>
  <c r="J1265" i="2"/>
  <c r="F1266" i="2"/>
  <c r="G1266" i="2"/>
  <c r="H1266" i="2"/>
  <c r="I1266" i="2"/>
  <c r="J1266" i="2"/>
  <c r="F1267" i="2"/>
  <c r="G1267" i="2"/>
  <c r="H1267" i="2"/>
  <c r="I1267" i="2"/>
  <c r="J1267" i="2"/>
  <c r="F1268" i="2"/>
  <c r="G1268" i="2"/>
  <c r="H1268" i="2"/>
  <c r="I1268" i="2"/>
  <c r="J1268" i="2"/>
  <c r="F1269" i="2"/>
  <c r="G1269" i="2"/>
  <c r="H1269" i="2"/>
  <c r="I1269" i="2"/>
  <c r="J1269" i="2"/>
  <c r="F1270" i="2"/>
  <c r="G1270" i="2"/>
  <c r="H1270" i="2"/>
  <c r="I1270" i="2"/>
  <c r="J1270" i="2"/>
  <c r="F1271" i="2"/>
  <c r="G1271" i="2"/>
  <c r="H1271" i="2"/>
  <c r="I1271" i="2"/>
  <c r="J1271" i="2"/>
  <c r="F1272" i="2"/>
  <c r="G1272" i="2"/>
  <c r="H1272" i="2"/>
  <c r="I1272" i="2"/>
  <c r="J1272" i="2"/>
  <c r="F1273" i="2"/>
  <c r="G1273" i="2"/>
  <c r="H1273" i="2"/>
  <c r="I1273" i="2"/>
  <c r="J1273" i="2"/>
  <c r="F1274" i="2"/>
  <c r="G1274" i="2"/>
  <c r="H1274" i="2"/>
  <c r="I1274" i="2"/>
  <c r="J1274" i="2"/>
  <c r="F1275" i="2"/>
  <c r="G1275" i="2"/>
  <c r="H1275" i="2"/>
  <c r="I1275" i="2"/>
  <c r="J1275" i="2"/>
  <c r="F1276" i="2"/>
  <c r="G1276" i="2"/>
  <c r="H1276" i="2"/>
  <c r="I1276" i="2"/>
  <c r="J1276" i="2"/>
  <c r="F1277" i="2"/>
  <c r="G1277" i="2"/>
  <c r="H1277" i="2"/>
  <c r="I1277" i="2"/>
  <c r="J1277" i="2"/>
  <c r="F1278" i="2"/>
  <c r="G1278" i="2"/>
  <c r="H1278" i="2"/>
  <c r="I1278" i="2"/>
  <c r="J1278" i="2"/>
  <c r="F1279" i="2"/>
  <c r="G1279" i="2"/>
  <c r="H1279" i="2"/>
  <c r="I1279" i="2"/>
  <c r="J1279" i="2"/>
  <c r="F1280" i="2"/>
  <c r="G1280" i="2"/>
  <c r="H1280" i="2"/>
  <c r="I1280" i="2"/>
  <c r="J1280" i="2"/>
  <c r="F1281" i="2"/>
  <c r="G1281" i="2"/>
  <c r="H1281" i="2"/>
  <c r="I1281" i="2"/>
  <c r="J1281" i="2"/>
  <c r="F1282" i="2"/>
  <c r="G1282" i="2"/>
  <c r="H1282" i="2"/>
  <c r="I1282" i="2"/>
  <c r="J1282" i="2"/>
  <c r="F1283" i="2"/>
  <c r="G1283" i="2"/>
  <c r="H1283" i="2"/>
  <c r="I1283" i="2"/>
  <c r="J1283" i="2"/>
  <c r="F1284" i="2"/>
  <c r="G1284" i="2"/>
  <c r="H1284" i="2"/>
  <c r="I1284" i="2"/>
  <c r="J1284" i="2"/>
  <c r="F1285" i="2"/>
  <c r="G1285" i="2"/>
  <c r="H1285" i="2"/>
  <c r="I1285" i="2"/>
  <c r="J1285" i="2"/>
  <c r="F1286" i="2"/>
  <c r="G1286" i="2"/>
  <c r="H1286" i="2"/>
  <c r="I1286" i="2"/>
  <c r="J1286" i="2"/>
  <c r="F1287" i="2"/>
  <c r="G1287" i="2"/>
  <c r="H1287" i="2"/>
  <c r="I1287" i="2"/>
  <c r="J1287" i="2"/>
  <c r="F1288" i="2"/>
  <c r="G1288" i="2"/>
  <c r="H1288" i="2"/>
  <c r="I1288" i="2"/>
  <c r="J1288" i="2"/>
  <c r="F1289" i="2"/>
  <c r="G1289" i="2"/>
  <c r="H1289" i="2"/>
  <c r="I1289" i="2"/>
  <c r="J1289" i="2"/>
  <c r="F1290" i="2"/>
  <c r="G1290" i="2"/>
  <c r="H1290" i="2"/>
  <c r="I1290" i="2"/>
  <c r="J1290" i="2"/>
  <c r="F1291" i="2"/>
  <c r="G1291" i="2"/>
  <c r="H1291" i="2"/>
  <c r="I1291" i="2"/>
  <c r="J1291" i="2"/>
  <c r="F1292" i="2"/>
  <c r="G1292" i="2"/>
  <c r="H1292" i="2"/>
  <c r="I1292" i="2"/>
  <c r="J1292" i="2"/>
  <c r="F1293" i="2"/>
  <c r="G1293" i="2"/>
  <c r="H1293" i="2"/>
  <c r="I1293" i="2"/>
  <c r="J1293" i="2"/>
  <c r="F1294" i="2"/>
  <c r="G1294" i="2"/>
  <c r="H1294" i="2"/>
  <c r="I1294" i="2"/>
  <c r="J1294" i="2"/>
  <c r="F1295" i="2"/>
  <c r="G1295" i="2"/>
  <c r="H1295" i="2"/>
  <c r="I1295" i="2"/>
  <c r="J1295" i="2"/>
  <c r="F1296" i="2"/>
  <c r="G1296" i="2"/>
  <c r="H1296" i="2"/>
  <c r="I1296" i="2"/>
  <c r="J1296" i="2"/>
  <c r="F1297" i="2"/>
  <c r="G1297" i="2"/>
  <c r="H1297" i="2"/>
  <c r="I1297" i="2"/>
  <c r="J1297" i="2"/>
  <c r="F1298" i="2"/>
  <c r="G1298" i="2"/>
  <c r="H1298" i="2"/>
  <c r="I1298" i="2"/>
  <c r="J1298" i="2"/>
  <c r="F1299" i="2"/>
  <c r="G1299" i="2"/>
  <c r="H1299" i="2"/>
  <c r="I1299" i="2"/>
  <c r="J1299" i="2"/>
  <c r="F1300" i="2"/>
  <c r="G1300" i="2"/>
  <c r="H1300" i="2"/>
  <c r="I1300" i="2"/>
  <c r="J1300" i="2"/>
  <c r="F1301" i="2"/>
  <c r="G1301" i="2"/>
  <c r="H1301" i="2"/>
  <c r="I1301" i="2"/>
  <c r="J1301" i="2"/>
  <c r="F1302" i="2"/>
  <c r="G1302" i="2"/>
  <c r="H1302" i="2"/>
  <c r="I1302" i="2"/>
  <c r="J1302" i="2"/>
  <c r="F1303" i="2"/>
  <c r="G1303" i="2"/>
  <c r="H1303" i="2"/>
  <c r="I1303" i="2"/>
  <c r="J1303" i="2"/>
  <c r="F1304" i="2"/>
  <c r="G1304" i="2"/>
  <c r="H1304" i="2"/>
  <c r="I1304" i="2"/>
  <c r="J1304" i="2"/>
  <c r="F1305" i="2"/>
  <c r="G1305" i="2"/>
  <c r="H1305" i="2"/>
  <c r="I1305" i="2"/>
  <c r="J1305" i="2"/>
  <c r="F1306" i="2"/>
  <c r="G1306" i="2"/>
  <c r="H1306" i="2"/>
  <c r="I1306" i="2"/>
  <c r="J1306" i="2"/>
  <c r="F1307" i="2"/>
  <c r="G1307" i="2"/>
  <c r="H1307" i="2"/>
  <c r="I1307" i="2"/>
  <c r="J1307" i="2"/>
  <c r="F1308" i="2"/>
  <c r="G1308" i="2"/>
  <c r="H1308" i="2"/>
  <c r="I1308" i="2"/>
  <c r="J1308" i="2"/>
  <c r="F1309" i="2"/>
  <c r="G1309" i="2"/>
  <c r="H1309" i="2"/>
  <c r="I1309" i="2"/>
  <c r="J1309" i="2"/>
  <c r="F1310" i="2"/>
  <c r="G1310" i="2"/>
  <c r="H1310" i="2"/>
  <c r="I1310" i="2"/>
  <c r="J1310" i="2"/>
  <c r="F1311" i="2"/>
  <c r="G1311" i="2"/>
  <c r="H1311" i="2"/>
  <c r="I1311" i="2"/>
  <c r="J1311" i="2"/>
  <c r="F1312" i="2"/>
  <c r="G1312" i="2"/>
  <c r="H1312" i="2"/>
  <c r="I1312" i="2"/>
  <c r="J1312" i="2"/>
  <c r="F1313" i="2"/>
  <c r="G1313" i="2"/>
  <c r="H1313" i="2"/>
  <c r="I1313" i="2"/>
  <c r="J1313" i="2"/>
  <c r="F1314" i="2"/>
  <c r="G1314" i="2"/>
  <c r="H1314" i="2"/>
  <c r="I1314" i="2"/>
  <c r="J1314" i="2"/>
  <c r="F1315" i="2"/>
  <c r="G1315" i="2"/>
  <c r="H1315" i="2"/>
  <c r="I1315" i="2"/>
  <c r="J1315" i="2"/>
  <c r="F1316" i="2"/>
  <c r="G1316" i="2"/>
  <c r="H1316" i="2"/>
  <c r="I1316" i="2"/>
  <c r="J1316" i="2"/>
  <c r="F1317" i="2"/>
  <c r="G1317" i="2"/>
  <c r="H1317" i="2"/>
  <c r="I1317" i="2"/>
  <c r="J1317" i="2"/>
  <c r="F1318" i="2"/>
  <c r="G1318" i="2"/>
  <c r="H1318" i="2"/>
  <c r="I1318" i="2"/>
  <c r="J1318" i="2"/>
  <c r="F1319" i="2"/>
  <c r="G1319" i="2"/>
  <c r="H1319" i="2"/>
  <c r="I1319" i="2"/>
  <c r="J1319" i="2"/>
  <c r="F1320" i="2"/>
  <c r="G1320" i="2"/>
  <c r="H1320" i="2"/>
  <c r="I1320" i="2"/>
  <c r="J1320" i="2"/>
  <c r="F1321" i="2"/>
  <c r="G1321" i="2"/>
  <c r="H1321" i="2"/>
  <c r="I1321" i="2"/>
  <c r="J1321" i="2"/>
  <c r="F1322" i="2"/>
  <c r="G1322" i="2"/>
  <c r="H1322" i="2"/>
  <c r="I1322" i="2"/>
  <c r="J1322" i="2"/>
  <c r="F1323" i="2"/>
  <c r="G1323" i="2"/>
  <c r="H1323" i="2"/>
  <c r="I1323" i="2"/>
  <c r="J1323" i="2"/>
  <c r="F1324" i="2"/>
  <c r="G1324" i="2"/>
  <c r="H1324" i="2"/>
  <c r="I1324" i="2"/>
  <c r="J1324" i="2"/>
  <c r="F1325" i="2"/>
  <c r="G1325" i="2"/>
  <c r="H1325" i="2"/>
  <c r="I1325" i="2"/>
  <c r="J1325" i="2"/>
  <c r="F1326" i="2"/>
  <c r="G1326" i="2"/>
  <c r="H1326" i="2"/>
  <c r="I1326" i="2"/>
  <c r="J1326" i="2"/>
  <c r="F1327" i="2"/>
  <c r="G1327" i="2"/>
  <c r="H1327" i="2"/>
  <c r="I1327" i="2"/>
  <c r="J1327" i="2"/>
  <c r="F1328" i="2"/>
  <c r="G1328" i="2"/>
  <c r="H1328" i="2"/>
  <c r="I1328" i="2"/>
  <c r="J1328" i="2"/>
  <c r="F1329" i="2"/>
  <c r="G1329" i="2"/>
  <c r="H1329" i="2"/>
  <c r="I1329" i="2"/>
  <c r="J1329" i="2"/>
  <c r="F1330" i="2"/>
  <c r="G1330" i="2"/>
  <c r="H1330" i="2"/>
  <c r="I1330" i="2"/>
  <c r="J1330" i="2"/>
  <c r="F1331" i="2"/>
  <c r="G1331" i="2"/>
  <c r="H1331" i="2"/>
  <c r="I1331" i="2"/>
  <c r="J1331" i="2"/>
  <c r="F1332" i="2"/>
  <c r="G1332" i="2"/>
  <c r="H1332" i="2"/>
  <c r="I1332" i="2"/>
  <c r="J1332" i="2"/>
  <c r="J2" i="2"/>
  <c r="I2" i="2"/>
  <c r="H2" i="2"/>
  <c r="G2" i="2"/>
  <c r="F2" i="2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7" i="1"/>
  <c r="K6" i="1"/>
  <c r="J14" i="1"/>
  <c r="J10" i="1"/>
  <c r="J9" i="1"/>
  <c r="G9" i="1"/>
  <c r="H9" i="1"/>
  <c r="I9" i="1"/>
  <c r="G10" i="1"/>
  <c r="H10" i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G11" i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J11" i="1"/>
  <c r="J12" i="1" s="1"/>
  <c r="J13" i="1" s="1"/>
  <c r="G12" i="1"/>
  <c r="G13" i="1" s="1"/>
  <c r="G14" i="1" s="1"/>
  <c r="G15" i="1" s="1"/>
  <c r="G16" i="1" s="1"/>
  <c r="G17" i="1" s="1"/>
  <c r="G18" i="1" s="1"/>
  <c r="G19" i="1" s="1"/>
  <c r="J15" i="1"/>
  <c r="J16" i="1"/>
  <c r="J17" i="1" s="1"/>
  <c r="J18" i="1"/>
  <c r="J19" i="1" s="1"/>
  <c r="G20" i="1"/>
  <c r="G21" i="1" s="1"/>
  <c r="G22" i="1" s="1"/>
  <c r="G23" i="1" s="1"/>
  <c r="G24" i="1" s="1"/>
  <c r="G25" i="1" s="1"/>
  <c r="G26" i="1" s="1"/>
  <c r="G27" i="1" s="1"/>
  <c r="J20" i="1"/>
  <c r="J21" i="1" s="1"/>
  <c r="J22" i="1" s="1"/>
  <c r="J23" i="1" s="1"/>
  <c r="J24" i="1" s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I36" i="1"/>
  <c r="I37" i="1"/>
  <c r="J37" i="1"/>
  <c r="J38" i="1" s="1"/>
  <c r="J39" i="1" s="1"/>
  <c r="I38" i="1"/>
  <c r="I39" i="1" s="1"/>
  <c r="I40" i="1" s="1"/>
  <c r="I41" i="1" s="1"/>
  <c r="J40" i="1"/>
  <c r="J41" i="1" s="1"/>
  <c r="J42" i="1" s="1"/>
  <c r="I42" i="1"/>
  <c r="I43" i="1" s="1"/>
  <c r="I44" i="1" s="1"/>
  <c r="I45" i="1" s="1"/>
  <c r="J43" i="1"/>
  <c r="J44" i="1" s="1"/>
  <c r="J45" i="1"/>
  <c r="J46" i="1" s="1"/>
  <c r="I46" i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J47" i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/>
  <c r="J61" i="1"/>
  <c r="J62" i="1"/>
  <c r="J63" i="1" s="1"/>
  <c r="J64" i="1"/>
  <c r="J65" i="1" s="1"/>
  <c r="J66" i="1" s="1"/>
  <c r="J67" i="1" s="1"/>
  <c r="J68" i="1" s="1"/>
  <c r="J69" i="1" s="1"/>
  <c r="J70" i="1" s="1"/>
  <c r="J71" i="1" s="1"/>
  <c r="J72" i="1" s="1"/>
  <c r="I72" i="1"/>
  <c r="I73" i="1"/>
  <c r="J73" i="1"/>
  <c r="J74" i="1" s="1"/>
  <c r="J75" i="1" s="1"/>
  <c r="I74" i="1"/>
  <c r="I75" i="1" s="1"/>
  <c r="I76" i="1" s="1"/>
  <c r="I77" i="1" s="1"/>
  <c r="J76" i="1"/>
  <c r="J77" i="1" s="1"/>
  <c r="J78" i="1" s="1"/>
  <c r="I78" i="1"/>
  <c r="I79" i="1" s="1"/>
  <c r="I80" i="1" s="1"/>
  <c r="I81" i="1" s="1"/>
  <c r="J79" i="1"/>
  <c r="J80" i="1" s="1"/>
  <c r="J81" i="1" s="1"/>
  <c r="J82" i="1" s="1"/>
  <c r="I82" i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J83" i="1"/>
  <c r="J84" i="1" s="1"/>
  <c r="J85" i="1" s="1"/>
  <c r="J86" i="1" s="1"/>
  <c r="J87" i="1"/>
  <c r="J88" i="1" s="1"/>
  <c r="J89" i="1" s="1"/>
  <c r="J90" i="1"/>
  <c r="J91" i="1" s="1"/>
  <c r="J92" i="1"/>
  <c r="J93" i="1" s="1"/>
  <c r="J94" i="1" s="1"/>
  <c r="J95" i="1" s="1"/>
  <c r="J96" i="1" s="1"/>
  <c r="J97" i="1" s="1"/>
  <c r="I93" i="1"/>
  <c r="I94" i="1" s="1"/>
  <c r="I95" i="1" s="1"/>
  <c r="I96" i="1" s="1"/>
  <c r="I97" i="1" s="1"/>
  <c r="I98" i="1" s="1"/>
  <c r="G97" i="1"/>
  <c r="G98" i="1" s="1"/>
  <c r="G99" i="1" s="1"/>
  <c r="G100" i="1" s="1"/>
  <c r="G101" i="1" s="1"/>
  <c r="G102" i="1" s="1"/>
  <c r="G103" i="1" s="1"/>
  <c r="G104" i="1" s="1"/>
  <c r="J98" i="1"/>
  <c r="J99" i="1" s="1"/>
  <c r="J100" i="1" s="1"/>
  <c r="J101" i="1" s="1"/>
  <c r="J102" i="1" s="1"/>
  <c r="J103" i="1" s="1"/>
  <c r="J104" i="1" s="1"/>
  <c r="I99" i="1"/>
  <c r="I100" i="1" s="1"/>
  <c r="I101" i="1" s="1"/>
  <c r="I102" i="1" s="1"/>
  <c r="I103" i="1"/>
  <c r="I104" i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G105" i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J105" i="1"/>
  <c r="J106" i="1" s="1"/>
  <c r="J107" i="1" s="1"/>
  <c r="J108" i="1" s="1"/>
  <c r="J109" i="1" s="1"/>
  <c r="J110" i="1"/>
  <c r="J111" i="1" s="1"/>
  <c r="J112" i="1" s="1"/>
  <c r="J113" i="1" s="1"/>
  <c r="J114" i="1" s="1"/>
  <c r="J115" i="1"/>
  <c r="J116" i="1" s="1"/>
  <c r="J117" i="1" s="1"/>
  <c r="I117" i="1"/>
  <c r="I118" i="1"/>
  <c r="J118" i="1"/>
  <c r="J119" i="1" s="1"/>
  <c r="J120" i="1" s="1"/>
  <c r="J121" i="1" s="1"/>
  <c r="I119" i="1"/>
  <c r="I120" i="1" s="1"/>
  <c r="H120" i="1"/>
  <c r="H121" i="1" s="1"/>
  <c r="H122" i="1" s="1"/>
  <c r="H123" i="1" s="1"/>
  <c r="I121" i="1"/>
  <c r="I122" i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I123" i="1"/>
  <c r="I124" i="1" s="1"/>
  <c r="I125" i="1" s="1"/>
  <c r="I126" i="1" s="1"/>
  <c r="H124" i="1"/>
  <c r="H125" i="1" s="1"/>
  <c r="H126" i="1" s="1"/>
  <c r="H127" i="1" s="1"/>
  <c r="I127" i="1"/>
  <c r="I128" i="1" s="1"/>
  <c r="I129" i="1" s="1"/>
  <c r="I130" i="1" s="1"/>
  <c r="H128" i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I131" i="1"/>
  <c r="I132" i="1" s="1"/>
  <c r="I133" i="1"/>
  <c r="I134" i="1"/>
  <c r="J134" i="1"/>
  <c r="J135" i="1" s="1"/>
  <c r="J136" i="1" s="1"/>
  <c r="J137" i="1" s="1"/>
  <c r="J138" i="1" s="1"/>
  <c r="J139" i="1" s="1"/>
  <c r="J140" i="1" s="1"/>
  <c r="J141" i="1" s="1"/>
  <c r="J142" i="1" s="1"/>
  <c r="I135" i="1"/>
  <c r="I136" i="1" s="1"/>
  <c r="I137" i="1" s="1"/>
  <c r="I138" i="1" s="1"/>
  <c r="I139" i="1"/>
  <c r="I140" i="1" s="1"/>
  <c r="I141" i="1" s="1"/>
  <c r="I142" i="1"/>
  <c r="I143" i="1"/>
  <c r="I144" i="1" s="1"/>
  <c r="I145" i="1" s="1"/>
  <c r="J143" i="1"/>
  <c r="J144" i="1" s="1"/>
  <c r="J145" i="1" s="1"/>
  <c r="J146" i="1" s="1"/>
  <c r="H145" i="1"/>
  <c r="H146" i="1"/>
  <c r="I146" i="1"/>
  <c r="H147" i="1"/>
  <c r="I147" i="1"/>
  <c r="I148" i="1" s="1"/>
  <c r="I149" i="1" s="1"/>
  <c r="I150" i="1" s="1"/>
  <c r="I151" i="1" s="1"/>
  <c r="I152" i="1" s="1"/>
  <c r="I153" i="1" s="1"/>
  <c r="I154" i="1" s="1"/>
  <c r="J147" i="1"/>
  <c r="J148" i="1" s="1"/>
  <c r="J149" i="1" s="1"/>
  <c r="J150" i="1" s="1"/>
  <c r="J151" i="1" s="1"/>
  <c r="H148" i="1"/>
  <c r="H149" i="1" s="1"/>
  <c r="H150" i="1" s="1"/>
  <c r="H151" i="1" s="1"/>
  <c r="H152" i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J152" i="1"/>
  <c r="J153" i="1" s="1"/>
  <c r="J154" i="1" s="1"/>
  <c r="J155" i="1" s="1"/>
  <c r="J156" i="1" s="1"/>
  <c r="J157" i="1" s="1"/>
  <c r="I155" i="1"/>
  <c r="I156" i="1" s="1"/>
  <c r="I157" i="1"/>
  <c r="I158" i="1"/>
  <c r="J158" i="1"/>
  <c r="J159" i="1" s="1"/>
  <c r="J160" i="1" s="1"/>
  <c r="J161" i="1" s="1"/>
  <c r="J162" i="1" s="1"/>
  <c r="J163" i="1" s="1"/>
  <c r="J164" i="1" s="1"/>
  <c r="I159" i="1"/>
  <c r="I160" i="1" s="1"/>
  <c r="I161" i="1" s="1"/>
  <c r="I162" i="1" s="1"/>
  <c r="I163" i="1"/>
  <c r="I164" i="1" s="1"/>
  <c r="I165" i="1" s="1"/>
  <c r="J165" i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I166" i="1"/>
  <c r="I167" i="1"/>
  <c r="I168" i="1" s="1"/>
  <c r="I169" i="1" s="1"/>
  <c r="I170" i="1" s="1"/>
  <c r="I171" i="1"/>
  <c r="I172" i="1" s="1"/>
  <c r="I173" i="1" s="1"/>
  <c r="I174" i="1" s="1"/>
  <c r="I175" i="1" s="1"/>
  <c r="G174" i="1"/>
  <c r="G175" i="1"/>
  <c r="H175" i="1"/>
  <c r="G176" i="1"/>
  <c r="H176" i="1"/>
  <c r="H177" i="1" s="1"/>
  <c r="H178" i="1" s="1"/>
  <c r="H179" i="1" s="1"/>
  <c r="I176" i="1"/>
  <c r="G177" i="1"/>
  <c r="G178" i="1" s="1"/>
  <c r="G179" i="1" s="1"/>
  <c r="G180" i="1" s="1"/>
  <c r="I177" i="1"/>
  <c r="J177" i="1"/>
  <c r="J178" i="1" s="1"/>
  <c r="J179" i="1" s="1"/>
  <c r="J180" i="1" s="1"/>
  <c r="J181" i="1" s="1"/>
  <c r="I178" i="1"/>
  <c r="I179" i="1"/>
  <c r="I180" i="1" s="1"/>
  <c r="H180" i="1"/>
  <c r="H181" i="1" s="1"/>
  <c r="H182" i="1" s="1"/>
  <c r="H183" i="1" s="1"/>
  <c r="G181" i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I181" i="1"/>
  <c r="I182" i="1"/>
  <c r="J182" i="1"/>
  <c r="J183" i="1" s="1"/>
  <c r="J184" i="1" s="1"/>
  <c r="J185" i="1" s="1"/>
  <c r="J186" i="1" s="1"/>
  <c r="J187" i="1" s="1"/>
  <c r="I183" i="1"/>
  <c r="I184" i="1" s="1"/>
  <c r="I185" i="1" s="1"/>
  <c r="I186" i="1" s="1"/>
  <c r="H184" i="1"/>
  <c r="H185" i="1" s="1"/>
  <c r="H186" i="1"/>
  <c r="H187" i="1"/>
  <c r="I187" i="1"/>
  <c r="I188" i="1" s="1"/>
  <c r="I189" i="1" s="1"/>
  <c r="I190" i="1" s="1"/>
  <c r="H188" i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J188" i="1"/>
  <c r="J189" i="1" s="1"/>
  <c r="J190" i="1" s="1"/>
  <c r="J191" i="1" s="1"/>
  <c r="I191" i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J192" i="1"/>
  <c r="J193" i="1" s="1"/>
  <c r="J194" i="1" s="1"/>
  <c r="G193" i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J195" i="1"/>
  <c r="J196" i="1" s="1"/>
  <c r="J197" i="1" s="1"/>
  <c r="J198" i="1"/>
  <c r="J199" i="1" s="1"/>
  <c r="J200" i="1" s="1"/>
  <c r="J201" i="1"/>
  <c r="J202" i="1" s="1"/>
  <c r="J203" i="1" s="1"/>
  <c r="J204" i="1"/>
  <c r="J205" i="1" s="1"/>
  <c r="J206" i="1"/>
  <c r="J207" i="1" s="1"/>
  <c r="J208" i="1" s="1"/>
  <c r="J209" i="1" s="1"/>
  <c r="J210" i="1" s="1"/>
  <c r="J211" i="1" s="1"/>
  <c r="J212" i="1" s="1"/>
  <c r="J213" i="1" s="1"/>
  <c r="H212" i="1"/>
  <c r="H213" i="1" s="1"/>
  <c r="H214" i="1" s="1"/>
  <c r="H215" i="1" s="1"/>
  <c r="I213" i="1"/>
  <c r="I214" i="1"/>
  <c r="J214" i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I215" i="1"/>
  <c r="I216" i="1" s="1"/>
  <c r="I217" i="1" s="1"/>
  <c r="I218" i="1" s="1"/>
  <c r="H216" i="1"/>
  <c r="H217" i="1" s="1"/>
  <c r="H218" i="1" s="1"/>
  <c r="H219" i="1" s="1"/>
  <c r="I219" i="1"/>
  <c r="I220" i="1" s="1"/>
  <c r="I221" i="1" s="1"/>
  <c r="I222" i="1" s="1"/>
  <c r="H220" i="1"/>
  <c r="H221" i="1" s="1"/>
  <c r="H222" i="1" s="1"/>
  <c r="H223" i="1" s="1"/>
  <c r="I223" i="1"/>
  <c r="I224" i="1" s="1"/>
  <c r="I225" i="1" s="1"/>
  <c r="H224" i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I226" i="1"/>
  <c r="I227" i="1"/>
  <c r="I228" i="1" s="1"/>
  <c r="I229" i="1" s="1"/>
  <c r="I230" i="1" s="1"/>
  <c r="J227" i="1"/>
  <c r="J228" i="1" s="1"/>
  <c r="J229" i="1"/>
  <c r="J230" i="1" s="1"/>
  <c r="J231" i="1" s="1"/>
  <c r="J232" i="1" s="1"/>
  <c r="I231" i="1"/>
  <c r="I232" i="1" s="1"/>
  <c r="I233" i="1" s="1"/>
  <c r="I234" i="1" s="1"/>
  <c r="I235" i="1" s="1"/>
  <c r="I236" i="1" s="1"/>
  <c r="I237" i="1" s="1"/>
  <c r="I238" i="1" s="1"/>
  <c r="I239" i="1" s="1"/>
  <c r="I240" i="1" s="1"/>
  <c r="G233" i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J233" i="1"/>
  <c r="J234" i="1" s="1"/>
  <c r="J235" i="1"/>
  <c r="J236" i="1" s="1"/>
  <c r="J237" i="1" s="1"/>
  <c r="J238" i="1" s="1"/>
  <c r="J239" i="1" s="1"/>
  <c r="J240" i="1" s="1"/>
  <c r="J241" i="1" s="1"/>
  <c r="H240" i="1"/>
  <c r="H241" i="1" s="1"/>
  <c r="H242" i="1" s="1"/>
  <c r="H243" i="1" s="1"/>
  <c r="I241" i="1"/>
  <c r="I242" i="1"/>
  <c r="J242" i="1"/>
  <c r="J243" i="1" s="1"/>
  <c r="J244" i="1" s="1"/>
  <c r="I243" i="1"/>
  <c r="H244" i="1"/>
  <c r="H245" i="1" s="1"/>
  <c r="H246" i="1" s="1"/>
  <c r="H247" i="1" s="1"/>
  <c r="I244" i="1"/>
  <c r="I245" i="1"/>
  <c r="J245" i="1"/>
  <c r="J246" i="1" s="1"/>
  <c r="J247" i="1" s="1"/>
  <c r="J248" i="1" s="1"/>
  <c r="J249" i="1" s="1"/>
  <c r="J250" i="1" s="1"/>
  <c r="J251" i="1" s="1"/>
  <c r="I246" i="1"/>
  <c r="I247" i="1"/>
  <c r="I248" i="1" s="1"/>
  <c r="I249" i="1" s="1"/>
  <c r="I250" i="1" s="1"/>
  <c r="H248" i="1"/>
  <c r="H249" i="1" s="1"/>
  <c r="G249" i="1"/>
  <c r="G250" i="1" s="1"/>
  <c r="G251" i="1" s="1"/>
  <c r="G252" i="1" s="1"/>
  <c r="H250" i="1"/>
  <c r="H251" i="1"/>
  <c r="I251" i="1"/>
  <c r="I252" i="1" s="1"/>
  <c r="I253" i="1" s="1"/>
  <c r="I254" i="1" s="1"/>
  <c r="H252" i="1"/>
  <c r="H253" i="1" s="1"/>
  <c r="H254" i="1" s="1"/>
  <c r="H255" i="1" s="1"/>
  <c r="J252" i="1"/>
  <c r="J253" i="1" s="1"/>
  <c r="J254" i="1" s="1"/>
  <c r="J255" i="1" s="1"/>
  <c r="J256" i="1" s="1"/>
  <c r="J257" i="1" s="1"/>
  <c r="G253" i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I255" i="1"/>
  <c r="I256" i="1" s="1"/>
  <c r="I257" i="1" s="1"/>
  <c r="H256" i="1"/>
  <c r="H257" i="1" s="1"/>
  <c r="H258" i="1" s="1"/>
  <c r="H259" i="1" s="1"/>
  <c r="H260" i="1" s="1"/>
  <c r="H261" i="1" s="1"/>
  <c r="H262" i="1" s="1"/>
  <c r="H263" i="1" s="1"/>
  <c r="I258" i="1"/>
  <c r="J258" i="1"/>
  <c r="J259" i="1" s="1"/>
  <c r="J260" i="1" s="1"/>
  <c r="J261" i="1" s="1"/>
  <c r="J262" i="1" s="1"/>
  <c r="I259" i="1"/>
  <c r="I260" i="1" s="1"/>
  <c r="I261" i="1" s="1"/>
  <c r="I262" i="1"/>
  <c r="I263" i="1" s="1"/>
  <c r="I264" i="1" s="1"/>
  <c r="I265" i="1" s="1"/>
  <c r="J263" i="1"/>
  <c r="J264" i="1" s="1"/>
  <c r="J265" i="1" s="1"/>
  <c r="J266" i="1" s="1"/>
  <c r="H264" i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I266" i="1"/>
  <c r="I267" i="1"/>
  <c r="I268" i="1" s="1"/>
  <c r="I269" i="1" s="1"/>
  <c r="J267" i="1"/>
  <c r="J268" i="1" s="1"/>
  <c r="J269" i="1" s="1"/>
  <c r="J270" i="1" s="1"/>
  <c r="I270" i="1"/>
  <c r="I271" i="1"/>
  <c r="I272" i="1" s="1"/>
  <c r="I273" i="1" s="1"/>
  <c r="I274" i="1" s="1"/>
  <c r="I275" i="1" s="1"/>
  <c r="I276" i="1" s="1"/>
  <c r="I277" i="1" s="1"/>
  <c r="I278" i="1" s="1"/>
  <c r="J271" i="1"/>
  <c r="J272" i="1" s="1"/>
  <c r="J273" i="1"/>
  <c r="J274" i="1" s="1"/>
  <c r="J275" i="1" s="1"/>
  <c r="G276" i="1"/>
  <c r="J276" i="1"/>
  <c r="J277" i="1" s="1"/>
  <c r="J278" i="1" s="1"/>
  <c r="J279" i="1" s="1"/>
  <c r="G277" i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I279" i="1"/>
  <c r="I280" i="1" s="1"/>
  <c r="I281" i="1" s="1"/>
  <c r="J280" i="1"/>
  <c r="J281" i="1" s="1"/>
  <c r="I282" i="1"/>
  <c r="I283" i="1" s="1"/>
  <c r="I284" i="1" s="1"/>
  <c r="I285" i="1" s="1"/>
  <c r="J282" i="1"/>
  <c r="J283" i="1" s="1"/>
  <c r="J284" i="1"/>
  <c r="J285" i="1" s="1"/>
  <c r="J286" i="1" s="1"/>
  <c r="I286" i="1"/>
  <c r="I287" i="1" s="1"/>
  <c r="I288" i="1" s="1"/>
  <c r="I289" i="1" s="1"/>
  <c r="J287" i="1"/>
  <c r="J288" i="1"/>
  <c r="J289" i="1"/>
  <c r="J290" i="1" s="1"/>
  <c r="I290" i="1"/>
  <c r="I291" i="1"/>
  <c r="I292" i="1" s="1"/>
  <c r="J291" i="1"/>
  <c r="J292" i="1" s="1"/>
  <c r="I293" i="1"/>
  <c r="J293" i="1"/>
  <c r="I294" i="1"/>
  <c r="J294" i="1"/>
  <c r="J295" i="1" s="1"/>
  <c r="J296" i="1" s="1"/>
  <c r="I295" i="1"/>
  <c r="I296" i="1" s="1"/>
  <c r="I297" i="1" s="1"/>
  <c r="I298" i="1" s="1"/>
  <c r="I299" i="1" s="1"/>
  <c r="I300" i="1" s="1"/>
  <c r="I301" i="1" s="1"/>
  <c r="I302" i="1" s="1"/>
  <c r="I303" i="1" s="1"/>
  <c r="I304" i="1" s="1"/>
  <c r="J297" i="1"/>
  <c r="J298" i="1" s="1"/>
  <c r="J299" i="1"/>
  <c r="J300" i="1" s="1"/>
  <c r="J301" i="1"/>
  <c r="J302" i="1" s="1"/>
  <c r="J303" i="1"/>
  <c r="J304" i="1" s="1"/>
  <c r="J305" i="1" s="1"/>
  <c r="J306" i="1" s="1"/>
  <c r="I305" i="1"/>
  <c r="I306" i="1" s="1"/>
  <c r="I307" i="1" s="1"/>
  <c r="I308" i="1" s="1"/>
  <c r="I309" i="1" s="1"/>
  <c r="I310" i="1" s="1"/>
  <c r="J307" i="1"/>
  <c r="J308" i="1" s="1"/>
  <c r="G308" i="1"/>
  <c r="G309" i="1"/>
  <c r="G310" i="1" s="1"/>
  <c r="G311" i="1" s="1"/>
  <c r="G312" i="1" s="1"/>
  <c r="J309" i="1"/>
  <c r="J310" i="1" s="1"/>
  <c r="J311" i="1" s="1"/>
  <c r="I311" i="1"/>
  <c r="I312" i="1" s="1"/>
  <c r="J312" i="1"/>
  <c r="G313" i="1"/>
  <c r="G314" i="1" s="1"/>
  <c r="G315" i="1" s="1"/>
  <c r="G316" i="1" s="1"/>
  <c r="G317" i="1" s="1"/>
  <c r="G318" i="1" s="1"/>
  <c r="G319" i="1" s="1"/>
  <c r="G320" i="1" s="1"/>
  <c r="G321" i="1" s="1"/>
  <c r="G322" i="1" s="1"/>
  <c r="I313" i="1"/>
  <c r="J313" i="1"/>
  <c r="I314" i="1"/>
  <c r="J314" i="1"/>
  <c r="J315" i="1" s="1"/>
  <c r="J316" i="1" s="1"/>
  <c r="J317" i="1" s="1"/>
  <c r="I315" i="1"/>
  <c r="I316" i="1" s="1"/>
  <c r="I317" i="1"/>
  <c r="I318" i="1" s="1"/>
  <c r="I319" i="1" s="1"/>
  <c r="I320" i="1" s="1"/>
  <c r="J318" i="1"/>
  <c r="J319" i="1" s="1"/>
  <c r="J320" i="1" s="1"/>
  <c r="I321" i="1"/>
  <c r="I322" i="1" s="1"/>
  <c r="J321" i="1"/>
  <c r="J322" i="1" s="1"/>
  <c r="J323" i="1" s="1"/>
  <c r="G323" i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I323" i="1"/>
  <c r="I324" i="1"/>
  <c r="J324" i="1"/>
  <c r="J325" i="1" s="1"/>
  <c r="J326" i="1" s="1"/>
  <c r="I325" i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J327" i="1"/>
  <c r="J328" i="1" s="1"/>
  <c r="J329" i="1"/>
  <c r="J330" i="1" s="1"/>
  <c r="J331" i="1" s="1"/>
  <c r="J332" i="1"/>
  <c r="J333" i="1" s="1"/>
  <c r="J334" i="1"/>
  <c r="J335" i="1" s="1"/>
  <c r="J336" i="1"/>
  <c r="J337" i="1" s="1"/>
  <c r="J338" i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H347" i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I348" i="1"/>
  <c r="I349" i="1"/>
  <c r="I350" i="1" s="1"/>
  <c r="I351" i="1" s="1"/>
  <c r="I352" i="1" s="1"/>
  <c r="J349" i="1"/>
  <c r="J350" i="1" s="1"/>
  <c r="J351" i="1" s="1"/>
  <c r="J352" i="1"/>
  <c r="J353" i="1" s="1"/>
  <c r="I353" i="1"/>
  <c r="I354" i="1" s="1"/>
  <c r="I355" i="1" s="1"/>
  <c r="I356" i="1" s="1"/>
  <c r="J354" i="1"/>
  <c r="J355" i="1"/>
  <c r="J356" i="1" s="1"/>
  <c r="J357" i="1" s="1"/>
  <c r="I357" i="1"/>
  <c r="I358" i="1" s="1"/>
  <c r="I359" i="1" s="1"/>
  <c r="I360" i="1" s="1"/>
  <c r="J358" i="1"/>
  <c r="J359" i="1" s="1"/>
  <c r="J360" i="1"/>
  <c r="J361" i="1" s="1"/>
  <c r="J362" i="1" s="1"/>
  <c r="J363" i="1" s="1"/>
  <c r="J364" i="1" s="1"/>
  <c r="J365" i="1" s="1"/>
  <c r="J366" i="1" s="1"/>
  <c r="J367" i="1" s="1"/>
  <c r="I361" i="1"/>
  <c r="I362" i="1" s="1"/>
  <c r="I363" i="1" s="1"/>
  <c r="I364" i="1" s="1"/>
  <c r="I365" i="1" s="1"/>
  <c r="I366" i="1" s="1"/>
  <c r="H366" i="1"/>
  <c r="H367" i="1" s="1"/>
  <c r="H368" i="1" s="1"/>
  <c r="I367" i="1"/>
  <c r="I368" i="1"/>
  <c r="I369" i="1" s="1"/>
  <c r="J368" i="1"/>
  <c r="J369" i="1" s="1"/>
  <c r="J370" i="1" s="1"/>
  <c r="H369" i="1"/>
  <c r="H370" i="1"/>
  <c r="H371" i="1" s="1"/>
  <c r="H372" i="1" s="1"/>
  <c r="H373" i="1" s="1"/>
  <c r="H374" i="1" s="1"/>
  <c r="H375" i="1" s="1"/>
  <c r="I370" i="1"/>
  <c r="I371" i="1" s="1"/>
  <c r="J371" i="1"/>
  <c r="J372" i="1" s="1"/>
  <c r="J373" i="1" s="1"/>
  <c r="J374" i="1" s="1"/>
  <c r="J375" i="1" s="1"/>
  <c r="J376" i="1" s="1"/>
  <c r="J377" i="1" s="1"/>
  <c r="I372" i="1"/>
  <c r="I373" i="1"/>
  <c r="I374" i="1" s="1"/>
  <c r="I375" i="1" s="1"/>
  <c r="H376" i="1"/>
  <c r="I376" i="1"/>
  <c r="H377" i="1"/>
  <c r="I377" i="1"/>
  <c r="I378" i="1" s="1"/>
  <c r="I379" i="1" s="1"/>
  <c r="H378" i="1"/>
  <c r="H379" i="1" s="1"/>
  <c r="H380" i="1" s="1"/>
  <c r="J378" i="1"/>
  <c r="J379" i="1" s="1"/>
  <c r="I380" i="1"/>
  <c r="I381" i="1" s="1"/>
  <c r="I382" i="1" s="1"/>
  <c r="I383" i="1" s="1"/>
  <c r="I384" i="1" s="1"/>
  <c r="I385" i="1" s="1"/>
  <c r="J380" i="1"/>
  <c r="J381" i="1" s="1"/>
  <c r="H381" i="1"/>
  <c r="H382" i="1"/>
  <c r="H383" i="1" s="1"/>
  <c r="H384" i="1" s="1"/>
  <c r="J382" i="1"/>
  <c r="J383" i="1" s="1"/>
  <c r="J384" i="1"/>
  <c r="J385" i="1" s="1"/>
  <c r="J386" i="1" s="1"/>
  <c r="H385" i="1"/>
  <c r="H386" i="1"/>
  <c r="H387" i="1" s="1"/>
  <c r="H388" i="1" s="1"/>
  <c r="H389" i="1" s="1"/>
  <c r="I386" i="1"/>
  <c r="I387" i="1"/>
  <c r="J387" i="1"/>
  <c r="J388" i="1" s="1"/>
  <c r="I388" i="1"/>
  <c r="I389" i="1"/>
  <c r="I390" i="1" s="1"/>
  <c r="I391" i="1" s="1"/>
  <c r="I392" i="1" s="1"/>
  <c r="J389" i="1"/>
  <c r="J390" i="1" s="1"/>
  <c r="H390" i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J391" i="1"/>
  <c r="J392" i="1" s="1"/>
  <c r="J393" i="1" s="1"/>
  <c r="I393" i="1"/>
  <c r="I394" i="1" s="1"/>
  <c r="I395" i="1" s="1"/>
  <c r="J394" i="1"/>
  <c r="J395" i="1" s="1"/>
  <c r="I396" i="1"/>
  <c r="I397" i="1" s="1"/>
  <c r="I398" i="1" s="1"/>
  <c r="I399" i="1" s="1"/>
  <c r="I400" i="1" s="1"/>
  <c r="J396" i="1"/>
  <c r="J397" i="1"/>
  <c r="J398" i="1" s="1"/>
  <c r="J399" i="1" s="1"/>
  <c r="J400" i="1" s="1"/>
  <c r="J401" i="1" s="1"/>
  <c r="I401" i="1"/>
  <c r="I402" i="1" s="1"/>
  <c r="I403" i="1" s="1"/>
  <c r="J402" i="1"/>
  <c r="J403" i="1" s="1"/>
  <c r="I404" i="1"/>
  <c r="I405" i="1" s="1"/>
  <c r="I406" i="1" s="1"/>
  <c r="I407" i="1" s="1"/>
  <c r="J404" i="1"/>
  <c r="J405" i="1" s="1"/>
  <c r="J406" i="1"/>
  <c r="J407" i="1"/>
  <c r="I408" i="1"/>
  <c r="I409" i="1" s="1"/>
  <c r="I410" i="1" s="1"/>
  <c r="I411" i="1" s="1"/>
  <c r="I412" i="1" s="1"/>
  <c r="J408" i="1"/>
  <c r="J409" i="1" s="1"/>
  <c r="J410" i="1"/>
  <c r="J411" i="1" s="1"/>
  <c r="J412" i="1" s="1"/>
  <c r="J413" i="1" s="1"/>
  <c r="H412" i="1"/>
  <c r="H413" i="1"/>
  <c r="H414" i="1" s="1"/>
  <c r="H415" i="1" s="1"/>
  <c r="H416" i="1" s="1"/>
  <c r="H417" i="1" s="1"/>
  <c r="I413" i="1"/>
  <c r="I414" i="1" s="1"/>
  <c r="I415" i="1" s="1"/>
  <c r="J414" i="1"/>
  <c r="J415" i="1" s="1"/>
  <c r="J416" i="1" s="1"/>
  <c r="I416" i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J417" i="1"/>
  <c r="J418" i="1" s="1"/>
  <c r="J419" i="1" s="1"/>
  <c r="J420" i="1" s="1"/>
  <c r="H418" i="1"/>
  <c r="H419" i="1" s="1"/>
  <c r="H420" i="1" s="1"/>
  <c r="H421" i="1" s="1"/>
  <c r="H422" i="1" s="1"/>
  <c r="H423" i="1" s="1"/>
  <c r="H424" i="1" s="1"/>
  <c r="H425" i="1" s="1"/>
  <c r="J421" i="1"/>
  <c r="J422" i="1" s="1"/>
  <c r="J423" i="1" s="1"/>
  <c r="J424" i="1" s="1"/>
  <c r="J425" i="1"/>
  <c r="J426" i="1" s="1"/>
  <c r="J427" i="1" s="1"/>
  <c r="H426" i="1"/>
  <c r="H427" i="1" s="1"/>
  <c r="H428" i="1" s="1"/>
  <c r="H429" i="1" s="1"/>
  <c r="H430" i="1" s="1"/>
  <c r="H431" i="1" s="1"/>
  <c r="I427" i="1"/>
  <c r="I428" i="1"/>
  <c r="J428" i="1"/>
  <c r="J429" i="1" s="1"/>
  <c r="I429" i="1"/>
  <c r="I430" i="1" s="1"/>
  <c r="I431" i="1" s="1"/>
  <c r="I432" i="1" s="1"/>
  <c r="J430" i="1"/>
  <c r="J431" i="1" s="1"/>
  <c r="J432" i="1" s="1"/>
  <c r="J433" i="1" s="1"/>
  <c r="H432" i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I433" i="1"/>
  <c r="I434" i="1"/>
  <c r="I435" i="1" s="1"/>
  <c r="J434" i="1"/>
  <c r="J435" i="1" s="1"/>
  <c r="J436" i="1" s="1"/>
  <c r="I436" i="1"/>
  <c r="I437" i="1"/>
  <c r="J437" i="1"/>
  <c r="J438" i="1" s="1"/>
  <c r="I438" i="1"/>
  <c r="I439" i="1" s="1"/>
  <c r="I440" i="1" s="1"/>
  <c r="J439" i="1"/>
  <c r="J440" i="1" s="1"/>
  <c r="J441" i="1" s="1"/>
  <c r="I441" i="1"/>
  <c r="I442" i="1"/>
  <c r="I443" i="1" s="1"/>
  <c r="I444" i="1" s="1"/>
  <c r="I445" i="1" s="1"/>
  <c r="I446" i="1" s="1"/>
  <c r="I447" i="1" s="1"/>
  <c r="I448" i="1" s="1"/>
  <c r="I449" i="1" s="1"/>
  <c r="I450" i="1" s="1"/>
  <c r="J442" i="1"/>
  <c r="J443" i="1" s="1"/>
  <c r="J444" i="1" s="1"/>
  <c r="H443" i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J445" i="1"/>
  <c r="J446" i="1" s="1"/>
  <c r="J447" i="1"/>
  <c r="J448" i="1" s="1"/>
  <c r="J449" i="1"/>
  <c r="J450" i="1" s="1"/>
  <c r="J451" i="1" s="1"/>
  <c r="I451" i="1"/>
  <c r="I452" i="1" s="1"/>
  <c r="I453" i="1" s="1"/>
  <c r="J452" i="1"/>
  <c r="J453" i="1" s="1"/>
  <c r="J454" i="1" s="1"/>
  <c r="J455" i="1" s="1"/>
  <c r="H454" i="1"/>
  <c r="I454" i="1"/>
  <c r="H455" i="1"/>
  <c r="H456" i="1" s="1"/>
  <c r="H457" i="1" s="1"/>
  <c r="H458" i="1" s="1"/>
  <c r="I455" i="1"/>
  <c r="I456" i="1" s="1"/>
  <c r="I457" i="1" s="1"/>
  <c r="I458" i="1" s="1"/>
  <c r="I459" i="1" s="1"/>
  <c r="J456" i="1"/>
  <c r="J457" i="1" s="1"/>
  <c r="J458" i="1" s="1"/>
  <c r="J459" i="1" s="1"/>
  <c r="J460" i="1" s="1"/>
  <c r="H459" i="1"/>
  <c r="H460" i="1" s="1"/>
  <c r="H461" i="1" s="1"/>
  <c r="H462" i="1" s="1"/>
  <c r="I460" i="1"/>
  <c r="I461" i="1"/>
  <c r="J461" i="1"/>
  <c r="J462" i="1" s="1"/>
  <c r="I462" i="1"/>
  <c r="I463" i="1" s="1"/>
  <c r="I464" i="1" s="1"/>
  <c r="I465" i="1" s="1"/>
  <c r="H463" i="1"/>
  <c r="H464" i="1" s="1"/>
  <c r="H465" i="1" s="1"/>
  <c r="H466" i="1" s="1"/>
  <c r="H467" i="1" s="1"/>
  <c r="H468" i="1" s="1"/>
  <c r="H469" i="1" s="1"/>
  <c r="H470" i="1" s="1"/>
  <c r="H471" i="1" s="1"/>
  <c r="J463" i="1"/>
  <c r="J464" i="1" s="1"/>
  <c r="J465" i="1" s="1"/>
  <c r="J466" i="1" s="1"/>
  <c r="I466" i="1"/>
  <c r="I467" i="1" s="1"/>
  <c r="I468" i="1" s="1"/>
  <c r="I469" i="1" s="1"/>
  <c r="I470" i="1" s="1"/>
  <c r="I471" i="1" s="1"/>
  <c r="I472" i="1" s="1"/>
  <c r="J467" i="1"/>
  <c r="J468" i="1" s="1"/>
  <c r="J469" i="1"/>
  <c r="J470" i="1" s="1"/>
  <c r="J471" i="1" s="1"/>
  <c r="J472" i="1" s="1"/>
  <c r="J473" i="1" s="1"/>
  <c r="H472" i="1"/>
  <c r="H473" i="1" s="1"/>
  <c r="H474" i="1" s="1"/>
  <c r="I473" i="1"/>
  <c r="I474" i="1"/>
  <c r="I475" i="1" s="1"/>
  <c r="J474" i="1"/>
  <c r="J475" i="1" s="1"/>
  <c r="J476" i="1" s="1"/>
  <c r="H475" i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I476" i="1"/>
  <c r="I477" i="1"/>
  <c r="J477" i="1"/>
  <c r="J478" i="1" s="1"/>
  <c r="I478" i="1"/>
  <c r="I479" i="1" s="1"/>
  <c r="I480" i="1" s="1"/>
  <c r="J479" i="1"/>
  <c r="J480" i="1" s="1"/>
  <c r="I481" i="1"/>
  <c r="J481" i="1"/>
  <c r="I482" i="1"/>
  <c r="I483" i="1" s="1"/>
  <c r="I484" i="1" s="1"/>
  <c r="I485" i="1" s="1"/>
  <c r="J482" i="1"/>
  <c r="J483" i="1" s="1"/>
  <c r="J484" i="1"/>
  <c r="J485" i="1" s="1"/>
  <c r="I486" i="1"/>
  <c r="I487" i="1" s="1"/>
  <c r="J486" i="1"/>
  <c r="J487" i="1" s="1"/>
  <c r="J488" i="1" s="1"/>
  <c r="I488" i="1"/>
  <c r="I489" i="1"/>
  <c r="J489" i="1"/>
  <c r="J490" i="1" s="1"/>
  <c r="J491" i="1" s="1"/>
  <c r="I490" i="1"/>
  <c r="I491" i="1"/>
  <c r="I492" i="1" s="1"/>
  <c r="I493" i="1" s="1"/>
  <c r="I494" i="1" s="1"/>
  <c r="I495" i="1" s="1"/>
  <c r="I496" i="1" s="1"/>
  <c r="I497" i="1" s="1"/>
  <c r="I498" i="1" s="1"/>
  <c r="J492" i="1"/>
  <c r="J493" i="1" s="1"/>
  <c r="J494" i="1" s="1"/>
  <c r="J495" i="1" s="1"/>
  <c r="J496" i="1"/>
  <c r="J497" i="1"/>
  <c r="J498" i="1" s="1"/>
  <c r="J499" i="1" s="1"/>
  <c r="H498" i="1"/>
  <c r="H499" i="1"/>
  <c r="I499" i="1"/>
  <c r="I500" i="1" s="1"/>
  <c r="I501" i="1" s="1"/>
  <c r="H500" i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J500" i="1"/>
  <c r="J501" i="1"/>
  <c r="J502" i="1" s="1"/>
  <c r="I502" i="1"/>
  <c r="I503" i="1"/>
  <c r="I504" i="1" s="1"/>
  <c r="I505" i="1" s="1"/>
  <c r="J503" i="1"/>
  <c r="J504" i="1" s="1"/>
  <c r="J505" i="1"/>
  <c r="J506" i="1" s="1"/>
  <c r="J507" i="1" s="1"/>
  <c r="J508" i="1" s="1"/>
  <c r="I506" i="1"/>
  <c r="I507" i="1"/>
  <c r="I508" i="1"/>
  <c r="I509" i="1"/>
  <c r="J509" i="1"/>
  <c r="J510" i="1" s="1"/>
  <c r="I510" i="1"/>
  <c r="I511" i="1"/>
  <c r="I512" i="1" s="1"/>
  <c r="I513" i="1" s="1"/>
  <c r="J511" i="1"/>
  <c r="J512" i="1" s="1"/>
  <c r="J513" i="1" s="1"/>
  <c r="J514" i="1" s="1"/>
  <c r="I514" i="1"/>
  <c r="I515" i="1" s="1"/>
  <c r="I516" i="1" s="1"/>
  <c r="I517" i="1" s="1"/>
  <c r="I518" i="1" s="1"/>
  <c r="I519" i="1" s="1"/>
  <c r="J515" i="1"/>
  <c r="J516" i="1" s="1"/>
  <c r="J517" i="1" s="1"/>
  <c r="J518" i="1" s="1"/>
  <c r="J519" i="1" s="1"/>
  <c r="J520" i="1" s="1"/>
  <c r="H519" i="1"/>
  <c r="H520" i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I520" i="1"/>
  <c r="I521" i="1"/>
  <c r="J521" i="1"/>
  <c r="J522" i="1" s="1"/>
  <c r="J523" i="1" s="1"/>
  <c r="I522" i="1"/>
  <c r="I523" i="1"/>
  <c r="I524" i="1" s="1"/>
  <c r="I525" i="1" s="1"/>
  <c r="J524" i="1"/>
  <c r="J525" i="1" s="1"/>
  <c r="I526" i="1"/>
  <c r="I527" i="1" s="1"/>
  <c r="I528" i="1" s="1"/>
  <c r="I529" i="1" s="1"/>
  <c r="J526" i="1"/>
  <c r="J527" i="1" s="1"/>
  <c r="J528" i="1" s="1"/>
  <c r="J529" i="1" s="1"/>
  <c r="J530" i="1" s="1"/>
  <c r="I530" i="1"/>
  <c r="I531" i="1" s="1"/>
  <c r="I532" i="1" s="1"/>
  <c r="I533" i="1" s="1"/>
  <c r="I534" i="1" s="1"/>
  <c r="I535" i="1" s="1"/>
  <c r="J531" i="1"/>
  <c r="J532" i="1" s="1"/>
  <c r="J533" i="1"/>
  <c r="J534" i="1" s="1"/>
  <c r="J535" i="1" s="1"/>
  <c r="J536" i="1" s="1"/>
  <c r="H535" i="1"/>
  <c r="H536" i="1"/>
  <c r="H537" i="1" s="1"/>
  <c r="H538" i="1" s="1"/>
  <c r="I536" i="1"/>
  <c r="I537" i="1"/>
  <c r="J537" i="1"/>
  <c r="J538" i="1" s="1"/>
  <c r="I538" i="1"/>
  <c r="H539" i="1"/>
  <c r="I539" i="1"/>
  <c r="I540" i="1" s="1"/>
  <c r="I541" i="1" s="1"/>
  <c r="I542" i="1" s="1"/>
  <c r="I543" i="1" s="1"/>
  <c r="I544" i="1" s="1"/>
  <c r="I545" i="1" s="1"/>
  <c r="I546" i="1" s="1"/>
  <c r="I547" i="1" s="1"/>
  <c r="I548" i="1" s="1"/>
  <c r="J539" i="1"/>
  <c r="J540" i="1" s="1"/>
  <c r="H540" i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J541" i="1"/>
  <c r="J542" i="1" s="1"/>
  <c r="J543" i="1" s="1"/>
  <c r="J544" i="1"/>
  <c r="J545" i="1" s="1"/>
  <c r="J546" i="1"/>
  <c r="J547" i="1" s="1"/>
  <c r="J548" i="1" s="1"/>
  <c r="J549" i="1" s="1"/>
  <c r="I549" i="1"/>
  <c r="I550" i="1"/>
  <c r="J550" i="1"/>
  <c r="J551" i="1" s="1"/>
  <c r="I551" i="1"/>
  <c r="I552" i="1" s="1"/>
  <c r="I553" i="1" s="1"/>
  <c r="I554" i="1" s="1"/>
  <c r="I555" i="1" s="1"/>
  <c r="J552" i="1"/>
  <c r="J553" i="1" s="1"/>
  <c r="J554" i="1"/>
  <c r="J555" i="1" s="1"/>
  <c r="J556" i="1" s="1"/>
  <c r="I556" i="1"/>
  <c r="I557" i="1"/>
  <c r="J557" i="1"/>
  <c r="J558" i="1" s="1"/>
  <c r="I558" i="1"/>
  <c r="I559" i="1"/>
  <c r="I560" i="1" s="1"/>
  <c r="J559" i="1"/>
  <c r="J560" i="1" s="1"/>
  <c r="H560" i="1"/>
  <c r="H561" i="1" s="1"/>
  <c r="H562" i="1" s="1"/>
  <c r="H563" i="1" s="1"/>
  <c r="H564" i="1" s="1"/>
  <c r="I561" i="1"/>
  <c r="I562" i="1" s="1"/>
  <c r="J561" i="1"/>
  <c r="J562" i="1" s="1"/>
  <c r="J563" i="1" s="1"/>
  <c r="I563" i="1"/>
  <c r="I564" i="1" s="1"/>
  <c r="J564" i="1"/>
  <c r="J565" i="1" s="1"/>
  <c r="J566" i="1" s="1"/>
  <c r="H565" i="1"/>
  <c r="H566" i="1" s="1"/>
  <c r="H567" i="1" s="1"/>
  <c r="H568" i="1" s="1"/>
  <c r="I565" i="1"/>
  <c r="I566" i="1"/>
  <c r="I567" i="1"/>
  <c r="J567" i="1"/>
  <c r="J568" i="1" s="1"/>
  <c r="I568" i="1"/>
  <c r="I569" i="1" s="1"/>
  <c r="I570" i="1" s="1"/>
  <c r="H569" i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J569" i="1"/>
  <c r="J570" i="1" s="1"/>
  <c r="I571" i="1"/>
  <c r="J571" i="1"/>
  <c r="I572" i="1"/>
  <c r="I573" i="1" s="1"/>
  <c r="I574" i="1" s="1"/>
  <c r="I575" i="1" s="1"/>
  <c r="I576" i="1" s="1"/>
  <c r="I577" i="1" s="1"/>
  <c r="J572" i="1"/>
  <c r="J573" i="1" s="1"/>
  <c r="J574" i="1"/>
  <c r="J575" i="1" s="1"/>
  <c r="J576" i="1"/>
  <c r="J577" i="1" s="1"/>
  <c r="J578" i="1" s="1"/>
  <c r="I578" i="1"/>
  <c r="I579" i="1"/>
  <c r="J579" i="1"/>
  <c r="J580" i="1" s="1"/>
  <c r="I580" i="1"/>
  <c r="I581" i="1" s="1"/>
  <c r="I582" i="1" s="1"/>
  <c r="I583" i="1" s="1"/>
  <c r="H581" i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J581" i="1"/>
  <c r="J582" i="1"/>
  <c r="J583" i="1"/>
  <c r="J584" i="1" s="1"/>
  <c r="J585" i="1" s="1"/>
  <c r="I584" i="1"/>
  <c r="I585" i="1"/>
  <c r="I586" i="1"/>
  <c r="J586" i="1"/>
  <c r="J587" i="1" s="1"/>
  <c r="I587" i="1"/>
  <c r="I588" i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J588" i="1"/>
  <c r="J589" i="1" s="1"/>
  <c r="J590" i="1" s="1"/>
  <c r="J591" i="1" s="1"/>
  <c r="J592" i="1"/>
  <c r="J593" i="1"/>
  <c r="J594" i="1"/>
  <c r="J595" i="1"/>
  <c r="J596" i="1"/>
  <c r="J597" i="1"/>
  <c r="J598" i="1" s="1"/>
  <c r="H599" i="1"/>
  <c r="J599" i="1"/>
  <c r="J600" i="1" s="1"/>
  <c r="H600" i="1"/>
  <c r="I600" i="1"/>
  <c r="I601" i="1" s="1"/>
  <c r="I602" i="1" s="1"/>
  <c r="H601" i="1"/>
  <c r="H602" i="1" s="1"/>
  <c r="H603" i="1" s="1"/>
  <c r="H604" i="1" s="1"/>
  <c r="J601" i="1"/>
  <c r="J602" i="1" s="1"/>
  <c r="J603" i="1" s="1"/>
  <c r="I603" i="1"/>
  <c r="I604" i="1"/>
  <c r="I605" i="1" s="1"/>
  <c r="I606" i="1" s="1"/>
  <c r="I607" i="1" s="1"/>
  <c r="J604" i="1"/>
  <c r="J605" i="1" s="1"/>
  <c r="J606" i="1" s="1"/>
  <c r="J607" i="1" s="1"/>
  <c r="H605" i="1"/>
  <c r="H606" i="1" s="1"/>
  <c r="H607" i="1" s="1"/>
  <c r="H608" i="1" s="1"/>
  <c r="H609" i="1" s="1"/>
  <c r="H610" i="1" s="1"/>
  <c r="H611" i="1" s="1"/>
  <c r="I608" i="1"/>
  <c r="I609" i="1" s="1"/>
  <c r="I610" i="1" s="1"/>
  <c r="I611" i="1" s="1"/>
  <c r="J608" i="1"/>
  <c r="J609" i="1" s="1"/>
  <c r="J610" i="1"/>
  <c r="J611" i="1" s="1"/>
  <c r="J612" i="1" s="1"/>
  <c r="J613" i="1" s="1"/>
  <c r="H612" i="1"/>
  <c r="I612" i="1"/>
  <c r="H613" i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I613" i="1"/>
  <c r="I614" i="1"/>
  <c r="J614" i="1"/>
  <c r="J615" i="1" s="1"/>
  <c r="I615" i="1"/>
  <c r="I616" i="1"/>
  <c r="I617" i="1" s="1"/>
  <c r="I618" i="1" s="1"/>
  <c r="I619" i="1" s="1"/>
  <c r="J616" i="1"/>
  <c r="J617" i="1" s="1"/>
  <c r="J618" i="1"/>
  <c r="J619" i="1" s="1"/>
  <c r="J620" i="1" s="1"/>
  <c r="I620" i="1"/>
  <c r="I621" i="1" s="1"/>
  <c r="I622" i="1" s="1"/>
  <c r="I623" i="1" s="1"/>
  <c r="J621" i="1"/>
  <c r="J622" i="1"/>
  <c r="J623" i="1"/>
  <c r="J624" i="1" s="1"/>
  <c r="I624" i="1"/>
  <c r="I625" i="1" s="1"/>
  <c r="I626" i="1" s="1"/>
  <c r="I627" i="1" s="1"/>
  <c r="J625" i="1"/>
  <c r="J626" i="1" s="1"/>
  <c r="J627" i="1"/>
  <c r="J628" i="1" s="1"/>
  <c r="J629" i="1" s="1"/>
  <c r="J630" i="1" s="1"/>
  <c r="J631" i="1" s="1"/>
  <c r="J632" i="1" s="1"/>
  <c r="J633" i="1" s="1"/>
  <c r="I628" i="1"/>
  <c r="I629" i="1" s="1"/>
  <c r="I630" i="1" s="1"/>
  <c r="I631" i="1" s="1"/>
  <c r="I632" i="1" s="1"/>
  <c r="H632" i="1"/>
  <c r="H633" i="1"/>
  <c r="H634" i="1" s="1"/>
  <c r="H635" i="1" s="1"/>
  <c r="H636" i="1" s="1"/>
  <c r="I633" i="1"/>
  <c r="I634" i="1"/>
  <c r="J634" i="1"/>
  <c r="J635" i="1" s="1"/>
  <c r="I635" i="1"/>
  <c r="I636" i="1"/>
  <c r="I637" i="1" s="1"/>
  <c r="I638" i="1" s="1"/>
  <c r="I639" i="1" s="1"/>
  <c r="J636" i="1"/>
  <c r="J637" i="1" s="1"/>
  <c r="H637" i="1"/>
  <c r="H638" i="1" s="1"/>
  <c r="H639" i="1" s="1"/>
  <c r="H640" i="1" s="1"/>
  <c r="H641" i="1" s="1"/>
  <c r="H642" i="1" s="1"/>
  <c r="H643" i="1" s="1"/>
  <c r="H644" i="1" s="1"/>
  <c r="J638" i="1"/>
  <c r="J639" i="1" s="1"/>
  <c r="J640" i="1" s="1"/>
  <c r="I640" i="1"/>
  <c r="I641" i="1" s="1"/>
  <c r="I642" i="1" s="1"/>
  <c r="J641" i="1"/>
  <c r="J642" i="1" s="1"/>
  <c r="J643" i="1" s="1"/>
  <c r="I643" i="1"/>
  <c r="I644" i="1"/>
  <c r="I645" i="1" s="1"/>
  <c r="I646" i="1" s="1"/>
  <c r="I647" i="1" s="1"/>
  <c r="J644" i="1"/>
  <c r="J645" i="1" s="1"/>
  <c r="J646" i="1" s="1"/>
  <c r="J647" i="1" s="1"/>
  <c r="J648" i="1" s="1"/>
  <c r="J649" i="1" s="1"/>
  <c r="J650" i="1" s="1"/>
  <c r="J651" i="1" s="1"/>
  <c r="H645" i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I648" i="1"/>
  <c r="I649" i="1" s="1"/>
  <c r="I650" i="1" s="1"/>
  <c r="I651" i="1"/>
  <c r="I652" i="1"/>
  <c r="I653" i="1" s="1"/>
  <c r="I654" i="1" s="1"/>
  <c r="I655" i="1" s="1"/>
  <c r="I656" i="1" s="1"/>
  <c r="I657" i="1" s="1"/>
  <c r="I658" i="1" s="1"/>
  <c r="I659" i="1" s="1"/>
  <c r="J652" i="1"/>
  <c r="J653" i="1" s="1"/>
  <c r="J654" i="1"/>
  <c r="J655" i="1" s="1"/>
  <c r="J656" i="1" s="1"/>
  <c r="J657" i="1"/>
  <c r="J658" i="1" s="1"/>
  <c r="J659" i="1" s="1"/>
  <c r="J660" i="1" s="1"/>
  <c r="I660" i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J661" i="1"/>
  <c r="J662" i="1" s="1"/>
  <c r="J663" i="1" s="1"/>
  <c r="J664" i="1" s="1"/>
  <c r="J665" i="1"/>
  <c r="J666" i="1" s="1"/>
  <c r="J667" i="1"/>
  <c r="J668" i="1" s="1"/>
  <c r="J669" i="1" s="1"/>
  <c r="J670" i="1" s="1"/>
  <c r="J671" i="1" s="1"/>
  <c r="J672" i="1" s="1"/>
  <c r="H671" i="1"/>
  <c r="H672" i="1"/>
  <c r="I672" i="1"/>
  <c r="I673" i="1" s="1"/>
  <c r="I674" i="1" s="1"/>
  <c r="I675" i="1" s="1"/>
  <c r="I676" i="1" s="1"/>
  <c r="H673" i="1"/>
  <c r="H674" i="1" s="1"/>
  <c r="H675" i="1" s="1"/>
  <c r="H676" i="1" s="1"/>
  <c r="J673" i="1"/>
  <c r="J674" i="1" s="1"/>
  <c r="J675" i="1"/>
  <c r="J676" i="1" s="1"/>
  <c r="J677" i="1" s="1"/>
  <c r="H677" i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I677" i="1"/>
  <c r="I678" i="1"/>
  <c r="J678" i="1"/>
  <c r="I679" i="1"/>
  <c r="J679" i="1"/>
  <c r="I680" i="1"/>
  <c r="I681" i="1" s="1"/>
  <c r="I682" i="1" s="1"/>
  <c r="I683" i="1" s="1"/>
  <c r="I684" i="1" s="1"/>
  <c r="I685" i="1" s="1"/>
  <c r="I686" i="1" s="1"/>
  <c r="I687" i="1" s="1"/>
  <c r="I688" i="1" s="1"/>
  <c r="J680" i="1"/>
  <c r="J681" i="1" s="1"/>
  <c r="J682" i="1" s="1"/>
  <c r="J683" i="1"/>
  <c r="J684" i="1" s="1"/>
  <c r="J685" i="1" s="1"/>
  <c r="J686" i="1"/>
  <c r="J687" i="1" s="1"/>
  <c r="J688" i="1" s="1"/>
  <c r="J689" i="1" s="1"/>
  <c r="I689" i="1"/>
  <c r="I690" i="1"/>
  <c r="J690" i="1"/>
  <c r="J691" i="1" s="1"/>
  <c r="I691" i="1"/>
  <c r="I692" i="1"/>
  <c r="I693" i="1" s="1"/>
  <c r="J692" i="1"/>
  <c r="J693" i="1"/>
  <c r="J694" i="1" s="1"/>
  <c r="I694" i="1"/>
  <c r="I695" i="1"/>
  <c r="J695" i="1"/>
  <c r="J696" i="1" s="1"/>
  <c r="J697" i="1" s="1"/>
  <c r="I696" i="1"/>
  <c r="I697" i="1" s="1"/>
  <c r="I698" i="1" s="1"/>
  <c r="I699" i="1" s="1"/>
  <c r="J698" i="1"/>
  <c r="J699" i="1" s="1"/>
  <c r="I700" i="1"/>
  <c r="I701" i="1" s="1"/>
  <c r="I702" i="1" s="1"/>
  <c r="I703" i="1" s="1"/>
  <c r="I704" i="1" s="1"/>
  <c r="I705" i="1" s="1"/>
  <c r="I706" i="1" s="1"/>
  <c r="J700" i="1"/>
  <c r="J701" i="1" s="1"/>
  <c r="J702" i="1"/>
  <c r="J703" i="1" s="1"/>
  <c r="J704" i="1" s="1"/>
  <c r="J705" i="1" s="1"/>
  <c r="J706" i="1" s="1"/>
  <c r="J707" i="1" s="1"/>
  <c r="I707" i="1"/>
  <c r="I708" i="1"/>
  <c r="I709" i="1" s="1"/>
  <c r="I710" i="1" s="1"/>
  <c r="I711" i="1" s="1"/>
  <c r="J708" i="1"/>
  <c r="J709" i="1" s="1"/>
  <c r="J710" i="1"/>
  <c r="J711" i="1" s="1"/>
  <c r="J712" i="1" s="1"/>
  <c r="J713" i="1" s="1"/>
  <c r="H712" i="1"/>
  <c r="I712" i="1"/>
  <c r="H713" i="1"/>
  <c r="H714" i="1" s="1"/>
  <c r="H715" i="1" s="1"/>
  <c r="H716" i="1" s="1"/>
  <c r="I713" i="1"/>
  <c r="I714" i="1"/>
  <c r="J714" i="1"/>
  <c r="J715" i="1" s="1"/>
  <c r="I715" i="1"/>
  <c r="I716" i="1"/>
  <c r="I717" i="1" s="1"/>
  <c r="I718" i="1" s="1"/>
  <c r="I719" i="1" s="1"/>
  <c r="J716" i="1"/>
  <c r="J717" i="1" s="1"/>
  <c r="H717" i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J718" i="1"/>
  <c r="J719" i="1"/>
  <c r="J720" i="1" s="1"/>
  <c r="I720" i="1"/>
  <c r="I721" i="1" s="1"/>
  <c r="I722" i="1" s="1"/>
  <c r="I723" i="1" s="1"/>
  <c r="I724" i="1" s="1"/>
  <c r="J721" i="1"/>
  <c r="J722" i="1" s="1"/>
  <c r="J723" i="1"/>
  <c r="J724" i="1" s="1"/>
  <c r="J725" i="1" s="1"/>
  <c r="I725" i="1"/>
  <c r="I726" i="1"/>
  <c r="J726" i="1"/>
  <c r="J727" i="1" s="1"/>
  <c r="J728" i="1" s="1"/>
  <c r="I727" i="1"/>
  <c r="I728" i="1"/>
  <c r="I729" i="1" s="1"/>
  <c r="I730" i="1" s="1"/>
  <c r="I731" i="1" s="1"/>
  <c r="J729" i="1"/>
  <c r="J730" i="1" s="1"/>
  <c r="J731" i="1" s="1"/>
  <c r="I732" i="1"/>
  <c r="I733" i="1" s="1"/>
  <c r="I734" i="1" s="1"/>
  <c r="J732" i="1"/>
  <c r="J733" i="1" s="1"/>
  <c r="J734" i="1" s="1"/>
  <c r="J735" i="1" s="1"/>
  <c r="I735" i="1"/>
  <c r="I736" i="1"/>
  <c r="I737" i="1" s="1"/>
  <c r="I738" i="1" s="1"/>
  <c r="I739" i="1" s="1"/>
  <c r="J736" i="1"/>
  <c r="J737" i="1" s="1"/>
  <c r="H737" i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J738" i="1"/>
  <c r="J739" i="1" s="1"/>
  <c r="I740" i="1"/>
  <c r="I741" i="1" s="1"/>
  <c r="J740" i="1"/>
  <c r="J741" i="1" s="1"/>
  <c r="J742" i="1" s="1"/>
  <c r="I742" i="1"/>
  <c r="I743" i="1"/>
  <c r="J743" i="1"/>
  <c r="J744" i="1" s="1"/>
  <c r="J745" i="1" s="1"/>
  <c r="J746" i="1" s="1"/>
  <c r="I744" i="1"/>
  <c r="I745" i="1" s="1"/>
  <c r="I746" i="1"/>
  <c r="I747" i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J747" i="1"/>
  <c r="J748" i="1" s="1"/>
  <c r="J749" i="1"/>
  <c r="J750" i="1" s="1"/>
  <c r="J751" i="1" s="1"/>
  <c r="J752" i="1"/>
  <c r="J753" i="1" s="1"/>
  <c r="H753" i="1"/>
  <c r="H754" i="1" s="1"/>
  <c r="H755" i="1" s="1"/>
  <c r="H756" i="1" s="1"/>
  <c r="H757" i="1" s="1"/>
  <c r="J754" i="1"/>
  <c r="J755" i="1" s="1"/>
  <c r="J756" i="1" s="1"/>
  <c r="J757" i="1" s="1"/>
  <c r="J758" i="1" s="1"/>
  <c r="J759" i="1" s="1"/>
  <c r="H758" i="1"/>
  <c r="H759" i="1"/>
  <c r="I759" i="1"/>
  <c r="I760" i="1" s="1"/>
  <c r="I761" i="1" s="1"/>
  <c r="H760" i="1"/>
  <c r="J760" i="1"/>
  <c r="J761" i="1" s="1"/>
  <c r="J762" i="1" s="1"/>
  <c r="H761" i="1"/>
  <c r="H762" i="1" s="1"/>
  <c r="H763" i="1" s="1"/>
  <c r="I762" i="1"/>
  <c r="I763" i="1"/>
  <c r="J763" i="1"/>
  <c r="J764" i="1" s="1"/>
  <c r="H764" i="1"/>
  <c r="I764" i="1"/>
  <c r="I765" i="1" s="1"/>
  <c r="I766" i="1" s="1"/>
  <c r="H765" i="1"/>
  <c r="H766" i="1" s="1"/>
  <c r="H767" i="1" s="1"/>
  <c r="J765" i="1"/>
  <c r="J766" i="1" s="1"/>
  <c r="J767" i="1" s="1"/>
  <c r="I767" i="1"/>
  <c r="H768" i="1"/>
  <c r="I768" i="1"/>
  <c r="I769" i="1" s="1"/>
  <c r="I770" i="1" s="1"/>
  <c r="I771" i="1" s="1"/>
  <c r="J768" i="1"/>
  <c r="H769" i="1"/>
  <c r="H770" i="1" s="1"/>
  <c r="H771" i="1" s="1"/>
  <c r="J769" i="1"/>
  <c r="J770" i="1"/>
  <c r="J771" i="1" s="1"/>
  <c r="J772" i="1" s="1"/>
  <c r="H772" i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I772" i="1"/>
  <c r="I773" i="1" s="1"/>
  <c r="I774" i="1" s="1"/>
  <c r="J773" i="1"/>
  <c r="J774" i="1" s="1"/>
  <c r="J775" i="1" s="1"/>
  <c r="I775" i="1"/>
  <c r="I776" i="1"/>
  <c r="I777" i="1" s="1"/>
  <c r="I778" i="1" s="1"/>
  <c r="I779" i="1" s="1"/>
  <c r="J776" i="1"/>
  <c r="J777" i="1" s="1"/>
  <c r="J778" i="1"/>
  <c r="J779" i="1" s="1"/>
  <c r="J780" i="1" s="1"/>
  <c r="I780" i="1"/>
  <c r="I781" i="1" s="1"/>
  <c r="I782" i="1" s="1"/>
  <c r="J781" i="1"/>
  <c r="J782" i="1" s="1"/>
  <c r="J783" i="1" s="1"/>
  <c r="I783" i="1"/>
  <c r="I784" i="1" s="1"/>
  <c r="I785" i="1" s="1"/>
  <c r="I786" i="1" s="1"/>
  <c r="J784" i="1"/>
  <c r="J785" i="1" s="1"/>
  <c r="J786" i="1" s="1"/>
  <c r="J787" i="1" s="1"/>
  <c r="I787" i="1"/>
  <c r="I788" i="1" s="1"/>
  <c r="I789" i="1" s="1"/>
  <c r="I790" i="1" s="1"/>
  <c r="J788" i="1"/>
  <c r="J789" i="1" s="1"/>
  <c r="J790" i="1" s="1"/>
  <c r="J791" i="1" s="1"/>
  <c r="H790" i="1"/>
  <c r="H791" i="1"/>
  <c r="I791" i="1"/>
  <c r="H792" i="1"/>
  <c r="I792" i="1"/>
  <c r="I793" i="1" s="1"/>
  <c r="I794" i="1" s="1"/>
  <c r="I795" i="1" s="1"/>
  <c r="J792" i="1"/>
  <c r="H793" i="1"/>
  <c r="H794" i="1" s="1"/>
  <c r="H795" i="1" s="1"/>
  <c r="J793" i="1"/>
  <c r="J794" i="1" s="1"/>
  <c r="J795" i="1" s="1"/>
  <c r="J796" i="1" s="1"/>
  <c r="H796" i="1"/>
  <c r="I796" i="1"/>
  <c r="I797" i="1" s="1"/>
  <c r="I798" i="1" s="1"/>
  <c r="I799" i="1" s="1"/>
  <c r="I800" i="1" s="1"/>
  <c r="I801" i="1" s="1"/>
  <c r="H797" i="1"/>
  <c r="H798" i="1" s="1"/>
  <c r="H799" i="1" s="1"/>
  <c r="H800" i="1" s="1"/>
  <c r="J797" i="1"/>
  <c r="J798" i="1" s="1"/>
  <c r="J799" i="1"/>
  <c r="J800" i="1" s="1"/>
  <c r="J801" i="1" s="1"/>
  <c r="J802" i="1" s="1"/>
  <c r="H801" i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I802" i="1"/>
  <c r="I803" i="1"/>
  <c r="J803" i="1"/>
  <c r="J804" i="1" s="1"/>
  <c r="I804" i="1"/>
  <c r="I805" i="1" s="1"/>
  <c r="I806" i="1" s="1"/>
  <c r="I807" i="1" s="1"/>
  <c r="I808" i="1" s="1"/>
  <c r="J805" i="1"/>
  <c r="J806" i="1" s="1"/>
  <c r="J807" i="1"/>
  <c r="J808" i="1" s="1"/>
  <c r="J809" i="1" s="1"/>
  <c r="I809" i="1"/>
  <c r="I810" i="1"/>
  <c r="J810" i="1"/>
  <c r="J811" i="1" s="1"/>
  <c r="J812" i="1" s="1"/>
  <c r="J813" i="1" s="1"/>
  <c r="I811" i="1"/>
  <c r="I812" i="1"/>
  <c r="I813" i="1"/>
  <c r="I814" i="1"/>
  <c r="J814" i="1"/>
  <c r="J815" i="1" s="1"/>
  <c r="I815" i="1"/>
  <c r="I816" i="1"/>
  <c r="I817" i="1" s="1"/>
  <c r="I818" i="1" s="1"/>
  <c r="J816" i="1"/>
  <c r="J817" i="1"/>
  <c r="J818" i="1" s="1"/>
  <c r="J819" i="1" s="1"/>
  <c r="I819" i="1"/>
  <c r="I820" i="1" s="1"/>
  <c r="I821" i="1" s="1"/>
  <c r="I822" i="1" s="1"/>
  <c r="I823" i="1" s="1"/>
  <c r="I824" i="1" s="1"/>
  <c r="J820" i="1"/>
  <c r="J821" i="1" s="1"/>
  <c r="J822" i="1" s="1"/>
  <c r="J823" i="1" s="1"/>
  <c r="J824" i="1" s="1"/>
  <c r="J825" i="1" s="1"/>
  <c r="H824" i="1"/>
  <c r="H825" i="1"/>
  <c r="H826" i="1" s="1"/>
  <c r="H827" i="1" s="1"/>
  <c r="I825" i="1"/>
  <c r="I826" i="1"/>
  <c r="J826" i="1"/>
  <c r="J827" i="1" s="1"/>
  <c r="I827" i="1"/>
  <c r="H828" i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I828" i="1"/>
  <c r="I829" i="1" s="1"/>
  <c r="I830" i="1" s="1"/>
  <c r="J828" i="1"/>
  <c r="J829" i="1" s="1"/>
  <c r="J830" i="1"/>
  <c r="J831" i="1" s="1"/>
  <c r="I831" i="1"/>
  <c r="I832" i="1"/>
  <c r="I833" i="1" s="1"/>
  <c r="J832" i="1"/>
  <c r="J833" i="1" s="1"/>
  <c r="J834" i="1" s="1"/>
  <c r="I834" i="1"/>
  <c r="I835" i="1"/>
  <c r="J835" i="1"/>
  <c r="J836" i="1" s="1"/>
  <c r="J837" i="1" s="1"/>
  <c r="J838" i="1" s="1"/>
  <c r="I836" i="1"/>
  <c r="I837" i="1" s="1"/>
  <c r="I838" i="1"/>
  <c r="I839" i="1"/>
  <c r="J839" i="1"/>
  <c r="J840" i="1" s="1"/>
  <c r="J841" i="1" s="1"/>
  <c r="I840" i="1"/>
  <c r="I841" i="1" s="1"/>
  <c r="I842" i="1"/>
  <c r="J842" i="1"/>
  <c r="I843" i="1"/>
  <c r="I844" i="1" s="1"/>
  <c r="I845" i="1" s="1"/>
  <c r="I846" i="1" s="1"/>
  <c r="I847" i="1" s="1"/>
  <c r="J843" i="1"/>
  <c r="J844" i="1" s="1"/>
  <c r="J845" i="1"/>
  <c r="J846" i="1" s="1"/>
  <c r="J847" i="1"/>
  <c r="J848" i="1" s="1"/>
  <c r="J849" i="1" s="1"/>
  <c r="I848" i="1"/>
  <c r="I849" i="1" s="1"/>
  <c r="I850" i="1" s="1"/>
  <c r="I851" i="1" s="1"/>
  <c r="I852" i="1" s="1"/>
  <c r="I853" i="1" s="1"/>
  <c r="I854" i="1" s="1"/>
  <c r="H849" i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J850" i="1"/>
  <c r="J851" i="1" s="1"/>
  <c r="J852" i="1"/>
  <c r="J853" i="1" s="1"/>
  <c r="J854" i="1" s="1"/>
  <c r="J855" i="1" s="1"/>
  <c r="I855" i="1"/>
  <c r="I856" i="1"/>
  <c r="I857" i="1" s="1"/>
  <c r="I858" i="1" s="1"/>
  <c r="I859" i="1" s="1"/>
  <c r="J856" i="1"/>
  <c r="J857" i="1" s="1"/>
  <c r="J858" i="1"/>
  <c r="J859" i="1"/>
  <c r="I860" i="1"/>
  <c r="I861" i="1" s="1"/>
  <c r="J860" i="1"/>
  <c r="J861" i="1" s="1"/>
  <c r="J862" i="1" s="1"/>
  <c r="I862" i="1"/>
  <c r="I863" i="1"/>
  <c r="J863" i="1"/>
  <c r="J864" i="1" s="1"/>
  <c r="J865" i="1" s="1"/>
  <c r="I864" i="1"/>
  <c r="I865" i="1"/>
  <c r="I866" i="1" s="1"/>
  <c r="I867" i="1" s="1"/>
  <c r="I868" i="1" s="1"/>
  <c r="I869" i="1" s="1"/>
  <c r="I870" i="1" s="1"/>
  <c r="I871" i="1" s="1"/>
  <c r="J866" i="1"/>
  <c r="J867" i="1" s="1"/>
  <c r="J868" i="1"/>
  <c r="J869" i="1" s="1"/>
  <c r="J870" i="1"/>
  <c r="J871" i="1" s="1"/>
  <c r="I872" i="1"/>
  <c r="I873" i="1" s="1"/>
  <c r="J872" i="1"/>
  <c r="J873" i="1" s="1"/>
  <c r="J874" i="1" s="1"/>
  <c r="I874" i="1"/>
  <c r="I875" i="1"/>
  <c r="J875" i="1"/>
  <c r="J876" i="1" s="1"/>
  <c r="I876" i="1"/>
  <c r="I877" i="1" s="1"/>
  <c r="I878" i="1" s="1"/>
  <c r="I879" i="1" s="1"/>
  <c r="J877" i="1"/>
  <c r="J878" i="1" s="1"/>
  <c r="J879" i="1"/>
  <c r="J880" i="1" s="1"/>
  <c r="I880" i="1"/>
  <c r="I881" i="1" s="1"/>
  <c r="I882" i="1" s="1"/>
  <c r="I883" i="1" s="1"/>
  <c r="I884" i="1" s="1"/>
  <c r="I885" i="1" s="1"/>
  <c r="I886" i="1" s="1"/>
  <c r="I887" i="1" s="1"/>
  <c r="I888" i="1" s="1"/>
  <c r="I889" i="1" s="1"/>
  <c r="H881" i="1"/>
  <c r="H882" i="1" s="1"/>
  <c r="H883" i="1" s="1"/>
  <c r="H884" i="1" s="1"/>
  <c r="H885" i="1" s="1"/>
  <c r="H886" i="1" s="1"/>
  <c r="H887" i="1" s="1"/>
  <c r="H888" i="1" s="1"/>
  <c r="J881" i="1"/>
  <c r="J882" i="1" s="1"/>
  <c r="J883" i="1"/>
  <c r="J884" i="1" s="1"/>
  <c r="J885" i="1"/>
  <c r="J886" i="1" s="1"/>
  <c r="J887" i="1"/>
  <c r="J888" i="1" s="1"/>
  <c r="J889" i="1" s="1"/>
  <c r="J890" i="1" s="1"/>
  <c r="H889" i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I890" i="1"/>
  <c r="I891" i="1"/>
  <c r="J891" i="1"/>
  <c r="J892" i="1" s="1"/>
  <c r="J893" i="1" s="1"/>
  <c r="J894" i="1" s="1"/>
  <c r="J895" i="1" s="1"/>
  <c r="I892" i="1"/>
  <c r="I893" i="1" s="1"/>
  <c r="I894" i="1" s="1"/>
  <c r="I895" i="1"/>
  <c r="I896" i="1"/>
  <c r="I897" i="1" s="1"/>
  <c r="I898" i="1" s="1"/>
  <c r="J896" i="1"/>
  <c r="J897" i="1" s="1"/>
  <c r="J898" i="1" s="1"/>
  <c r="J899" i="1" s="1"/>
  <c r="I899" i="1"/>
  <c r="I900" i="1"/>
  <c r="I901" i="1" s="1"/>
  <c r="I902" i="1" s="1"/>
  <c r="I903" i="1" s="1"/>
  <c r="J900" i="1"/>
  <c r="J901" i="1" s="1"/>
  <c r="J902" i="1" s="1"/>
  <c r="J903" i="1" s="1"/>
  <c r="J904" i="1" s="1"/>
  <c r="I904" i="1"/>
  <c r="I905" i="1" s="1"/>
  <c r="I906" i="1" s="1"/>
  <c r="I907" i="1" s="1"/>
  <c r="J905" i="1"/>
  <c r="J906" i="1" s="1"/>
  <c r="J907" i="1"/>
  <c r="J908" i="1" s="1"/>
  <c r="I908" i="1"/>
  <c r="I909" i="1" s="1"/>
  <c r="I910" i="1" s="1"/>
  <c r="I911" i="1" s="1"/>
  <c r="I912" i="1" s="1"/>
  <c r="I913" i="1" s="1"/>
  <c r="I914" i="1" s="1"/>
  <c r="I915" i="1" s="1"/>
  <c r="I916" i="1" s="1"/>
  <c r="I917" i="1" s="1"/>
  <c r="J909" i="1"/>
  <c r="J910" i="1" s="1"/>
  <c r="J911" i="1"/>
  <c r="J912" i="1" s="1"/>
  <c r="J913" i="1"/>
  <c r="J914" i="1" s="1"/>
  <c r="J915" i="1"/>
  <c r="J916" i="1" s="1"/>
  <c r="J917" i="1" s="1"/>
  <c r="J918" i="1" s="1"/>
  <c r="H917" i="1"/>
  <c r="H918" i="1" s="1"/>
  <c r="H919" i="1" s="1"/>
  <c r="H920" i="1" s="1"/>
  <c r="I918" i="1"/>
  <c r="I919" i="1"/>
  <c r="J919" i="1"/>
  <c r="J920" i="1" s="1"/>
  <c r="J921" i="1" s="1"/>
  <c r="J922" i="1" s="1"/>
  <c r="I920" i="1"/>
  <c r="I921" i="1" s="1"/>
  <c r="H921" i="1"/>
  <c r="H922" i="1" s="1"/>
  <c r="H923" i="1" s="1"/>
  <c r="H924" i="1" s="1"/>
  <c r="I922" i="1"/>
  <c r="I923" i="1"/>
  <c r="J923" i="1"/>
  <c r="J924" i="1" s="1"/>
  <c r="J925" i="1" s="1"/>
  <c r="I924" i="1"/>
  <c r="I925" i="1" s="1"/>
  <c r="I926" i="1" s="1"/>
  <c r="I927" i="1" s="1"/>
  <c r="H925" i="1"/>
  <c r="H926" i="1" s="1"/>
  <c r="H927" i="1" s="1"/>
  <c r="H928" i="1" s="1"/>
  <c r="J926" i="1"/>
  <c r="J927" i="1" s="1"/>
  <c r="J928" i="1" s="1"/>
  <c r="I928" i="1"/>
  <c r="I929" i="1" s="1"/>
  <c r="I930" i="1" s="1"/>
  <c r="I931" i="1" s="1"/>
  <c r="H929" i="1"/>
  <c r="H930" i="1" s="1"/>
  <c r="H931" i="1" s="1"/>
  <c r="H932" i="1" s="1"/>
  <c r="J929" i="1"/>
  <c r="J930" i="1" s="1"/>
  <c r="J931" i="1"/>
  <c r="J932" i="1" s="1"/>
  <c r="J933" i="1" s="1"/>
  <c r="I932" i="1"/>
  <c r="H933" i="1"/>
  <c r="H934" i="1" s="1"/>
  <c r="H935" i="1" s="1"/>
  <c r="H936" i="1" s="1"/>
  <c r="I933" i="1"/>
  <c r="I934" i="1" s="1"/>
  <c r="I935" i="1" s="1"/>
  <c r="J934" i="1"/>
  <c r="J935" i="1" s="1"/>
  <c r="I936" i="1"/>
  <c r="I937" i="1" s="1"/>
  <c r="J936" i="1"/>
  <c r="J937" i="1" s="1"/>
  <c r="J938" i="1" s="1"/>
  <c r="H937" i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I938" i="1"/>
  <c r="I939" i="1"/>
  <c r="J939" i="1"/>
  <c r="J940" i="1" s="1"/>
  <c r="J941" i="1" s="1"/>
  <c r="I940" i="1"/>
  <c r="I941" i="1"/>
  <c r="I942" i="1" s="1"/>
  <c r="I943" i="1" s="1"/>
  <c r="I944" i="1" s="1"/>
  <c r="I945" i="1" s="1"/>
  <c r="I946" i="1" s="1"/>
  <c r="I947" i="1" s="1"/>
  <c r="I948" i="1" s="1"/>
  <c r="I949" i="1" s="1"/>
  <c r="J942" i="1"/>
  <c r="J943" i="1" s="1"/>
  <c r="J944" i="1" s="1"/>
  <c r="J945" i="1"/>
  <c r="J946" i="1" s="1"/>
  <c r="J947" i="1"/>
  <c r="J948" i="1" s="1"/>
  <c r="J949" i="1" s="1"/>
  <c r="J950" i="1" s="1"/>
  <c r="H949" i="1"/>
  <c r="H950" i="1" s="1"/>
  <c r="H951" i="1" s="1"/>
  <c r="H952" i="1" s="1"/>
  <c r="H953" i="1" s="1"/>
  <c r="H954" i="1" s="1"/>
  <c r="H955" i="1" s="1"/>
  <c r="H956" i="1" s="1"/>
  <c r="H957" i="1" s="1"/>
  <c r="H958" i="1" s="1"/>
  <c r="I950" i="1"/>
  <c r="I951" i="1"/>
  <c r="J951" i="1"/>
  <c r="J952" i="1" s="1"/>
  <c r="I952" i="1"/>
  <c r="I953" i="1" s="1"/>
  <c r="I954" i="1" s="1"/>
  <c r="I955" i="1" s="1"/>
  <c r="J953" i="1"/>
  <c r="J954" i="1"/>
  <c r="J955" i="1"/>
  <c r="J956" i="1" s="1"/>
  <c r="I956" i="1"/>
  <c r="I957" i="1" s="1"/>
  <c r="I958" i="1" s="1"/>
  <c r="I959" i="1" s="1"/>
  <c r="J957" i="1"/>
  <c r="J958" i="1" s="1"/>
  <c r="J959" i="1" s="1"/>
  <c r="J960" i="1" s="1"/>
  <c r="H959" i="1"/>
  <c r="H960" i="1"/>
  <c r="I960" i="1"/>
  <c r="I961" i="1" s="1"/>
  <c r="I962" i="1" s="1"/>
  <c r="I963" i="1" s="1"/>
  <c r="H961" i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J961" i="1"/>
  <c r="J962" i="1" s="1"/>
  <c r="J963" i="1" s="1"/>
  <c r="J964" i="1" s="1"/>
  <c r="I964" i="1"/>
  <c r="I965" i="1" s="1"/>
  <c r="I966" i="1" s="1"/>
  <c r="J965" i="1"/>
  <c r="J966" i="1" s="1"/>
  <c r="J967" i="1" s="1"/>
  <c r="I967" i="1"/>
  <c r="I968" i="1"/>
  <c r="I969" i="1" s="1"/>
  <c r="J968" i="1"/>
  <c r="J969" i="1" s="1"/>
  <c r="J970" i="1" s="1"/>
  <c r="I970" i="1"/>
  <c r="I971" i="1"/>
  <c r="J971" i="1"/>
  <c r="J972" i="1" s="1"/>
  <c r="J973" i="1" s="1"/>
  <c r="I972" i="1"/>
  <c r="H973" i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I973" i="1"/>
  <c r="I974" i="1" s="1"/>
  <c r="I975" i="1" s="1"/>
  <c r="J974" i="1"/>
  <c r="J975" i="1" s="1"/>
  <c r="J976" i="1" s="1"/>
  <c r="J977" i="1" s="1"/>
  <c r="J978" i="1" s="1"/>
  <c r="J979" i="1" s="1"/>
  <c r="I976" i="1"/>
  <c r="I977" i="1" s="1"/>
  <c r="I978" i="1" s="1"/>
  <c r="I979" i="1"/>
  <c r="I980" i="1"/>
  <c r="I981" i="1" s="1"/>
  <c r="I982" i="1" s="1"/>
  <c r="I983" i="1" s="1"/>
  <c r="I984" i="1" s="1"/>
  <c r="I985" i="1" s="1"/>
  <c r="I986" i="1" s="1"/>
  <c r="I987" i="1" s="1"/>
  <c r="I988" i="1" s="1"/>
  <c r="J980" i="1"/>
  <c r="J981" i="1" s="1"/>
  <c r="J982" i="1" s="1"/>
  <c r="J983" i="1" s="1"/>
  <c r="J984" i="1" s="1"/>
  <c r="J985" i="1" s="1"/>
  <c r="J986" i="1" s="1"/>
  <c r="J987" i="1" s="1"/>
  <c r="J988" i="1" s="1"/>
  <c r="J989" i="1" s="1"/>
  <c r="I989" i="1"/>
  <c r="I990" i="1" s="1"/>
  <c r="I991" i="1" s="1"/>
  <c r="J990" i="1"/>
  <c r="J991" i="1" s="1"/>
  <c r="I992" i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J992" i="1"/>
  <c r="J993" i="1" s="1"/>
  <c r="J994" i="1" s="1"/>
  <c r="H993" i="1"/>
  <c r="H994" i="1" s="1"/>
  <c r="H995" i="1" s="1"/>
  <c r="H996" i="1" s="1"/>
  <c r="H997" i="1" s="1"/>
  <c r="H998" i="1" s="1"/>
  <c r="H999" i="1" s="1"/>
  <c r="H1000" i="1" s="1"/>
  <c r="H1001" i="1" s="1"/>
  <c r="H1002" i="1" s="1"/>
  <c r="J995" i="1"/>
  <c r="J996" i="1" s="1"/>
  <c r="J997" i="1" s="1"/>
  <c r="J998" i="1" s="1"/>
  <c r="J999" i="1" s="1"/>
  <c r="J1000" i="1" s="1"/>
  <c r="J1001" i="1" s="1"/>
  <c r="J1002" i="1" s="1"/>
  <c r="J1003" i="1" s="1"/>
  <c r="J1004" i="1" s="1"/>
  <c r="H1003" i="1"/>
  <c r="H1004" i="1"/>
  <c r="I1004" i="1"/>
  <c r="I1005" i="1" s="1"/>
  <c r="I1006" i="1" s="1"/>
  <c r="I1007" i="1" s="1"/>
  <c r="I1008" i="1" s="1"/>
  <c r="I1009" i="1" s="1"/>
  <c r="I1010" i="1" s="1"/>
  <c r="I1011" i="1" s="1"/>
  <c r="H1005" i="1"/>
  <c r="H1006" i="1" s="1"/>
  <c r="H1007" i="1" s="1"/>
  <c r="H1008" i="1" s="1"/>
  <c r="J1005" i="1"/>
  <c r="J1006" i="1" s="1"/>
  <c r="J1007" i="1"/>
  <c r="J1008" i="1" s="1"/>
  <c r="J1009" i="1" s="1"/>
  <c r="J1010" i="1" s="1"/>
  <c r="H1009" i="1"/>
  <c r="H1010" i="1" s="1"/>
  <c r="H1011" i="1" s="1"/>
  <c r="H1012" i="1" s="1"/>
  <c r="J1011" i="1"/>
  <c r="J1012" i="1" s="1"/>
  <c r="J1013" i="1" s="1"/>
  <c r="J1014" i="1" s="1"/>
  <c r="I1012" i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H1013" i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J1015" i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/>
  <c r="J1040" i="1" s="1"/>
  <c r="H1041" i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J1041" i="1"/>
  <c r="J1042" i="1" s="1"/>
  <c r="J1043" i="1" s="1"/>
  <c r="I1044" i="1"/>
  <c r="I1045" i="1" s="1"/>
  <c r="I1046" i="1" s="1"/>
  <c r="I1047" i="1" s="1"/>
  <c r="I1048" i="1" s="1"/>
  <c r="J1044" i="1"/>
  <c r="J1045" i="1" s="1"/>
  <c r="J1046" i="1" s="1"/>
  <c r="J1047" i="1"/>
  <c r="J1048" i="1" s="1"/>
  <c r="J1049" i="1" s="1"/>
  <c r="I1049" i="1"/>
  <c r="I1050" i="1"/>
  <c r="J1050" i="1"/>
  <c r="J1051" i="1" s="1"/>
  <c r="I1051" i="1"/>
  <c r="I1052" i="1"/>
  <c r="I1053" i="1" s="1"/>
  <c r="I1054" i="1" s="1"/>
  <c r="I1055" i="1" s="1"/>
  <c r="J1052" i="1"/>
  <c r="J1053" i="1"/>
  <c r="J1054" i="1" s="1"/>
  <c r="J1055" i="1" s="1"/>
  <c r="J1056" i="1" s="1"/>
  <c r="J1057" i="1" s="1"/>
  <c r="G1055" i="1"/>
  <c r="G1056" i="1"/>
  <c r="H1056" i="1"/>
  <c r="I1056" i="1"/>
  <c r="G1057" i="1"/>
  <c r="H1057" i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I1057" i="1"/>
  <c r="G1058" i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I1058" i="1"/>
  <c r="J1058" i="1"/>
  <c r="J1059" i="1" s="1"/>
  <c r="J1060" i="1" s="1"/>
  <c r="I1059" i="1"/>
  <c r="I1060" i="1"/>
  <c r="I1061" i="1" s="1"/>
  <c r="I1062" i="1" s="1"/>
  <c r="I1063" i="1" s="1"/>
  <c r="J1061" i="1"/>
  <c r="J1062" i="1"/>
  <c r="J1063" i="1"/>
  <c r="J1064" i="1" s="1"/>
  <c r="I1064" i="1"/>
  <c r="I1065" i="1" s="1"/>
  <c r="I1066" i="1" s="1"/>
  <c r="J1065" i="1"/>
  <c r="J1066" i="1" s="1"/>
  <c r="J1067" i="1" s="1"/>
  <c r="I1067" i="1"/>
  <c r="I1068" i="1"/>
  <c r="I1069" i="1" s="1"/>
  <c r="I1070" i="1" s="1"/>
  <c r="J1068" i="1"/>
  <c r="J1069" i="1" s="1"/>
  <c r="J1070" i="1" s="1"/>
  <c r="J1071" i="1" s="1"/>
  <c r="H1069" i="1"/>
  <c r="H1070" i="1" s="1"/>
  <c r="H1071" i="1" s="1"/>
  <c r="H1072" i="1" s="1"/>
  <c r="H1073" i="1" s="1"/>
  <c r="H1074" i="1" s="1"/>
  <c r="I1071" i="1"/>
  <c r="I1072" i="1"/>
  <c r="I1073" i="1" s="1"/>
  <c r="I1074" i="1" s="1"/>
  <c r="I1075" i="1" s="1"/>
  <c r="J1072" i="1"/>
  <c r="J1073" i="1" s="1"/>
  <c r="J1074" i="1" s="1"/>
  <c r="J1075" i="1" s="1"/>
  <c r="J1076" i="1" s="1"/>
  <c r="G1074" i="1"/>
  <c r="G1075" i="1" s="1"/>
  <c r="G1076" i="1" s="1"/>
  <c r="G1077" i="1" s="1"/>
  <c r="H1075" i="1"/>
  <c r="H1076" i="1"/>
  <c r="I1076" i="1"/>
  <c r="I1077" i="1" s="1"/>
  <c r="I1078" i="1" s="1"/>
  <c r="I1079" i="1" s="1"/>
  <c r="H1077" i="1"/>
  <c r="H1078" i="1" s="1"/>
  <c r="H1079" i="1" s="1"/>
  <c r="J1077" i="1"/>
  <c r="J1078" i="1" s="1"/>
  <c r="J1079" i="1" s="1"/>
  <c r="J1080" i="1" s="1"/>
  <c r="J1081" i="1" s="1"/>
  <c r="G1078" i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H1080" i="1"/>
  <c r="I1080" i="1"/>
  <c r="H1081" i="1"/>
  <c r="H1082" i="1" s="1"/>
  <c r="H1083" i="1" s="1"/>
  <c r="H1084" i="1" s="1"/>
  <c r="H1085" i="1" s="1"/>
  <c r="I1081" i="1"/>
  <c r="I1082" i="1"/>
  <c r="J1082" i="1"/>
  <c r="J1083" i="1" s="1"/>
  <c r="I1083" i="1"/>
  <c r="I1084" i="1"/>
  <c r="I1085" i="1" s="1"/>
  <c r="I1086" i="1" s="1"/>
  <c r="J1084" i="1"/>
  <c r="J1085" i="1" s="1"/>
  <c r="J1086" i="1" s="1"/>
  <c r="J1087" i="1" s="1"/>
  <c r="H1086" i="1"/>
  <c r="H1087" i="1"/>
  <c r="I1087" i="1"/>
  <c r="H1088" i="1"/>
  <c r="I1088" i="1"/>
  <c r="I1089" i="1" s="1"/>
  <c r="I1090" i="1" s="1"/>
  <c r="I1091" i="1" s="1"/>
  <c r="J1088" i="1"/>
  <c r="J1089" i="1" s="1"/>
  <c r="H1089" i="1"/>
  <c r="H1090" i="1" s="1"/>
  <c r="H1091" i="1" s="1"/>
  <c r="J1090" i="1"/>
  <c r="J1091" i="1" s="1"/>
  <c r="J1092" i="1" s="1"/>
  <c r="H1092" i="1"/>
  <c r="I1092" i="1"/>
  <c r="I1093" i="1" s="1"/>
  <c r="I1094" i="1" s="1"/>
  <c r="H1093" i="1"/>
  <c r="H1094" i="1" s="1"/>
  <c r="H1095" i="1" s="1"/>
  <c r="J1093" i="1"/>
  <c r="J1094" i="1" s="1"/>
  <c r="I1095" i="1"/>
  <c r="I1096" i="1" s="1"/>
  <c r="J1095" i="1"/>
  <c r="J1096" i="1" s="1"/>
  <c r="J1097" i="1" s="1"/>
  <c r="H1096" i="1"/>
  <c r="H1097" i="1"/>
  <c r="H1098" i="1" s="1"/>
  <c r="H1099" i="1" s="1"/>
  <c r="I1097" i="1"/>
  <c r="I1098" i="1"/>
  <c r="J1098" i="1"/>
  <c r="J1099" i="1" s="1"/>
  <c r="J1100" i="1" s="1"/>
  <c r="I1099" i="1"/>
  <c r="H1100" i="1"/>
  <c r="I1100" i="1"/>
  <c r="I1101" i="1" s="1"/>
  <c r="I1102" i="1" s="1"/>
  <c r="H1101" i="1"/>
  <c r="H1102" i="1" s="1"/>
  <c r="H1103" i="1" s="1"/>
  <c r="H1104" i="1" s="1"/>
  <c r="H1105" i="1" s="1"/>
  <c r="J1101" i="1"/>
  <c r="J1102" i="1" s="1"/>
  <c r="I1103" i="1"/>
  <c r="I1104" i="1" s="1"/>
  <c r="I1105" i="1" s="1"/>
  <c r="I1106" i="1" s="1"/>
  <c r="J1103" i="1"/>
  <c r="J1104" i="1" s="1"/>
  <c r="J1105" i="1" s="1"/>
  <c r="J1106" i="1" s="1"/>
  <c r="J1107" i="1" s="1"/>
  <c r="H1106" i="1"/>
  <c r="H1107" i="1"/>
  <c r="I1107" i="1"/>
  <c r="H1108" i="1"/>
  <c r="H1109" i="1" s="1"/>
  <c r="I1108" i="1"/>
  <c r="J1108" i="1"/>
  <c r="J1109" i="1" s="1"/>
  <c r="J1110" i="1" s="1"/>
  <c r="J1111" i="1" s="1"/>
  <c r="J1112" i="1" s="1"/>
  <c r="I1109" i="1"/>
  <c r="I1110" i="1" s="1"/>
  <c r="I1111" i="1" s="1"/>
  <c r="G1110" i="1"/>
  <c r="H1110" i="1"/>
  <c r="G1111" i="1"/>
  <c r="G1112" i="1" s="1"/>
  <c r="G1113" i="1" s="1"/>
  <c r="G1114" i="1" s="1"/>
  <c r="H1111" i="1"/>
  <c r="H1112" i="1"/>
  <c r="H1113" i="1" s="1"/>
  <c r="H1114" i="1" s="1"/>
  <c r="H1115" i="1" s="1"/>
  <c r="H1116" i="1" s="1"/>
  <c r="H1117" i="1" s="1"/>
  <c r="I1112" i="1"/>
  <c r="I1113" i="1"/>
  <c r="I1114" i="1" s="1"/>
  <c r="J1113" i="1"/>
  <c r="J1114" i="1" s="1"/>
  <c r="J1115" i="1" s="1"/>
  <c r="G1115" i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I1115" i="1"/>
  <c r="I1116" i="1" s="1"/>
  <c r="J1116" i="1"/>
  <c r="J1117" i="1" s="1"/>
  <c r="J1118" i="1" s="1"/>
  <c r="J1119" i="1" s="1"/>
  <c r="I1117" i="1"/>
  <c r="I1118" i="1" s="1"/>
  <c r="H1118" i="1"/>
  <c r="H1119" i="1" s="1"/>
  <c r="H1120" i="1" s="1"/>
  <c r="H1121" i="1" s="1"/>
  <c r="I1119" i="1"/>
  <c r="I1120" i="1" s="1"/>
  <c r="I1121" i="1" s="1"/>
  <c r="I1122" i="1" s="1"/>
  <c r="I1123" i="1" s="1"/>
  <c r="I1124" i="1" s="1"/>
  <c r="J1120" i="1"/>
  <c r="J1121" i="1" s="1"/>
  <c r="J1122" i="1" s="1"/>
  <c r="H1122" i="1"/>
  <c r="H1123" i="1" s="1"/>
  <c r="H1124" i="1" s="1"/>
  <c r="H1125" i="1" s="1"/>
  <c r="H1126" i="1" s="1"/>
  <c r="H1127" i="1" s="1"/>
  <c r="H1128" i="1" s="1"/>
  <c r="H1129" i="1" s="1"/>
  <c r="J1123" i="1"/>
  <c r="J1124" i="1" s="1"/>
  <c r="I1125" i="1"/>
  <c r="I1126" i="1" s="1"/>
  <c r="J1125" i="1"/>
  <c r="J1126" i="1"/>
  <c r="J1127" i="1" s="1"/>
  <c r="I1127" i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J1128" i="1"/>
  <c r="J1129" i="1" s="1"/>
  <c r="J1130" i="1" s="1"/>
  <c r="J1131" i="1" s="1"/>
  <c r="J1132" i="1" s="1"/>
  <c r="J1133" i="1" s="1"/>
  <c r="H1130" i="1"/>
  <c r="H1131" i="1" s="1"/>
  <c r="H1132" i="1" s="1"/>
  <c r="H1133" i="1" s="1"/>
  <c r="H1134" i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J1134" i="1"/>
  <c r="J1135" i="1" s="1"/>
  <c r="J1136" i="1" s="1"/>
  <c r="J1137" i="1"/>
  <c r="J1138" i="1" s="1"/>
  <c r="J1139" i="1" s="1"/>
  <c r="I1139" i="1"/>
  <c r="I1140" i="1" s="1"/>
  <c r="J1140" i="1"/>
  <c r="J1141" i="1" s="1"/>
  <c r="I1141" i="1"/>
  <c r="I1142" i="1" s="1"/>
  <c r="I1143" i="1" s="1"/>
  <c r="I1144" i="1" s="1"/>
  <c r="I1145" i="1" s="1"/>
  <c r="I1146" i="1" s="1"/>
  <c r="I1147" i="1" s="1"/>
  <c r="I1148" i="1" s="1"/>
  <c r="J1142" i="1"/>
  <c r="J1143" i="1" s="1"/>
  <c r="J1144" i="1" s="1"/>
  <c r="J1145" i="1"/>
  <c r="J1146" i="1" s="1"/>
  <c r="J1147" i="1" s="1"/>
  <c r="J1148" i="1" s="1"/>
  <c r="J1149" i="1" s="1"/>
  <c r="H1148" i="1"/>
  <c r="H1149" i="1" s="1"/>
  <c r="H1150" i="1" s="1"/>
  <c r="H1151" i="1" s="1"/>
  <c r="H1152" i="1" s="1"/>
  <c r="H1153" i="1" s="1"/>
  <c r="I1149" i="1"/>
  <c r="I1150" i="1" s="1"/>
  <c r="I1151" i="1" s="1"/>
  <c r="I1152" i="1" s="1"/>
  <c r="J1150" i="1"/>
  <c r="J1151" i="1" s="1"/>
  <c r="J1152" i="1" s="1"/>
  <c r="I1153" i="1"/>
  <c r="I1154" i="1" s="1"/>
  <c r="I1155" i="1" s="1"/>
  <c r="I1156" i="1" s="1"/>
  <c r="J1153" i="1"/>
  <c r="J1154" i="1" s="1"/>
  <c r="H1154" i="1"/>
  <c r="H1155" i="1" s="1"/>
  <c r="H1156" i="1" s="1"/>
  <c r="H1157" i="1" s="1"/>
  <c r="H1158" i="1" s="1"/>
  <c r="H1159" i="1" s="1"/>
  <c r="H1160" i="1" s="1"/>
  <c r="H1161" i="1" s="1"/>
  <c r="J1155" i="1"/>
  <c r="J1156" i="1" s="1"/>
  <c r="I1157" i="1"/>
  <c r="I1158" i="1" s="1"/>
  <c r="J1157" i="1"/>
  <c r="J1158" i="1" s="1"/>
  <c r="J1159" i="1" s="1"/>
  <c r="I1159" i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J1160" i="1"/>
  <c r="J1161" i="1" s="1"/>
  <c r="H1162" i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J1162" i="1"/>
  <c r="J1163" i="1" s="1"/>
  <c r="J1164" i="1" s="1"/>
  <c r="J1165" i="1" s="1"/>
  <c r="J1166" i="1"/>
  <c r="J1167" i="1" s="1"/>
  <c r="J1168" i="1" s="1"/>
  <c r="J1169" i="1" s="1"/>
  <c r="J1170" i="1" s="1"/>
  <c r="J1171" i="1" s="1"/>
  <c r="J1172" i="1" s="1"/>
  <c r="J1173" i="1" s="1"/>
  <c r="I1173" i="1"/>
  <c r="I1174" i="1" s="1"/>
  <c r="I1175" i="1" s="1"/>
  <c r="I1176" i="1" s="1"/>
  <c r="H1174" i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J1174" i="1"/>
  <c r="J1175" i="1" s="1"/>
  <c r="J1176" i="1" s="1"/>
  <c r="J1177" i="1" s="1"/>
  <c r="J1178" i="1" s="1"/>
  <c r="J1179" i="1" s="1"/>
  <c r="J1180" i="1" s="1"/>
  <c r="J1181" i="1" s="1"/>
  <c r="I1177" i="1"/>
  <c r="I1178" i="1" s="1"/>
  <c r="I1179" i="1" s="1"/>
  <c r="I1180" i="1" s="1"/>
  <c r="I1181" i="1"/>
  <c r="I1182" i="1" s="1"/>
  <c r="I1183" i="1" s="1"/>
  <c r="I1184" i="1" s="1"/>
  <c r="J1182" i="1"/>
  <c r="J1183" i="1" s="1"/>
  <c r="J1184" i="1"/>
  <c r="J1185" i="1" s="1"/>
  <c r="J1186" i="1" s="1"/>
  <c r="J1187" i="1" s="1"/>
  <c r="J1188" i="1" s="1"/>
  <c r="J1189" i="1" s="1"/>
  <c r="J1190" i="1" s="1"/>
  <c r="J1191" i="1" s="1"/>
  <c r="I1185" i="1"/>
  <c r="I1186" i="1" s="1"/>
  <c r="I1187" i="1" s="1"/>
  <c r="I1188" i="1" s="1"/>
  <c r="I1189" i="1"/>
  <c r="I1190" i="1" s="1"/>
  <c r="I1191" i="1" s="1"/>
  <c r="I1192" i="1" s="1"/>
  <c r="G1191" i="1"/>
  <c r="G1192" i="1" s="1"/>
  <c r="G1193" i="1" s="1"/>
  <c r="G1194" i="1" s="1"/>
  <c r="H1192" i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J1192" i="1"/>
  <c r="J1193" i="1" s="1"/>
  <c r="I1193" i="1"/>
  <c r="I1194" i="1" s="1"/>
  <c r="I1195" i="1" s="1"/>
  <c r="I1196" i="1" s="1"/>
  <c r="J1194" i="1"/>
  <c r="J1195" i="1" s="1"/>
  <c r="J1196" i="1" s="1"/>
  <c r="J1197" i="1" s="1"/>
  <c r="J1198" i="1" s="1"/>
  <c r="J1199" i="1" s="1"/>
  <c r="J1200" i="1" s="1"/>
  <c r="G1195" i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I1197" i="1"/>
  <c r="I1198" i="1" s="1"/>
  <c r="I1199" i="1" s="1"/>
  <c r="I1200" i="1" s="1"/>
  <c r="I1201" i="1"/>
  <c r="I1202" i="1" s="1"/>
  <c r="I1203" i="1" s="1"/>
  <c r="J1201" i="1"/>
  <c r="J1202" i="1" s="1"/>
  <c r="J1203" i="1" s="1"/>
  <c r="J1204" i="1" s="1"/>
  <c r="I1204" i="1"/>
  <c r="I1205" i="1"/>
  <c r="I1206" i="1" s="1"/>
  <c r="I1207" i="1" s="1"/>
  <c r="I1208" i="1" s="1"/>
  <c r="J1205" i="1"/>
  <c r="J1206" i="1" s="1"/>
  <c r="J1207" i="1" s="1"/>
  <c r="J1208" i="1" s="1"/>
  <c r="J1209" i="1" s="1"/>
  <c r="J1210" i="1" s="1"/>
  <c r="J1211" i="1" s="1"/>
  <c r="J1212" i="1" s="1"/>
  <c r="J1213" i="1" s="1"/>
  <c r="J1214" i="1" s="1"/>
  <c r="I1209" i="1"/>
  <c r="I1210" i="1" s="1"/>
  <c r="I1211" i="1" s="1"/>
  <c r="I1212" i="1" s="1"/>
  <c r="I1213" i="1"/>
  <c r="I1214" i="1"/>
  <c r="I1215" i="1"/>
  <c r="I1216" i="1" s="1"/>
  <c r="I1217" i="1" s="1"/>
  <c r="I1218" i="1" s="1"/>
  <c r="I1219" i="1" s="1"/>
  <c r="I1220" i="1" s="1"/>
  <c r="I1221" i="1" s="1"/>
  <c r="J1215" i="1"/>
  <c r="J1216" i="1" s="1"/>
  <c r="J1217" i="1" s="1"/>
  <c r="J1218" i="1" s="1"/>
  <c r="J1219" i="1" s="1"/>
  <c r="J1220" i="1" s="1"/>
  <c r="J1221" i="1" s="1"/>
  <c r="J1222" i="1" s="1"/>
  <c r="I1222" i="1"/>
  <c r="I1223" i="1"/>
  <c r="I1224" i="1" s="1"/>
  <c r="J1223" i="1"/>
  <c r="J1224" i="1" s="1"/>
  <c r="J1225" i="1" s="1"/>
  <c r="J1226" i="1" s="1"/>
  <c r="J1227" i="1" s="1"/>
  <c r="J1228" i="1" s="1"/>
  <c r="J1229" i="1" s="1"/>
  <c r="I1225" i="1"/>
  <c r="I1226" i="1" s="1"/>
  <c r="I1227" i="1" s="1"/>
  <c r="I1228" i="1" s="1"/>
  <c r="I1229" i="1"/>
  <c r="I1230" i="1" s="1"/>
  <c r="I1231" i="1" s="1"/>
  <c r="I1232" i="1" s="1"/>
  <c r="J1230" i="1"/>
  <c r="J1231" i="1" s="1"/>
  <c r="J1232" i="1" s="1"/>
  <c r="I1233" i="1"/>
  <c r="I1234" i="1" s="1"/>
  <c r="I1235" i="1" s="1"/>
  <c r="J1233" i="1"/>
  <c r="J1234" i="1" s="1"/>
  <c r="J1235" i="1" s="1"/>
  <c r="J1236" i="1" s="1"/>
  <c r="H1235" i="1"/>
  <c r="H1236" i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I1236" i="1"/>
  <c r="I1237" i="1"/>
  <c r="I1238" i="1" s="1"/>
  <c r="I1239" i="1" s="1"/>
  <c r="I1240" i="1" s="1"/>
  <c r="J1237" i="1"/>
  <c r="J1238" i="1" s="1"/>
  <c r="J1239" i="1"/>
  <c r="J1240" i="1" s="1"/>
  <c r="I1241" i="1"/>
  <c r="I1242" i="1" s="1"/>
  <c r="I1243" i="1" s="1"/>
  <c r="I1244" i="1" s="1"/>
  <c r="J1241" i="1"/>
  <c r="J1242" i="1" s="1"/>
  <c r="J1243" i="1"/>
  <c r="J1244" i="1" s="1"/>
  <c r="I1245" i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J1245" i="1"/>
  <c r="J1246" i="1" s="1"/>
  <c r="J1247" i="1"/>
  <c r="J1248" i="1" s="1"/>
  <c r="J1249" i="1"/>
  <c r="J1250" i="1" s="1"/>
  <c r="J1251" i="1"/>
  <c r="J1252" i="1" s="1"/>
  <c r="J1253" i="1" s="1"/>
  <c r="J1254" i="1" s="1"/>
  <c r="J1255" i="1" s="1"/>
  <c r="J1256" i="1"/>
  <c r="J1257" i="1" s="1"/>
  <c r="J1258" i="1" s="1"/>
  <c r="I1258" i="1"/>
  <c r="I1259" i="1"/>
  <c r="I1260" i="1" s="1"/>
  <c r="J1259" i="1"/>
  <c r="J1260" i="1" s="1"/>
  <c r="I1261" i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J1261" i="1"/>
  <c r="J1262" i="1" s="1"/>
  <c r="J1263" i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H1266" i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I1274" i="1"/>
  <c r="I1275" i="1"/>
  <c r="I1276" i="1" s="1"/>
  <c r="J1275" i="1"/>
  <c r="J1276" i="1" s="1"/>
  <c r="I1277" i="1"/>
  <c r="I1278" i="1" s="1"/>
  <c r="I1279" i="1" s="1"/>
  <c r="I1280" i="1" s="1"/>
  <c r="I1281" i="1" s="1"/>
  <c r="I1282" i="1" s="1"/>
  <c r="I1283" i="1" s="1"/>
  <c r="I1284" i="1" s="1"/>
  <c r="J1277" i="1"/>
  <c r="J1278" i="1" s="1"/>
  <c r="J1279" i="1" s="1"/>
  <c r="J1280" i="1" s="1"/>
  <c r="J1281" i="1"/>
  <c r="J1282" i="1" s="1"/>
  <c r="J1283" i="1" s="1"/>
  <c r="J1284" i="1" s="1"/>
  <c r="I1285" i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J1285" i="1"/>
  <c r="J1286" i="1" s="1"/>
  <c r="J1287" i="1" s="1"/>
  <c r="J1288" i="1" s="1"/>
  <c r="J1289" i="1" s="1"/>
  <c r="J1290" i="1"/>
  <c r="J1291" i="1" s="1"/>
  <c r="J1292" i="1" s="1"/>
  <c r="J1293" i="1" s="1"/>
  <c r="J1294" i="1" s="1"/>
  <c r="J1295" i="1"/>
  <c r="J1296" i="1" s="1"/>
  <c r="J1297" i="1" s="1"/>
  <c r="J1298" i="1"/>
  <c r="J1299" i="1" s="1"/>
  <c r="J1300" i="1"/>
  <c r="J1301" i="1" s="1"/>
  <c r="J1302" i="1" s="1"/>
  <c r="J1303" i="1" s="1"/>
  <c r="J1304" i="1" s="1"/>
  <c r="J1305" i="1" s="1"/>
  <c r="J1306" i="1" s="1"/>
  <c r="J1307" i="1"/>
  <c r="J1308" i="1" s="1"/>
  <c r="J1309" i="1" s="1"/>
  <c r="J1310" i="1" s="1"/>
  <c r="I1309" i="1"/>
  <c r="I1310" i="1"/>
  <c r="I1311" i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J1311" i="1"/>
  <c r="J1312" i="1" s="1"/>
  <c r="J1313" i="1" s="1"/>
  <c r="J1314" i="1" s="1"/>
  <c r="J1315" i="1"/>
  <c r="J1316" i="1" s="1"/>
  <c r="J1317" i="1" s="1"/>
  <c r="J1318" i="1"/>
  <c r="J1319" i="1" s="1"/>
  <c r="J1320" i="1" s="1"/>
  <c r="J1321" i="1"/>
  <c r="J1322" i="1" s="1"/>
  <c r="J1323" i="1" s="1"/>
  <c r="J1324" i="1"/>
  <c r="J1325" i="1" s="1"/>
  <c r="J1326" i="1" s="1"/>
  <c r="J1327" i="1" s="1"/>
  <c r="J1328" i="1"/>
  <c r="J1329" i="1" s="1"/>
  <c r="J1330" i="1" s="1"/>
  <c r="J1331" i="1"/>
  <c r="J1332" i="1" s="1"/>
  <c r="J1333" i="1" s="1"/>
  <c r="J1334" i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I1337" i="1"/>
  <c r="I1338" i="1" s="1"/>
  <c r="I1339" i="1" s="1"/>
  <c r="I1340" i="1" s="1"/>
  <c r="I1341" i="1" s="1"/>
  <c r="I1342" i="1" s="1"/>
  <c r="I1343" i="1" s="1"/>
  <c r="I1344" i="1" s="1"/>
  <c r="I1345" i="1" s="1"/>
  <c r="I1346" i="1"/>
  <c r="I1347" i="1"/>
  <c r="I1348" i="1" s="1"/>
  <c r="J1347" i="1"/>
  <c r="J1348" i="1" s="1"/>
  <c r="J1349" i="1" s="1"/>
  <c r="I1349" i="1"/>
  <c r="I1350" i="1" s="1"/>
  <c r="I1351" i="1" s="1"/>
  <c r="J1350" i="1"/>
  <c r="J1351" i="1" s="1"/>
  <c r="J1352" i="1" s="1"/>
  <c r="I1352" i="1"/>
  <c r="I1353" i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J1353" i="1"/>
  <c r="J1354" i="1" s="1"/>
  <c r="J1355" i="1"/>
  <c r="J1356" i="1" s="1"/>
  <c r="J1357" i="1"/>
  <c r="J1358" i="1" s="1"/>
  <c r="J1359" i="1"/>
  <c r="J1360" i="1" s="1"/>
  <c r="J1361" i="1"/>
  <c r="J1362" i="1" s="1"/>
  <c r="J1363" i="1"/>
  <c r="J1364" i="1" s="1"/>
  <c r="J1365" i="1" s="1"/>
  <c r="J1366" i="1" s="1"/>
  <c r="I1366" i="1"/>
  <c r="I1367" i="1"/>
  <c r="I1368" i="1" s="1"/>
  <c r="I1369" i="1" s="1"/>
  <c r="I1370" i="1" s="1"/>
  <c r="I1371" i="1" s="1"/>
  <c r="I1372" i="1" s="1"/>
  <c r="I1373" i="1" s="1"/>
  <c r="I1374" i="1" s="1"/>
  <c r="J1367" i="1"/>
  <c r="J1368" i="1" s="1"/>
  <c r="J1369" i="1"/>
  <c r="J1370" i="1" s="1"/>
  <c r="J1371" i="1"/>
  <c r="J1372" i="1" s="1"/>
  <c r="J1373" i="1"/>
  <c r="J1374" i="1" s="1"/>
  <c r="I1375" i="1"/>
  <c r="I1376" i="1" s="1"/>
  <c r="I1377" i="1" s="1"/>
  <c r="I1378" i="1" s="1"/>
  <c r="I1379" i="1" s="1"/>
  <c r="I1380" i="1" s="1"/>
  <c r="J1375" i="1"/>
  <c r="J1376" i="1" s="1"/>
  <c r="J1377" i="1" s="1"/>
  <c r="J1378" i="1" s="1"/>
  <c r="J1379" i="1" s="1"/>
  <c r="J1380" i="1" s="1"/>
  <c r="J1381" i="1" s="1"/>
  <c r="I1381" i="1"/>
  <c r="I1382" i="1" s="1"/>
  <c r="J1382" i="1"/>
  <c r="J1383" i="1" s="1"/>
  <c r="J1384" i="1" s="1"/>
  <c r="J1385" i="1" s="1"/>
  <c r="J1386" i="1" s="1"/>
  <c r="J1387" i="1" s="1"/>
  <c r="I1383" i="1"/>
  <c r="I1384" i="1" s="1"/>
  <c r="I1385" i="1" s="1"/>
  <c r="I1386" i="1" s="1"/>
  <c r="I1387" i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J1388" i="1"/>
  <c r="J1389" i="1" s="1"/>
  <c r="J1390" i="1"/>
  <c r="J1391" i="1" s="1"/>
  <c r="J1392" i="1"/>
  <c r="J1393" i="1" s="1"/>
  <c r="J1394" i="1" s="1"/>
  <c r="J1395" i="1" s="1"/>
  <c r="J1396" i="1"/>
  <c r="J1397" i="1" s="1"/>
  <c r="J1398" i="1"/>
  <c r="J1399" i="1" s="1"/>
  <c r="J1400" i="1" s="1"/>
  <c r="J1401" i="1"/>
  <c r="J1402" i="1"/>
  <c r="J1403" i="1" s="1"/>
  <c r="J1404" i="1" s="1"/>
  <c r="I1404" i="1"/>
  <c r="I1405" i="1" s="1"/>
  <c r="I1406" i="1" s="1"/>
  <c r="I1407" i="1" s="1"/>
  <c r="J1405" i="1"/>
  <c r="J1406" i="1" s="1"/>
  <c r="J1407" i="1" s="1"/>
  <c r="J1408" i="1" s="1"/>
  <c r="J1409" i="1" s="1"/>
  <c r="I1408" i="1"/>
  <c r="I1409" i="1"/>
  <c r="I1410" i="1" s="1"/>
  <c r="I1411" i="1" s="1"/>
  <c r="J1410" i="1"/>
  <c r="J1411" i="1" s="1"/>
  <c r="I1412" i="1"/>
  <c r="I1413" i="1" s="1"/>
  <c r="I1414" i="1" s="1"/>
  <c r="I1415" i="1" s="1"/>
  <c r="J1412" i="1"/>
  <c r="J1413" i="1" s="1"/>
  <c r="J1414" i="1"/>
  <c r="J1415" i="1" s="1"/>
  <c r="J1416" i="1" s="1"/>
  <c r="J1417" i="1" s="1"/>
  <c r="H1416" i="1"/>
  <c r="I1416" i="1"/>
  <c r="H1417" i="1"/>
  <c r="H1418" i="1" s="1"/>
  <c r="H1419" i="1" s="1"/>
  <c r="H1420" i="1" s="1"/>
  <c r="I1417" i="1"/>
  <c r="I1418" i="1" s="1"/>
  <c r="I1419" i="1" s="1"/>
  <c r="J1418" i="1"/>
  <c r="J1419" i="1" s="1"/>
  <c r="J1420" i="1" s="1"/>
  <c r="I1420" i="1"/>
  <c r="I1421" i="1" s="1"/>
  <c r="I1422" i="1" s="1"/>
  <c r="I1423" i="1" s="1"/>
  <c r="I1424" i="1" s="1"/>
  <c r="I1425" i="1" s="1"/>
  <c r="I1426" i="1" s="1"/>
  <c r="H1421" i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J1421" i="1"/>
  <c r="J1422" i="1" s="1"/>
  <c r="J1423" i="1"/>
  <c r="J1424" i="1" s="1"/>
  <c r="J1425" i="1" s="1"/>
  <c r="J1426" i="1" s="1"/>
  <c r="J1427" i="1" s="1"/>
  <c r="I1427" i="1"/>
  <c r="I1428" i="1"/>
  <c r="I1429" i="1" s="1"/>
  <c r="I1430" i="1" s="1"/>
  <c r="I1431" i="1" s="1"/>
  <c r="J1428" i="1"/>
  <c r="J1429" i="1" s="1"/>
  <c r="J1430" i="1" s="1"/>
  <c r="J1431" i="1" s="1"/>
  <c r="I1432" i="1"/>
  <c r="I1433" i="1" s="1"/>
  <c r="I1434" i="1" s="1"/>
  <c r="I1435" i="1" s="1"/>
  <c r="J1432" i="1"/>
  <c r="J1433" i="1" s="1"/>
  <c r="J1434" i="1" s="1"/>
  <c r="J1435" i="1"/>
  <c r="J1436" i="1" s="1"/>
  <c r="I1436" i="1"/>
  <c r="I1437" i="1" s="1"/>
  <c r="I1438" i="1" s="1"/>
  <c r="I1439" i="1" s="1"/>
  <c r="I1440" i="1" s="1"/>
  <c r="I1441" i="1" s="1"/>
  <c r="I1442" i="1" s="1"/>
  <c r="J1437" i="1"/>
  <c r="J1438" i="1" s="1"/>
  <c r="J1439" i="1"/>
  <c r="J1440" i="1" s="1"/>
  <c r="J1441" i="1" s="1"/>
  <c r="J1442" i="1" s="1"/>
  <c r="J1443" i="1" s="1"/>
  <c r="I1443" i="1"/>
  <c r="I1444" i="1"/>
  <c r="I1445" i="1" s="1"/>
  <c r="I1446" i="1" s="1"/>
  <c r="I1447" i="1" s="1"/>
  <c r="J1444" i="1"/>
  <c r="J1445" i="1" s="1"/>
  <c r="J1446" i="1"/>
  <c r="J1447" i="1" s="1"/>
  <c r="J1448" i="1" s="1"/>
  <c r="I1448" i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J1449" i="1"/>
  <c r="J1450" i="1" s="1"/>
  <c r="J1451" i="1"/>
  <c r="J1452" i="1" s="1"/>
  <c r="J1453" i="1"/>
  <c r="J1454" i="1" s="1"/>
  <c r="J1455" i="1"/>
  <c r="J1456" i="1" s="1"/>
  <c r="J1457" i="1" s="1"/>
  <c r="J1458" i="1" s="1"/>
  <c r="J1459" i="1" s="1"/>
  <c r="J1460" i="1" s="1"/>
  <c r="J1461" i="1" s="1"/>
  <c r="J1462" i="1" s="1"/>
  <c r="J1463" i="1" s="1"/>
  <c r="H1457" i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I1463" i="1"/>
  <c r="I1464" i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J1464" i="1"/>
  <c r="J1465" i="1" s="1"/>
  <c r="J1466" i="1" s="1"/>
  <c r="J1467" i="1"/>
  <c r="J1468" i="1" s="1"/>
  <c r="J1469" i="1"/>
  <c r="J1470" i="1" s="1"/>
  <c r="J1471" i="1"/>
  <c r="J1472" i="1" s="1"/>
  <c r="J1473" i="1" s="1"/>
  <c r="J1474" i="1" s="1"/>
  <c r="J1475" i="1"/>
  <c r="J1476" i="1" s="1"/>
  <c r="J1477" i="1" s="1"/>
  <c r="J1478" i="1" s="1"/>
  <c r="J1479" i="1"/>
  <c r="J1480" i="1" s="1"/>
  <c r="I1480" i="1"/>
  <c r="I1481" i="1" s="1"/>
  <c r="I1482" i="1" s="1"/>
  <c r="I1483" i="1" s="1"/>
  <c r="I1484" i="1" s="1"/>
  <c r="I1485" i="1" s="1"/>
  <c r="J1481" i="1"/>
  <c r="J1482" i="1" s="1"/>
  <c r="J1483" i="1"/>
  <c r="J1484" i="1" s="1"/>
  <c r="J1485" i="1" s="1"/>
  <c r="J1486" i="1" s="1"/>
  <c r="I1486" i="1"/>
  <c r="I1487" i="1"/>
  <c r="J1487" i="1"/>
  <c r="J1488" i="1" s="1"/>
  <c r="J1489" i="1" s="1"/>
  <c r="J1490" i="1" s="1"/>
  <c r="I1488" i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J1491" i="1"/>
  <c r="J1492" i="1" s="1"/>
  <c r="J1493" i="1"/>
  <c r="J1494" i="1" s="1"/>
  <c r="J1495" i="1" s="1"/>
  <c r="J1496" i="1" s="1"/>
  <c r="J1497" i="1" s="1"/>
  <c r="J1498" i="1" s="1"/>
  <c r="J1499" i="1" s="1"/>
  <c r="I1499" i="1"/>
  <c r="I1500" i="1"/>
  <c r="I1501" i="1" s="1"/>
  <c r="I1502" i="1" s="1"/>
  <c r="I1503" i="1" s="1"/>
  <c r="J1500" i="1"/>
  <c r="J1501" i="1" s="1"/>
  <c r="J1502" i="1" s="1"/>
  <c r="J1503" i="1" s="1"/>
  <c r="J1504" i="1" s="1"/>
  <c r="I1504" i="1"/>
  <c r="I1505" i="1" s="1"/>
  <c r="I1506" i="1" s="1"/>
  <c r="I1507" i="1" s="1"/>
  <c r="J1505" i="1"/>
  <c r="J1506" i="1" s="1"/>
  <c r="J1507" i="1"/>
  <c r="J1508" i="1" s="1"/>
  <c r="I1508" i="1"/>
  <c r="I1509" i="1" s="1"/>
  <c r="I1510" i="1" s="1"/>
  <c r="J1509" i="1"/>
  <c r="J1510" i="1" s="1"/>
  <c r="J1511" i="1" s="1"/>
  <c r="I1511" i="1"/>
  <c r="I1512" i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J1512" i="1"/>
  <c r="J1513" i="1" s="1"/>
  <c r="J1514" i="1"/>
  <c r="J1515" i="1" s="1"/>
  <c r="J1516" i="1" s="1"/>
  <c r="J1517" i="1"/>
  <c r="J1518" i="1" s="1"/>
  <c r="J1519" i="1" s="1"/>
  <c r="J1520" i="1"/>
  <c r="J1521" i="1" s="1"/>
  <c r="J1522" i="1"/>
  <c r="J1523" i="1" s="1"/>
  <c r="J1524" i="1" s="1"/>
  <c r="J1525" i="1"/>
  <c r="J1526" i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I1536" i="1"/>
  <c r="I1537" i="1" s="1"/>
  <c r="I1538" i="1" s="1"/>
  <c r="I1539" i="1" s="1"/>
  <c r="J1537" i="1"/>
  <c r="J1538" i="1" s="1"/>
  <c r="J1539" i="1" s="1"/>
  <c r="J1540" i="1" s="1"/>
  <c r="G1538" i="1"/>
  <c r="G1539" i="1" s="1"/>
  <c r="G1540" i="1" s="1"/>
  <c r="G1541" i="1" s="1"/>
  <c r="H1539" i="1"/>
  <c r="H1540" i="1"/>
  <c r="I1540" i="1"/>
  <c r="I1541" i="1" s="1"/>
  <c r="I1542" i="1" s="1"/>
  <c r="I1543" i="1" s="1"/>
  <c r="H1541" i="1"/>
  <c r="H1542" i="1" s="1"/>
  <c r="H1543" i="1" s="1"/>
  <c r="H1544" i="1" s="1"/>
  <c r="J1541" i="1"/>
  <c r="J1542" i="1" s="1"/>
  <c r="G1542" i="1"/>
  <c r="G1543" i="1" s="1"/>
  <c r="G1544" i="1" s="1"/>
  <c r="G1545" i="1" s="1"/>
  <c r="J1543" i="1"/>
  <c r="J1544" i="1" s="1"/>
  <c r="J1545" i="1" s="1"/>
  <c r="J1546" i="1" s="1"/>
  <c r="I1544" i="1"/>
  <c r="I1545" i="1" s="1"/>
  <c r="I1546" i="1" s="1"/>
  <c r="H1545" i="1"/>
  <c r="H1546" i="1" s="1"/>
  <c r="H1547" i="1" s="1"/>
  <c r="H1548" i="1" s="1"/>
  <c r="G1546" i="1"/>
  <c r="G1547" i="1" s="1"/>
  <c r="G1548" i="1" s="1"/>
  <c r="G1549" i="1" s="1"/>
  <c r="I1547" i="1"/>
  <c r="J1547" i="1"/>
  <c r="I1548" i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J1548" i="1"/>
  <c r="J1549" i="1" s="1"/>
  <c r="J1550" i="1" s="1"/>
  <c r="H1549" i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G1550" i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J1551" i="1"/>
  <c r="J1552" i="1" s="1"/>
  <c r="J1553" i="1" s="1"/>
  <c r="J1554" i="1" s="1"/>
  <c r="J1555" i="1"/>
  <c r="J1556" i="1" s="1"/>
  <c r="J1557" i="1" s="1"/>
  <c r="J1558" i="1"/>
  <c r="J1559" i="1" s="1"/>
  <c r="J1560" i="1"/>
  <c r="J1561" i="1" s="1"/>
  <c r="J1562" i="1" s="1"/>
  <c r="J1563" i="1" s="1"/>
  <c r="J1564" i="1" s="1"/>
  <c r="J1565" i="1" s="1"/>
  <c r="J1566" i="1" s="1"/>
  <c r="I1566" i="1"/>
  <c r="I1567" i="1"/>
  <c r="J1567" i="1"/>
  <c r="J1568" i="1" s="1"/>
  <c r="J1569" i="1" s="1"/>
  <c r="J1570" i="1" s="1"/>
  <c r="J1571" i="1" s="1"/>
  <c r="J1572" i="1" s="1"/>
  <c r="I1568" i="1"/>
  <c r="I1569" i="1" s="1"/>
  <c r="I1570" i="1" s="1"/>
  <c r="I1571" i="1" s="1"/>
  <c r="I1572" i="1"/>
  <c r="I1573" i="1" s="1"/>
  <c r="I1574" i="1" s="1"/>
  <c r="J1573" i="1"/>
  <c r="J1574" i="1" s="1"/>
  <c r="J1575" i="1" s="1"/>
  <c r="I1575" i="1"/>
  <c r="I1576" i="1"/>
  <c r="I1577" i="1" s="1"/>
  <c r="I1578" i="1" s="1"/>
  <c r="J1576" i="1"/>
  <c r="J1577" i="1" s="1"/>
  <c r="J1578" i="1" s="1"/>
  <c r="J1579" i="1" s="1"/>
  <c r="H1578" i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I1579" i="1"/>
  <c r="I1580" i="1"/>
  <c r="I1581" i="1" s="1"/>
  <c r="I1582" i="1" s="1"/>
  <c r="I1583" i="1" s="1"/>
  <c r="J1580" i="1"/>
  <c r="J1581" i="1" s="1"/>
  <c r="J1582" i="1" s="1"/>
  <c r="J1583" i="1"/>
  <c r="J1584" i="1" s="1"/>
  <c r="J1585" i="1" s="1"/>
  <c r="J1586" i="1" s="1"/>
  <c r="I1584" i="1"/>
  <c r="I1585" i="1" s="1"/>
  <c r="I1586" i="1"/>
  <c r="I1587" i="1"/>
  <c r="J1587" i="1"/>
  <c r="J1588" i="1" s="1"/>
  <c r="J1589" i="1" s="1"/>
  <c r="I1588" i="1"/>
  <c r="I1589" i="1" s="1"/>
  <c r="I1590" i="1" s="1"/>
  <c r="I1591" i="1" s="1"/>
  <c r="J1590" i="1"/>
  <c r="J1591" i="1" s="1"/>
  <c r="J1592" i="1" s="1"/>
  <c r="J1593" i="1" s="1"/>
  <c r="I1592" i="1"/>
  <c r="I1593" i="1"/>
  <c r="I1594" i="1" s="1"/>
  <c r="I1595" i="1" s="1"/>
  <c r="J1594" i="1"/>
  <c r="J1595" i="1" s="1"/>
  <c r="J1596" i="1" s="1"/>
  <c r="J1597" i="1" s="1"/>
  <c r="J1598" i="1" s="1"/>
  <c r="I1596" i="1"/>
  <c r="I1597" i="1" s="1"/>
  <c r="I1598" i="1"/>
  <c r="I1599" i="1"/>
  <c r="J1599" i="1"/>
  <c r="J1600" i="1" s="1"/>
  <c r="J1601" i="1" s="1"/>
  <c r="I1600" i="1"/>
  <c r="I1601" i="1" s="1"/>
  <c r="I1602" i="1" s="1"/>
  <c r="I1603" i="1" s="1"/>
  <c r="J1602" i="1"/>
  <c r="J1603" i="1" s="1"/>
  <c r="J1604" i="1" s="1"/>
  <c r="J1605" i="1" s="1"/>
  <c r="J1606" i="1" s="1"/>
  <c r="I1604" i="1"/>
  <c r="I1605" i="1" s="1"/>
  <c r="H1605" i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I1606" i="1"/>
  <c r="I1607" i="1"/>
  <c r="J1607" i="1"/>
  <c r="J1608" i="1" s="1"/>
  <c r="I1608" i="1"/>
  <c r="I1609" i="1" s="1"/>
  <c r="I1610" i="1" s="1"/>
  <c r="I1611" i="1" s="1"/>
  <c r="J1609" i="1"/>
  <c r="J1610" i="1"/>
  <c r="J1611" i="1" s="1"/>
  <c r="J1612" i="1" s="1"/>
  <c r="I1612" i="1"/>
  <c r="I1613" i="1" s="1"/>
  <c r="I1614" i="1" s="1"/>
  <c r="J1613" i="1"/>
  <c r="J1614" i="1" s="1"/>
  <c r="J1615" i="1" s="1"/>
  <c r="I1615" i="1"/>
  <c r="I1616" i="1"/>
  <c r="I1617" i="1" s="1"/>
  <c r="I1618" i="1" s="1"/>
  <c r="J1616" i="1"/>
  <c r="J1617" i="1" s="1"/>
  <c r="J1618" i="1" s="1"/>
  <c r="J1619" i="1" s="1"/>
  <c r="H1618" i="1"/>
  <c r="H1619" i="1" s="1"/>
  <c r="H1620" i="1" s="1"/>
  <c r="I1619" i="1"/>
  <c r="I1620" i="1"/>
  <c r="I1621" i="1" s="1"/>
  <c r="I1622" i="1" s="1"/>
  <c r="I1623" i="1" s="1"/>
  <c r="J1620" i="1"/>
  <c r="J1621" i="1" s="1"/>
  <c r="J1622" i="1" s="1"/>
  <c r="J1623" i="1" s="1"/>
  <c r="H1621" i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I1624" i="1"/>
  <c r="I1625" i="1" s="1"/>
  <c r="J1624" i="1"/>
  <c r="J1625" i="1" s="1"/>
  <c r="J1626" i="1" s="1"/>
  <c r="I1626" i="1"/>
  <c r="I1627" i="1"/>
  <c r="J1627" i="1"/>
  <c r="J1628" i="1" s="1"/>
  <c r="I1628" i="1"/>
  <c r="I1629" i="1" s="1"/>
  <c r="I1630" i="1" s="1"/>
  <c r="I1631" i="1" s="1"/>
  <c r="J1629" i="1"/>
  <c r="J1630" i="1" s="1"/>
  <c r="J1631" i="1"/>
  <c r="J1632" i="1" s="1"/>
  <c r="I1632" i="1"/>
  <c r="I1633" i="1"/>
  <c r="I1634" i="1" s="1"/>
  <c r="I1635" i="1" s="1"/>
  <c r="J1633" i="1"/>
  <c r="J1634" i="1" s="1"/>
  <c r="J1635" i="1" s="1"/>
  <c r="J1636" i="1" s="1"/>
  <c r="J1637" i="1" s="1"/>
  <c r="I1636" i="1"/>
  <c r="I1637" i="1"/>
  <c r="I1638" i="1" s="1"/>
  <c r="J1638" i="1"/>
  <c r="J1639" i="1" s="1"/>
  <c r="J1640" i="1" s="1"/>
  <c r="J1641" i="1" s="1"/>
  <c r="I1639" i="1"/>
  <c r="I1640" i="1"/>
  <c r="I1641" i="1" s="1"/>
  <c r="I1642" i="1" s="1"/>
  <c r="J1642" i="1"/>
  <c r="J1643" i="1" s="1"/>
  <c r="I1643" i="1"/>
  <c r="I1644" i="1"/>
  <c r="I1645" i="1" s="1"/>
  <c r="I1646" i="1" s="1"/>
  <c r="J1644" i="1"/>
  <c r="J1645" i="1" s="1"/>
  <c r="J1646" i="1" s="1"/>
  <c r="J1647" i="1" s="1"/>
  <c r="I1647" i="1"/>
  <c r="I1648" i="1"/>
  <c r="J1648" i="1"/>
  <c r="J1649" i="1" s="1"/>
  <c r="J1650" i="1" s="1"/>
  <c r="J1651" i="1" s="1"/>
  <c r="I1649" i="1"/>
  <c r="I1650" i="1" s="1"/>
  <c r="I1651" i="1"/>
  <c r="I1652" i="1" s="1"/>
  <c r="J1652" i="1"/>
  <c r="J1653" i="1" s="1"/>
  <c r="J1654" i="1" s="1"/>
  <c r="J1655" i="1" s="1"/>
  <c r="J1656" i="1" s="1"/>
  <c r="J1657" i="1" s="1"/>
  <c r="J1658" i="1" s="1"/>
  <c r="J1659" i="1" s="1"/>
  <c r="I1653" i="1"/>
  <c r="I1654" i="1" s="1"/>
  <c r="I1655" i="1" s="1"/>
  <c r="I1656" i="1" s="1"/>
  <c r="I1657" i="1" s="1"/>
  <c r="I1658" i="1" s="1"/>
  <c r="H1658" i="1"/>
  <c r="H1659" i="1" s="1"/>
  <c r="H1660" i="1" s="1"/>
  <c r="H1661" i="1" s="1"/>
  <c r="I1659" i="1"/>
  <c r="I1660" i="1" s="1"/>
  <c r="I1661" i="1" s="1"/>
  <c r="I1662" i="1" s="1"/>
  <c r="J1660" i="1"/>
  <c r="J1661" i="1" s="1"/>
  <c r="J1662" i="1" s="1"/>
  <c r="J1663" i="1" s="1"/>
  <c r="H1662" i="1"/>
  <c r="H1663" i="1" s="1"/>
  <c r="H1664" i="1" s="1"/>
  <c r="H1665" i="1" s="1"/>
  <c r="I1663" i="1"/>
  <c r="I1664" i="1" s="1"/>
  <c r="I1665" i="1" s="1"/>
  <c r="I1666" i="1" s="1"/>
  <c r="I1667" i="1" s="1"/>
  <c r="I1668" i="1" s="1"/>
  <c r="J1664" i="1"/>
  <c r="J1665" i="1" s="1"/>
  <c r="J1666" i="1" s="1"/>
  <c r="J1667" i="1" s="1"/>
  <c r="J1668" i="1" s="1"/>
  <c r="J1669" i="1" s="1"/>
  <c r="H1666" i="1"/>
  <c r="H1667" i="1" s="1"/>
  <c r="G1667" i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H1668" i="1"/>
  <c r="H1669" i="1" s="1"/>
  <c r="I1669" i="1"/>
  <c r="I1670" i="1" s="1"/>
  <c r="I1671" i="1" s="1"/>
  <c r="I1672" i="1" s="1"/>
  <c r="I1673" i="1" s="1"/>
  <c r="H1670" i="1"/>
  <c r="H1671" i="1" s="1"/>
  <c r="H1672" i="1" s="1"/>
  <c r="H1673" i="1" s="1"/>
  <c r="J1670" i="1"/>
  <c r="J1671" i="1" s="1"/>
  <c r="J1672" i="1" s="1"/>
  <c r="J1673" i="1" s="1"/>
  <c r="J1674" i="1" s="1"/>
  <c r="H1674" i="1"/>
  <c r="H1675" i="1" s="1"/>
  <c r="H1676" i="1" s="1"/>
  <c r="H1677" i="1" s="1"/>
  <c r="H1678" i="1" s="1"/>
  <c r="H1679" i="1" s="1"/>
  <c r="I1674" i="1"/>
  <c r="I1675" i="1"/>
  <c r="I1676" i="1" s="1"/>
  <c r="J1675" i="1"/>
  <c r="J1676" i="1" s="1"/>
  <c r="J1677" i="1" s="1"/>
  <c r="J1678" i="1" s="1"/>
  <c r="J1679" i="1" s="1"/>
  <c r="J1680" i="1" s="1"/>
  <c r="J1681" i="1" s="1"/>
  <c r="I1677" i="1"/>
  <c r="I1678" i="1" s="1"/>
  <c r="I1679" i="1" s="1"/>
  <c r="I1680" i="1" s="1"/>
  <c r="H1680" i="1"/>
  <c r="H1681" i="1" s="1"/>
  <c r="I1681" i="1"/>
  <c r="I1682" i="1" s="1"/>
  <c r="I1683" i="1" s="1"/>
  <c r="I1684" i="1" s="1"/>
  <c r="I1685" i="1" s="1"/>
  <c r="I1686" i="1" s="1"/>
  <c r="I1687" i="1" s="1"/>
  <c r="I1688" i="1" s="1"/>
  <c r="H1682" i="1"/>
  <c r="H1683" i="1" s="1"/>
  <c r="H1684" i="1" s="1"/>
  <c r="H1685" i="1" s="1"/>
  <c r="J1682" i="1"/>
  <c r="J1683" i="1" s="1"/>
  <c r="J1684" i="1" s="1"/>
  <c r="J1685" i="1" s="1"/>
  <c r="J1686" i="1" s="1"/>
  <c r="H1686" i="1"/>
  <c r="H1687" i="1" s="1"/>
  <c r="H1688" i="1" s="1"/>
  <c r="H1689" i="1" s="1"/>
  <c r="H1690" i="1" s="1"/>
  <c r="H1691" i="1" s="1"/>
  <c r="H1692" i="1" s="1"/>
  <c r="H1693" i="1" s="1"/>
  <c r="H1694" i="1" s="1"/>
  <c r="H1695" i="1" s="1"/>
  <c r="J1687" i="1"/>
  <c r="J1688" i="1" s="1"/>
  <c r="J1689" i="1" s="1"/>
  <c r="I1689" i="1"/>
  <c r="I1690" i="1" s="1"/>
  <c r="I1691" i="1" s="1"/>
  <c r="I1692" i="1" s="1"/>
  <c r="I1693" i="1" s="1"/>
  <c r="I1694" i="1" s="1"/>
  <c r="I1695" i="1" s="1"/>
  <c r="I1696" i="1" s="1"/>
  <c r="J1690" i="1"/>
  <c r="J1691" i="1" s="1"/>
  <c r="J1692" i="1" s="1"/>
  <c r="J1693" i="1" s="1"/>
  <c r="J1694" i="1" s="1"/>
  <c r="J1695" i="1" s="1"/>
  <c r="J1696" i="1" s="1"/>
  <c r="J1697" i="1" s="1"/>
  <c r="G1695" i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H1696" i="1"/>
  <c r="H1697" i="1" s="1"/>
  <c r="I1697" i="1"/>
  <c r="I1698" i="1" s="1"/>
  <c r="I1699" i="1" s="1"/>
  <c r="I1700" i="1" s="1"/>
  <c r="I1701" i="1" s="1"/>
  <c r="I1702" i="1" s="1"/>
  <c r="I1703" i="1" s="1"/>
  <c r="I1704" i="1" s="1"/>
  <c r="I1705" i="1" s="1"/>
  <c r="I1706" i="1" s="1"/>
  <c r="H1698" i="1"/>
  <c r="H1699" i="1" s="1"/>
  <c r="H1700" i="1" s="1"/>
  <c r="H1701" i="1" s="1"/>
  <c r="J1698" i="1"/>
  <c r="J1699" i="1" s="1"/>
  <c r="J1700" i="1"/>
  <c r="J1701" i="1" s="1"/>
  <c r="J1702" i="1" s="1"/>
  <c r="H1702" i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J1703" i="1"/>
  <c r="J1704" i="1" s="1"/>
  <c r="J1705" i="1"/>
  <c r="J1706" i="1" s="1"/>
  <c r="J1707" i="1" s="1"/>
  <c r="I1707" i="1"/>
  <c r="I1708" i="1" s="1"/>
  <c r="J1708" i="1"/>
  <c r="J1709" i="1" s="1"/>
  <c r="I1709" i="1"/>
  <c r="I1710" i="1" s="1"/>
  <c r="I1711" i="1" s="1"/>
  <c r="I1712" i="1" s="1"/>
  <c r="J1710" i="1"/>
  <c r="J1711" i="1" s="1"/>
  <c r="J1712" i="1" s="1"/>
  <c r="I1713" i="1"/>
  <c r="I1714" i="1" s="1"/>
  <c r="I1715" i="1" s="1"/>
  <c r="I1716" i="1" s="1"/>
  <c r="J1713" i="1"/>
  <c r="J1714" i="1" s="1"/>
  <c r="J1715" i="1"/>
  <c r="J1716" i="1" s="1"/>
  <c r="J1717" i="1" s="1"/>
  <c r="J1718" i="1" s="1"/>
  <c r="H1717" i="1"/>
  <c r="I1717" i="1"/>
  <c r="H1718" i="1"/>
  <c r="H1719" i="1" s="1"/>
  <c r="H1720" i="1" s="1"/>
  <c r="H1721" i="1" s="1"/>
  <c r="I1718" i="1"/>
  <c r="I1719" i="1"/>
  <c r="I1720" i="1" s="1"/>
  <c r="J1719" i="1"/>
  <c r="J1720" i="1" s="1"/>
  <c r="J1721" i="1" s="1"/>
  <c r="J1722" i="1" s="1"/>
  <c r="I1721" i="1"/>
  <c r="I1722" i="1" s="1"/>
  <c r="I1723" i="1" s="1"/>
  <c r="I1724" i="1" s="1"/>
  <c r="H1722" i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J1723" i="1"/>
  <c r="J1724" i="1" s="1"/>
  <c r="J1725" i="1" s="1"/>
  <c r="J1726" i="1" s="1"/>
  <c r="I1725" i="1"/>
  <c r="I1726" i="1" s="1"/>
  <c r="I1727" i="1" s="1"/>
  <c r="I1728" i="1" s="1"/>
  <c r="I1729" i="1" s="1"/>
  <c r="I1730" i="1" s="1"/>
  <c r="J1727" i="1"/>
  <c r="J1728" i="1" s="1"/>
  <c r="J1729" i="1"/>
  <c r="J1730" i="1" s="1"/>
  <c r="J1731" i="1" s="1"/>
  <c r="I1731" i="1"/>
  <c r="I1732" i="1" s="1"/>
  <c r="I1733" i="1" s="1"/>
  <c r="I1734" i="1" s="1"/>
  <c r="J1732" i="1"/>
  <c r="J1733" i="1" s="1"/>
  <c r="J1734" i="1" s="1"/>
  <c r="J1735" i="1" s="1"/>
  <c r="H1734" i="1"/>
  <c r="H1735" i="1" s="1"/>
  <c r="H1736" i="1" s="1"/>
  <c r="H1737" i="1" s="1"/>
  <c r="I1735" i="1"/>
  <c r="I1736" i="1" s="1"/>
  <c r="I1737" i="1" s="1"/>
  <c r="J1736" i="1"/>
  <c r="J1737" i="1" s="1"/>
  <c r="J1738" i="1" s="1"/>
  <c r="H1738" i="1"/>
  <c r="H1739" i="1" s="1"/>
  <c r="H1740" i="1" s="1"/>
  <c r="H1741" i="1" s="1"/>
  <c r="H1742" i="1" s="1"/>
  <c r="H1743" i="1" s="1"/>
  <c r="I1738" i="1"/>
  <c r="I1739" i="1"/>
  <c r="I1740" i="1" s="1"/>
  <c r="J1739" i="1"/>
  <c r="J1740" i="1" s="1"/>
  <c r="I1741" i="1"/>
  <c r="I1742" i="1" s="1"/>
  <c r="I1743" i="1" s="1"/>
  <c r="I1744" i="1" s="1"/>
  <c r="J1741" i="1"/>
  <c r="J1742" i="1" s="1"/>
  <c r="J1743" i="1" s="1"/>
  <c r="J1744" i="1" s="1"/>
  <c r="J1745" i="1" s="1"/>
  <c r="H1744" i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I1745" i="1"/>
  <c r="I1746" i="1" s="1"/>
  <c r="I1747" i="1" s="1"/>
  <c r="I1748" i="1" s="1"/>
  <c r="J1746" i="1"/>
  <c r="J1747" i="1" s="1"/>
  <c r="J1748" i="1" s="1"/>
  <c r="J1749" i="1" s="1"/>
  <c r="J1750" i="1" s="1"/>
  <c r="J1751" i="1" s="1"/>
  <c r="I1749" i="1"/>
  <c r="I1750" i="1" s="1"/>
  <c r="I1751" i="1"/>
  <c r="I1752" i="1" s="1"/>
  <c r="J1752" i="1"/>
  <c r="J1753" i="1" s="1"/>
  <c r="J1754" i="1" s="1"/>
  <c r="J1755" i="1" s="1"/>
  <c r="J1756" i="1" s="1"/>
  <c r="I1753" i="1"/>
  <c r="I1754" i="1" s="1"/>
  <c r="I1755" i="1" s="1"/>
  <c r="I1756" i="1"/>
  <c r="I1757" i="1"/>
  <c r="I1758" i="1" s="1"/>
  <c r="J1757" i="1"/>
  <c r="J1758" i="1" s="1"/>
  <c r="J1759" i="1" s="1"/>
  <c r="I1759" i="1"/>
  <c r="I1760" i="1" s="1"/>
  <c r="I1761" i="1" s="1"/>
  <c r="I1762" i="1" s="1"/>
  <c r="I1763" i="1" s="1"/>
  <c r="I1764" i="1" s="1"/>
  <c r="I1765" i="1" s="1"/>
  <c r="J1760" i="1"/>
  <c r="J1761" i="1" s="1"/>
  <c r="J1762" i="1"/>
  <c r="J1763" i="1" s="1"/>
  <c r="J1764" i="1"/>
  <c r="J1765" i="1" s="1"/>
  <c r="J1766" i="1" s="1"/>
  <c r="I1766" i="1"/>
  <c r="I1767" i="1"/>
  <c r="I1768" i="1" s="1"/>
  <c r="J1767" i="1"/>
  <c r="J1768" i="1"/>
  <c r="J1769" i="1" s="1"/>
  <c r="J1770" i="1" s="1"/>
  <c r="J1771" i="1" s="1"/>
  <c r="J1772" i="1" s="1"/>
  <c r="I1769" i="1"/>
  <c r="I1770" i="1" s="1"/>
  <c r="I1771" i="1" s="1"/>
  <c r="H1771" i="1"/>
  <c r="H1772" i="1"/>
  <c r="H1773" i="1" s="1"/>
  <c r="I1772" i="1"/>
  <c r="I1773" i="1"/>
  <c r="I1774" i="1" s="1"/>
  <c r="I1775" i="1" s="1"/>
  <c r="I1776" i="1" s="1"/>
  <c r="J1773" i="1"/>
  <c r="J1774" i="1" s="1"/>
  <c r="J1775" i="1" s="1"/>
  <c r="H1774" i="1"/>
  <c r="H1775" i="1" s="1"/>
  <c r="H1776" i="1" s="1"/>
  <c r="H1777" i="1" s="1"/>
  <c r="J1776" i="1"/>
  <c r="J1777" i="1" s="1"/>
  <c r="I1777" i="1"/>
  <c r="I1778" i="1" s="1"/>
  <c r="I1779" i="1" s="1"/>
  <c r="I1780" i="1" s="1"/>
  <c r="H1778" i="1"/>
  <c r="H1779" i="1" s="1"/>
  <c r="H1780" i="1" s="1"/>
  <c r="H1781" i="1" s="1"/>
  <c r="H1782" i="1" s="1"/>
  <c r="H1783" i="1" s="1"/>
  <c r="J1778" i="1"/>
  <c r="J1779" i="1" s="1"/>
  <c r="J1780" i="1"/>
  <c r="J1781" i="1" s="1"/>
  <c r="I1781" i="1"/>
  <c r="I1782" i="1" s="1"/>
  <c r="I1783" i="1" s="1"/>
  <c r="I1784" i="1" s="1"/>
  <c r="J1782" i="1"/>
  <c r="J1783" i="1" s="1"/>
  <c r="H1784" i="1"/>
  <c r="H1785" i="1" s="1"/>
  <c r="J1784" i="1"/>
  <c r="J1785" i="1" s="1"/>
  <c r="I1785" i="1"/>
  <c r="I1786" i="1" s="1"/>
  <c r="I1787" i="1" s="1"/>
  <c r="I1788" i="1" s="1"/>
  <c r="I1789" i="1" s="1"/>
  <c r="H1786" i="1"/>
  <c r="H1787" i="1" s="1"/>
  <c r="H1788" i="1" s="1"/>
  <c r="H1789" i="1" s="1"/>
  <c r="J1786" i="1"/>
  <c r="J1787" i="1" s="1"/>
  <c r="J1788" i="1"/>
  <c r="J1789" i="1" s="1"/>
  <c r="J1790" i="1" s="1"/>
  <c r="H1790" i="1"/>
  <c r="H1791" i="1" s="1"/>
  <c r="H1792" i="1" s="1"/>
  <c r="H1793" i="1" s="1"/>
  <c r="H1794" i="1" s="1"/>
  <c r="H1795" i="1" s="1"/>
  <c r="I1790" i="1"/>
  <c r="I1791" i="1"/>
  <c r="I1792" i="1" s="1"/>
  <c r="J1791" i="1"/>
  <c r="J1792" i="1" s="1"/>
  <c r="I1793" i="1"/>
  <c r="I1794" i="1" s="1"/>
  <c r="I1795" i="1" s="1"/>
  <c r="I1796" i="1" s="1"/>
  <c r="J1793" i="1"/>
  <c r="J1794" i="1" s="1"/>
  <c r="J1795" i="1" s="1"/>
  <c r="J1796" i="1" s="1"/>
  <c r="J1797" i="1" s="1"/>
  <c r="G1795" i="1"/>
  <c r="G1796" i="1" s="1"/>
  <c r="G1797" i="1" s="1"/>
  <c r="G1798" i="1" s="1"/>
  <c r="H1796" i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I1797" i="1"/>
  <c r="I1798" i="1" s="1"/>
  <c r="I1799" i="1" s="1"/>
  <c r="J1798" i="1"/>
  <c r="J1799" i="1" s="1"/>
  <c r="J1800" i="1" s="1"/>
  <c r="G1799" i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I1800" i="1"/>
  <c r="I1801" i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J1801" i="1"/>
  <c r="J1802" i="1" s="1"/>
  <c r="J1803" i="1"/>
  <c r="J1804" i="1" s="1"/>
  <c r="J1805" i="1"/>
  <c r="J1806" i="1" s="1"/>
  <c r="J1807" i="1"/>
  <c r="J1808" i="1" s="1"/>
  <c r="J1809" i="1" s="1"/>
  <c r="J1810" i="1" s="1"/>
  <c r="J1811" i="1" s="1"/>
  <c r="J1812" i="1" s="1"/>
  <c r="I1812" i="1"/>
  <c r="I1813" i="1"/>
  <c r="I1814" i="1" s="1"/>
  <c r="I1815" i="1" s="1"/>
  <c r="I1816" i="1" s="1"/>
  <c r="J1813" i="1"/>
  <c r="J1814" i="1" s="1"/>
  <c r="J1815" i="1"/>
  <c r="J1816" i="1" s="1"/>
  <c r="I1817" i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J1817" i="1"/>
  <c r="J1818" i="1" s="1"/>
  <c r="J1819" i="1"/>
  <c r="J1820" i="1" s="1"/>
  <c r="J1821" i="1"/>
  <c r="J1822" i="1" s="1"/>
  <c r="J1823" i="1" s="1"/>
  <c r="J1824" i="1" s="1"/>
  <c r="J1825" i="1"/>
  <c r="J1826" i="1" s="1"/>
  <c r="J1827" i="1"/>
  <c r="J1828" i="1" s="1"/>
  <c r="J1829" i="1"/>
  <c r="J1830" i="1" s="1"/>
  <c r="J1831" i="1" s="1"/>
  <c r="J1832" i="1" s="1"/>
  <c r="I1832" i="1"/>
  <c r="I1833" i="1"/>
  <c r="I1834" i="1" s="1"/>
  <c r="J1833" i="1"/>
  <c r="J1834" i="1" s="1"/>
  <c r="J1835" i="1" s="1"/>
  <c r="I1835" i="1"/>
  <c r="I1836" i="1" s="1"/>
  <c r="I1837" i="1" s="1"/>
  <c r="J1836" i="1"/>
  <c r="J1837" i="1" s="1"/>
  <c r="J1838" i="1" s="1"/>
  <c r="I1838" i="1"/>
  <c r="I1839" i="1"/>
  <c r="I1840" i="1" s="1"/>
  <c r="I1841" i="1" s="1"/>
  <c r="I1842" i="1" s="1"/>
  <c r="I1843" i="1" s="1"/>
  <c r="I1844" i="1" s="1"/>
  <c r="J1839" i="1"/>
  <c r="J1840" i="1" s="1"/>
  <c r="J1841" i="1"/>
  <c r="J1842" i="1" s="1"/>
  <c r="J1843" i="1"/>
  <c r="J1844" i="1" s="1"/>
  <c r="J1845" i="1" s="1"/>
  <c r="I1845" i="1"/>
  <c r="I1846" i="1" s="1"/>
  <c r="I1847" i="1" s="1"/>
  <c r="I1848" i="1" s="1"/>
  <c r="I1849" i="1" s="1"/>
  <c r="J1846" i="1"/>
  <c r="J1847" i="1" s="1"/>
  <c r="J1848" i="1" s="1"/>
  <c r="J1849" i="1" s="1"/>
  <c r="J1850" i="1" s="1"/>
  <c r="I1850" i="1"/>
  <c r="I1851" i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J1851" i="1"/>
  <c r="J1852" i="1" s="1"/>
  <c r="J1853" i="1"/>
  <c r="J1854" i="1" s="1"/>
  <c r="J1855" i="1"/>
  <c r="J1856" i="1" s="1"/>
  <c r="J1857" i="1"/>
  <c r="J1858" i="1" s="1"/>
  <c r="J1859" i="1" s="1"/>
  <c r="J1860" i="1" s="1"/>
  <c r="J1861" i="1" s="1"/>
  <c r="J1862" i="1" s="1"/>
  <c r="J1863" i="1" s="1"/>
  <c r="J1864" i="1" s="1"/>
  <c r="J1865" i="1" s="1"/>
  <c r="H1864" i="1"/>
  <c r="H1865" i="1" s="1"/>
  <c r="I1865" i="1"/>
  <c r="I1866" i="1" s="1"/>
  <c r="I1867" i="1" s="1"/>
  <c r="I1868" i="1" s="1"/>
  <c r="I1869" i="1" s="1"/>
  <c r="I1870" i="1" s="1"/>
  <c r="H1866" i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J1866" i="1"/>
  <c r="J1867" i="1" s="1"/>
  <c r="J1868" i="1" s="1"/>
  <c r="J1869" i="1"/>
  <c r="J1870" i="1" s="1"/>
  <c r="J1871" i="1" s="1"/>
  <c r="I1871" i="1"/>
  <c r="I1872" i="1" s="1"/>
  <c r="J1872" i="1"/>
  <c r="J1873" i="1" s="1"/>
  <c r="J1874" i="1" s="1"/>
  <c r="I1873" i="1"/>
  <c r="I1874" i="1"/>
  <c r="I1875" i="1"/>
  <c r="I1876" i="1" s="1"/>
  <c r="J1875" i="1"/>
  <c r="J1876" i="1" s="1"/>
  <c r="J1877" i="1" s="1"/>
  <c r="I1877" i="1"/>
  <c r="I1878" i="1" s="1"/>
  <c r="I1879" i="1" s="1"/>
  <c r="I1880" i="1" s="1"/>
  <c r="J1878" i="1"/>
  <c r="J1879" i="1" s="1"/>
  <c r="J1880" i="1"/>
  <c r="J1881" i="1" s="1"/>
  <c r="J1882" i="1" s="1"/>
  <c r="I1881" i="1"/>
  <c r="I1882" i="1"/>
  <c r="I1883" i="1"/>
  <c r="I1884" i="1" s="1"/>
  <c r="J1883" i="1"/>
  <c r="J1884" i="1" s="1"/>
  <c r="J1885" i="1" s="1"/>
  <c r="J1886" i="1" s="1"/>
  <c r="H1885" i="1"/>
  <c r="I1885" i="1"/>
  <c r="H1886" i="1"/>
  <c r="H1887" i="1" s="1"/>
  <c r="H1888" i="1" s="1"/>
  <c r="H1889" i="1" s="1"/>
  <c r="I1886" i="1"/>
  <c r="I1887" i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J1887" i="1"/>
  <c r="J1888" i="1" s="1"/>
  <c r="J1889" i="1" s="1"/>
  <c r="J1890" i="1" s="1"/>
  <c r="J1891" i="1" s="1"/>
  <c r="H1890" i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J1892" i="1"/>
  <c r="J1893" i="1" s="1"/>
  <c r="J1894" i="1" s="1"/>
  <c r="J1895" i="1" s="1"/>
  <c r="J1896" i="1" s="1"/>
  <c r="J1897" i="1" s="1"/>
  <c r="J1898" i="1"/>
  <c r="J1899" i="1" s="1"/>
  <c r="J1900" i="1"/>
  <c r="J1901" i="1" s="1"/>
  <c r="J1902" i="1" s="1"/>
  <c r="J1903" i="1" s="1"/>
  <c r="J1904" i="1" s="1"/>
  <c r="J1905" i="1" s="1"/>
  <c r="J1906" i="1" s="1"/>
  <c r="J1907" i="1" s="1"/>
  <c r="I1907" i="1"/>
  <c r="I1908" i="1" s="1"/>
  <c r="J1908" i="1"/>
  <c r="J1909" i="1" s="1"/>
  <c r="J1910" i="1" s="1"/>
  <c r="I1909" i="1"/>
  <c r="I1910" i="1" s="1"/>
  <c r="I1911" i="1" s="1"/>
  <c r="I1912" i="1" s="1"/>
  <c r="I1913" i="1" s="1"/>
  <c r="I1914" i="1" s="1"/>
  <c r="J1911" i="1"/>
  <c r="J1912" i="1"/>
  <c r="J1913" i="1"/>
  <c r="J1914" i="1"/>
  <c r="J1915" i="1" s="1"/>
  <c r="I1915" i="1"/>
  <c r="I1916" i="1" s="1"/>
  <c r="I1917" i="1" s="1"/>
  <c r="I1918" i="1" s="1"/>
  <c r="I1919" i="1" s="1"/>
  <c r="J1916" i="1"/>
  <c r="J1917" i="1" s="1"/>
  <c r="J1918" i="1" s="1"/>
  <c r="J1919" i="1" s="1"/>
  <c r="J1920" i="1" s="1"/>
  <c r="G1918" i="1"/>
  <c r="G1919" i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H1919" i="1"/>
  <c r="H1920" i="1"/>
  <c r="H1921" i="1" s="1"/>
  <c r="I1920" i="1"/>
  <c r="I1921" i="1"/>
  <c r="I1922" i="1" s="1"/>
  <c r="I1923" i="1" s="1"/>
  <c r="I1924" i="1" s="1"/>
  <c r="J1921" i="1"/>
  <c r="J1922" i="1" s="1"/>
  <c r="J1923" i="1" s="1"/>
  <c r="J1924" i="1" s="1"/>
  <c r="J1925" i="1" s="1"/>
  <c r="H1922" i="1"/>
  <c r="H1923" i="1" s="1"/>
  <c r="H1924" i="1" s="1"/>
  <c r="H1925" i="1" s="1"/>
  <c r="I1925" i="1"/>
  <c r="I1926" i="1" s="1"/>
  <c r="I1927" i="1" s="1"/>
  <c r="I1928" i="1" s="1"/>
  <c r="H1926" i="1"/>
  <c r="H1927" i="1" s="1"/>
  <c r="H1928" i="1" s="1"/>
  <c r="H1929" i="1" s="1"/>
  <c r="H1930" i="1" s="1"/>
  <c r="H1931" i="1" s="1"/>
  <c r="J1926" i="1"/>
  <c r="J1927" i="1" s="1"/>
  <c r="J1928" i="1" s="1"/>
  <c r="I1929" i="1"/>
  <c r="I1930" i="1" s="1"/>
  <c r="I1931" i="1" s="1"/>
  <c r="I1932" i="1" s="1"/>
  <c r="J1929" i="1"/>
  <c r="J1930" i="1" s="1"/>
  <c r="J1931" i="1" s="1"/>
  <c r="J1932" i="1" s="1"/>
  <c r="J1933" i="1" s="1"/>
  <c r="G1931" i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H1932" i="1"/>
  <c r="H1933" i="1" s="1"/>
  <c r="I1933" i="1"/>
  <c r="I1934" i="1" s="1"/>
  <c r="I1935" i="1" s="1"/>
  <c r="I1936" i="1" s="1"/>
  <c r="I1937" i="1" s="1"/>
  <c r="I1938" i="1" s="1"/>
  <c r="I1939" i="1" s="1"/>
  <c r="H1934" i="1"/>
  <c r="H1935" i="1" s="1"/>
  <c r="H1936" i="1" s="1"/>
  <c r="H1937" i="1" s="1"/>
  <c r="J1934" i="1"/>
  <c r="J1935" i="1" s="1"/>
  <c r="J1936" i="1" s="1"/>
  <c r="J1937" i="1" s="1"/>
  <c r="H1938" i="1"/>
  <c r="H1939" i="1" s="1"/>
  <c r="H1940" i="1" s="1"/>
  <c r="H1941" i="1" s="1"/>
  <c r="J1938" i="1"/>
  <c r="J1939" i="1" s="1"/>
  <c r="J1940" i="1" s="1"/>
  <c r="I1940" i="1"/>
  <c r="I1941" i="1"/>
  <c r="I1942" i="1" s="1"/>
  <c r="I1943" i="1" s="1"/>
  <c r="I1944" i="1" s="1"/>
  <c r="J1941" i="1"/>
  <c r="H1942" i="1"/>
  <c r="H1943" i="1" s="1"/>
  <c r="J1942" i="1"/>
  <c r="J1943" i="1" s="1"/>
  <c r="H1944" i="1"/>
  <c r="H1945" i="1" s="1"/>
  <c r="J1944" i="1"/>
  <c r="J1945" i="1" s="1"/>
  <c r="I1945" i="1"/>
  <c r="I1946" i="1" s="1"/>
  <c r="H1946" i="1"/>
  <c r="H1947" i="1" s="1"/>
  <c r="H1948" i="1" s="1"/>
  <c r="H1949" i="1" s="1"/>
  <c r="J1946" i="1"/>
  <c r="J1947" i="1" s="1"/>
  <c r="I1947" i="1"/>
  <c r="I1948" i="1" s="1"/>
  <c r="I1949" i="1" s="1"/>
  <c r="I1950" i="1" s="1"/>
  <c r="J1948" i="1"/>
  <c r="J1949" i="1" s="1"/>
  <c r="J1950" i="1" s="1"/>
  <c r="J1951" i="1" s="1"/>
  <c r="H1950" i="1"/>
  <c r="H1951" i="1" s="1"/>
  <c r="H1952" i="1" s="1"/>
  <c r="H1953" i="1" s="1"/>
  <c r="I1951" i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J1952" i="1"/>
  <c r="J1953" i="1" s="1"/>
  <c r="H1954" i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J1954" i="1"/>
  <c r="J1955" i="1" s="1"/>
  <c r="J1956" i="1"/>
  <c r="J1957" i="1" s="1"/>
  <c r="J1958" i="1" s="1"/>
  <c r="J1959" i="1" s="1"/>
  <c r="J1960" i="1" s="1"/>
  <c r="J1961" i="1" s="1"/>
  <c r="J1962" i="1" s="1"/>
  <c r="I1962" i="1"/>
  <c r="I1963" i="1" s="1"/>
  <c r="I1964" i="1" s="1"/>
  <c r="I1965" i="1" s="1"/>
  <c r="J1963" i="1"/>
  <c r="J1964" i="1"/>
  <c r="J1965" i="1" s="1"/>
  <c r="J1966" i="1" s="1"/>
  <c r="H1965" i="1"/>
  <c r="H1966" i="1"/>
  <c r="H1967" i="1" s="1"/>
  <c r="H1968" i="1" s="1"/>
  <c r="H1969" i="1" s="1"/>
  <c r="I1966" i="1"/>
  <c r="I1967" i="1" s="1"/>
  <c r="I1968" i="1" s="1"/>
  <c r="J1967" i="1"/>
  <c r="J1968" i="1" s="1"/>
  <c r="J1969" i="1" s="1"/>
  <c r="I1969" i="1"/>
  <c r="I1970" i="1" s="1"/>
  <c r="I1971" i="1" s="1"/>
  <c r="I1972" i="1" s="1"/>
  <c r="H1970" i="1"/>
  <c r="H1971" i="1" s="1"/>
  <c r="J1970" i="1"/>
  <c r="J1971" i="1" s="1"/>
  <c r="J1972" i="1" s="1"/>
  <c r="J1973" i="1" s="1"/>
  <c r="H1972" i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I1973" i="1"/>
  <c r="I1974" i="1" s="1"/>
  <c r="I1975" i="1" s="1"/>
  <c r="I1976" i="1" s="1"/>
  <c r="J1974" i="1"/>
  <c r="J1975" i="1" s="1"/>
  <c r="J1976" i="1"/>
  <c r="J1977" i="1" s="1"/>
  <c r="I1977" i="1"/>
  <c r="I1978" i="1" s="1"/>
  <c r="I1979" i="1" s="1"/>
  <c r="I1980" i="1" s="1"/>
  <c r="I1981" i="1" s="1"/>
  <c r="I1982" i="1" s="1"/>
  <c r="I1983" i="1" s="1"/>
  <c r="J1978" i="1"/>
  <c r="J1979" i="1" s="1"/>
  <c r="J1980" i="1" s="1"/>
  <c r="J1981" i="1" s="1"/>
  <c r="J1982" i="1" s="1"/>
  <c r="J1983" i="1" s="1"/>
  <c r="J1984" i="1" s="1"/>
  <c r="I1984" i="1"/>
  <c r="I1985" i="1"/>
  <c r="I1986" i="1" s="1"/>
  <c r="I1987" i="1" s="1"/>
  <c r="J1985" i="1"/>
  <c r="J1986" i="1" s="1"/>
  <c r="J1987" i="1" s="1"/>
  <c r="J1988" i="1" s="1"/>
  <c r="H1987" i="1"/>
  <c r="H1988" i="1" s="1"/>
  <c r="H1989" i="1" s="1"/>
  <c r="I1988" i="1"/>
  <c r="I1989" i="1"/>
  <c r="I1990" i="1" s="1"/>
  <c r="I1991" i="1" s="1"/>
  <c r="I1992" i="1" s="1"/>
  <c r="J1989" i="1"/>
  <c r="J1990" i="1" s="1"/>
  <c r="J1991" i="1" s="1"/>
  <c r="J1992" i="1" s="1"/>
  <c r="J1993" i="1" s="1"/>
  <c r="H1990" i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I1993" i="1"/>
  <c r="I1994" i="1" s="1"/>
  <c r="I1995" i="1" s="1"/>
  <c r="I1996" i="1" s="1"/>
  <c r="J1994" i="1"/>
  <c r="J1995" i="1" s="1"/>
  <c r="J1996" i="1" s="1"/>
  <c r="J1997" i="1" s="1"/>
  <c r="J1998" i="1" s="1"/>
  <c r="J1999" i="1" s="1"/>
  <c r="J2000" i="1" s="1"/>
  <c r="I1997" i="1"/>
  <c r="I1998" i="1" s="1"/>
  <c r="I1999" i="1" s="1"/>
  <c r="I2000" i="1"/>
  <c r="I2001" i="1"/>
  <c r="I2002" i="1" s="1"/>
  <c r="I2003" i="1" s="1"/>
  <c r="I2004" i="1" s="1"/>
  <c r="I2005" i="1" s="1"/>
  <c r="I2006" i="1" s="1"/>
  <c r="I2007" i="1" s="1"/>
  <c r="I2008" i="1" s="1"/>
  <c r="J2001" i="1"/>
  <c r="J2002" i="1" s="1"/>
  <c r="J2003" i="1" s="1"/>
  <c r="J2004" i="1" s="1"/>
  <c r="J2005" i="1" s="1"/>
  <c r="J2006" i="1" s="1"/>
  <c r="J2007" i="1" s="1"/>
  <c r="J2008" i="1" s="1"/>
  <c r="J2009" i="1" s="1"/>
  <c r="H2008" i="1"/>
  <c r="H2009" i="1" s="1"/>
  <c r="I2009" i="1"/>
  <c r="I2010" i="1" s="1"/>
  <c r="I2011" i="1" s="1"/>
  <c r="I2012" i="1" s="1"/>
  <c r="I2013" i="1" s="1"/>
  <c r="H2010" i="1"/>
  <c r="H2011" i="1" s="1"/>
  <c r="H2012" i="1" s="1"/>
  <c r="J2010" i="1"/>
  <c r="J2011" i="1" s="1"/>
  <c r="J2012" i="1" s="1"/>
  <c r="J2013" i="1" s="1"/>
  <c r="J2014" i="1" s="1"/>
  <c r="G2012" i="1"/>
  <c r="G2013" i="1"/>
  <c r="G2014" i="1" s="1"/>
  <c r="H2013" i="1"/>
  <c r="H2014" i="1"/>
  <c r="H2015" i="1" s="1"/>
  <c r="H2016" i="1" s="1"/>
  <c r="H2017" i="1" s="1"/>
  <c r="I2014" i="1"/>
  <c r="G2015" i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I2015" i="1"/>
  <c r="I2016" i="1" s="1"/>
  <c r="I2017" i="1" s="1"/>
  <c r="I2018" i="1" s="1"/>
  <c r="I2019" i="1" s="1"/>
  <c r="I2020" i="1" s="1"/>
  <c r="J2015" i="1"/>
  <c r="J2016" i="1" s="1"/>
  <c r="J2017" i="1"/>
  <c r="H2018" i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J2018" i="1"/>
  <c r="J2019" i="1" s="1"/>
  <c r="J2020" i="1" s="1"/>
  <c r="J2021" i="1" s="1"/>
  <c r="I2021" i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J2022" i="1"/>
  <c r="J2023" i="1" s="1"/>
  <c r="J2024" i="1"/>
  <c r="J2025" i="1" s="1"/>
  <c r="J2026" i="1"/>
  <c r="J2027" i="1" s="1"/>
  <c r="J2028" i="1"/>
  <c r="J2029" i="1" s="1"/>
  <c r="J2030" i="1" s="1"/>
  <c r="J2031" i="1" s="1"/>
  <c r="J2032" i="1" s="1"/>
  <c r="J2033" i="1" s="1"/>
  <c r="I2033" i="1"/>
  <c r="I2034" i="1" s="1"/>
  <c r="I2035" i="1" s="1"/>
  <c r="I2036" i="1" s="1"/>
  <c r="J2034" i="1"/>
  <c r="J2035" i="1" s="1"/>
  <c r="J2036" i="1"/>
  <c r="J2037" i="1" s="1"/>
  <c r="J2038" i="1" s="1"/>
  <c r="I2037" i="1"/>
  <c r="I2038" i="1" s="1"/>
  <c r="I2039" i="1" s="1"/>
  <c r="I2040" i="1" s="1"/>
  <c r="I2041" i="1" s="1"/>
  <c r="I2042" i="1" s="1"/>
  <c r="I2043" i="1" s="1"/>
  <c r="I2044" i="1" s="1"/>
  <c r="I2045" i="1" s="1"/>
  <c r="J2039" i="1"/>
  <c r="J2040" i="1" s="1"/>
  <c r="J2041" i="1"/>
  <c r="J2042" i="1" s="1"/>
  <c r="J2043" i="1" s="1"/>
  <c r="J2044" i="1" s="1"/>
  <c r="J2045" i="1" s="1"/>
  <c r="J2046" i="1" s="1"/>
  <c r="I2046" i="1"/>
  <c r="I2047" i="1"/>
  <c r="I2048" i="1" s="1"/>
  <c r="J2047" i="1"/>
  <c r="J2048" i="1"/>
  <c r="J2049" i="1" s="1"/>
  <c r="J2050" i="1" s="1"/>
  <c r="H2049" i="1"/>
  <c r="I2049" i="1"/>
  <c r="H2050" i="1"/>
  <c r="H2051" i="1" s="1"/>
  <c r="H2052" i="1" s="1"/>
  <c r="H2053" i="1" s="1"/>
  <c r="I2050" i="1"/>
  <c r="I2051" i="1"/>
  <c r="I2052" i="1" s="1"/>
  <c r="J2051" i="1"/>
  <c r="J2052" i="1" s="1"/>
  <c r="J2053" i="1" s="1"/>
  <c r="I2053" i="1"/>
  <c r="I2054" i="1" s="1"/>
  <c r="I2055" i="1" s="1"/>
  <c r="H2054" i="1"/>
  <c r="H2055" i="1" s="1"/>
  <c r="H2056" i="1" s="1"/>
  <c r="H2057" i="1" s="1"/>
  <c r="J2054" i="1"/>
  <c r="J2055" i="1" s="1"/>
  <c r="J2056" i="1" s="1"/>
  <c r="I2056" i="1"/>
  <c r="I2057" i="1"/>
  <c r="I2058" i="1" s="1"/>
  <c r="I2059" i="1" s="1"/>
  <c r="J2057" i="1"/>
  <c r="J2058" i="1" s="1"/>
  <c r="J2059" i="1" s="1"/>
  <c r="J2060" i="1" s="1"/>
  <c r="H2058" i="1"/>
  <c r="H2059" i="1"/>
  <c r="H2060" i="1"/>
  <c r="H2061" i="1" s="1"/>
  <c r="H2062" i="1" s="1"/>
  <c r="H2063" i="1" s="1"/>
  <c r="H2064" i="1" s="1"/>
  <c r="H2065" i="1" s="1"/>
  <c r="H2066" i="1" s="1"/>
  <c r="H2067" i="1" s="1"/>
  <c r="I2060" i="1"/>
  <c r="I2061" i="1"/>
  <c r="I2062" i="1" s="1"/>
  <c r="I2063" i="1" s="1"/>
  <c r="I2064" i="1" s="1"/>
  <c r="J2061" i="1"/>
  <c r="J2062" i="1" s="1"/>
  <c r="J2063" i="1"/>
  <c r="J2064" i="1" s="1"/>
  <c r="J2065" i="1" s="1"/>
  <c r="I2065" i="1"/>
  <c r="I2066" i="1" s="1"/>
  <c r="I2067" i="1" s="1"/>
  <c r="I2068" i="1" s="1"/>
  <c r="J2066" i="1"/>
  <c r="J2067" i="1" s="1"/>
  <c r="J2068" i="1" s="1"/>
  <c r="J2069" i="1" s="1"/>
  <c r="H2068" i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I2069" i="1"/>
  <c r="I2070" i="1" s="1"/>
  <c r="I2071" i="1" s="1"/>
  <c r="I2072" i="1" s="1"/>
  <c r="J2070" i="1"/>
  <c r="J2071" i="1" s="1"/>
  <c r="J2072" i="1" s="1"/>
  <c r="I2073" i="1"/>
  <c r="I2074" i="1" s="1"/>
  <c r="J2073" i="1"/>
  <c r="J2074" i="1" s="1"/>
  <c r="J2075" i="1" s="1"/>
  <c r="I2075" i="1"/>
  <c r="I2076" i="1" s="1"/>
  <c r="I2077" i="1" s="1"/>
  <c r="I2078" i="1" s="1"/>
  <c r="J2076" i="1"/>
  <c r="J2077" i="1" s="1"/>
  <c r="J2078" i="1" s="1"/>
  <c r="J2079" i="1" s="1"/>
  <c r="I2079" i="1"/>
  <c r="I2080" i="1" s="1"/>
  <c r="I2081" i="1" s="1"/>
  <c r="I2082" i="1" s="1"/>
  <c r="J2080" i="1"/>
  <c r="J2081" i="1" s="1"/>
  <c r="J2082" i="1" s="1"/>
  <c r="J2083" i="1" s="1"/>
  <c r="H2082" i="1"/>
  <c r="H2083" i="1" s="1"/>
  <c r="H2084" i="1" s="1"/>
  <c r="H2085" i="1" s="1"/>
  <c r="I2083" i="1"/>
  <c r="I2084" i="1" s="1"/>
  <c r="I2085" i="1" s="1"/>
  <c r="I2086" i="1" s="1"/>
  <c r="I2087" i="1" s="1"/>
  <c r="J2084" i="1"/>
  <c r="J2085" i="1" s="1"/>
  <c r="H2086" i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J2086" i="1"/>
  <c r="J2087" i="1" s="1"/>
  <c r="J2088" i="1" s="1"/>
  <c r="I2088" i="1"/>
  <c r="I2089" i="1"/>
  <c r="I2090" i="1" s="1"/>
  <c r="I2091" i="1" s="1"/>
  <c r="I2092" i="1" s="1"/>
  <c r="J2089" i="1"/>
  <c r="J2090" i="1" s="1"/>
  <c r="J2091" i="1"/>
  <c r="J2092" i="1" s="1"/>
  <c r="I2093" i="1"/>
  <c r="I2094" i="1" s="1"/>
  <c r="J2093" i="1"/>
  <c r="J2094" i="1" s="1"/>
  <c r="J2095" i="1" s="1"/>
  <c r="I2095" i="1"/>
  <c r="I2096" i="1" s="1"/>
  <c r="I2097" i="1" s="1"/>
  <c r="I2098" i="1" s="1"/>
  <c r="J2096" i="1"/>
  <c r="J2097" i="1" s="1"/>
  <c r="J2098" i="1" s="1"/>
  <c r="J2099" i="1" s="1"/>
  <c r="H2098" i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I2099" i="1"/>
  <c r="I2100" i="1" s="1"/>
  <c r="J2100" i="1"/>
  <c r="J2101" i="1" s="1"/>
  <c r="I2101" i="1"/>
  <c r="I2102" i="1" s="1"/>
  <c r="I2103" i="1" s="1"/>
  <c r="I2104" i="1" s="1"/>
  <c r="J2102" i="1"/>
  <c r="J2103" i="1" s="1"/>
  <c r="J2104" i="1" s="1"/>
  <c r="J2105" i="1" s="1"/>
  <c r="I2105" i="1"/>
  <c r="I2106" i="1" s="1"/>
  <c r="I2107" i="1" s="1"/>
  <c r="J2106" i="1"/>
  <c r="J2107" i="1" s="1"/>
  <c r="J2108" i="1" s="1"/>
  <c r="I2108" i="1"/>
  <c r="I2109" i="1"/>
  <c r="I2110" i="1" s="1"/>
  <c r="I2111" i="1" s="1"/>
  <c r="J2109" i="1"/>
  <c r="J2110" i="1" s="1"/>
  <c r="J2111" i="1" s="1"/>
  <c r="J2112" i="1" s="1"/>
  <c r="I2112" i="1"/>
  <c r="I2113" i="1"/>
  <c r="I2114" i="1" s="1"/>
  <c r="I2115" i="1" s="1"/>
  <c r="I2116" i="1" s="1"/>
  <c r="J2113" i="1"/>
  <c r="J2114" i="1" s="1"/>
  <c r="J2115" i="1"/>
  <c r="J2116" i="1" s="1"/>
  <c r="I2117" i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J2117" i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G2126" i="1"/>
  <c r="G2127" i="1"/>
  <c r="G2128" i="1" s="1"/>
  <c r="G2129" i="1" s="1"/>
  <c r="G2130" i="1" s="1"/>
  <c r="H2127" i="1"/>
  <c r="H2128" i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I2128" i="1"/>
  <c r="I2129" i="1"/>
  <c r="I2130" i="1" s="1"/>
  <c r="I2131" i="1" s="1"/>
  <c r="I2132" i="1" s="1"/>
  <c r="I2133" i="1" s="1"/>
  <c r="I2134" i="1" s="1"/>
  <c r="J2129" i="1"/>
  <c r="J2130" i="1" s="1"/>
  <c r="G2131" i="1"/>
  <c r="G2132" i="1" s="1"/>
  <c r="G2133" i="1" s="1"/>
  <c r="G2134" i="1" s="1"/>
  <c r="J2131" i="1"/>
  <c r="J2132" i="1" s="1"/>
  <c r="J2133" i="1"/>
  <c r="J2134" i="1" s="1"/>
  <c r="J2135" i="1" s="1"/>
  <c r="G2135" i="1"/>
  <c r="G2136" i="1" s="1"/>
  <c r="G2137" i="1" s="1"/>
  <c r="G2138" i="1" s="1"/>
  <c r="I2135" i="1"/>
  <c r="I2136" i="1" s="1"/>
  <c r="J2136" i="1"/>
  <c r="J2137" i="1" s="1"/>
  <c r="I2137" i="1"/>
  <c r="I2138" i="1" s="1"/>
  <c r="I2139" i="1" s="1"/>
  <c r="I2140" i="1" s="1"/>
  <c r="I2141" i="1" s="1"/>
  <c r="I2142" i="1" s="1"/>
  <c r="I2143" i="1" s="1"/>
  <c r="I2144" i="1" s="1"/>
  <c r="I2145" i="1" s="1"/>
  <c r="J2138" i="1"/>
  <c r="J2139" i="1" s="1"/>
  <c r="G2139" i="1"/>
  <c r="G2140" i="1" s="1"/>
  <c r="G2141" i="1" s="1"/>
  <c r="G2142" i="1" s="1"/>
  <c r="G2143" i="1" s="1"/>
  <c r="G2144" i="1" s="1"/>
  <c r="G2145" i="1" s="1"/>
  <c r="G2146" i="1" s="1"/>
  <c r="G2147" i="1" s="1"/>
  <c r="G2148" i="1" s="1"/>
  <c r="J2140" i="1"/>
  <c r="J2141" i="1" s="1"/>
  <c r="J2142" i="1"/>
  <c r="J2143" i="1" s="1"/>
  <c r="J2144" i="1"/>
  <c r="J2145" i="1" s="1"/>
  <c r="J2146" i="1" s="1"/>
  <c r="I2146" i="1"/>
  <c r="I2147" i="1"/>
  <c r="I2148" i="1" s="1"/>
  <c r="I2149" i="1" s="1"/>
  <c r="I2150" i="1" s="1"/>
  <c r="J2147" i="1"/>
  <c r="J2148" i="1" s="1"/>
  <c r="J2149" i="1" s="1"/>
  <c r="J2150" i="1" s="1"/>
  <c r="J2151" i="1" s="1"/>
  <c r="G2149" i="1"/>
  <c r="G2150" i="1" s="1"/>
  <c r="H2150" i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G2151" i="1"/>
  <c r="G2152" i="1" s="1"/>
  <c r="I2151" i="1"/>
  <c r="I2152" i="1" s="1"/>
  <c r="I2153" i="1" s="1"/>
  <c r="I2154" i="1" s="1"/>
  <c r="I2155" i="1" s="1"/>
  <c r="I2156" i="1" s="1"/>
  <c r="I2157" i="1" s="1"/>
  <c r="J2152" i="1"/>
  <c r="J2153" i="1" s="1"/>
  <c r="G2153" i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J2154" i="1"/>
  <c r="J2155" i="1" s="1"/>
  <c r="J2156" i="1"/>
  <c r="J2157" i="1"/>
  <c r="J2158" i="1" s="1"/>
  <c r="I2158" i="1"/>
  <c r="I2159" i="1" s="1"/>
  <c r="I2160" i="1" s="1"/>
  <c r="J2159" i="1"/>
  <c r="J2160" i="1" s="1"/>
  <c r="J2161" i="1" s="1"/>
  <c r="I2161" i="1"/>
  <c r="I2162" i="1" s="1"/>
  <c r="I2163" i="1" s="1"/>
  <c r="I2164" i="1" s="1"/>
  <c r="I2165" i="1" s="1"/>
  <c r="I2166" i="1" s="1"/>
  <c r="I2167" i="1" s="1"/>
  <c r="J2162" i="1"/>
  <c r="J2163" i="1" s="1"/>
  <c r="J2164" i="1"/>
  <c r="J2165" i="1"/>
  <c r="J2166" i="1"/>
  <c r="J2167" i="1" s="1"/>
  <c r="J2168" i="1" s="1"/>
  <c r="I2168" i="1"/>
  <c r="I2169" i="1"/>
  <c r="J2169" i="1"/>
  <c r="J2170" i="1" s="1"/>
  <c r="I2170" i="1"/>
  <c r="I2171" i="1"/>
  <c r="I2172" i="1" s="1"/>
  <c r="J2171" i="1"/>
  <c r="J2172" i="1" s="1"/>
  <c r="J2173" i="1" s="1"/>
  <c r="I2173" i="1"/>
  <c r="I2174" i="1" s="1"/>
  <c r="I2175" i="1" s="1"/>
  <c r="I2176" i="1" s="1"/>
  <c r="J2174" i="1"/>
  <c r="J2175" i="1" s="1"/>
  <c r="J2176" i="1"/>
  <c r="J2177" i="1" s="1"/>
  <c r="I2177" i="1"/>
  <c r="I2178" i="1"/>
  <c r="J2178" i="1"/>
  <c r="J2179" i="1" s="1"/>
  <c r="I2179" i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J2180" i="1"/>
  <c r="J2181" i="1" s="1"/>
  <c r="J2182" i="1" s="1"/>
  <c r="J2183" i="1" s="1"/>
  <c r="J2184" i="1" s="1"/>
  <c r="J2185" i="1"/>
  <c r="J2186" i="1"/>
  <c r="J2187" i="1"/>
  <c r="J2188" i="1"/>
  <c r="J2189" i="1" s="1"/>
  <c r="J2190" i="1" s="1"/>
  <c r="J2191" i="1" s="1"/>
  <c r="J2192" i="1" s="1"/>
  <c r="J2193" i="1" s="1"/>
  <c r="J2194" i="1" s="1"/>
  <c r="J2195" i="1" s="1"/>
  <c r="J2196" i="1" s="1"/>
  <c r="G2194" i="1"/>
  <c r="G2195" i="1"/>
  <c r="H2195" i="1"/>
  <c r="G2196" i="1"/>
  <c r="H2196" i="1"/>
  <c r="H2197" i="1" s="1"/>
  <c r="I2196" i="1"/>
  <c r="G2197" i="1"/>
  <c r="G2198" i="1" s="1"/>
  <c r="I2197" i="1"/>
  <c r="I2198" i="1" s="1"/>
  <c r="I2199" i="1" s="1"/>
  <c r="J2197" i="1"/>
  <c r="J2198" i="1" s="1"/>
  <c r="J2199" i="1" s="1"/>
  <c r="J2200" i="1" s="1"/>
  <c r="H2198" i="1"/>
  <c r="G2199" i="1"/>
  <c r="H2199" i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G2200" i="1"/>
  <c r="I2200" i="1"/>
  <c r="G2201" i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I2201" i="1"/>
  <c r="J2201" i="1"/>
  <c r="J2202" i="1" s="1"/>
  <c r="J2203" i="1" s="1"/>
  <c r="I2202" i="1"/>
  <c r="I2203" i="1" s="1"/>
  <c r="I2204" i="1" s="1"/>
  <c r="I2205" i="1" s="1"/>
  <c r="J2204" i="1"/>
  <c r="J2205" i="1" s="1"/>
  <c r="J2206" i="1" s="1"/>
  <c r="I2206" i="1"/>
  <c r="I2207" i="1"/>
  <c r="I2208" i="1" s="1"/>
  <c r="J2207" i="1"/>
  <c r="J2208" i="1" s="1"/>
  <c r="J2209" i="1" s="1"/>
  <c r="J2210" i="1" s="1"/>
  <c r="J2211" i="1" s="1"/>
  <c r="J2212" i="1" s="1"/>
  <c r="J2213" i="1" s="1"/>
  <c r="J2214" i="1" s="1"/>
  <c r="J2215" i="1" s="1"/>
  <c r="I2209" i="1"/>
  <c r="I2210" i="1"/>
  <c r="I2211" i="1" s="1"/>
  <c r="I2212" i="1" s="1"/>
  <c r="I2213" i="1" s="1"/>
  <c r="I2214" i="1" s="1"/>
  <c r="I2215" i="1"/>
  <c r="I2216" i="1" s="1"/>
  <c r="J2216" i="1"/>
  <c r="I2217" i="1"/>
  <c r="J2217" i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I2218" i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/>
  <c r="I2233" i="1"/>
  <c r="J2233" i="1"/>
  <c r="J2234" i="1" s="1"/>
  <c r="J2235" i="1" s="1"/>
  <c r="J2236" i="1" s="1"/>
  <c r="J2237" i="1" s="1"/>
  <c r="J2238" i="1" s="1"/>
  <c r="J2239" i="1" s="1"/>
  <c r="J2240" i="1" s="1"/>
  <c r="J2241" i="1" s="1"/>
  <c r="J2242" i="1" s="1"/>
  <c r="I2234" i="1"/>
  <c r="I2235" i="1"/>
  <c r="I2236" i="1" s="1"/>
  <c r="I2237" i="1" s="1"/>
  <c r="I2238" i="1" s="1"/>
  <c r="I2239" i="1" s="1"/>
  <c r="I2240" i="1" s="1"/>
  <c r="I2241" i="1" s="1"/>
  <c r="I2242" i="1"/>
  <c r="I2243" i="1"/>
  <c r="I2244" i="1" s="1"/>
  <c r="J2243" i="1"/>
  <c r="J2244" i="1" s="1"/>
  <c r="J2245" i="1" s="1"/>
  <c r="I2245" i="1"/>
  <c r="I2246" i="1"/>
  <c r="J2246" i="1"/>
  <c r="J2247" i="1" s="1"/>
  <c r="J2248" i="1" s="1"/>
  <c r="J2249" i="1" s="1"/>
  <c r="J2250" i="1" s="1"/>
  <c r="J2251" i="1" s="1"/>
  <c r="J2252" i="1" s="1"/>
  <c r="J2253" i="1" s="1"/>
  <c r="I2247" i="1"/>
  <c r="I2248" i="1" s="1"/>
  <c r="I2249" i="1"/>
  <c r="I2250" i="1"/>
  <c r="I2251" i="1" s="1"/>
  <c r="I2252" i="1" s="1"/>
  <c r="H2252" i="1"/>
  <c r="H2253" i="1" s="1"/>
  <c r="I2253" i="1"/>
  <c r="H2254" i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I2254" i="1"/>
  <c r="J2254" i="1"/>
  <c r="J2255" i="1" s="1"/>
  <c r="I2255" i="1"/>
  <c r="I2256" i="1" s="1"/>
  <c r="J2256" i="1"/>
  <c r="J2257" i="1" s="1"/>
  <c r="J2258" i="1" s="1"/>
  <c r="J2259" i="1" s="1"/>
  <c r="I2257" i="1"/>
  <c r="I2258" i="1" s="1"/>
  <c r="I2259" i="1" s="1"/>
  <c r="I2260" i="1" s="1"/>
  <c r="I2261" i="1" s="1"/>
  <c r="J2260" i="1"/>
  <c r="J2261" i="1" s="1"/>
  <c r="J2262" i="1" s="1"/>
  <c r="I2262" i="1"/>
  <c r="I2263" i="1" s="1"/>
  <c r="I2264" i="1" s="1"/>
  <c r="I2265" i="1" s="1"/>
  <c r="J2263" i="1"/>
  <c r="J2264" i="1" s="1"/>
  <c r="J2265" i="1" s="1"/>
  <c r="J2266" i="1" s="1"/>
  <c r="I2266" i="1"/>
  <c r="I2267" i="1" s="1"/>
  <c r="I2268" i="1" s="1"/>
  <c r="I2269" i="1" s="1"/>
  <c r="I2270" i="1" s="1"/>
  <c r="I2271" i="1" s="1"/>
  <c r="J2267" i="1"/>
  <c r="J2268" i="1" s="1"/>
  <c r="J2269" i="1" s="1"/>
  <c r="J2270" i="1" s="1"/>
  <c r="J2271" i="1" s="1"/>
  <c r="J2272" i="1" s="1"/>
  <c r="H2271" i="1"/>
  <c r="H2272" i="1" s="1"/>
  <c r="H2273" i="1" s="1"/>
  <c r="H2274" i="1" s="1"/>
  <c r="H2275" i="1" s="1"/>
  <c r="I2272" i="1"/>
  <c r="I2273" i="1"/>
  <c r="J2273" i="1"/>
  <c r="J2274" i="1" s="1"/>
  <c r="J2275" i="1" s="1"/>
  <c r="J2276" i="1" s="1"/>
  <c r="J2277" i="1" s="1"/>
  <c r="I2274" i="1"/>
  <c r="I2275" i="1" s="1"/>
  <c r="I2276" i="1" s="1"/>
  <c r="G2275" i="1"/>
  <c r="G2276" i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H2276" i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I2277" i="1"/>
  <c r="I2278" i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J2278" i="1"/>
  <c r="J2279" i="1" s="1"/>
  <c r="J2280" i="1" s="1"/>
  <c r="J2281" i="1" s="1"/>
  <c r="J2282" i="1" s="1"/>
  <c r="J2283" i="1" s="1"/>
  <c r="J2284" i="1" s="1"/>
  <c r="J2285" i="1" s="1"/>
  <c r="J2286" i="1"/>
  <c r="J2287" i="1" s="1"/>
  <c r="J2288" i="1" s="1"/>
  <c r="J2289" i="1"/>
  <c r="J2290" i="1" s="1"/>
  <c r="J2291" i="1" s="1"/>
  <c r="J2292" i="1" s="1"/>
  <c r="H2291" i="1"/>
  <c r="H2292" i="1" s="1"/>
  <c r="H2293" i="1" s="1"/>
  <c r="H2294" i="1" s="1"/>
  <c r="H2295" i="1" s="1"/>
  <c r="H2296" i="1" s="1"/>
  <c r="H2297" i="1" s="1"/>
  <c r="H2298" i="1" s="1"/>
  <c r="H2299" i="1" s="1"/>
  <c r="I2292" i="1"/>
  <c r="I2293" i="1"/>
  <c r="J2293" i="1"/>
  <c r="J2294" i="1" s="1"/>
  <c r="I2294" i="1"/>
  <c r="I2295" i="1" s="1"/>
  <c r="I2296" i="1" s="1"/>
  <c r="I2297" i="1" s="1"/>
  <c r="I2298" i="1" s="1"/>
  <c r="I2299" i="1" s="1"/>
  <c r="I2300" i="1" s="1"/>
  <c r="J2295" i="1"/>
  <c r="J2296" i="1"/>
  <c r="J2297" i="1" s="1"/>
  <c r="J2298" i="1"/>
  <c r="J2299" i="1" s="1"/>
  <c r="J2300" i="1" s="1"/>
  <c r="J2301" i="1" s="1"/>
  <c r="H2300" i="1"/>
  <c r="H2301" i="1" s="1"/>
  <c r="H2302" i="1" s="1"/>
  <c r="H2303" i="1" s="1"/>
  <c r="H2304" i="1" s="1"/>
  <c r="H2305" i="1" s="1"/>
  <c r="I2301" i="1"/>
  <c r="I2302" i="1"/>
  <c r="I2303" i="1" s="1"/>
  <c r="I2304" i="1" s="1"/>
  <c r="I2305" i="1" s="1"/>
  <c r="I2306" i="1" s="1"/>
  <c r="J2302" i="1"/>
  <c r="J2303" i="1" s="1"/>
  <c r="J2304" i="1" s="1"/>
  <c r="J2305" i="1" s="1"/>
  <c r="J2306" i="1" s="1"/>
  <c r="J2307" i="1" s="1"/>
  <c r="H2306" i="1"/>
  <c r="H2307" i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I2307" i="1"/>
  <c r="I2308" i="1" s="1"/>
  <c r="I2309" i="1" s="1"/>
  <c r="I2310" i="1" s="1"/>
  <c r="I2311" i="1" s="1"/>
  <c r="I2312" i="1" s="1"/>
  <c r="I2313" i="1" s="1"/>
  <c r="I2314" i="1" s="1"/>
  <c r="I2315" i="1" s="1"/>
  <c r="I2316" i="1" s="1"/>
  <c r="J2308" i="1"/>
  <c r="J2309" i="1" s="1"/>
  <c r="J2310" i="1"/>
  <c r="J2311" i="1" s="1"/>
  <c r="J2312" i="1"/>
  <c r="J2313" i="1" s="1"/>
  <c r="J2314" i="1"/>
  <c r="J2315" i="1" s="1"/>
  <c r="J2316" i="1" s="1"/>
  <c r="J2317" i="1" s="1"/>
  <c r="I2317" i="1"/>
  <c r="I2318" i="1"/>
  <c r="I2319" i="1" s="1"/>
  <c r="I2320" i="1" s="1"/>
  <c r="I2321" i="1" s="1"/>
  <c r="I2322" i="1" s="1"/>
  <c r="I2323" i="1" s="1"/>
  <c r="I2324" i="1" s="1"/>
  <c r="I2325" i="1" s="1"/>
  <c r="I2326" i="1" s="1"/>
  <c r="I2327" i="1" s="1"/>
  <c r="J2318" i="1"/>
  <c r="J2319" i="1" s="1"/>
  <c r="J2320" i="1"/>
  <c r="J2321" i="1"/>
  <c r="J2322" i="1" s="1"/>
  <c r="J2323" i="1" s="1"/>
  <c r="J2324" i="1" s="1"/>
  <c r="J2325" i="1" s="1"/>
  <c r="J2326" i="1" s="1"/>
  <c r="J2327" i="1" s="1"/>
  <c r="J2328" i="1" s="1"/>
  <c r="G2326" i="1"/>
  <c r="G2327" i="1"/>
  <c r="H2327" i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G2328" i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I2328" i="1"/>
  <c r="I2329" i="1"/>
  <c r="J2329" i="1"/>
  <c r="J2330" i="1" s="1"/>
  <c r="I2330" i="1"/>
  <c r="I2331" i="1" s="1"/>
  <c r="I2332" i="1" s="1"/>
  <c r="I2333" i="1" s="1"/>
  <c r="J2331" i="1"/>
  <c r="J2332" i="1" s="1"/>
  <c r="J2333" i="1" s="1"/>
  <c r="J2334" i="1" s="1"/>
  <c r="I2334" i="1"/>
  <c r="I2335" i="1" s="1"/>
  <c r="I2336" i="1" s="1"/>
  <c r="J2335" i="1"/>
  <c r="J2336" i="1" s="1"/>
  <c r="J2337" i="1" s="1"/>
  <c r="I2337" i="1"/>
  <c r="I2338" i="1"/>
  <c r="I2339" i="1" s="1"/>
  <c r="J2338" i="1"/>
  <c r="J2339" i="1" s="1"/>
  <c r="J2340" i="1" s="1"/>
  <c r="I2340" i="1"/>
  <c r="I2341" i="1"/>
  <c r="J2341" i="1"/>
  <c r="J2342" i="1" s="1"/>
  <c r="I2342" i="1"/>
  <c r="I2343" i="1" s="1"/>
  <c r="I2344" i="1" s="1"/>
  <c r="I2345" i="1" s="1"/>
  <c r="I2346" i="1" s="1"/>
  <c r="I2347" i="1" s="1"/>
  <c r="I2348" i="1" s="1"/>
  <c r="I2349" i="1" s="1"/>
  <c r="J2343" i="1"/>
  <c r="J2344" i="1" s="1"/>
  <c r="J2345" i="1"/>
  <c r="J2346" i="1" s="1"/>
  <c r="J2347" i="1"/>
  <c r="J2348" i="1" s="1"/>
  <c r="J2349" i="1" s="1"/>
  <c r="J2350" i="1" s="1"/>
  <c r="H2349" i="1"/>
  <c r="H2350" i="1"/>
  <c r="I2350" i="1"/>
  <c r="I2351" i="1" s="1"/>
  <c r="I2352" i="1" s="1"/>
  <c r="I2353" i="1" s="1"/>
  <c r="I2354" i="1" s="1"/>
  <c r="H2351" i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J2351" i="1"/>
  <c r="J2352" i="1" s="1"/>
  <c r="J2353" i="1"/>
  <c r="J2354" i="1" s="1"/>
  <c r="J2355" i="1" s="1"/>
  <c r="I2355" i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J2356" i="1"/>
  <c r="J2357" i="1"/>
  <c r="J2358" i="1"/>
  <c r="J2359" i="1" s="1"/>
  <c r="J2360" i="1" s="1"/>
  <c r="J2361" i="1" s="1"/>
  <c r="J2362" i="1" s="1"/>
  <c r="J2363" i="1" s="1"/>
  <c r="J2364" i="1" s="1"/>
  <c r="J2365" i="1" s="1"/>
  <c r="J2366" i="1" s="1"/>
  <c r="J2367" i="1" s="1"/>
  <c r="H2366" i="1"/>
  <c r="H2367" i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I2367" i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J2368" i="1"/>
  <c r="J2369" i="1" s="1"/>
  <c r="J2370" i="1" s="1"/>
  <c r="J2371" i="1" s="1"/>
  <c r="J2372" i="1"/>
  <c r="J2373" i="1"/>
  <c r="J2374" i="1" s="1"/>
  <c r="J2375" i="1"/>
  <c r="J2376" i="1" s="1"/>
  <c r="J2377" i="1" s="1"/>
  <c r="J2378" i="1" s="1"/>
  <c r="J2379" i="1" s="1"/>
  <c r="J2380" i="1" s="1"/>
  <c r="J2381" i="1" s="1"/>
  <c r="J2382" i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G2390" i="1"/>
  <c r="G2391" i="1"/>
  <c r="H2391" i="1"/>
  <c r="H2392" i="1" s="1"/>
  <c r="H2393" i="1" s="1"/>
  <c r="H2394" i="1" s="1"/>
  <c r="H2395" i="1" s="1"/>
  <c r="G2392" i="1"/>
  <c r="G2393" i="1" s="1"/>
  <c r="G2394" i="1" s="1"/>
  <c r="I2392" i="1"/>
  <c r="I2393" i="1"/>
  <c r="J2393" i="1"/>
  <c r="J2394" i="1" s="1"/>
  <c r="J2395" i="1" s="1"/>
  <c r="J2396" i="1" s="1"/>
  <c r="J2397" i="1" s="1"/>
  <c r="I2394" i="1"/>
  <c r="I2395" i="1" s="1"/>
  <c r="I2396" i="1" s="1"/>
  <c r="G2395" i="1"/>
  <c r="G2396" i="1"/>
  <c r="G2397" i="1" s="1"/>
  <c r="G2398" i="1" s="1"/>
  <c r="H2396" i="1"/>
  <c r="H2397" i="1" s="1"/>
  <c r="H2398" i="1" s="1"/>
  <c r="I2397" i="1"/>
  <c r="I2398" i="1"/>
  <c r="J2398" i="1"/>
  <c r="H8" i="1"/>
  <c r="I8" i="1"/>
  <c r="J8" i="1"/>
  <c r="G8" i="1"/>
  <c r="G7" i="1"/>
  <c r="H7" i="1"/>
  <c r="I7" i="1"/>
  <c r="J7" i="1"/>
  <c r="J6" i="1"/>
  <c r="I6" i="1"/>
  <c r="H6" i="1"/>
  <c r="G6" i="1"/>
</calcChain>
</file>

<file path=xl/sharedStrings.xml><?xml version="1.0" encoding="utf-8"?>
<sst xmlns="http://schemas.openxmlformats.org/spreadsheetml/2006/main" count="27187" uniqueCount="4265">
  <si>
    <t>Denominação</t>
  </si>
  <si>
    <t>Seção</t>
  </si>
  <si>
    <t>Divisão</t>
  </si>
  <si>
    <t>Grupo</t>
  </si>
  <si>
    <t>Classe</t>
  </si>
  <si>
    <t>Subclasse</t>
  </si>
  <si>
    <t>AGRICULTURA, PECUÁRIA, PRODUÇÃO FLORESTAL, PESCA E AQUICULTURA</t>
  </si>
  <si>
    <t>AGRICULTURA, PECUÁRIA E SERVIÇOS RELACIONADOS</t>
  </si>
  <si>
    <t>Produção de lavouras temporárias</t>
  </si>
  <si>
    <t>Cultivo de cereais</t>
  </si>
  <si>
    <t>Cultivo de arroz</t>
  </si>
  <si>
    <t>Cultivo de milho</t>
  </si>
  <si>
    <t>Cultivo de trigo</t>
  </si>
  <si>
    <t>Cultivo de outros cereais não especificados anteriormente</t>
  </si>
  <si>
    <t>Cultivo de algodão herbáceo e de outras fibras de lavoura temporária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</si>
  <si>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</si>
  <si>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</si>
  <si>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</si>
  <si>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</si>
  <si>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</si>
  <si>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</si>
  <si>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oleaginosas de lavoura temporária, exceto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</si>
  <si>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</si>
  <si>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</si>
  <si>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</si>
  <si>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</si>
  <si>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plantas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</si>
  <si>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</si>
  <si>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</si>
  <si>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</si>
  <si>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</si>
  <si>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</si>
  <si>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</si>
  <si>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</si>
  <si>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</si>
  <si>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</si>
  <si>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</si>
  <si>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 e floricultura</t>
  </si>
  <si>
    <t>Horticultura</t>
  </si>
  <si>
    <t>Horticultura, exceto morango</t>
  </si>
  <si>
    <t>Cultivo de morango</t>
  </si>
  <si>
    <t>Cultivo de flores e plantas ornamentais</t>
  </si>
  <si>
    <t>Produção de lavouras permanentes</t>
  </si>
  <si>
    <t>Cultivo de laranja</t>
  </si>
  <si>
    <t>Cultivo de uva</t>
  </si>
  <si>
    <t>Cultivo de frutas de lavoura permanente, exceto laranja e uva</t>
  </si>
  <si>
    <t>Cultivo de açaí</t>
  </si>
  <si>
    <t>Cultivo de banana</t>
  </si>
  <si>
    <t>Cultivo de caju</t>
  </si>
  <si>
    <t>Cultivo de cítricos,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</si>
  <si>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</si>
  <si>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</si>
  <si>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</si>
  <si>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</si>
  <si>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</si>
  <si>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</si>
  <si>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</si>
  <si>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</si>
  <si>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</si>
  <si>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</si>
  <si>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plantas de lavoura permanente não especificadas anteriormente</t>
  </si>
  <si>
    <t>Cultivo de chá-da-índia</t>
  </si>
  <si>
    <t>Cultivo de erva-mate</t>
  </si>
  <si>
    <t>Cultivo de pimenta-do-reino</t>
  </si>
  <si>
    <t>Cultivo de plantas para condimento, exceto pimenta-do-reino</t>
  </si>
  <si>
    <t>Cultivo de dendê</t>
  </si>
  <si>
    <t>Cultivo de seringueira</t>
  </si>
  <si>
    <t>Cultivo de outras plantas de lavoura permanente não especificadas anteriormente</t>
  </si>
  <si>
    <t>Produção de sementes e mudas certificadas</t>
  </si>
  <si>
    <t>Produção de sementes certificadas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</si>
  <si>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</si>
  <si>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</si>
  <si>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</si>
  <si>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Pecuária</t>
  </si>
  <si>
    <t>Criação de bovinos</t>
  </si>
  <si>
    <t>Criação de bovinos para corte</t>
  </si>
  <si>
    <t>Criação de bovinos para leite</t>
  </si>
  <si>
    <t>Criação de bovinos, exceto para corte e leite</t>
  </si>
  <si>
    <t>Criação de outros animais de grande porte</t>
  </si>
  <si>
    <t>Criação de bufalinos</t>
  </si>
  <si>
    <t>Criação de equinos</t>
  </si>
  <si>
    <t>Criação de asininos e muares</t>
  </si>
  <si>
    <t>Criação de caprinos e ovinos</t>
  </si>
  <si>
    <t>Criação de caprinos</t>
  </si>
  <si>
    <t>Criação de ovinos, inclusive para produção de lã</t>
  </si>
  <si>
    <t>Criação de suínos</t>
  </si>
  <si>
    <t>Criação de aves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</si>
  <si>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</si>
  <si>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</si>
  <si>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</si>
  <si>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</si>
  <si>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</si>
  <si>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Criação de animais não especificados anteriormente</t>
  </si>
  <si>
    <t>Apicultura</t>
  </si>
  <si>
    <t>Criação de animais de estimação</t>
  </si>
  <si>
    <t>Criação de escargô</t>
  </si>
  <si>
    <t>Criação de bicho-da-seda</t>
  </si>
  <si>
    <t>Criação de outros animais não especificados anteriormente</t>
  </si>
  <si>
    <t>Atividades de apoio à agricultura e à pecuária; atividades de
pós-colheita</t>
  </si>
  <si>
    <t>Atividades de apoio à agricultura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</si>
  <si>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</si>
  <si>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</si>
  <si>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</si>
  <si>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</si>
  <si>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Atividades de apoio à pecuária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</si>
  <si>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</si>
  <si>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</si>
  <si>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</si>
  <si>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</si>
  <si>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</si>
  <si>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</si>
  <si>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PRODUÇÃO FLORESTAL</t>
  </si>
  <si>
    <t>Produção florestal - florestas plantadas</t>
  </si>
  <si>
    <t>Cultivo de eucalipto</t>
  </si>
  <si>
    <t>Cultivo de acácia-negra</t>
  </si>
  <si>
    <t>Cultivo de pinus</t>
  </si>
  <si>
    <t>Cultivo de teca</t>
  </si>
  <si>
    <t>Cultivo de espécies madeireiras, exceto eucalipto, acácia-negra, pinus e teca</t>
  </si>
  <si>
    <t>Cultivo de mudas em viveiros florestais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</si>
  <si>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</si>
  <si>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</si>
  <si>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</si>
  <si>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 madeireiros não especificados anteriormente em florestas plantadas</t>
  </si>
  <si>
    <t>Produção florestal - florestas nativas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</si>
  <si>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</si>
  <si>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</si>
  <si>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</si>
  <si>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</si>
  <si>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</si>
  <si>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</si>
  <si>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 madeireiros não especificados anteriormente em florestas nativas</t>
  </si>
  <si>
    <t>Atividades de apoio à produção florestal</t>
  </si>
  <si>
    <t>PESCA E AQÜICULTURA</t>
  </si>
  <si>
    <t>Pesca</t>
  </si>
  <si>
    <t>Pesca em água salgada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</si>
  <si>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</si>
  <si>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</si>
  <si>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</si>
  <si>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</si>
  <si>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em água doce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</si>
  <si>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</si>
  <si>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</si>
  <si>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</si>
  <si>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</si>
  <si>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Aquicultura</t>
  </si>
  <si>
    <t>Aquicultura em água salgada e salobra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</si>
  <si>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</si>
  <si>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</si>
  <si>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</si>
  <si>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</si>
  <si>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</si>
  <si>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</si>
  <si>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</si>
  <si>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</si>
  <si>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</si>
  <si>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</si>
  <si>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</si>
  <si>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</si>
  <si>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</si>
  <si>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aquicultura em água doce</t>
  </si>
  <si>
    <t>Cultivos e semicultivos da aquicultura em água doce não especificados anteriormente</t>
  </si>
  <si>
    <t>INDÚSTRIAS EXTRATIVAS</t>
  </si>
  <si>
    <t>EXTRAÇÃO DE CARVÃO MINERAL</t>
  </si>
  <si>
    <t>Extração de carvão mineral</t>
  </si>
  <si>
    <t>Beneficiamento de carvão mineral</t>
  </si>
  <si>
    <t>EXTRAÇÃO DE PETRÓLEO E GÁS NATURAL</t>
  </si>
  <si>
    <t>Extração de petróleo e gás natural</t>
  </si>
  <si>
    <t>Extração e beneficiamento de xisto</t>
  </si>
  <si>
    <t>Extração e beneficiamento de areias betuminosas</t>
  </si>
  <si>
    <t>EXTRAÇÃO DE MINERAIS METÁLICOS</t>
  </si>
  <si>
    <t>Extração de minério de ferro</t>
  </si>
  <si>
    <t>Pelotização, sinterização e outros beneficiamentos de minério de ferro</t>
  </si>
  <si>
    <t>Extração de minerais metálicos não ferrosos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</si>
  <si>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</si>
  <si>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</si>
  <si>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</si>
  <si>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</si>
  <si>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</si>
  <si>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</si>
  <si>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</si>
  <si>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</si>
  <si>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</si>
  <si>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minerais metálicos não ferrosos não especificados anteriormente</t>
  </si>
  <si>
    <t>Extração de minérios de nióbio e titânio</t>
  </si>
  <si>
    <t>Extração de minério de tungstênio</t>
  </si>
  <si>
    <t>Extração de minério de níquel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</si>
  <si>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</si>
  <si>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</si>
  <si>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</si>
  <si>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pedra, areia e argila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</si>
  <si>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</si>
  <si>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</si>
  <si>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</si>
  <si>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</si>
  <si>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</si>
  <si>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</si>
  <si>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</si>
  <si>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</si>
  <si>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</si>
  <si>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</si>
  <si>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</si>
  <si>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outros minerais não metálicos</t>
  </si>
  <si>
    <t>Extração de minerais para fabricação de adubos, fertilizantes e outros produtos químicos</t>
  </si>
  <si>
    <t>Extração e refino de sal marinho e sal-gema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</si>
  <si>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</si>
  <si>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</si>
  <si>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</si>
  <si>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</si>
  <si>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minerais não metálicos não especificados anteriormente</t>
  </si>
  <si>
    <t>Extração de grafita</t>
  </si>
  <si>
    <t>Extração de quartzo</t>
  </si>
  <si>
    <t>Extração de amianto</t>
  </si>
  <si>
    <t>Extração de outros minerais não metálicos não especificados anteriormente</t>
  </si>
  <si>
    <t>ATIVIDADES DE APOIO À EXTRAÇÃO DE MINERAIS</t>
  </si>
  <si>
    <t>Atividades de apoio à extração de petróleo e gás natural</t>
  </si>
  <si>
    <t>Atividades de apoio à extração de minerais, exceto petróleo e gás natural</t>
  </si>
  <si>
    <t>Atividades de apoio à extração de minério de ferro</t>
  </si>
  <si>
    <t>Atividades de apoio à extração de minerais metálicos não ferrosos</t>
  </si>
  <si>
    <t>Atividades de apoio à extração de minerais não metálicos</t>
  </si>
  <si>
    <t>INDÚSTRIAS DE TRANSFORMAÇÃO</t>
  </si>
  <si>
    <t>FABRICAÇÃO DE PRODUTOS ALIMENTÍCIOS</t>
  </si>
  <si>
    <t>Abate e fabricação de produtos de carne</t>
  </si>
  <si>
    <t>Abate de reses, exceto suínos</t>
  </si>
  <si>
    <t>Frigorífico - abate de bovinos</t>
  </si>
  <si>
    <t>Frigorífico - abate de equinos</t>
  </si>
  <si>
    <t>Frigorífico - abate de ovinos e caprinos</t>
  </si>
  <si>
    <t>Frigorífico - abate de bufalinos</t>
  </si>
  <si>
    <t>Matadouro - abate de reses sob contrato, exceto abate de suínos</t>
  </si>
  <si>
    <t>Abate de suínos, aves e outros pequenos animais</t>
  </si>
  <si>
    <t>Abate de aves</t>
  </si>
  <si>
    <t>Abate de pequenos animais</t>
  </si>
  <si>
    <t>Frigorífico - abate de suínos</t>
  </si>
  <si>
    <t>Matadouro - abate de suínos sob contrato</t>
  </si>
  <si>
    <t>Fabricação de produtos de carne</t>
  </si>
  <si>
    <t>Preparação de subprodutos do abate</t>
  </si>
  <si>
    <t>Preservação do pescado e fabricação de produtos do pescado</t>
  </si>
  <si>
    <t>Preservação de peixes, crustáceos e moluscos</t>
  </si>
  <si>
    <t>Fabricação de conservas de peixes, crustáceos e moluscos</t>
  </si>
  <si>
    <t>Fabricação de conservas de frutas, legumes e outros vegetais</t>
  </si>
  <si>
    <t>Fabricação de conservas de frutas</t>
  </si>
  <si>
    <t>Fabricação de conservas de legumes e outros vegetais</t>
  </si>
  <si>
    <t>Fabricação de conservas de palmito</t>
  </si>
  <si>
    <t>Fabricação de conservas de legumes e outros vegetais, exceto palmito</t>
  </si>
  <si>
    <t>Fabricação de sucos de frutas, hortaliças e legumes</t>
  </si>
  <si>
    <t>Fabricação de sucos concentrados de frutas, hortaliças e legumes</t>
  </si>
  <si>
    <t>Fabricação de sucos de frutas, hortaliças e legumes, exceto concentrados</t>
  </si>
  <si>
    <t>Fabricação de óleos e gorduras vegetais e animais</t>
  </si>
  <si>
    <t>Fabricação de óleos vegetais em bruto, exceto óleo de milho</t>
  </si>
  <si>
    <t>Fabricação de óleos vegetais refinados, exceto óleo de milho</t>
  </si>
  <si>
    <t>Fabricação de margarina e outras gorduras vegetais e de óleos não comestíveis de animais</t>
  </si>
  <si>
    <t>Laticínios</t>
  </si>
  <si>
    <t>Preparação do leite</t>
  </si>
  <si>
    <t>Fabricação de laticínios</t>
  </si>
  <si>
    <t>Fabricação de sorvetes e outros gelados comestíveis</t>
  </si>
  <si>
    <t>Moagem, fabricação de produtos amiláceos e de alimentos para animais</t>
  </si>
  <si>
    <t>Beneficiamento de arroz e fabricação de produtos do arroz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</si>
  <si>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</si>
  <si>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</si>
  <si>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</si>
  <si>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</si>
  <si>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</si>
  <si>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 e de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</si>
  <si>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</si>
  <si>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</si>
  <si>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</si>
  <si>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</si>
  <si>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</si>
  <si>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e refino de açúcar</t>
  </si>
  <si>
    <t>Fabricação de açúcar em bruto</t>
  </si>
  <si>
    <t>Fabricação de açúcar refinado</t>
  </si>
  <si>
    <t>Fabricação de açúcar de cana refinado</t>
  </si>
  <si>
    <t>Fabricação de açúcar de cereais (dextrose) e de beterraba</t>
  </si>
  <si>
    <t>Torrefação e moagem de café</t>
  </si>
  <si>
    <t>Beneficiamento de café</t>
  </si>
  <si>
    <t>Fabricação de produtos à base de café</t>
  </si>
  <si>
    <t>Fabricação de outros produtos alimentícios</t>
  </si>
  <si>
    <t>Fabricação de produtos de panificação</t>
  </si>
  <si>
    <t>Fabricação de produtos de panificação industrial</t>
  </si>
  <si>
    <t>Fabricação de produtos de padaria e confeitaria com predominância de produção própria</t>
  </si>
  <si>
    <t>Fabricação de biscoitos e bolachas</t>
  </si>
  <si>
    <t>Fabricação de produtos derivados do cacau, de chocolates e confeitos</t>
  </si>
  <si>
    <t>Fabricação de produtos derivados do cacau e de chocolates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</si>
  <si>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</si>
  <si>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</si>
  <si>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</si>
  <si>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</si>
  <si>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produtos alimentícios não especificados anteriormente</t>
  </si>
  <si>
    <t>Fabricação de vinagres</t>
  </si>
  <si>
    <t>Fabricação de pós-alimentícios</t>
  </si>
  <si>
    <t>Fabricação de fermentos e leveduras</t>
  </si>
  <si>
    <t>Fabricação de gelo comum</t>
  </si>
  <si>
    <t>Fabricação de produtos para infusão (chá, mate, etc.)</t>
  </si>
  <si>
    <t>Fabricação de adoçantes naturais e artificiais</t>
  </si>
  <si>
    <t>Fabricação de alimentos dietéticos e complementos alimentares</t>
  </si>
  <si>
    <t>Fabricação de outros produtos alimentícios não especificados anteriormente</t>
  </si>
  <si>
    <t>FABRICAÇÃO DE BEBIDAS</t>
  </si>
  <si>
    <t>Fabricação de bebidas alcoólicas</t>
  </si>
  <si>
    <t>Fabricação de aguardentes e outras bebidas destiladas</t>
  </si>
  <si>
    <t>Fabricação de aguardente de cana-de-açúcar</t>
  </si>
  <si>
    <t>Fabricação de outras aguardentes e bebidas destiladas</t>
  </si>
  <si>
    <t>Fabricação de vinho</t>
  </si>
  <si>
    <t>Fabricação de malte, cervejas e chopes</t>
  </si>
  <si>
    <t>Fabricação de malte, inclusive malte uísque</t>
  </si>
  <si>
    <t>Fabricação de cervejas e chopes</t>
  </si>
  <si>
    <t>Fabricação de bebidas não alcoólicas</t>
  </si>
  <si>
    <t>Fabricação de águas envasadas</t>
  </si>
  <si>
    <t>Fabricação de refrigerantes e de outras bebidas não alcoólicas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</si>
  <si>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</si>
  <si>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</si>
  <si>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</si>
  <si>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Fabricação de bebidas isotônicas</t>
  </si>
  <si>
    <t>Fabricação de outras bebidas não alcoólicas não especificadas anteriormente</t>
  </si>
  <si>
    <t>FABRICAÇÃO DE PRODUTOS DO FUMO</t>
  </si>
  <si>
    <t>Processamento industrial do fumo</t>
  </si>
  <si>
    <t>Fabricação de produtos do fumo</t>
  </si>
  <si>
    <t>Fabricação de cigarros</t>
  </si>
  <si>
    <t>Fabricação de cigarrilhas e charutos</t>
  </si>
  <si>
    <t>Fabricação de filtros para cigarros</t>
  </si>
  <si>
    <t>Fabricação de outros produtos do fumo, exceto cigarros, cigarrilhas e charutos</t>
  </si>
  <si>
    <t>FABRICAÇÃO DE PRODUTOS TÊXTEIS</t>
  </si>
  <si>
    <t>Preparação e fiação de fibras têxteis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</si>
  <si>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</si>
  <si>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</si>
  <si>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</si>
  <si>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</si>
  <si>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Tecelagem, exceto malha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</si>
  <si>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</si>
  <si>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</si>
  <si>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</si>
  <si>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</si>
  <si>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Acabamentos em fios, tecidos e artefatos têxteis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</si>
  <si>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</si>
  <si>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</si>
  <si>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</si>
  <si>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têxteis, exceto vestuário</t>
  </si>
  <si>
    <t>Fabricação de artefatos têxteis para uso doméstico</t>
  </si>
  <si>
    <t>Fabricação de artefatos de tapeçaria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</si>
  <si>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</si>
  <si>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</si>
  <si>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</si>
  <si>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ARTIGOS DO VESTUÁRIO E ACESSÓRIOS</t>
  </si>
  <si>
    <t>Confecção de artigos do vestuário e acessórios</t>
  </si>
  <si>
    <t>Confecção de roupas íntimas</t>
  </si>
  <si>
    <t>Facção de roupas íntimas</t>
  </si>
  <si>
    <t>Confecção de peças do vestuário, exceto roupas íntimas</t>
  </si>
  <si>
    <t>Confecção de peças do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</si>
  <si>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</si>
  <si>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</si>
  <si>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</si>
  <si>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</si>
  <si>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</si>
  <si>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</si>
  <si>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</si>
  <si>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artigos de malharia e tricotagem</t>
  </si>
  <si>
    <t>Fabricação de meias</t>
  </si>
  <si>
    <t>Fabricação de artigos do vestuário, produzidos em malharias e tricotagens, exceto meias</t>
  </si>
  <si>
    <t>PREPARAÇÃO DE COUROS E FABRICAÇÃO DE ARTEFATOS DE COURO, ARTIGOS PARA VIAGEM E CALÇADOS</t>
  </si>
  <si>
    <t>Curtimento e outras preparações de couro</t>
  </si>
  <si>
    <t>Fabricação de artigos para viagem e de artefatos diversos de couro</t>
  </si>
  <si>
    <t>Fabricação de artigos para viagem, bolsas e semelhantes de qualquer material</t>
  </si>
  <si>
    <t>Fabricação de artefatos de couro não especificados anteriormente</t>
  </si>
  <si>
    <t>Fabricação de calçados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</si>
  <si>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</si>
  <si>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</si>
  <si>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</si>
  <si>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</si>
  <si>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</si>
  <si>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calçados de materiais não especificados
anteriormente</t>
  </si>
  <si>
    <t>Fabricação de partes para calçados, de qualquer material</t>
  </si>
  <si>
    <t>FABRICAÇÃO DE PRODUTOS DE MADEIRA</t>
  </si>
  <si>
    <t>Desdobramento de madeira</t>
  </si>
  <si>
    <t>Serrarias com desdobramento de madeira em bruto</t>
  </si>
  <si>
    <t>Serrarias sem desdobramento de madeira em bruto - Resseragem</t>
  </si>
  <si>
    <t>Serviço de tratamento de madeira realizado sob contrato</t>
  </si>
  <si>
    <t>Fabricação de produtos de madeira, cortiça e material trançado, exceto móveis</t>
  </si>
  <si>
    <t>Fabricação de madeira laminada e de chapas de madeira compensada, prensada e aglomerada</t>
  </si>
  <si>
    <t>Fabricação de estruturas de madeira e de artigos de carpintaria para construção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</si>
  <si>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</si>
  <si>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</si>
  <si>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</si>
  <si>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de tanoaria e de embalagens de madeira</t>
  </si>
  <si>
    <t>Fabricação de artefatos de madeira, palha, cortiça, vime e material trançado não especificados anteriormente, exceto
móveis</t>
  </si>
  <si>
    <t>Fabricação de artefatos diversos de madeira, exceto móveis</t>
  </si>
  <si>
    <t>Fabricação de artefatos diversos de cortiça, bambu, palha, vime e outros materiais trançados, exceto móveis</t>
  </si>
  <si>
    <t>FABRICAÇÃO DE CELULOSE, PAPEL E PRODUTOS DE PAPEL</t>
  </si>
  <si>
    <t>Fabricação de celulose e outras pastas para a fabricação de papel</t>
  </si>
  <si>
    <t>Fabricação de papel, cartolina e papel-cartão</t>
  </si>
  <si>
    <t>Fabricação de papel</t>
  </si>
  <si>
    <t>Fabricação de cartolina e papel-cartão</t>
  </si>
  <si>
    <t>Fabricação de embalagens de papel, cartolina, papel-cartão e papelão ondulado</t>
  </si>
  <si>
    <t>Fabricação de embalagens de papel</t>
  </si>
  <si>
    <t>Fabricação de embalagens de cartolina e papel-cartão</t>
  </si>
  <si>
    <t>Fabricação de chapas e de embalagens de papelão ondulado</t>
  </si>
  <si>
    <t>Fabricação de produtos diversos de papel, cartolina, papel-cartão e papelão ondulado</t>
  </si>
  <si>
    <t>Fabricação de produtos de papel, cartolina, papel-cartão e papelão ondulado para uso comercial e de escritório</t>
  </si>
  <si>
    <t>Fabricação de formulários contínuos</t>
  </si>
  <si>
    <t>Fabricação de produtos de papel para usos doméstico e higiênico-sanitário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</si>
  <si>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</si>
  <si>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</si>
  <si>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</si>
  <si>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celulósicas, papel, cartolina, papel-cartão e papelão ondulado não especificados anteriormente</t>
  </si>
  <si>
    <t>IMPRESSÃO E REPRODUÇÃO DE GRAVAÇÕES</t>
  </si>
  <si>
    <t>Atividade de impressão</t>
  </si>
  <si>
    <t>Impressão de jornais, livros, revistas e outras publicações periódicas</t>
  </si>
  <si>
    <t>Impressão de jornais</t>
  </si>
  <si>
    <t>Impressão de livros, revistas e outras publicações periódicas</t>
  </si>
  <si>
    <t>Impressão de material de segurança</t>
  </si>
  <si>
    <t>Impressão de materiais para outros usos</t>
  </si>
  <si>
    <t>Impressão de material para uso publicitário</t>
  </si>
  <si>
    <t>Impressão de material para outros usos</t>
  </si>
  <si>
    <t>Serviços de pré-impressão e acabamentos gráficos</t>
  </si>
  <si>
    <t>Serviços de pré-impressão</t>
  </si>
  <si>
    <t>Serviços de acabamentos gráficos</t>
  </si>
  <si>
    <t>Serviços de encadernação e plastificação</t>
  </si>
  <si>
    <t>Serviços de acabamentos gráficos, exceto encadernação e plastificação</t>
  </si>
  <si>
    <t>Reprodução de materiais gravados em qualquer suporte</t>
  </si>
  <si>
    <t>Reprodução de som em qualquer suporte</t>
  </si>
  <si>
    <t>Reprodução de vídeo em qualquer suporte</t>
  </si>
  <si>
    <t>FABRICAÇÃO DE COQUE, DE PRODUTOS DERIVADOS DO PETRÓLEO E DE BIOCOMBUSTÍVEIS</t>
  </si>
  <si>
    <t>Coquerias</t>
  </si>
  <si>
    <t>Fabricação de produtos derivados do petróleo</t>
  </si>
  <si>
    <t>Fabricação de produtos do refino de petróleo</t>
  </si>
  <si>
    <t>Fabricação de produtos derivados do petróleo, exceto produtos do refino</t>
  </si>
  <si>
    <t>Formulação de combustíveis</t>
  </si>
  <si>
    <t>Rerrefino de óleos lubrificantes</t>
  </si>
  <si>
    <t>Fabricação de outros produtos derivados do petróleo, exceto produtos do refino</t>
  </si>
  <si>
    <t>Fabricação de biocombustíveis</t>
  </si>
  <si>
    <t>Fabricação de álcool</t>
  </si>
  <si>
    <t>Fabricação de biocombustíveis, exceto álcool</t>
  </si>
  <si>
    <t>FABRICAÇÃO DE PRODUTOS QUÍMICOS</t>
  </si>
  <si>
    <t>Fabricação de produtos químicos inorgânicos</t>
  </si>
  <si>
    <t>Fabricação de cloro e álcalis</t>
  </si>
  <si>
    <t>Fabricação de intermediários para fertilizantes</t>
  </si>
  <si>
    <t>Fabricação de adubos e fertilizantes</t>
  </si>
  <si>
    <t>Fabricação de adubos e fertilizantes organo-minerais</t>
  </si>
  <si>
    <t>Fabricação de adubos e fertilizantes, exceto organo-minerais</t>
  </si>
  <si>
    <t>Fabricação de gases industriais</t>
  </si>
  <si>
    <t>Fabricação de produtos químicos inorgânicos não especificados anteriormente</t>
  </si>
  <si>
    <t>Elaboração de combustíveis nucleares</t>
  </si>
  <si>
    <t>Fabricação de outros produtos químicos inorgânicos não especificados anteriormente</t>
  </si>
  <si>
    <t>Fabricação de produtos químicos orgânicos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</si>
  <si>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</si>
  <si>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</si>
  <si>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</si>
  <si>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e elastômeros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</si>
  <si>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</si>
  <si>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</si>
  <si>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</si>
  <si>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</si>
  <si>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 e desinfestantes domissanitários</t>
  </si>
  <si>
    <t>Fabricação de defensivos agrícolas</t>
  </si>
  <si>
    <t>Fabricação de desinfestantes domissanitários</t>
  </si>
  <si>
    <t>Fabricação de sabões, detergentes, produtos de limpeza, cosméticos, produtos de perfumaria e de higiene pessoal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</si>
  <si>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</si>
  <si>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</si>
  <si>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</si>
  <si>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tintas, vernizes, esmaltes, lacas e produtos afins</t>
  </si>
  <si>
    <t>Fabricação de tintas, vernizes, esmaltes e lacas</t>
  </si>
  <si>
    <t>Fabricação de tintas de impressão</t>
  </si>
  <si>
    <t>Fabricação de impermeabilizantes, solventes e produtos afins</t>
  </si>
  <si>
    <t>Fabricação de produtos e preparados químicos diversos</t>
  </si>
  <si>
    <t>Fabricação de adesivos e selantes</t>
  </si>
  <si>
    <t>Fabricação de explosivos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</si>
  <si>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</si>
  <si>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</si>
  <si>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</si>
  <si>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</si>
  <si>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</si>
  <si>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produtos químicos não especificados anteriormente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</si>
  <si>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</si>
  <si>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</si>
  <si>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 E FARMACÊUTICOS</t>
  </si>
  <si>
    <t>Fabricação de produtos farmoquímicos</t>
  </si>
  <si>
    <t>Fabricação de produtos farmacêuticos</t>
  </si>
  <si>
    <t>Fabricação de medicamentos para uso humano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</si>
  <si>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</si>
  <si>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</si>
  <si>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</si>
  <si>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</si>
  <si>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</si>
  <si>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FABRICAÇÃO DE PRODUTOS DE BORRACHA E DE MATERIAL PLÁSTICO</t>
  </si>
  <si>
    <t>Fabricação de produtos de borracha</t>
  </si>
  <si>
    <t>Fabricação de pneumáticos e de câmaras-de-ar</t>
  </si>
  <si>
    <t>Reforma de pneumáticos usados</t>
  </si>
  <si>
    <t>Fabricação de artefatos de borracha não especificados anteriormente</t>
  </si>
  <si>
    <t>Fabricação de artefatos de borracha não especificados 
anteriormente</t>
  </si>
  <si>
    <t>Fabricação de produtos de material plástico</t>
  </si>
  <si>
    <t>Fabricação de laminados planos e tubulares de material plástico</t>
  </si>
  <si>
    <t>Fabricação de embalagens de material plástico</t>
  </si>
  <si>
    <t>Fabricação de tubos e acessórios de material plástico para uso na construção</t>
  </si>
  <si>
    <t>Fabricação de artefatos de material plástico não especificados anteriormente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</si>
  <si>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</si>
  <si>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</si>
  <si>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</si>
  <si>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Fabricação de artefatos de material plástico para outros usos não especificados anteriormente</t>
  </si>
  <si>
    <t>FABRICAÇÃO DE PRODUTOS DE MINERAIS NÃO METÁLICOS</t>
  </si>
  <si>
    <t>Fabricação de vidro e de produtos do vidro</t>
  </si>
  <si>
    <t>Fabricação de vidro plano e de segurança</t>
  </si>
  <si>
    <t>Fabricação de embalagens de vidro</t>
  </si>
  <si>
    <t>Fabricação de artigos de vidro</t>
  </si>
  <si>
    <t>Fabricação de cimento</t>
  </si>
  <si>
    <t>Fabricação de artefatos de concreto, cimento, fibrocimento, gesso e materiais semelhantes</t>
  </si>
  <si>
    <t>Fabricação de estruturas pré-moldadas de concreto armado,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</si>
  <si>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</si>
  <si>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</si>
  <si>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</si>
  <si>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</si>
  <si>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</si>
  <si>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</t>
  </si>
  <si>
    <t>Fabricação de produtos cerâmicos refratários</t>
  </si>
  <si>
    <t>Fabricação de produtos cerâmicos não refratários para uso estrutural na construção</t>
  </si>
  <si>
    <t>Fabricação de azulejos e pisos</t>
  </si>
  <si>
    <t>Fabricação de artefatos de cerâmica e barro cozido para uso na construção, exceto azulejos e pisos</t>
  </si>
  <si>
    <t>Fabricação de produtos cerâmicos não refratários não especificados anteriormente</t>
  </si>
  <si>
    <t>Fabricação de material sanitário de cerâmica</t>
  </si>
  <si>
    <t>Aparelhamento de pedras e fabricação de outros produtos de minerais não metálicos</t>
  </si>
  <si>
    <t>Aparelhamento e outros trabalhos em pedras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</si>
  <si>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</si>
  <si>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</si>
  <si>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</si>
  <si>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</si>
  <si>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Fabricação de produtos de minerais não metálicos não especificados anteriormente</t>
  </si>
  <si>
    <t>Decoração, lapidação, gravação, vitrificação e outros trabalhos em cerâmica, louça, vidro e cristal</t>
  </si>
  <si>
    <t>Fabricação de abrasivos</t>
  </si>
  <si>
    <t>Fabricação de outros produtos de minerais não metálicos não especificados anteriormente</t>
  </si>
  <si>
    <t>METALURGIA</t>
  </si>
  <si>
    <t>Produção de ferro-gusa e de ferroligas</t>
  </si>
  <si>
    <t>Produção de ferro-gusa</t>
  </si>
  <si>
    <t>Produção de ferroligas</t>
  </si>
  <si>
    <t>Siderurgia</t>
  </si>
  <si>
    <t>Produção de semiacabados de aço</t>
  </si>
  <si>
    <t>Produção de laminados planos de aço</t>
  </si>
  <si>
    <t>Produção de laminados planos de aço ao carbono, revestidos ou não</t>
  </si>
  <si>
    <t>Produção de laminados planos de aços especiais</t>
  </si>
  <si>
    <t>Produção de laminados longos de aço</t>
  </si>
  <si>
    <t>Produção de tubos de aço sem costura</t>
  </si>
  <si>
    <t>Produção de laminados longos de aço, exceto tubos</t>
  </si>
  <si>
    <t>Produção de relaminados, trefilados e perfilados de aço</t>
  </si>
  <si>
    <t>Produção de arames de aço</t>
  </si>
  <si>
    <t>Produção de relaminados, trefilados e perfilados de aço, exceto arames</t>
  </si>
  <si>
    <t>Produção de tubos de aço, exceto tubos sem costura</t>
  </si>
  <si>
    <t>Produção de tubos de aço com costura</t>
  </si>
  <si>
    <t>Produção de outros tubos de ferro e aço</t>
  </si>
  <si>
    <t>Metalurgia dos metais não ferrosos</t>
  </si>
  <si>
    <t>Metalurgia do alumínio e suas ligas</t>
  </si>
  <si>
    <t>Produção de alumínio e suas ligas em formas primárias</t>
  </si>
  <si>
    <t>Produção de laminados de alumínio</t>
  </si>
  <si>
    <t>Metalurgia dos metais preciosos</t>
  </si>
  <si>
    <t>Metalurgia do cobre</t>
  </si>
  <si>
    <t>Metalurgia dos metais não ferrosos e suas ligas não especificados anteriormente</t>
  </si>
  <si>
    <t>Produção de zinco em formas primárias</t>
  </si>
  <si>
    <t>Produção de laminados de zinco</t>
  </si>
  <si>
    <t>Fabricação de ânodos para galvanoplastia</t>
  </si>
  <si>
    <t>Metalurgia de outros metais não ferrosos e suas ligas não especificados anteriormente</t>
  </si>
  <si>
    <t>Fundição</t>
  </si>
  <si>
    <t>Fundição de ferro e aço</t>
  </si>
  <si>
    <t>Fundição de metais não ferrosos e suas ligas</t>
  </si>
  <si>
    <t>FABRICAÇÃO DE PRODUTOS DE METAL, EXCETO MÁQUINAS
E EQUIPAMENTOS</t>
  </si>
  <si>
    <t>Fabricação de estruturas metálicas e obras de caldeiraria
pesada</t>
  </si>
  <si>
    <t>Fabricação de estruturas metálicas</t>
  </si>
  <si>
    <t>Fabricação de esquadrias de metal</t>
  </si>
  <si>
    <t>Fabricação de obras de caldeiraria pesada</t>
  </si>
  <si>
    <t>Fabricação de tanques, reservatórios metálicos e caldeiras</t>
  </si>
  <si>
    <t>Fabricação de tanques, reservatórios metálicos e caldeiras para aquecimento central</t>
  </si>
  <si>
    <t>Fabricação de caldeiras geradoras de vapor, exceto para aquecimento central e para veículos</t>
  </si>
  <si>
    <t>Forjaria, estamparia, metalurgia do pó e serviços de tratamento de metais</t>
  </si>
  <si>
    <t>Produção de forjados de aço e de metais não ferrosos e suas ligas</t>
  </si>
  <si>
    <t>Produção de forjados de aço</t>
  </si>
  <si>
    <t>Produção de forjados de metais não ferrosos e suas ligas</t>
  </si>
  <si>
    <t>Produção de artefatos estampados de metal; metalurgia do pó</t>
  </si>
  <si>
    <t>Produção de artefatos estampados de metal</t>
  </si>
  <si>
    <t>Metalurgia do pó</t>
  </si>
  <si>
    <t>Serviços de usinagem, solda, tratamento e revestimento em metais</t>
  </si>
  <si>
    <t>Serviços de usinagem, torneiria e solda</t>
  </si>
  <si>
    <t>Serviços de tratamento e revestimento em metais</t>
  </si>
  <si>
    <t>Fabricação de artigos de cutelaria, de serralheria e ferramentas</t>
  </si>
  <si>
    <t>Fabricação de artigos de cutelaria</t>
  </si>
  <si>
    <t>Fabricação de artigos de serralheria, exceto esquadrias</t>
  </si>
  <si>
    <t>Fabricação de ferramentas</t>
  </si>
  <si>
    <t>Fabricação de equipamento bélico pesado, armas e munições</t>
  </si>
  <si>
    <t>Fabricação de equipamento bélico pesado, armas de fogo e munições</t>
  </si>
  <si>
    <t>Fabricação de equipamento bélico pesado, exceto veículos militares de combate</t>
  </si>
  <si>
    <t>Fabricação de armas de fogo, outras armas e munições</t>
  </si>
  <si>
    <t>Fabricação de produtos de metal não especificados anteriormente</t>
  </si>
  <si>
    <t>Fabricação de embalagens metálicas</t>
  </si>
  <si>
    <t>Fabricação de produtos de trefilados de metal</t>
  </si>
  <si>
    <t>Fabricação de produtos de trefilados de metal padronizados</t>
  </si>
  <si>
    <t>Fabricação de produtos de trefilados de metal, exceto padronizados</t>
  </si>
  <si>
    <t>Fabricação de artigos de metal para uso doméstico e pessoal</t>
  </si>
  <si>
    <t>Serviços de confecção de armações metálicas para a construção</t>
  </si>
  <si>
    <t>Serviço de corte e dobra de metais</t>
  </si>
  <si>
    <t>Fabricação de outros produtos de metal não especificados anteriormente</t>
  </si>
  <si>
    <t>FABRICAÇÃO DE EQUIPAMENTOS DE INFORMÁTICA, PRODUTOS ELETRÔNICOS E ÓPTICOS</t>
  </si>
  <si>
    <t>Fabricação de componentes eletrônicos</t>
  </si>
  <si>
    <t>Fabricação de equipamentos de informática e periféricos</t>
  </si>
  <si>
    <t>Fabricação de equipamentos de informática</t>
  </si>
  <si>
    <t>Fabricação de periféricos para equipamentos de informática</t>
  </si>
  <si>
    <t>Fabricação de equipamentos de comunicação</t>
  </si>
  <si>
    <t>Fabricação de equipamentos transmissores de comunicação</t>
  </si>
  <si>
    <t>Fabricação de equipamentos transmissores de comunicação, peças e acessórios</t>
  </si>
  <si>
    <t>Fabricação de aparelhos telefônicos e de outros equipamentos de comunicação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</si>
  <si>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</si>
  <si>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</si>
  <si>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instrumentos de medida, teste e controle; cronômetros e relógios</t>
  </si>
  <si>
    <t>Fabricação de aparelhos e equipamentos de medida, teste e
controle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</si>
  <si>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</si>
  <si>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</si>
  <si>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</si>
  <si>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fotográficos e cinematográficos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</si>
  <si>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</si>
  <si>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</si>
  <si>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</si>
  <si>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MÁQUINAS, APARELHOS E MATERIAIS ELÉTRICOS</t>
  </si>
  <si>
    <t>Fabricação de geradores, transformadores e motores elétricos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</si>
  <si>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</si>
  <si>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</si>
  <si>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</si>
  <si>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</si>
  <si>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</si>
  <si>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</si>
  <si>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</si>
  <si>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equipamentos para distribuição e controle de energia elétrica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</si>
  <si>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</si>
  <si>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</si>
  <si>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</si>
  <si>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lâmpadas e outros equipamentos de iluminação</t>
  </si>
  <si>
    <t>Fabricação de lâmpadas</t>
  </si>
  <si>
    <t>Fabricação de luminárias e outros equipamentos de iluminação</t>
  </si>
  <si>
    <t>Fabricação de eletrodomésticos</t>
  </si>
  <si>
    <t>Fabricação de fogões, refrigeradores e máquinas de lavar e secar para uso doméstico</t>
  </si>
  <si>
    <t>Fabricação de fogões, refrigeradores e máquinas de lavar e secar para uso doméstico, peças e acessórios</t>
  </si>
  <si>
    <t>Fabricação de aparelhos eletrodomésticos não especificados anteriormente</t>
  </si>
  <si>
    <t>Fabricação de aparelhos elétricos de uso pessoal, peças e acessórios</t>
  </si>
  <si>
    <t>Fabricação de outros aparelhos eletrodomésticos não especificados anteriormente, peças e acessórios</t>
  </si>
  <si>
    <t>Fabricação de equipamentos e aparelhos elétricos não especificados anteriormente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</si>
  <si>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</si>
  <si>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</si>
  <si>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</si>
  <si>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MÁQUINAS E EQUIPAMENTOS</t>
  </si>
  <si>
    <t>Fabricação de motores, bombas, compressores e equipamentos de transmissão</t>
  </si>
  <si>
    <t>Fabricação de motores e turbinas, exceto para aviões e veículos rodoviários</t>
  </si>
  <si>
    <t>Fabricação de motores e turbinas, peças e acessórios, exceto para aviões e veículos rodoviários</t>
  </si>
  <si>
    <t>Fabricação de equipamentos hidráulicos e pneumáticos, exceto válvulas</t>
  </si>
  <si>
    <t>Fabricação de equipamentos hidráulicos e pneumáticos, peças e acessórios, exceto válvulas</t>
  </si>
  <si>
    <t>Fabricação de válvulas, registros e dispositivos semelhantes</t>
  </si>
  <si>
    <t>Fabricação de válvulas, registros e dispositivos semelhantes, peças e acessórios</t>
  </si>
  <si>
    <t>Fabricação de compressores</t>
  </si>
  <si>
    <t>Fabricação de compressores para uso industrial, peças e acessórios</t>
  </si>
  <si>
    <t>Fabricação de compressores para uso não industrial, peças e acessórios</t>
  </si>
  <si>
    <t>Fabricação de equipamentos de transmissão para fins industriais</t>
  </si>
  <si>
    <t>Fabricação de rolamentos para fins industriais</t>
  </si>
  <si>
    <t>Fabricação de equipamentos de transmissão para fins industriais, exceto rolamentos</t>
  </si>
  <si>
    <t>Fabricação de máquinas e equipamentos de uso geral</t>
  </si>
  <si>
    <t>Fabricação de aparelhos e equipamentos para instalações térmicas</t>
  </si>
  <si>
    <t>Fabricação de fornos industriais, aparelhos e equipamentos não 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</si>
  <si>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</si>
  <si>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cargas e pessoas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</si>
  <si>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</si>
  <si>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</si>
  <si>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</t>
  </si>
  <si>
    <t>Fabricação de máquinas e aparelhos de refrigeração e ventilação para uso industrial e comercial, peças e acessórios</t>
  </si>
  <si>
    <t>Fabricação de aparelhos e equipamentos de ar condicionado</t>
  </si>
  <si>
    <t>Fabricação de aparelhos e equipamentos de ar condicionado para uso industrial</t>
  </si>
  <si>
    <t>Fabricação de aparelhos e equipamentos de ar condicionado para uso não industrial</t>
  </si>
  <si>
    <t>Fabricação de máquinas e equipamentos para saneamento básico e ambiental</t>
  </si>
  <si>
    <t>Fabricação de máquinas e equipamentos para saneamento básico e ambiental, peças e acessórios</t>
  </si>
  <si>
    <t>Fabricação de máquinas e equipamentos de uso geral não especificados anteriormente</t>
  </si>
  <si>
    <t>Fabricação de máquinas de escrever, calcular e outros equipamentos não eletrônicos para escritório, peças e acessórios</t>
  </si>
  <si>
    <t>Fabricação de outras máquinas e equipamentos de uso geral não especificados anteriormente, peças e acessórios</t>
  </si>
  <si>
    <t>Fabricação de tratores e de máquinas e equipamentos para a agricultura e pecuária</t>
  </si>
  <si>
    <t>Fabricação de tratores agrícolas</t>
  </si>
  <si>
    <t>Fabricação de tratores agrícolas, peças e acessórios</t>
  </si>
  <si>
    <t>Fabricação de equipamentos para irrigação agrícola</t>
  </si>
  <si>
    <t>Fabricação de equipamentos para irrigação agrícola, peças e acessórios</t>
  </si>
  <si>
    <t>Fabricação de máquinas e equipamentos para a agricultura e pecuária, exceto para irrigação</t>
  </si>
  <si>
    <t>Fabricação de máquinas e equipamentos para a agricultura e pecuária, peças e acessórios, exceto para irrigação</t>
  </si>
  <si>
    <t>Fabricação de máquinas-ferramenta</t>
  </si>
  <si>
    <t>Fabricação de máquinas-ferramenta, peças e acessórios</t>
  </si>
  <si>
    <t>Fabricação de máquinas e equipamentos de uso na extração mineral e na construção</t>
  </si>
  <si>
    <t>Fabricação de máquinas e equipamentos para a prospecção e extração de petróleo</t>
  </si>
  <si>
    <t>Fabricação de máquinas e equipamentos para a prospecção e extração de petróleo, peças e acessórios</t>
  </si>
  <si>
    <t>Fabricação de outras máquinas e equipamentos para uso na extração mineral, exceto na extração de petróleo</t>
  </si>
  <si>
    <t>Fabricação de outras máquinas e equipamentos para uso na extração mineral, peças e acessórios, exceto na extração de petróleo</t>
  </si>
  <si>
    <t>Fabricação de tratores, exceto agrícolas</t>
  </si>
  <si>
    <t>Fabricação de tratores, peças e acessórios, exceto agrícolas</t>
  </si>
  <si>
    <t>Fabricação de máquinas e equipamentos para terraplenagem, pavimentação e construção, exceto tratores</t>
  </si>
  <si>
    <t>Fabricação de máquinas e equipamentos para terraplenagem, pavimentação e construção, peças e acessórios, exceto tratores</t>
  </si>
  <si>
    <t>Fabricação de máquinas e equipamentos de uso industrial específico</t>
  </si>
  <si>
    <t>Fabricação de máquinas para a indústria metalúrgica, exceto máquinas-ferramenta</t>
  </si>
  <si>
    <t>Fabricação de máquinas para a indústria metalúrgica, peças e acessórios, exceto máquinas-ferramenta</t>
  </si>
  <si>
    <t>Fabricação de máquinas e equipamentos para as indústrias de alimentos, bebidas e fumo</t>
  </si>
  <si>
    <t>Fabricação de máquinas e equipamentos para as indústrias de alimentos, bebidas e fumo, peças e acessórios</t>
  </si>
  <si>
    <t>Fabricação de máquinas e equipamentos para a indústria têxtil</t>
  </si>
  <si>
    <t>Fabricação de máquinas e equipamentos para a indústria têxtil, peças e acessórios</t>
  </si>
  <si>
    <t>Fabricação de máquinas e equipamentos para as indústrias do vestuário, do couro e de calçados</t>
  </si>
  <si>
    <t>Fabricação de máquinas e equipamentos para as indústrias do vestuário, do couro e de calçados, peças e acessórios</t>
  </si>
  <si>
    <t>Fabricação de máquinas e equipamentos para as indústrias de celulose, papel e papelão e artefatos</t>
  </si>
  <si>
    <t>Fabricação de máquinas e equipamentos para as indústrias de celulose, papel e papelão e artefatos, peças e acessórios</t>
  </si>
  <si>
    <t>Fabricação de máquinas e equipamentos para a indústria do plástico</t>
  </si>
  <si>
    <t>Fabricação de máquinas e equipamentos para a indústria do plástico, peças e acessórios</t>
  </si>
  <si>
    <t>Fabricação de máquinas e equipamentos para uso industrial específico não especificados anteriormente</t>
  </si>
  <si>
    <t>Fabricação de máquinas e equipamentos para uso industrial específico não especificados anteriormente, peças e acessórios</t>
  </si>
  <si>
    <t>FABRICAÇÃO DE VEÍCULOS AUTOMOTORES, REBOQUES E CARROCERIAS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</si>
  <si>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</si>
  <si>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</si>
  <si>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</si>
  <si>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</si>
  <si>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</si>
  <si>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veículos automotores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</si>
  <si>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</si>
  <si>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</si>
  <si>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</si>
  <si>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veículos automotores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</si>
  <si>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</si>
  <si>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</si>
  <si>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</si>
  <si>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</si>
  <si>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</si>
  <si>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peças e acessórios para veículos automotores não especificados anteriormente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</si>
  <si>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</si>
  <si>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</si>
  <si>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</si>
  <si>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FABRICAÇÃO DE OUTROS EQUIPAMENTOS DE TRANSPORTE, EXCETO VEÍCULOS AUTOMOTORES</t>
  </si>
  <si>
    <t>Construção de embarcações</t>
  </si>
  <si>
    <t>Construção de embarcações e estruturas flutuantes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</si>
  <si>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</si>
  <si>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</si>
  <si>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</si>
  <si>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veículos ferroviários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</si>
  <si>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</si>
  <si>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</si>
  <si>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</si>
  <si>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</si>
  <si>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</si>
  <si>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equipamentos de transporte não especificados anteriormente</t>
  </si>
  <si>
    <t>Fabricação de motocicletas</t>
  </si>
  <si>
    <t>Fabricação de peças e acessórios para motocicletas</t>
  </si>
  <si>
    <t>Fabricação de bicicletas e triciclos não motorizados</t>
  </si>
  <si>
    <t>Fabricação de bicicletas e triciclos não motorizados, peças e acessórios</t>
  </si>
  <si>
    <t>FABRICAÇÃO DE MÓVEIS</t>
  </si>
  <si>
    <t>Fabricação de móveis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</si>
  <si>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</si>
  <si>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</si>
  <si>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</si>
  <si>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</si>
  <si>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FABRICAÇÃO DE PRODUTOS DIVERSOS</t>
  </si>
  <si>
    <t>Fabricação de artigos de joalheria, bijuteria e semelhantes</t>
  </si>
  <si>
    <t>Lapidação de gemas e fabricação de artefatos de ourivesaria e joalheria</t>
  </si>
  <si>
    <t>Lapidação de gemas</t>
  </si>
  <si>
    <t>Fabricação de artefatos de joalheria e ourivesaria</t>
  </si>
  <si>
    <t>Cunhagem de moedas e medalhas</t>
  </si>
  <si>
    <t>Fabricação de bijuterias e artefatos semelhantes</t>
  </si>
  <si>
    <t>Fabricação de instrumentos musicais</t>
  </si>
  <si>
    <t>Fabricação de instrumentos musicais, peças e acessórios</t>
  </si>
  <si>
    <t>Fabricação de artefatos para pesca e esporte</t>
  </si>
  <si>
    <t>Fabricação de brinquedos e jogos recreativos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</si>
  <si>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</si>
  <si>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</si>
  <si>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</si>
  <si>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</si>
  <si>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instrumentos e materiais para uso médico e odontológico e de artigos ópticos</t>
  </si>
  <si>
    <t>Fabricação de instrumentos não 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</si>
  <si>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</si>
  <si>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</si>
  <si>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</si>
  <si>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</si>
  <si>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</si>
  <si>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</si>
  <si>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Serviço de laboratório óptico</t>
  </si>
  <si>
    <t>Fabricação de produtos diversos</t>
  </si>
  <si>
    <t>Fabricação de escovas, pincéis e vassouras</t>
  </si>
  <si>
    <t>Fabricação de equipamentos e acessórios para segurança e proteção pessoal e profissional</t>
  </si>
  <si>
    <t>Fabricação de roupas de proteção e segurança e resistentes a fogo</t>
  </si>
  <si>
    <t>Fabricação de equipamentos e acessórios para segurança pessoal e profissional</t>
  </si>
  <si>
    <t>Fabricação de produtos diversos não especificados anteriormente</t>
  </si>
  <si>
    <t>Fabricação de guarda-chuvas e similares</t>
  </si>
  <si>
    <t>Fabricação de canetas, lápis e outros artigos para escritório</t>
  </si>
  <si>
    <t>Fabricação de letras, letreiros e placas de qualquer material, exceto luminosos</t>
  </si>
  <si>
    <t>Fabricação de painéis e letreiros luminosos</t>
  </si>
  <si>
    <t>Fabricação de aviamentos para costura</t>
  </si>
  <si>
    <t>Fabricação de velas, inclusive decorativas</t>
  </si>
  <si>
    <t>MANUTENÇÃO, REPARAÇÃO E INSTALAÇÃO DE MÁQUINAS E EQUIPAMENTOS</t>
  </si>
  <si>
    <t>Manutenção e reparação de máquinas e equipamentos</t>
  </si>
  <si>
    <t>Manutenção e reparação de tanques, reservatórios metálicos e caldeiras, exceto para veículos</t>
  </si>
  <si>
    <t>Manutenção e reparação de equipamentos eletrônicos e ópticos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</si>
  <si>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</si>
  <si>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</si>
  <si>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</si>
  <si>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máquinas e equipamentos elétricos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</si>
  <si>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</si>
  <si>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</si>
  <si>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</si>
  <si>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e equipamentos da indústria mecânica</t>
  </si>
  <si>
    <t>Manutenção e reparação de máquinas motrizes não 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</si>
  <si>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</si>
  <si>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</si>
  <si>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</si>
  <si>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</si>
  <si>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</si>
  <si>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</si>
  <si>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</si>
  <si>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 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</si>
  <si>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</si>
  <si>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</si>
  <si>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</si>
  <si>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</si>
  <si>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</si>
  <si>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</si>
  <si>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</si>
  <si>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</si>
  <si>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</si>
  <si>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</si>
  <si>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</si>
  <si>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</si>
  <si>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</si>
  <si>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</si>
  <si>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</si>
  <si>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</t>
  </si>
  <si>
    <t>Manutenção e reparação de aeronaves, exceto a manutenção na pista</t>
  </si>
  <si>
    <t>Manutenção de aeronaves na pista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</si>
  <si>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</si>
  <si>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</si>
  <si>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</si>
  <si>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</si>
  <si>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</t>
  </si>
  <si>
    <t>Instalação de máquinas e equipamentos industriais</t>
  </si>
  <si>
    <t>Instalação de equipamentos não especificados anteriormente</t>
  </si>
  <si>
    <t>Serviços de montagem de móveis de qualquer material</t>
  </si>
  <si>
    <t>Instalação de outros equipamentos não especificados anteriormente</t>
  </si>
  <si>
    <t>ELETRICIDADE E GÁS</t>
  </si>
  <si>
    <t>ELETRICIDADE, GÁS E OUTRAS UTILIDADES</t>
  </si>
  <si>
    <t>Geração, transmissão e distribuição de energia elétrica</t>
  </si>
  <si>
    <t>Geração de energia elétrica</t>
  </si>
  <si>
    <t>Atividades de coordenação e controle da operação da geração e transmissão de energia elétrica</t>
  </si>
  <si>
    <t>Transmissão de energia elétrica</t>
  </si>
  <si>
    <t>Comércio atacadista de energia elétrica</t>
  </si>
  <si>
    <t>Distribuição de energia elétrica</t>
  </si>
  <si>
    <t>Produção e distribuição de combustíveis gasosos por redes urbanas</t>
  </si>
  <si>
    <t>Produção de gás; processamento de gás natural; distribuição de combustíveis gasosos por redes urbanas</t>
  </si>
  <si>
    <t>Produção de gás; processamento de gás natural</t>
  </si>
  <si>
    <t>Distribuição de combustíveis gasosos por redes urbanas</t>
  </si>
  <si>
    <t>Produção e distribuição de vapor, água quente e ar
condicionado</t>
  </si>
  <si>
    <t>Produção e distribuição de vapor, água quente e ar condicionado</t>
  </si>
  <si>
    <t>ÁGUA, ESGOTO, ATIVIDADES DE GESTÃO DE RESÍDUOS E DESCONTAMINAÇÃO</t>
  </si>
  <si>
    <t>CAPTAÇÃO, TRATAMENTO E DISTRIBUIÇÃO DE ÁGUA</t>
  </si>
  <si>
    <t>Captação, tratamento e distribuição de água</t>
  </si>
  <si>
    <t>Distribuição de água por caminhões</t>
  </si>
  <si>
    <t>ESGOTO E ATIVIDADES RELACIONADAS</t>
  </si>
  <si>
    <t>Esgoto e atividades relacionadas</t>
  </si>
  <si>
    <t>Gestão de redes de esgoto</t>
  </si>
  <si>
    <t>Atividades relacionadas a esgoto, exceto a gestão de redes</t>
  </si>
  <si>
    <t>COLETA, TRATAMENTO E DISPOSIÇÃO DE RESÍDUOS; RECUPERAÇÃO DE MATERIAIS</t>
  </si>
  <si>
    <t>Coleta de resíduos</t>
  </si>
  <si>
    <t>Coleta de resíduos não perigosos</t>
  </si>
  <si>
    <t>Coleta de resíduos perigosos</t>
  </si>
  <si>
    <t>Tratamento e disposição de resíduos</t>
  </si>
  <si>
    <t>Tratamento e disposição de resíduos não perigosos</t>
  </si>
  <si>
    <t>Tratamento e disposição de resíduos perigosos</t>
  </si>
  <si>
    <t>Recuperação de materiais</t>
  </si>
  <si>
    <t>Recuperação de materiais metálicos</t>
  </si>
  <si>
    <t>Recuperação de sucatas de alumínio</t>
  </si>
  <si>
    <t>Recuperação de materiais metálicos, exceto alumínio</t>
  </si>
  <si>
    <t>Recuperação de materiais plásticos</t>
  </si>
  <si>
    <t>Recuperação de materiais não especificados anteriormente</t>
  </si>
  <si>
    <t>Usinas de compostagem</t>
  </si>
  <si>
    <t>DESCONTAMINAÇÃO E OUTROS SERVIÇOS DE GESTÃO DE RESÍDUOS</t>
  </si>
  <si>
    <t>Descontaminação e outros serviços de gestão de resíduos</t>
  </si>
  <si>
    <t>CONSTRUÇÃO</t>
  </si>
  <si>
    <t>CONSTRUÇÃO DE EDIFÍCIOS</t>
  </si>
  <si>
    <t>Incorporação de empreendimentos imobiliários</t>
  </si>
  <si>
    <t>Construção de edifícios</t>
  </si>
  <si>
    <t>OBRAS DE INFRAESTRUTURA</t>
  </si>
  <si>
    <t>Construção de rodovias, ferrovias, obras urbanas e obras-de-arte especiais</t>
  </si>
  <si>
    <t>Construção de rodovias e ferrovias</t>
  </si>
  <si>
    <t>Pintura para sinalização em pistas rodoviárias e aeroportos</t>
  </si>
  <si>
    <t>Construção de obras de arte especiais</t>
  </si>
  <si>
    <t>Obras de urbanização - ruas, praças e calçadas</t>
  </si>
  <si>
    <t>Obras de infraestrutura para energia elétrica, telecomunicações, água, esgoto e transporte por dutos</t>
  </si>
  <si>
    <t>Obras para geração e distribuição de energia elétrica e para telecomunicações</t>
  </si>
  <si>
    <t>Construção de barragens e represas para geração de energia 
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</si>
  <si>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</si>
  <si>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</si>
  <si>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</si>
  <si>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</si>
  <si>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</si>
  <si>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</si>
  <si>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</si>
  <si>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</si>
  <si>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Construção de outras obras de infraestrutura</t>
  </si>
  <si>
    <t>Obras portuárias, marítimas e fluviais</t>
  </si>
  <si>
    <t>Montagem de instalações industriais e de estruturas metálicas</t>
  </si>
  <si>
    <t>Montagem de estruturas metálicas</t>
  </si>
  <si>
    <t>Obras de montagem industrial</t>
  </si>
  <si>
    <t>Obras de engenharia civil não especificadas anteriormente</t>
  </si>
  <si>
    <t>Construção de instalações esportivas e recreativas</t>
  </si>
  <si>
    <t>Outras obras de engenharia civil não especificadas anteriormente</t>
  </si>
  <si>
    <t>SERVIÇOS ESPECIALIZADOS PARA CONSTRUÇÃO</t>
  </si>
  <si>
    <t>Demolição e preparação do terreno</t>
  </si>
  <si>
    <t>Demolição e preparação de canteiros de obras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</si>
  <si>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</si>
  <si>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</si>
  <si>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</si>
  <si>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</si>
  <si>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</si>
  <si>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Instalações elétricas, hidráulicas e outras instalações em construções</t>
  </si>
  <si>
    <t>Instalações elétricas</t>
  </si>
  <si>
    <t>Instalação e manutenção elétrica</t>
  </si>
  <si>
    <t>Instalações hidráulicas, de sistemas de ventilação e
refrigeração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</si>
  <si>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</si>
  <si>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</si>
  <si>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</si>
  <si>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Obras de instalações em construções não especificadas anteriormente</t>
  </si>
  <si>
    <t>Instalação de painéis publicitários</t>
  </si>
  <si>
    <t>Instalação de equipamentos para orientação à navegação marítima, fluvial e lacustre</t>
  </si>
  <si>
    <t>Instalação, manutenção e reparação de elevadores, escadas e esteiras rolantes</t>
  </si>
  <si>
    <t>Montagem e instalação de sistemas e equipamentos de iluminação e sinalização em vias públicas, portos e aeroportos</t>
  </si>
  <si>
    <t>Tratamentos térmicos, acústicos ou de vibração</t>
  </si>
  <si>
    <t>Outras obras de instalações em construções não especificadas anteriormente</t>
  </si>
  <si>
    <t>Obras de acabamento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</si>
  <si>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</si>
  <si>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</si>
  <si>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</si>
  <si>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</si>
  <si>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</si>
  <si>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</si>
  <si>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Outros serviços especializados para construção</t>
  </si>
  <si>
    <t>Obras de fundações</t>
  </si>
  <si>
    <t>Serviços especializados para construção não especificados anteriormente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</si>
  <si>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</si>
  <si>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</si>
  <si>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</si>
  <si>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</si>
  <si>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</si>
  <si>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COMÉRCIO; REPARAÇÃO DE VEÍCULOS AUTOMOTORES E MOTOCICLETAS</t>
  </si>
  <si>
    <t>COMÉRCIO E REPARAÇÃO DE VEÍCULOS AUTOMOTORES E MOTOCICLETAS</t>
  </si>
  <si>
    <t>Comércio de veículos automotores</t>
  </si>
  <si>
    <t>Comércio a varejo e por atacado de veículos automotores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</si>
  <si>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</si>
  <si>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</si>
  <si>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</si>
  <si>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</si>
  <si>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semireboques novos e usados</t>
  </si>
  <si>
    <t>Comércio por atacado de ônibus e micro-ônibus novos e usados</t>
  </si>
  <si>
    <t>Representantes comerciais e agentes do comércio de veículos automotores</t>
  </si>
  <si>
    <t>Comércio sob consignação de veículos automotores</t>
  </si>
  <si>
    <t>Manutenção e reparação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</si>
  <si>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</si>
  <si>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</si>
  <si>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</si>
  <si>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</si>
  <si>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</si>
  <si>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</si>
  <si>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</si>
  <si>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Serviços de capotaria</t>
  </si>
  <si>
    <t>Comércio de peças e acessórios para veículos automotores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</si>
  <si>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</si>
  <si>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</si>
  <si>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</si>
  <si>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</si>
  <si>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</si>
  <si>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</si>
  <si>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Comércio, manutenção e reparação de motocicletas, peças e acessórios</t>
  </si>
  <si>
    <t>Comércio por atacado e a varejo de motocicletas, peças e acessórios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</si>
  <si>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</si>
  <si>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</si>
  <si>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</si>
  <si>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</si>
  <si>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novos para motocicletas e motonetas</t>
  </si>
  <si>
    <t>Comércio a varejo de peças e acessórios usados para motocicletas e motonetas</t>
  </si>
  <si>
    <t>Representantes comerciais e agentes do comércio de motocicletas, peças e acessórios</t>
  </si>
  <si>
    <t>Representantes comerciais e agentes do comércio de motocicletas e motonetas, peças e acessórios</t>
  </si>
  <si>
    <t>Comércio sob consignação de motocicletas e motonetas</t>
  </si>
  <si>
    <t>Manutenção e reparação de motocicletas</t>
  </si>
  <si>
    <t>Manutenção e reparação de motocicletas e motonetas</t>
  </si>
  <si>
    <t>COMÉRCIO POR ATACADO, EXCETO VEÍCULOS AUTOMOTORES E MOTOCICLETAS</t>
  </si>
  <si>
    <t>Representantes comerciais e agentes do comércio, exceto de veículos automotores e motocicletas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</si>
  <si>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</si>
  <si>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</si>
  <si>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madeira, material de construção e ferragens</t>
  </si>
  <si>
    <t>Representantes comerciais e agentes do comércio de máquinas, equipamentos, embarcações e aeronaves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</si>
  <si>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</si>
  <si>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</si>
  <si>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Representantes comerciais e agentes do comércio de produtos alimentícios, bebidas e fumo</t>
  </si>
  <si>
    <t>Representantes comerciais e agentes do comércio especializado em produtos não especificados anteriormente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</si>
  <si>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</si>
  <si>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</si>
  <si>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</si>
  <si>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</si>
  <si>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</si>
  <si>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matérias-primas agrícolas e animais vivos</t>
  </si>
  <si>
    <t>Comércio atacadista de café em grão</t>
  </si>
  <si>
    <t>Comércio atacadista de soja</t>
  </si>
  <si>
    <t>Comércio atacadista de animais vivos, alimentos para animais e matérias-primas agrícolas, exceto café e soja</t>
  </si>
  <si>
    <t>Comércio atacadista de animais vivos</t>
  </si>
  <si>
    <t>Comércio atacadista de couros, lãs, peles e outros subprodutos não comestíveis de origem animal</t>
  </si>
  <si>
    <t>Comércio atacadista de algodão</t>
  </si>
  <si>
    <t>Comércio atacadista de fumo em folha não beneficiado</t>
  </si>
  <si>
    <t>Comércio atacadista de cacau</t>
  </si>
  <si>
    <t>Comércio atacadista de sementes, flores,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</si>
  <si>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</si>
  <si>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</si>
  <si>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</si>
  <si>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</si>
  <si>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especializado em produtos alimentícios, bebidas e fumo</t>
  </si>
  <si>
    <t>Comércio atacadista de leite e laticínios</t>
  </si>
  <si>
    <t>Comércio atacadista de cereais e leguminosas beneficiados, farinhas, amidos e féculas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</si>
  <si>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</si>
  <si>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</si>
  <si>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</si>
  <si>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hortifrutigranjeiros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</si>
  <si>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</si>
  <si>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</si>
  <si>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</si>
  <si>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carnes, produtos da carne e pescado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</si>
  <si>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</si>
  <si>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</si>
  <si>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</si>
  <si>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</si>
  <si>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bebidas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</si>
  <si>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</si>
  <si>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</si>
  <si>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</si>
  <si>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</si>
  <si>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produtos do fumo</t>
  </si>
  <si>
    <t>Comércio atacadista de fumo beneficiado</t>
  </si>
  <si>
    <t>Comércio atacadista de cigarros, cigarrilhas e charutos</t>
  </si>
  <si>
    <t>Comércio atacadista especializado em produtos alimentícios não especificados anteriormente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</si>
  <si>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</si>
  <si>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</si>
  <si>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</si>
  <si>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</si>
  <si>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</si>
  <si>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</si>
  <si>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</si>
  <si>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</si>
  <si>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</si>
  <si>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</si>
  <si>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produtos de consumo não alimentar</t>
  </si>
  <si>
    <t>Comércio atacadista de tecidos, artefatos de tecidos e de armarinho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</si>
  <si>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</si>
  <si>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</si>
  <si>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</si>
  <si>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</si>
  <si>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</si>
  <si>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</si>
  <si>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 e artigos de viagem</t>
  </si>
  <si>
    <t>Comércio atacadista de calçados</t>
  </si>
  <si>
    <t>Comércio atacadista de bolsas, malas e artigos de viagem</t>
  </si>
  <si>
    <t>Comércio atacadista de produtos farmacêuticos para uso humano e veterinário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</si>
  <si>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</si>
  <si>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</si>
  <si>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ortopédico e odontológico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</si>
  <si>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</si>
  <si>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</si>
  <si>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</si>
  <si>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cosméticos, produtos de perfumaria e de higiene pessoal</t>
  </si>
  <si>
    <t>Comércio atacadista de cosméticos e produtos de perfumaria</t>
  </si>
  <si>
    <t>Comércio atacadista de produtos de higiene pessoal</t>
  </si>
  <si>
    <t>Comércio atacadista de artigos de escritório e de papelaria; livros, jornais e outras publicações</t>
  </si>
  <si>
    <t>Comércio atacadista de artigos de escritório e de papelaria</t>
  </si>
  <si>
    <t>Comércio atacadista de livros, jornais e outras publicações</t>
  </si>
  <si>
    <t>Comércio atacadista de equipamentos e artigos de uso pessoal e doméstico não especificados anteriormente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</si>
  <si>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</si>
  <si>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</si>
  <si>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</si>
  <si>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</si>
  <si>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</si>
  <si>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</si>
  <si>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</si>
  <si>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</si>
  <si>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</si>
  <si>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</si>
  <si>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</si>
  <si>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equipamentos e produtos de tecnologias de informação e comunicação</t>
  </si>
  <si>
    <t>Comércio atacadista de computadores, periféricos e suprimentos de informática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</si>
  <si>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</si>
  <si>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</si>
  <si>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</si>
  <si>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equipamentos, exceto de tecnologias de informação e comunicação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</si>
  <si>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</si>
  <si>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</si>
  <si>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</si>
  <si>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máquinas, aparelhos e equipamentos para uso odonto-médico-hospitalar; partes e peças</t>
  </si>
  <si>
    <t>Comércio atacadista de máquinas e equipamentos para uso comercial; partes e peças</t>
  </si>
  <si>
    <t>Comércio atacadista de máquinas, aparelhos e equipamentos não especificados anteriormente; partes e peças</t>
  </si>
  <si>
    <t>Comércio atacadista de bombas e compressores; partes e peças</t>
  </si>
  <si>
    <t>Comércio atacadista de outras máquinas e equipamentos não especificados anteriormente; partes e peças</t>
  </si>
  <si>
    <t>Comércio atacadista de madeira, ferragens, ferramentas, material elétrico e material de construção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</si>
  <si>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</si>
  <si>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</si>
  <si>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</si>
  <si>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</si>
  <si>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especializado de materiais de construção não especificados anteriormente e de materiais de construção em geral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</si>
  <si>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</si>
  <si>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</si>
  <si>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</si>
  <si>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</si>
  <si>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Comércio atacadista de materiais de construção em geral</t>
  </si>
  <si>
    <t>Comércio atacadista especializado em outros produtos</t>
  </si>
  <si>
    <t>Comércio atacadista de combustíveis sólidos, líquidos e gasosos, exceto gás natural e GLP</t>
  </si>
  <si>
    <t>Comércio atacadista de álcool carburante, biodiesel, gasolina e demais derivados de petróleo, exceto lubrificantes, não realizado por transportador retalhista (TRR)</t>
  </si>
  <si>
    <t>Comércio atacadista de combustíveis realizado por transportador retalhista (TRR)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</si>
  <si>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</si>
  <si>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</si>
  <si>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</si>
  <si>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Comércio atacadista de gás liquefeito de petróleo (GLP)</t>
  </si>
  <si>
    <t>Comércio atacadista de defensivos agrícolas, adubos, fertilizantes e corretivos do solo</t>
  </si>
  <si>
    <t>Comércio atacadista de produtos químicos e petroquímicos, exceto agroquímicos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</si>
  <si>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</si>
  <si>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</si>
  <si>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</si>
  <si>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</si>
  <si>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 e de embalagens</t>
  </si>
  <si>
    <t>Comércio atacadista de papel e papelão em bruto</t>
  </si>
  <si>
    <t>Comércio atacadista de embalagens</t>
  </si>
  <si>
    <t>Comércio atacadista de resíduos e sucatas</t>
  </si>
  <si>
    <t>Comércio atacadista de resíduos de papel e papelão</t>
  </si>
  <si>
    <t>Comércio atacadista de resíduos e sucatas não metálicos, exceto de papel e papelão</t>
  </si>
  <si>
    <t>Comércio atacadista de resíduos e sucatas metálicos</t>
  </si>
  <si>
    <t>Comércio atacadista especializado de outros produtos intermediários não especificados anteriormente</t>
  </si>
  <si>
    <t>Comércio atacadista de produtos da extração mineral, exceto combustíveis</t>
  </si>
  <si>
    <t>Comércio atacadista de fios e fibras beneficiados</t>
  </si>
  <si>
    <t>Comércio atacadista especializado em outros produtos intermediários não especificados anteriormente</t>
  </si>
  <si>
    <t>Comércio atacadista não especializado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</si>
  <si>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</si>
  <si>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</si>
  <si>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</si>
  <si>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</t>
  </si>
  <si>
    <t>Comércio varejista não especializado</t>
  </si>
  <si>
    <t>Comércio varejista de mercadorias em geral, com predominância de produtos alimentícios - hipermercados e supermercados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</si>
  <si>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</si>
  <si>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</si>
  <si>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mercadorias em geral, com
predominância de produtos alimentícios - minimercados,
mercearias e armazéns</t>
  </si>
  <si>
    <t>Comércio varejista de mercadorias em geral, com predominância de produtos alimentícios - minimercados, mercearias e armazéns</t>
  </si>
  <si>
    <t>Comércio varejista de mercadorias em geral, sem predominância de produtos alimentícios</t>
  </si>
  <si>
    <t>Lojas de variedades, exceto lojas de departamentos ou magazines</t>
  </si>
  <si>
    <t>Comércio varejista de produtos alimentícios, bebidas e fumo</t>
  </si>
  <si>
    <t>Comércio varejista de produtos de padaria, laticínio, doces, balas e semelhantes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</si>
  <si>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</si>
  <si>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</si>
  <si>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</si>
  <si>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 e pescados - açougues e peixarias</t>
  </si>
  <si>
    <t>Comércio varejista de carnes - açougues</t>
  </si>
  <si>
    <t>Peixaria</t>
  </si>
  <si>
    <t>Comércio varejista de bebidas</t>
  </si>
  <si>
    <t>Comércio varejista de hortifrutigranjeiros</t>
  </si>
  <si>
    <t>Comércio varejista de produtos alimentícios em geral ou especializado em produtos alimentícios não especificados anteriormente; produtos do fumo</t>
  </si>
  <si>
    <t>Tabacaria</t>
  </si>
  <si>
    <t>Comércio varejista de mercadorias em lojas de conveniência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</si>
  <si>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</si>
  <si>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</si>
  <si>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</si>
  <si>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Comércio varejista de material de construção</t>
  </si>
  <si>
    <t>Comércio varejista de tintas e materiais para pintura</t>
  </si>
  <si>
    <t>Comércio varejista de material elétrico</t>
  </si>
  <si>
    <t>Comércio varejista de vidros</t>
  </si>
  <si>
    <t>Comércio varejista de ferragens, madeira e materiais de construção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</si>
  <si>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</si>
  <si>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</si>
  <si>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</si>
  <si>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</si>
  <si>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</si>
  <si>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</si>
  <si>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</si>
  <si>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de equipamentos de informática e comunicação; equipamentos e artigos de uso doméstico</t>
  </si>
  <si>
    <t>Comércio varejista especializado de equipamentos e suprimentos de informática</t>
  </si>
  <si>
    <t>Recarga de cartuchos para equipamentos de informática</t>
  </si>
  <si>
    <t>Comércio varejista especializado de equipamentos de telefonia e comunicação</t>
  </si>
  <si>
    <t>Comércio varejista especializado de eletrodomésticos e equipamentos de áudio e vídeo</t>
  </si>
  <si>
    <t>Comércio varejista especializado de móveis, colchoaria e artigos de iluminação</t>
  </si>
  <si>
    <t>Comércio varejista de móveis</t>
  </si>
  <si>
    <t>Comércio varejista de artigos de colchoaria</t>
  </si>
  <si>
    <t>Comércio varejista de artigos de iluminação</t>
  </si>
  <si>
    <t>Comércio varejista especializado de tecidos e artigos de cama, mesa e banho</t>
  </si>
  <si>
    <t>Comércio varejista de tecidos</t>
  </si>
  <si>
    <t>Comercio varejista de artigos de armarinho</t>
  </si>
  <si>
    <t>Comercio varejista de artigos de cama, mesa e banho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</si>
  <si>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</si>
  <si>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</si>
  <si>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artigos de uso doméstico não especificados anteriormente</t>
  </si>
  <si>
    <t>Comércio varejista de artigos de tapeçaria, cortinas e persianas</t>
  </si>
  <si>
    <t>Comércio varejista de outros artigos de uso doméstico não especificados anteriormente</t>
  </si>
  <si>
    <t>Comércio varejista de artigos culturais, recreativos e esportivos</t>
  </si>
  <si>
    <t>Comércio varejista de livros, jornais, revistas e papelaria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</si>
  <si>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</si>
  <si>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</si>
  <si>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</si>
  <si>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</si>
  <si>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artigos recreativos e esportivos</t>
  </si>
  <si>
    <t>Comércio varejista de brinquedos e artigos recreativos</t>
  </si>
  <si>
    <t>Comércio varejista de artigos esportivos</t>
  </si>
  <si>
    <t>Comércio varejista de bicicletas e triciclos; peças e acessórios</t>
  </si>
  <si>
    <t>Comércio varejista de embarcações e outros veículos recreativos; peças e acessórios</t>
  </si>
  <si>
    <t>Comércio varejista de produtos farmacêuticos, perfumaria e cosméticos e artigos médicos, ópticos e ortopédicos</t>
  </si>
  <si>
    <t>Comércio varejista de produtos farmacêuticos para uso humano e veterinário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</si>
  <si>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</si>
  <si>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</si>
  <si>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</si>
  <si>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</si>
  <si>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</si>
  <si>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</si>
  <si>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</si>
  <si>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produtos novos não especificados anteriormente e de produtos usados</t>
  </si>
  <si>
    <t>Comércio varejista de artigos do vestuário e acessórios</t>
  </si>
  <si>
    <t>Comércio varejista de calçados e artigos de viagem</t>
  </si>
  <si>
    <t>Comércio varejista de calçados</t>
  </si>
  <si>
    <t>Comércio varejista de artigos de viagem</t>
  </si>
  <si>
    <t>Comércio varejista de jóias e relógios</t>
  </si>
  <si>
    <t>Comércio varejista de artigos de joalheria</t>
  </si>
  <si>
    <t>Comércio varejista de artigos de relojoaria</t>
  </si>
  <si>
    <t>Comércio varejista de gás liqüefeito de petróleo (GLP)</t>
  </si>
  <si>
    <t>Comércio varejista de artigos usados</t>
  </si>
  <si>
    <t>Comércio varejista de antiguidades</t>
  </si>
  <si>
    <t>Comércio varejista de outros artigos usados</t>
  </si>
  <si>
    <t>Comércio varejista de outros produtos novos não especificados anteriormente</t>
  </si>
  <si>
    <t>Comércio varejista de suvenires, bijuterias e artesanatos</t>
  </si>
  <si>
    <t>Comércio varejista de plantas e flores naturais</t>
  </si>
  <si>
    <t>Comércio varejista de objetos de arte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</si>
  <si>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</si>
  <si>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</si>
  <si>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</si>
  <si>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</si>
  <si>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</si>
  <si>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</si>
  <si>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</si>
  <si>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Comércio ambulante e outros tipos de comércio varejista</t>
  </si>
  <si>
    <t>TRANSPORTE, ARMAZENAGEM E CORREIO</t>
  </si>
  <si>
    <t>TRANSPORTE TERRESTRE</t>
  </si>
  <si>
    <t>Transporte ferroviário e metroferroviário</t>
  </si>
  <si>
    <t>Transporte ferroviário de carga</t>
  </si>
  <si>
    <t>Transporte metroferroviário de passageiros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</si>
  <si>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</si>
  <si>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</si>
  <si>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</si>
  <si>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de passageiros</t>
  </si>
  <si>
    <t>Transporte rodoviário coletivo de passageiros, com itinerário fixo, municipal e em região metropolitana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</si>
  <si>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</si>
  <si>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</si>
  <si>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interestadual e internacional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</si>
  <si>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</si>
  <si>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</si>
  <si>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</si>
  <si>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Transporte rodoviário de táxi</t>
  </si>
  <si>
    <t>Serviço de táxi</t>
  </si>
  <si>
    <t>Serviço de transporte de passageiros - locação de automóveis com motorista</t>
  </si>
  <si>
    <t>Transporte escolar</t>
  </si>
  <si>
    <t>Transporte rodoviário coletivo de passageiros, sob regime de fretamento, e outros transportes rodoviários não especificados anteriormente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</si>
  <si>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</si>
  <si>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</si>
  <si>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</si>
  <si>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</si>
  <si>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</si>
  <si>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</si>
  <si>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</si>
  <si>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</si>
  <si>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</si>
  <si>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</si>
  <si>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</si>
  <si>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</si>
  <si>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AQUAVIÁRIO</t>
  </si>
  <si>
    <t>Transporte marítimo de cabotagem e longo curso</t>
  </si>
  <si>
    <t>Transporte marítimo de cabotagem</t>
  </si>
  <si>
    <t>Transporte marítimo de cabotagem - Carga</t>
  </si>
  <si>
    <t>Transporte marítimo de cabotagem - Passageiros</t>
  </si>
  <si>
    <t>Transporte marítimo de longo curso</t>
  </si>
  <si>
    <t>Transporte marítimo de longo curso - Carga</t>
  </si>
  <si>
    <t>Transporte marítimo de longo curso - Passageiros</t>
  </si>
  <si>
    <t>Transporte por navegação interior</t>
  </si>
  <si>
    <t>Transporte por navegação interior de carga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</si>
  <si>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</si>
  <si>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</si>
  <si>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</si>
  <si>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</si>
  <si>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</si>
  <si>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</t>
  </si>
  <si>
    <t>Navegação de apoio marítimo</t>
  </si>
  <si>
    <t>Navegação de apoio portuário</t>
  </si>
  <si>
    <t>Serviço de rebocadores e empurradores</t>
  </si>
  <si>
    <t>Outros transportes aquaviários</t>
  </si>
  <si>
    <t>Transporte por navegação de travessia</t>
  </si>
  <si>
    <t>Transporte por navegação de travessia, municipal</t>
  </si>
  <si>
    <t>Transporte por navegação de travessia, intermunicipal, interestadual e internacional</t>
  </si>
  <si>
    <t>Transportes aquaviários não especificados anteriormente</t>
  </si>
  <si>
    <t>Transporte aquaviário para passeios turísticos</t>
  </si>
  <si>
    <t>Outros transportes aquaviários não especificados anteriormente</t>
  </si>
  <si>
    <t>TRANSPORTE AÉREO</t>
  </si>
  <si>
    <t>Transporte aéreo de passageiros</t>
  </si>
  <si>
    <t>Transporte aéreo de passageiros regular</t>
  </si>
  <si>
    <t>Transporte aéreo de passageiros não regular</t>
  </si>
  <si>
    <t>Serviço de táxi aéreo e locação de aeronaves com tripulação</t>
  </si>
  <si>
    <t>Outros serviços de transporte aéreo de passageiros não regular</t>
  </si>
  <si>
    <t>Transporte aéreo de carga</t>
  </si>
  <si>
    <t>Transporte espacial</t>
  </si>
  <si>
    <t>ARMAZENAMENTO E ATIVIDADES AUXILIARES DOS TRANSPORTES</t>
  </si>
  <si>
    <t>Armazenamento, carga e descarga</t>
  </si>
  <si>
    <t>Armazenamento</t>
  </si>
  <si>
    <t>Guarda-móveis</t>
  </si>
  <si>
    <t>Depósitos de mercadorias para terceiros, exceto armazéns gerais e guarda-móveis</t>
  </si>
  <si>
    <t>Carga e descarga</t>
  </si>
  <si>
    <t>Atividades auxiliares dos transportes terrestres</t>
  </si>
  <si>
    <t>Concessionárias de rodovias, pontes, túneis e serviços relacionados</t>
  </si>
  <si>
    <t>Terminais rodoviários e ferroviários</t>
  </si>
  <si>
    <t>Estacionamento de veículos</t>
  </si>
  <si>
    <t>Atividades auxiliares dos transportes terrestres não especificadas anteriormente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</si>
  <si>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</si>
  <si>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</si>
  <si>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</si>
  <si>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Atividades auxiliares dos transportes aquaviários</t>
  </si>
  <si>
    <t>Gestão de portos e terminais</t>
  </si>
  <si>
    <t>Administração da infraestrutura portuária</t>
  </si>
  <si>
    <t>Atividades do Operador Portuário</t>
  </si>
  <si>
    <t>Gestão de terminais aquaviários</t>
  </si>
  <si>
    <t>Atividades de agenciamento marítimo</t>
  </si>
  <si>
    <t>Atividades auxiliares dos transportes aquaviários não especificadas anteriormente</t>
  </si>
  <si>
    <t>Serviços de praticagem</t>
  </si>
  <si>
    <t>Atividades auxiliares dos transportes aéreos</t>
  </si>
  <si>
    <t>Operação dos aeroportos e campos de aterrissagem</t>
  </si>
  <si>
    <t>Atividades auxiliares dos transportes aéreos, exceto operação dos aeroportos e campos de aterrissagem</t>
  </si>
  <si>
    <t>Atividades relacionadas à organização do transporte de carga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</si>
  <si>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</si>
  <si>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</si>
  <si>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</si>
  <si>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</si>
  <si>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 - OTM</t>
  </si>
  <si>
    <t>CORREIO E OUTRAS ATIVIDADES DE ENTREGA</t>
  </si>
  <si>
    <t>Atividades de Correio</t>
  </si>
  <si>
    <t>Atividades do Correio Nacional</t>
  </si>
  <si>
    <t>Atividades de franqueadas e permissionárias do Correio Nacional</t>
  </si>
  <si>
    <t>Atividades de malote e de entrega</t>
  </si>
  <si>
    <t>Serviços de malote não realizados pelo Correio Nacional</t>
  </si>
  <si>
    <t>Serviços de entrega rápida</t>
  </si>
  <si>
    <t>ALOJAMENTO E ALIMENTAÇÃO</t>
  </si>
  <si>
    <t>ALOJAMENTO</t>
  </si>
  <si>
    <t>Hotéis e similares</t>
  </si>
  <si>
    <t>Hotéis</t>
  </si>
  <si>
    <t>Apart-hotéis</t>
  </si>
  <si>
    <t>Motéis</t>
  </si>
  <si>
    <t>Outros tipos de alojamento não especificados anteriormente</t>
  </si>
  <si>
    <t>Albergues, exceto assistenciais</t>
  </si>
  <si>
    <t>Campings</t>
  </si>
  <si>
    <t>Pensões (alojamento)</t>
  </si>
  <si>
    <t>Outros alojamentos não especificados anteriormente</t>
  </si>
  <si>
    <t>ALIMENTAÇÃO</t>
  </si>
  <si>
    <t>Restaurantes e outros serviços de alimentação e bebidas</t>
  </si>
  <si>
    <t>Restaurantes e outros estabelecimentos de serviços de alimentação e bebidas</t>
  </si>
  <si>
    <t>Restaurantes e similares</t>
  </si>
  <si>
    <t>Lanchonetes, casas de chá, de sucos e similares</t>
  </si>
  <si>
    <t>Bares e outros estabelecimentos especializados em servir bebidas, sem entretenimento</t>
  </si>
  <si>
    <t>Bares e outros estabelecimentos especializados em servir bebidas, com entretenimento</t>
  </si>
  <si>
    <t>Serviços ambulantes de alimentação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</si>
  <si>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</si>
  <si>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</si>
  <si>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</si>
  <si>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</si>
  <si>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INFORMAÇÃO E COMUNICAÇÃO</t>
  </si>
  <si>
    <t>EDIÇÃO E EDIÇÃO INTEGRADA À IMPRESSÃO</t>
  </si>
  <si>
    <t>Edição de livros, jornais, revistas e outras atividades de edição</t>
  </si>
  <si>
    <t>Edição de livros</t>
  </si>
  <si>
    <t>Edição de jornais</t>
  </si>
  <si>
    <t>Edição de jornais diários</t>
  </si>
  <si>
    <t>Edição de jornais não diários</t>
  </si>
  <si>
    <t>Edição de revistas</t>
  </si>
  <si>
    <t>Edição de cadastros, listas e outros produtos gráficos</t>
  </si>
  <si>
    <t>Edição integrada à impressão de livros, jornais, revistas e outras publicações</t>
  </si>
  <si>
    <t>Edição integrada à impressão de livros</t>
  </si>
  <si>
    <t>Edição integrada à impressão de jornais</t>
  </si>
  <si>
    <t>Edição integrada à impressão de jornais diários</t>
  </si>
  <si>
    <t>Edição integrada à impressão de jornais não diários</t>
  </si>
  <si>
    <t>Edição integrada à impressão de revistas</t>
  </si>
  <si>
    <t>Edição integrada à impressão de cadastros, listas e outros produtos gráficos</t>
  </si>
  <si>
    <t>ATIVIDADES CINEMATOGRÁFICAS, PRODUÇÃO DE VÍDEOS E DE PROGRAMAS DE TELEVISÃO; GRAVAÇÃO DE SOM E EDIÇÃO DE MÚSICA</t>
  </si>
  <si>
    <t>Atividades cinematográficas, produção de vídeos e de programas de televisão</t>
  </si>
  <si>
    <t>Atividades de produção cinematográfica, de vídeos e de programas de televisão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</si>
  <si>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</si>
  <si>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</si>
  <si>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</si>
  <si>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Atividades de pós-produção cinematográfica, de vídeos e de programas de televisão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</si>
  <si>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</si>
  <si>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</si>
  <si>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</si>
  <si>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</si>
  <si>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</si>
  <si>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</si>
  <si>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 E DE TELEVISÃO</t>
  </si>
  <si>
    <t>Atividades de rádio</t>
  </si>
  <si>
    <t>Atividades de televisão</t>
  </si>
  <si>
    <t>Atividades de televisão aberta</t>
  </si>
  <si>
    <t>Programadoras e atividades relacionadas à televisão por assinatura</t>
  </si>
  <si>
    <t>Programadoras</t>
  </si>
  <si>
    <t>Atividades relacionadas à televisão por assinatura, exceto programadoras</t>
  </si>
  <si>
    <t>TELECOMUNICAÇÕES</t>
  </si>
  <si>
    <t>Telecomunicações por fio</t>
  </si>
  <si>
    <t>Serviços de telefonia fixa comutada - STFC</t>
  </si>
  <si>
    <t>Serviços de redes de transporte de telecomunicações - SRTT</t>
  </si>
  <si>
    <t>Serviços de comunicação multimídia - SCM</t>
  </si>
  <si>
    <t>Serviços de telecomunicações por fio não especificados anteriormente</t>
  </si>
  <si>
    <t>Telecomunicações sem fio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</si>
  <si>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</si>
  <si>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</si>
  <si>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</si>
  <si>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</si>
  <si>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</t>
  </si>
  <si>
    <t>Operadoras de televisão por assinatura por cabo</t>
  </si>
  <si>
    <t>Operadoras de televisão por assinatura por micro-ondas</t>
  </si>
  <si>
    <t>Operadoras de televisão por assinatura por satélite</t>
  </si>
  <si>
    <t>Outras atividades de telecomunicações</t>
  </si>
  <si>
    <t>Provedores de acesso às redes de comunicações</t>
  </si>
  <si>
    <t>Provedores de voz sobre protocolo Internet - VOIP</t>
  </si>
  <si>
    <t>Outras atividades de telecomunicações não especificadas anteriormente</t>
  </si>
  <si>
    <t>ATIVIDADES DOS SERVIÇOS DE TECNOLOGIA DA INFORMAÇÃO</t>
  </si>
  <si>
    <t>Atividades dos serviços de tecnologia da informação</t>
  </si>
  <si>
    <t>Desenvolvimento de programas de computador sob encomenda</t>
  </si>
  <si>
    <t>Web desing</t>
  </si>
  <si>
    <t>Desenvolvimento e licenciamento de programas de computador customizáveis</t>
  </si>
  <si>
    <t>Desenvolvimento e licenciamento de programas de computador não customizáveis</t>
  </si>
  <si>
    <t>Consultoria em tecnologia da informação</t>
  </si>
  <si>
    <t>Suporte técnico, manutenção e outros serviços em tecnologia da informação</t>
  </si>
  <si>
    <t>ATIVIDADES DE PRESTAÇÃO DE SERVIÇOS DE INFORMAÇÃO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</si>
  <si>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</si>
  <si>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</si>
  <si>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</si>
  <si>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Outras atividades de prestação de serviços de informação</t>
  </si>
  <si>
    <t>Agências de notícias</t>
  </si>
  <si>
    <t>Outras atividades de prestação de serviços de informação não especificadas anteriormente</t>
  </si>
  <si>
    <t>ATIVIDADES FINANCEIRAS, DE SEGUROS E SERVIÇOS RELACIONADOS</t>
  </si>
  <si>
    <t>ATIVIDADES DE SERVIÇOS FINANCEIROS</t>
  </si>
  <si>
    <t>Banco Central</t>
  </si>
  <si>
    <t>Intermediação monetária - depósitos à vista</t>
  </si>
  <si>
    <t>Bancos comerciais</t>
  </si>
  <si>
    <t>Bancos múltiplos, com carteira comercial</t>
  </si>
  <si>
    <t>Caixas econômicas</t>
  </si>
  <si>
    <t>Crédito cooperativo</t>
  </si>
  <si>
    <t>Bancos cooperativos</t>
  </si>
  <si>
    <t>Cooperativas centrais de crédito</t>
  </si>
  <si>
    <t>Cooperativas de crédito mútuo</t>
  </si>
  <si>
    <t>Cooperativas de crédito rural</t>
  </si>
  <si>
    <t>Intermediação não monetária - outros instrumentos de captação</t>
  </si>
  <si>
    <t>Bancos múltiplos, sem carteira comercial</t>
  </si>
  <si>
    <t>Bancos de investimento</t>
  </si>
  <si>
    <t>Bancos de desenvolvimento</t>
  </si>
  <si>
    <t>Agências de fomento</t>
  </si>
  <si>
    <t>Crédito imobiliário</t>
  </si>
  <si>
    <t>Sociedades de crédito imobiliário</t>
  </si>
  <si>
    <t>Associações de poupança e empréstimo</t>
  </si>
  <si>
    <t>Companhias hipotecárias</t>
  </si>
  <si>
    <t>Sociedades de crédito, financiamento e investimento - financeiras</t>
  </si>
  <si>
    <t>Sociedades de crédito ao microempreendedor</t>
  </si>
  <si>
    <t>Bancos de câmbio e outras instituições de intermediação não monetária</t>
  </si>
  <si>
    <t>Bancos de câmbio</t>
  </si>
  <si>
    <t>Outras instituições de intermediação não monetária não especificadas anteriormente</t>
  </si>
  <si>
    <t>Arrendamento mercantil</t>
  </si>
  <si>
    <t>Sociedades de capitalização</t>
  </si>
  <si>
    <t>Atividades de sociedades de participação</t>
  </si>
  <si>
    <t>Fundos de investimento</t>
  </si>
  <si>
    <t>Fundos de investimento, exceto previdenciários e imobiliários</t>
  </si>
  <si>
    <t>Fundos de investimento previdenciários</t>
  </si>
  <si>
    <t>Fundos de investimento imobiliários</t>
  </si>
  <si>
    <t>Atividades de serviços financeiros não especificadas anteriormente</t>
  </si>
  <si>
    <t>Securitização de créditos</t>
  </si>
  <si>
    <t>Administração de consórcios para aquisição de bens e direitos</t>
  </si>
  <si>
    <t>Outras atividades de serviços financeiros não especificadas anteriormente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</si>
  <si>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</si>
  <si>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</si>
  <si>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</si>
  <si>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</si>
  <si>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</si>
  <si>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SEGUROS, RESSEGUROS, PREVIDÊNCIA COMPLEMENTAR E PLANOS DE SAÚDE</t>
  </si>
  <si>
    <t>Seguros de vida e não vida</t>
  </si>
  <si>
    <t>Seguros de vida</t>
  </si>
  <si>
    <t>Sociedade seguradora de seguros vida</t>
  </si>
  <si>
    <t>Planos de auxílio-funeral</t>
  </si>
  <si>
    <t>Seguros não vida</t>
  </si>
  <si>
    <t>Sociedade seguradora de seguros não vida</t>
  </si>
  <si>
    <t>Seguros-saúde</t>
  </si>
  <si>
    <t>Sociedade seguradora de seguros-saúde</t>
  </si>
  <si>
    <t>Resseguros</t>
  </si>
  <si>
    <t>Previdência complementar</t>
  </si>
  <si>
    <t>Previdência complementar fechada</t>
  </si>
  <si>
    <t>Previdência complementar aberta</t>
  </si>
  <si>
    <t>Planos de saúde</t>
  </si>
  <si>
    <t>ATIVIDADES AUXILIARES DOS SERVIÇOS FINANCEIROS, SEGUROS, PREVIDÊNCIA COMPLEMENTAR E PLANOS DE SAÚDE</t>
  </si>
  <si>
    <t>Atividades auxiliares dos serviços financeiros</t>
  </si>
  <si>
    <t>Administração de bolsas e mercados de balcão organizados</t>
  </si>
  <si>
    <t>Bolsa de valores</t>
  </si>
  <si>
    <t>Bolsa de mercadorias</t>
  </si>
  <si>
    <t>Bolsa de mercadorias e futuros</t>
  </si>
  <si>
    <t>Administração de mercados de balcão organizados</t>
  </si>
  <si>
    <t>Atividades de intermediários em transações de títulos, valores mobiliários e mercadorias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</si>
  <si>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</si>
  <si>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</si>
  <si>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</si>
  <si>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</si>
  <si>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</si>
  <si>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</si>
  <si>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Atividades auxiliares dos serviços financeiros não especificadas anteriormente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</si>
  <si>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</si>
  <si>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</si>
  <si>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</si>
  <si>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</si>
  <si>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</si>
  <si>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</si>
  <si>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Atividades auxiliares dos seguros, da previdência complementar e dos planos de saúde</t>
  </si>
  <si>
    <t>Avaliação de riscos e perdas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</si>
  <si>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</si>
  <si>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</si>
  <si>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</si>
  <si>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</si>
  <si>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
comissão</t>
  </si>
  <si>
    <t>Atividades de administração de fundos por contrato ou comissão</t>
  </si>
  <si>
    <t>ATIVIDADES IMOBILIÁRIAS</t>
  </si>
  <si>
    <t>Atividades imobiliárias de imóveis próprios</t>
  </si>
  <si>
    <t>Compra e venda de imóveis próprios</t>
  </si>
  <si>
    <t>Aluguel de imóveis próprios</t>
  </si>
  <si>
    <t>Loteamento de imóveis próprios</t>
  </si>
  <si>
    <t>Atividades imobiliárias por contrato ou comissão</t>
  </si>
  <si>
    <t>Intermediação na compra, venda e aluguel de imóveis</t>
  </si>
  <si>
    <t>Corretagem na compra e venda e avaliação de imóveis</t>
  </si>
  <si>
    <t>Corretagem no aluguel de imóveis</t>
  </si>
  <si>
    <t>Gestão e administração da propriedade imobiliária</t>
  </si>
  <si>
    <t>ATIVIDADES PROFISSIONAIS, CIENTÍFICAS E TÉCNICAS</t>
  </si>
  <si>
    <t>ATIVIDADES JURÍDICAS, DE CONTABILIDADE E DE AUDITORIA</t>
  </si>
  <si>
    <t>Atividades jurídicas</t>
  </si>
  <si>
    <t>Atividades jurídicas, exceto cartórios</t>
  </si>
  <si>
    <t>Serviços advocatícios</t>
  </si>
  <si>
    <t>Atividades auxiliares da justiça</t>
  </si>
  <si>
    <t>Agente de propriedade industrial</t>
  </si>
  <si>
    <t>Cartórios</t>
  </si>
  <si>
    <t>Atividades de contabilidade, consultoria e auditoria contábil e tributária</t>
  </si>
  <si>
    <t>Atividades de contabilidade</t>
  </si>
  <si>
    <t>Atividades de consultoria e auditoria contábil e tributária</t>
  </si>
  <si>
    <t>ATIVIDADES DE SEDES DE EMPRESAS E DE CONSULTORIA EM GESTÃO EMPRESARIAL</t>
  </si>
  <si>
    <t>Sedes de empresas e unidades administrativas locais</t>
  </si>
  <si>
    <t>Atividades de consultoria em gestão empresarial</t>
  </si>
  <si>
    <t>Atividades de consultoria em gestão empresarial, exceto consultoria técnica específica</t>
  </si>
  <si>
    <t>SERVIÇOS DE ARQUITETURA E ENGENHARIA; TESTES E ANÁLISES TÉCNICAS</t>
  </si>
  <si>
    <t>Serviços de arquitetura e engenharia e atividades técnicas relacionadas</t>
  </si>
  <si>
    <t>Serviços de arquitetura</t>
  </si>
  <si>
    <t>Serviços de engenharia</t>
  </si>
  <si>
    <t>Atividades técnicas relacionadas à arquitetura 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</si>
  <si>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</si>
  <si>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</si>
  <si>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</si>
  <si>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</si>
  <si>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</si>
  <si>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</si>
  <si>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CIENTÍFICO</t>
  </si>
  <si>
    <t>Pesquisa e desenvolvimento experimental em ciências físicas e naturais</t>
  </si>
  <si>
    <t>Pesquisa e desenvolvimento experimental em ciências sociais e humanas</t>
  </si>
  <si>
    <t>PUBLICIDADE E PESQUISA DE MERCADO</t>
  </si>
  <si>
    <t>Publicidade</t>
  </si>
  <si>
    <t>Agências de publicidade</t>
  </si>
  <si>
    <t>Agenciamento de espaços para publicidade, exceto em veículos de comunicação</t>
  </si>
  <si>
    <t>Atividades de publicidade não especificadas anteriormente</t>
  </si>
  <si>
    <t>Criação de estandes para feiras e exposições</t>
  </si>
  <si>
    <t>Promoção de vendas</t>
  </si>
  <si>
    <t>Consultoria em publicidade</t>
  </si>
  <si>
    <t>Outras atividades de publicidade não especificadas anteriormente</t>
  </si>
  <si>
    <t>Pesquisas de mercado e de opinião pública</t>
  </si>
  <si>
    <t>OUTRAS ATIVIDADES PROFISSIONAIS, CIENTÍFICAS E TÉCNICAS</t>
  </si>
  <si>
    <t>Atividades fotográficas e similares</t>
  </si>
  <si>
    <t>Atividades de produção de fotografias, exceto aérea e submarina</t>
  </si>
  <si>
    <t>Atividades de produção de fotografias aéreas e submarinas</t>
  </si>
  <si>
    <t>Laboratórios fotográficos</t>
  </si>
  <si>
    <t>Filmagem de festas e eventos</t>
  </si>
  <si>
    <t>Serviços de microfilmagem</t>
  </si>
  <si>
    <t>Atividades profissionais, científicas e técnicas não especificadas anteriormente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</si>
  <si>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</si>
  <si>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</si>
  <si>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</si>
  <si>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</si>
  <si>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</si>
  <si>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</si>
  <si>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</si>
  <si>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Atividades veterinárias</t>
  </si>
  <si>
    <t>ATIVIDADES ADMINISTRATIVAS E SERVIÇOS COMPLEMENTARES</t>
  </si>
  <si>
    <t>ALUGUÉIS NÃO IMOBILIÁRIOS E GESTÃO DE ATIVOS INTANGÍVEIS NÃO FINANCEIROS</t>
  </si>
  <si>
    <t>Locação de meios de transporte sem condutor</t>
  </si>
  <si>
    <t>Locação de automóveis sem condutor</t>
  </si>
  <si>
    <t>Locação de meios de transporte, exceto automóveis, sem condutor</t>
  </si>
  <si>
    <t>Locação de embarcações sem tripulação, exceto para fins
recreativos</t>
  </si>
  <si>
    <t>Locação de aeronaves sem tripulação</t>
  </si>
  <si>
    <t>Locação de outros meios de transporte não especificados anteriormente, sem condutor</t>
  </si>
  <si>
    <t>Aluguel de objetos pessoais e domésticos</t>
  </si>
  <si>
    <t>Aluguel de equipamentos recreativos e esportivos</t>
  </si>
  <si>
    <t>Aluguel de fitas de vídeo, DVDs e similares</t>
  </si>
  <si>
    <t>Aluguel de objetos do vestuário, jóias e acessórios</t>
  </si>
  <si>
    <t>Aluguel de objetos pessoais e domésticos não especificados anteriormente</t>
  </si>
  <si>
    <t>Aluguel de aparelhos de jogos eletrônicos</t>
  </si>
  <si>
    <t>Aluguel de móveis, utensílios e aparelhos de uso doméstico e pessoal; instrumentos musicais</t>
  </si>
  <si>
    <t>Aluguel de material médico</t>
  </si>
  <si>
    <t>Aluguel de outros objetos pessoais e domésticos não especificados anteriormente</t>
  </si>
  <si>
    <t>Aluguel de máquinas e equipamentos sem operador</t>
  </si>
  <si>
    <t>Aluguel de máquinas e equipamentos agrícolas sem operador</t>
  </si>
  <si>
    <t>Aluguel de máquinas e equipamentos para construção sem operador</t>
  </si>
  <si>
    <t>Aluguel de máquinas e equipamentos para construção sem operador, exceto andaimes</t>
  </si>
  <si>
    <t>Aluguel de andaimes</t>
  </si>
  <si>
    <t>Aluguel de máquinas e equipamentos para escritório</t>
  </si>
  <si>
    <t>Aluguel de máquinas e equipamentos não especificados anteriormente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</si>
  <si>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</si>
  <si>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</si>
  <si>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</si>
  <si>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</si>
  <si>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</si>
  <si>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</si>
  <si>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</si>
  <si>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</si>
  <si>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Fornecimento e gestão de recursos humanos para terceiros</t>
  </si>
  <si>
    <t>AGÊNCIAS DE VIAGENS, OPERADORES TURÍSTICOS E SERVIÇOS DE RESERVAS</t>
  </si>
  <si>
    <t>Agências de viagens e operadores turísticos</t>
  </si>
  <si>
    <t>Agências de viagens</t>
  </si>
  <si>
    <t>Operadores turísticos</t>
  </si>
  <si>
    <t>Serviços de reservas e outros serviços de turismo não especificados anteriormente</t>
  </si>
  <si>
    <t>ATIVIDADES DE VIGILÂNCIA, SEGURANÇA E INVESTIGAÇÃO</t>
  </si>
  <si>
    <t>Atividades de vigilância, segurança privada e transporte de valores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</si>
  <si>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</si>
  <si>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</si>
  <si>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</si>
  <si>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</si>
  <si>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monitoramento de sistemas de segurança eletrônico</t>
  </si>
  <si>
    <t>Outras atividades de serviços de segurança</t>
  </si>
  <si>
    <t>Atividades de investigação particular</t>
  </si>
  <si>
    <t>SERVIÇOS PARA EDIFÍCIOS E ATIVIDADES PAISAGÍSTICAS</t>
  </si>
  <si>
    <t>Serviços combinados para apoio a edifícios</t>
  </si>
  <si>
    <t>Serviços combinados para apoio a edifícios, exceto condomínios prediais</t>
  </si>
  <si>
    <t>Condomínios prediais</t>
  </si>
  <si>
    <t>Atividades de limpeza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</si>
  <si>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</si>
  <si>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</si>
  <si>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</si>
  <si>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</si>
  <si>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DE ESCRITÓRIO, DE APOIO ADMINISTRATIVO E OUTROS SERVIÇOS PRESTADOS PRINCIPALMENTE ÀS
EMPRESAS</t>
  </si>
  <si>
    <t>Serviços de escritório e apoio administrativo</t>
  </si>
  <si>
    <t>Serviços combinados de escritório e apoio administrativo</t>
  </si>
  <si>
    <t>Fotocópias, preparação de documentos e outros serviços especializados de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</si>
  <si>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</si>
  <si>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</si>
  <si>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</si>
  <si>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Atividades de organização de eventos, exceto culturais e esportivos</t>
  </si>
  <si>
    <t>Serviços de organização de feiras, congressos, exposições e festas</t>
  </si>
  <si>
    <t>Casas de festas e eventos</t>
  </si>
  <si>
    <t>Outras atividades de serviços prestados principalmente às empresas</t>
  </si>
  <si>
    <t>Atividades de cobrança e informações cadastrais</t>
  </si>
  <si>
    <t>Envasamento e empacotamento sob contrato</t>
  </si>
  <si>
    <t>Atividades de serviços prestados principalmente às empresas não especificadas anteriormente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</si>
  <si>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</si>
  <si>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</si>
  <si>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</si>
  <si>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</si>
  <si>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</si>
  <si>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</si>
  <si>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</si>
  <si>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</si>
  <si>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PÚBLICA, DEFESA E SEGURIDADE SOCIAL</t>
  </si>
  <si>
    <t>Administração do estado e da política econômica e social</t>
  </si>
  <si>
    <t>Administração pública em geral</t>
  </si>
  <si>
    <t>Regulação das atividades de saúde, educação, serviços culturais e outros serviços sociais</t>
  </si>
  <si>
    <t>Regulação das atividades econômicas</t>
  </si>
  <si>
    <t>Serviços coletivos prestados pela administração pública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</si>
  <si>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</si>
  <si>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</si>
  <si>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</si>
  <si>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</si>
  <si>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</si>
  <si>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</si>
  <si>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</t>
  </si>
  <si>
    <t>Educação infantil e ensino fundamental</t>
  </si>
  <si>
    <t>Educação infantil - creche</t>
  </si>
  <si>
    <t>Educação infantil - pré-escola</t>
  </si>
  <si>
    <t>Ensino fundamental</t>
  </si>
  <si>
    <t>Ensino médio</t>
  </si>
  <si>
    <t>Educação superior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</si>
  <si>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</si>
  <si>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</si>
  <si>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</si>
  <si>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 e tecnológico</t>
  </si>
  <si>
    <t>Educação profissional de nível técnico</t>
  </si>
  <si>
    <t>Educação profissional de nível tecnológico</t>
  </si>
  <si>
    <t>Atividades de apoio à educação</t>
  </si>
  <si>
    <t>Administração de caixas escolares</t>
  </si>
  <si>
    <t>Atividades de apoio à educação, exceto caixas escolares</t>
  </si>
  <si>
    <t>Outras atividades de ensino</t>
  </si>
  <si>
    <t>Ensino de esportes</t>
  </si>
  <si>
    <t>Ensino de arte e cultura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</si>
  <si>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</si>
  <si>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</si>
  <si>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</si>
  <si>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</si>
  <si>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</si>
  <si>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Atividades de ensino não especificadas anteriormente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</si>
  <si>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</si>
  <si>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</si>
  <si>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</si>
  <si>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</si>
  <si>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</si>
  <si>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</si>
  <si>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SAÚDE HUMANA E SERVIÇOS SOCIAIS</t>
  </si>
  <si>
    <t>ATIVIDADES DE ATENÇÃO À SAÚDE HUMANA</t>
  </si>
  <si>
    <t>Atividades de atendimento hospitalar</t>
  </si>
  <si>
    <t>Atividades de atendimento hospitalar, exceto pronto-socorro e unidades para atendimento a urgências</t>
  </si>
  <si>
    <t>Atividades de atendimento em pronto-socorro e unidades hospitalares para atendimento a urgências</t>
  </si>
  <si>
    <t>Serviços móveis de atendimento a urgências e de remoção de pacientes</t>
  </si>
  <si>
    <t>Serviços móveis de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</si>
  <si>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</si>
  <si>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</si>
  <si>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</si>
  <si>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Atividades de atenção ambulatorial executadas por médicos e odontólogos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</si>
  <si>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</si>
  <si>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</si>
  <si>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</si>
  <si>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</t>
  </si>
  <si>
    <t>Serviços de vacinação e imunização humana</t>
  </si>
  <si>
    <t>Atividades de reprodução humana assistida</t>
  </si>
  <si>
    <t>Atividades de atenção ambulatorial não especificadas anteriormente</t>
  </si>
  <si>
    <t>Atividades de serviços de complementação diagnóstica e terapêutica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</si>
  <si>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</si>
  <si>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</si>
  <si>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</si>
  <si>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</si>
  <si>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</si>
  <si>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</si>
  <si>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</si>
  <si>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- ECG,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</si>
  <si>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</si>
  <si>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</si>
  <si>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</si>
  <si>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</si>
  <si>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</si>
  <si>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</si>
  <si>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</si>
  <si>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profissionais da área de saúde, exceto médicos e odontólogos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</si>
  <si>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</si>
  <si>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</si>
  <si>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</si>
  <si>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</si>
  <si>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</si>
  <si>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</si>
  <si>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</si>
  <si>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</si>
  <si>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</si>
  <si>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atenção à saúde humana não especificadas anteriormente</t>
  </si>
  <si>
    <t>Atividades de práticas integrativas e complementares em saúde humana</t>
  </si>
  <si>
    <t>Atividades de bancos de leite humano</t>
  </si>
  <si>
    <t>Atividades de acupuntura</t>
  </si>
  <si>
    <t>Atividades de podologia</t>
  </si>
  <si>
    <t>Outras atividades de atenção à saúde humana não especificadas anteriormente</t>
  </si>
  <si>
    <t>ATIVIDADES DE ATENÇÃO À SAÚDE HUMANA INTEGRADAS COM ASSISTÊNCIA SOCIAL, PRESTADAS EM RESIDÊNCIAS COLETIVAS E PARTICULARES</t>
  </si>
  <si>
    <t>Atividades de assistência a idosos, deficientes físicos, imunodeprimidos e convalescentes, e de infraestrutura e apoio a pacientes prestadas em residências coletivas e particulares</t>
  </si>
  <si>
    <t>Atividades de assistência a idosos, deficientes físicos, imunodeprimidos e convalescentes prestadas em residências coletivas e particulares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</si>
  <si>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</si>
  <si>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</si>
  <si>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</si>
  <si>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</si>
  <si>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</si>
  <si>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</si>
  <si>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</si>
  <si>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centros de assistência psicossocial</t>
  </si>
  <si>
    <t>Atividades de assistência psicossocial e à saúde a portadores de distúrbios psíquicos, deficiência mental e dependência química e grupos similares não especificadas anteriormente</t>
  </si>
  <si>
    <t>Atividades de assistência social prestadas em residências coletivas e particulares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</si>
  <si>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</si>
  <si>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</si>
  <si>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</si>
  <si>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</si>
  <si>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Serviços de assistência social sem alojamento</t>
  </si>
  <si>
    <t>ARTES, CULTURA, ESPORTE E RECREAÇÃO</t>
  </si>
  <si>
    <t>ATIVIDADES ARTÍSTICAS, CRIATIVAS E DE ESPETÁCULOS</t>
  </si>
  <si>
    <t>Atividades artísticas, criativas e de espetáculos</t>
  </si>
  <si>
    <t>Artes cênicas, espetáculos e atividades complementares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</si>
  <si>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</si>
  <si>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</si>
  <si>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</si>
  <si>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</si>
  <si>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</si>
  <si>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</si>
  <si>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especificados anteriormente</t>
  </si>
  <si>
    <t>Criação artística</t>
  </si>
  <si>
    <t>Atividades de artistas plásticos, jornalistas independentes e
escritores</t>
  </si>
  <si>
    <t>Restauração de obras de arte</t>
  </si>
  <si>
    <t>Gestão de espaços para artes cênicas, espetáculos e outras atividades artísticas</t>
  </si>
  <si>
    <t>ATIVIDADES LIGADAS AO PATRIMÔNIO CULTURAL E AMBIENTAL</t>
  </si>
  <si>
    <t>Atividades ligadas ao patrimônio cultural e ambiental</t>
  </si>
  <si>
    <t>Atividades de bibliotecas e arquivos</t>
  </si>
  <si>
    <t>Atividades de museus e de exploração, restauração artística
e conservação de lugares e prédios históricos e atrações
similares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</si>
  <si>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</si>
  <si>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</si>
  <si>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</si>
  <si>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ATIVIDADES DE EXPLORAÇÃO DE JOGOS DE AZAR E
APOSTAS</t>
  </si>
  <si>
    <t>Atividades de exploração de jogos de azar e apostas</t>
  </si>
  <si>
    <t>Casas de bingo</t>
  </si>
  <si>
    <t>Exploração de apostas em corridas de cavalos</t>
  </si>
  <si>
    <t>Exploração de jogos de azar e apostas não especificados anteriormente</t>
  </si>
  <si>
    <t>ATIVIDADES ESPORTIVAS E DE RECREAÇÃO E LAZER</t>
  </si>
  <si>
    <t>Atividades esportivas</t>
  </si>
  <si>
    <t>Gestão de instalações de esportes</t>
  </si>
  <si>
    <t>Clubes sociais, esportivos e similares</t>
  </si>
  <si>
    <t>Atividades de condicionamento físico</t>
  </si>
  <si>
    <t>Atividades esportivas não especificadas anteriormente</t>
  </si>
  <si>
    <t>Produção e promoção de eventos esportivos</t>
  </si>
  <si>
    <t>Outras atividades esportivas não especificadas anteriormente</t>
  </si>
  <si>
    <t>Atividades de recreação e lazer</t>
  </si>
  <si>
    <t>Parques de diversão e parques temáticos</t>
  </si>
  <si>
    <t>Atividades de recreação e lazer não especificadas
anteriormente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</si>
  <si>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</si>
  <si>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</si>
  <si>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</si>
  <si>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</si>
  <si>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</si>
  <si>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OUTRAS ATIVIDADES DE SERVIÇOS</t>
  </si>
  <si>
    <t>ATIVIDADES DE ORGANIZAÇÕES ASSOCIATIVAS</t>
  </si>
  <si>
    <t>Atividades de organizações associativas patronais, empresariais e profissionais</t>
  </si>
  <si>
    <t>Atividades de organizações associativas patronais e empresariais</t>
  </si>
  <si>
    <t>Atividades de organizações associativas profissionais</t>
  </si>
  <si>
    <t>Atividades de fiscalização profissional</t>
  </si>
  <si>
    <t>Outras atividades associativas profissionais</t>
  </si>
  <si>
    <t>Atividades de organizações sindicais</t>
  </si>
  <si>
    <t>Atividades de associações de defesa de direitos sociais</t>
  </si>
  <si>
    <t>Atividades de organizações associativas não especificadas anteriormente</t>
  </si>
  <si>
    <t>Atividades de organizações religiosas</t>
  </si>
  <si>
    <t>Atividades de organizações religiosas ou filosóficas</t>
  </si>
  <si>
    <t>Atividades de organizações políticas</t>
  </si>
  <si>
    <t>Atividades de organizações associativas ligadas à cultura
e à arte</t>
  </si>
  <si>
    <t>Atividades de organizações associativas ligadas à cultura e à arte</t>
  </si>
  <si>
    <t>Atividades associativas não especificadas anteriormente</t>
  </si>
  <si>
    <t>REPARAÇÃO E MANUTENÇÃO DE EQUIPAMENTOS DE INFORMÁTICA E COMUNICAÇÃO E DE OBJETOS PESSOAIS E DOMÉSTICOS</t>
  </si>
  <si>
    <t>Reparação e manutenção de equipamentos de informática e comunicação</t>
  </si>
  <si>
    <t>Reparação e manutenção de computadores e de equipamentos periféricos</t>
  </si>
  <si>
    <t>Reparação e manutenção de equipamentos de comunicação</t>
  </si>
  <si>
    <t>Reparação e manutenção de objetos e equipamentos pessoais e domésticos</t>
  </si>
  <si>
    <t>Reparação e manutenção de equipamentos eletroeletrônicos de uso pessoal e doméstico</t>
  </si>
  <si>
    <t>Reparação e manutenção de objetos e equipamentos pessoais e domésticos não especificados anteriormente</t>
  </si>
  <si>
    <t>Reparação de calçados, bolsas e artigos de viagem</t>
  </si>
  <si>
    <t>Chaveiros</t>
  </si>
  <si>
    <t>Reparação de relógios</t>
  </si>
  <si>
    <t>Reparação de bicicletas, triciclos e outros veículos não 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</si>
  <si>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</si>
  <si>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</si>
  <si>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</si>
  <si>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OUTRAS ATIVIDADES DE SERVIÇOS PESSOAIS</t>
  </si>
  <si>
    <t>Outras atividades de serviços pessoais</t>
  </si>
  <si>
    <t>Lavanderias, tinturarias e toalheiros</t>
  </si>
  <si>
    <t>Lavanderias</t>
  </si>
  <si>
    <t>Tinturarias</t>
  </si>
  <si>
    <t>Toalheiros</t>
  </si>
  <si>
    <t>Cabeleireiros e outras atividades de tratamento de beleza</t>
  </si>
  <si>
    <t>Cabeleireiros, manicure e pedicure</t>
  </si>
  <si>
    <t>Atividades de estética e outros serviços de cuidados com a beleza</t>
  </si>
  <si>
    <t>Atividades funerárias e serviços relacionados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</si>
  <si>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</si>
  <si>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</si>
  <si>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</si>
  <si>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</si>
  <si>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</si>
  <si>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</si>
  <si>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Atividades de serviços pessoais não especificadas anteriormente</t>
  </si>
  <si>
    <t>Agências matrimoniais</t>
  </si>
  <si>
    <t>Exploração de máquinas de serviços pessoais acionadas por moeda</t>
  </si>
  <si>
    <t>Atividades de sauna e banhos</t>
  </si>
  <si>
    <t>Alojamento de animais domésticos</t>
  </si>
  <si>
    <t>Higiene e embelezamento de animais domésticos</t>
  </si>
  <si>
    <t>Outras atividades de serviços pessoais não especificadas anteriormente</t>
  </si>
  <si>
    <t>SERVIÇOS DOMÉSTICOS</t>
  </si>
  <si>
    <t>Serviços domésticos</t>
  </si>
  <si>
    <t>ORGANISMOS INTERNACIONAIS E OUTRAS INSTITUIÇÕES EXTRATERRITORIAIS</t>
  </si>
  <si>
    <t>Organismos internacionais e outras instituições extraterritoriais</t>
  </si>
  <si>
    <t>A</t>
  </si>
  <si>
    <t/>
  </si>
  <si>
    <t>01</t>
  </si>
  <si>
    <t>011</t>
  </si>
  <si>
    <t>01113</t>
  </si>
  <si>
    <t>0111301</t>
  </si>
  <si>
    <t>0111302</t>
  </si>
  <si>
    <t>0111303</t>
  </si>
  <si>
    <t>0111399</t>
  </si>
  <si>
    <t>01121</t>
  </si>
  <si>
    <t>0112101</t>
  </si>
  <si>
    <t>0112102</t>
  </si>
  <si>
    <t>0112199</t>
  </si>
  <si>
    <t>01130</t>
  </si>
  <si>
    <t>0113000</t>
  </si>
  <si>
    <t>01148</t>
  </si>
  <si>
    <t>0114800</t>
  </si>
  <si>
    <t>01156</t>
  </si>
  <si>
    <t>0115600</t>
  </si>
  <si>
    <t>01164</t>
  </si>
  <si>
    <t>0116401</t>
  </si>
  <si>
    <t>0116402</t>
  </si>
  <si>
    <t>0116403</t>
  </si>
  <si>
    <t>0116499</t>
  </si>
  <si>
    <t>01199</t>
  </si>
  <si>
    <t>0119901</t>
  </si>
  <si>
    <t>0119902</t>
  </si>
  <si>
    <t>0119903</t>
  </si>
  <si>
    <t>0119904</t>
  </si>
  <si>
    <t>0119905</t>
  </si>
  <si>
    <t>0119906</t>
  </si>
  <si>
    <t>0119907</t>
  </si>
  <si>
    <t>0119908</t>
  </si>
  <si>
    <t>0119909</t>
  </si>
  <si>
    <t>0119999</t>
  </si>
  <si>
    <t>012</t>
  </si>
  <si>
    <t>01211</t>
  </si>
  <si>
    <t>0121101</t>
  </si>
  <si>
    <t>0121102</t>
  </si>
  <si>
    <t>01229</t>
  </si>
  <si>
    <t>0122900</t>
  </si>
  <si>
    <t>013</t>
  </si>
  <si>
    <t>01318</t>
  </si>
  <si>
    <t>0131800</t>
  </si>
  <si>
    <t>01326</t>
  </si>
  <si>
    <t>0132600</t>
  </si>
  <si>
    <t>01334</t>
  </si>
  <si>
    <t>0133401</t>
  </si>
  <si>
    <t>0133402</t>
  </si>
  <si>
    <t>0133403</t>
  </si>
  <si>
    <t>0133404</t>
  </si>
  <si>
    <t>0133405</t>
  </si>
  <si>
    <t>0133406</t>
  </si>
  <si>
    <t>0133407</t>
  </si>
  <si>
    <t>0133408</t>
  </si>
  <si>
    <t>0133409</t>
  </si>
  <si>
    <t>0133410</t>
  </si>
  <si>
    <t>0133411</t>
  </si>
  <si>
    <t>0133499</t>
  </si>
  <si>
    <t>01342</t>
  </si>
  <si>
    <t>0134200</t>
  </si>
  <si>
    <t>01351</t>
  </si>
  <si>
    <t>0135100</t>
  </si>
  <si>
    <t>01393</t>
  </si>
  <si>
    <t>0139301</t>
  </si>
  <si>
    <t>0139302</t>
  </si>
  <si>
    <t>0139303</t>
  </si>
  <si>
    <t>0139304</t>
  </si>
  <si>
    <t>0139305</t>
  </si>
  <si>
    <t>0139306</t>
  </si>
  <si>
    <t>0139399</t>
  </si>
  <si>
    <t>014</t>
  </si>
  <si>
    <t>01415</t>
  </si>
  <si>
    <t>0141501</t>
  </si>
  <si>
    <t>0141502</t>
  </si>
  <si>
    <t>01423</t>
  </si>
  <si>
    <t>0142300</t>
  </si>
  <si>
    <t>015</t>
  </si>
  <si>
    <t>01512</t>
  </si>
  <si>
    <t>0151201</t>
  </si>
  <si>
    <t>0151202</t>
  </si>
  <si>
    <t>0151203</t>
  </si>
  <si>
    <t>01521</t>
  </si>
  <si>
    <t>0152101</t>
  </si>
  <si>
    <t>0152102</t>
  </si>
  <si>
    <t>0152103</t>
  </si>
  <si>
    <t>01539</t>
  </si>
  <si>
    <t>0153901</t>
  </si>
  <si>
    <t>0153902</t>
  </si>
  <si>
    <t>01547</t>
  </si>
  <si>
    <t>0154700</t>
  </si>
  <si>
    <t>01555</t>
  </si>
  <si>
    <t>0155501</t>
  </si>
  <si>
    <t>0155502</t>
  </si>
  <si>
    <t>0155503</t>
  </si>
  <si>
    <t>0155504</t>
  </si>
  <si>
    <t>0155505</t>
  </si>
  <si>
    <t>01598</t>
  </si>
  <si>
    <t>0159801</t>
  </si>
  <si>
    <t>0159802</t>
  </si>
  <si>
    <t>0159803</t>
  </si>
  <si>
    <t>0159804</t>
  </si>
  <si>
    <t>0159899</t>
  </si>
  <si>
    <t>016</t>
  </si>
  <si>
    <t>01610</t>
  </si>
  <si>
    <t>0161001</t>
  </si>
  <si>
    <t>0161002</t>
  </si>
  <si>
    <t>0161003</t>
  </si>
  <si>
    <t>0161099</t>
  </si>
  <si>
    <t>01628</t>
  </si>
  <si>
    <t>0162801</t>
  </si>
  <si>
    <t>0162802</t>
  </si>
  <si>
    <t>0162803</t>
  </si>
  <si>
    <t>0162899</t>
  </si>
  <si>
    <t>01636</t>
  </si>
  <si>
    <t>0163600</t>
  </si>
  <si>
    <t>017</t>
  </si>
  <si>
    <t>01709</t>
  </si>
  <si>
    <t>0170900</t>
  </si>
  <si>
    <t>02</t>
  </si>
  <si>
    <t>021</t>
  </si>
  <si>
    <t>02101</t>
  </si>
  <si>
    <t>0210101</t>
  </si>
  <si>
    <t>0210102</t>
  </si>
  <si>
    <t>0210103</t>
  </si>
  <si>
    <t>0210104</t>
  </si>
  <si>
    <t>0210105</t>
  </si>
  <si>
    <t>0210106</t>
  </si>
  <si>
    <t>0210107</t>
  </si>
  <si>
    <t>0210108</t>
  </si>
  <si>
    <t>0210109</t>
  </si>
  <si>
    <t>0210199</t>
  </si>
  <si>
    <t>022</t>
  </si>
  <si>
    <t>02209</t>
  </si>
  <si>
    <t>0220901</t>
  </si>
  <si>
    <t>0220902</t>
  </si>
  <si>
    <t>0220903</t>
  </si>
  <si>
    <t>0220904</t>
  </si>
  <si>
    <t>0220905</t>
  </si>
  <si>
    <t>0220906</t>
  </si>
  <si>
    <t>0220999</t>
  </si>
  <si>
    <t>023</t>
  </si>
  <si>
    <t>02306</t>
  </si>
  <si>
    <t>0230600</t>
  </si>
  <si>
    <t>03</t>
  </si>
  <si>
    <t>031</t>
  </si>
  <si>
    <t>03116</t>
  </si>
  <si>
    <t>0311601</t>
  </si>
  <si>
    <t>0311602</t>
  </si>
  <si>
    <t>0311603</t>
  </si>
  <si>
    <t>0311604</t>
  </si>
  <si>
    <t>03124</t>
  </si>
  <si>
    <t>0312401</t>
  </si>
  <si>
    <t>0312402</t>
  </si>
  <si>
    <t>0312403</t>
  </si>
  <si>
    <t>0312404</t>
  </si>
  <si>
    <t>032</t>
  </si>
  <si>
    <t>03213</t>
  </si>
  <si>
    <t>0321301</t>
  </si>
  <si>
    <t>0321302</t>
  </si>
  <si>
    <t>0321303</t>
  </si>
  <si>
    <t>0321304</t>
  </si>
  <si>
    <t>0321305</t>
  </si>
  <si>
    <t>0321399</t>
  </si>
  <si>
    <t>03221</t>
  </si>
  <si>
    <t>0322101</t>
  </si>
  <si>
    <t>0322102</t>
  </si>
  <si>
    <t>0322103</t>
  </si>
  <si>
    <t>0322104</t>
  </si>
  <si>
    <t>0322105</t>
  </si>
  <si>
    <t>0322106</t>
  </si>
  <si>
    <t>0322107</t>
  </si>
  <si>
    <t>0322199</t>
  </si>
  <si>
    <t>B</t>
  </si>
  <si>
    <t>05</t>
  </si>
  <si>
    <t>050</t>
  </si>
  <si>
    <t>05003</t>
  </si>
  <si>
    <t>0500301</t>
  </si>
  <si>
    <t>0500302</t>
  </si>
  <si>
    <t>06</t>
  </si>
  <si>
    <t>060</t>
  </si>
  <si>
    <t>06000</t>
  </si>
  <si>
    <t>0600001</t>
  </si>
  <si>
    <t>0600002</t>
  </si>
  <si>
    <t>0600003</t>
  </si>
  <si>
    <t>07</t>
  </si>
  <si>
    <t>071</t>
  </si>
  <si>
    <t>07103</t>
  </si>
  <si>
    <t>0710301</t>
  </si>
  <si>
    <t>0710302</t>
  </si>
  <si>
    <t>072</t>
  </si>
  <si>
    <t>07219</t>
  </si>
  <si>
    <t>0721901</t>
  </si>
  <si>
    <t>0721902</t>
  </si>
  <si>
    <t>07227</t>
  </si>
  <si>
    <t>0722701</t>
  </si>
  <si>
    <t>0722702</t>
  </si>
  <si>
    <t>07235</t>
  </si>
  <si>
    <t>0723501</t>
  </si>
  <si>
    <t>0723502</t>
  </si>
  <si>
    <t>07243</t>
  </si>
  <si>
    <t>0724301</t>
  </si>
  <si>
    <t>0724302</t>
  </si>
  <si>
    <t>07251</t>
  </si>
  <si>
    <t>0725100</t>
  </si>
  <si>
    <t>07294</t>
  </si>
  <si>
    <t>0729401</t>
  </si>
  <si>
    <t>0729402</t>
  </si>
  <si>
    <t>0729403</t>
  </si>
  <si>
    <t>0729404</t>
  </si>
  <si>
    <t>0729405</t>
  </si>
  <si>
    <t>08</t>
  </si>
  <si>
    <t>081</t>
  </si>
  <si>
    <t>08100</t>
  </si>
  <si>
    <t>0810001</t>
  </si>
  <si>
    <t>0810002</t>
  </si>
  <si>
    <t>0810003</t>
  </si>
  <si>
    <t>0810004</t>
  </si>
  <si>
    <t>0810005</t>
  </si>
  <si>
    <t>0810006</t>
  </si>
  <si>
    <t>0810007</t>
  </si>
  <si>
    <t>0810008</t>
  </si>
  <si>
    <t>0810009</t>
  </si>
  <si>
    <t>0810010</t>
  </si>
  <si>
    <t>0810099</t>
  </si>
  <si>
    <t>089</t>
  </si>
  <si>
    <t>08916</t>
  </si>
  <si>
    <t>0891600</t>
  </si>
  <si>
    <t>08924</t>
  </si>
  <si>
    <t>0892401</t>
  </si>
  <si>
    <t>0892402</t>
  </si>
  <si>
    <t>0892403</t>
  </si>
  <si>
    <t>08932</t>
  </si>
  <si>
    <t>0893200</t>
  </si>
  <si>
    <t>08991</t>
  </si>
  <si>
    <t>0899101</t>
  </si>
  <si>
    <t>0899102</t>
  </si>
  <si>
    <t>0899103</t>
  </si>
  <si>
    <t>0899199</t>
  </si>
  <si>
    <t>09</t>
  </si>
  <si>
    <t>091</t>
  </si>
  <si>
    <t>09106</t>
  </si>
  <si>
    <t>0910600</t>
  </si>
  <si>
    <t>099</t>
  </si>
  <si>
    <t>09904</t>
  </si>
  <si>
    <t>0990401</t>
  </si>
  <si>
    <t>0990402</t>
  </si>
  <si>
    <t>0990403</t>
  </si>
  <si>
    <t>C</t>
  </si>
  <si>
    <t>10</t>
  </si>
  <si>
    <t>101</t>
  </si>
  <si>
    <t>10112</t>
  </si>
  <si>
    <t>1011201</t>
  </si>
  <si>
    <t>1011202</t>
  </si>
  <si>
    <t>1011203</t>
  </si>
  <si>
    <t>1011204</t>
  </si>
  <si>
    <t>1011205</t>
  </si>
  <si>
    <t>10121</t>
  </si>
  <si>
    <t>1012101</t>
  </si>
  <si>
    <t>1012102</t>
  </si>
  <si>
    <t>1012103</t>
  </si>
  <si>
    <t>1012104</t>
  </si>
  <si>
    <t>10139</t>
  </si>
  <si>
    <t>1013901</t>
  </si>
  <si>
    <t>1013902</t>
  </si>
  <si>
    <t>102</t>
  </si>
  <si>
    <t>10201</t>
  </si>
  <si>
    <t>1020101</t>
  </si>
  <si>
    <t>1020102</t>
  </si>
  <si>
    <t>103</t>
  </si>
  <si>
    <t>10317</t>
  </si>
  <si>
    <t>1031700</t>
  </si>
  <si>
    <t>10325</t>
  </si>
  <si>
    <t>1032501</t>
  </si>
  <si>
    <t>1032599</t>
  </si>
  <si>
    <t>10333</t>
  </si>
  <si>
    <t>1033301</t>
  </si>
  <si>
    <t>1033302</t>
  </si>
  <si>
    <t>104</t>
  </si>
  <si>
    <t>10414</t>
  </si>
  <si>
    <t>1041400</t>
  </si>
  <si>
    <t>10422</t>
  </si>
  <si>
    <t>1042200</t>
  </si>
  <si>
    <t>10431</t>
  </si>
  <si>
    <t>1043100</t>
  </si>
  <si>
    <t>105</t>
  </si>
  <si>
    <t>10511</t>
  </si>
  <si>
    <t>1051100</t>
  </si>
  <si>
    <t>10520</t>
  </si>
  <si>
    <t>1052000</t>
  </si>
  <si>
    <t>10538</t>
  </si>
  <si>
    <t>1053800</t>
  </si>
  <si>
    <t>106</t>
  </si>
  <si>
    <t>10619</t>
  </si>
  <si>
    <t>1061901</t>
  </si>
  <si>
    <t>1061902</t>
  </si>
  <si>
    <t>10627</t>
  </si>
  <si>
    <t>1062700</t>
  </si>
  <si>
    <t>10635</t>
  </si>
  <si>
    <t>1063500</t>
  </si>
  <si>
    <t>10643</t>
  </si>
  <si>
    <t>1064300</t>
  </si>
  <si>
    <t>10651</t>
  </si>
  <si>
    <t>1065101</t>
  </si>
  <si>
    <t>1065102</t>
  </si>
  <si>
    <t>1065103</t>
  </si>
  <si>
    <t>10660</t>
  </si>
  <si>
    <t>1066000</t>
  </si>
  <si>
    <t>10694</t>
  </si>
  <si>
    <t>1069400</t>
  </si>
  <si>
    <t>107</t>
  </si>
  <si>
    <t>10716</t>
  </si>
  <si>
    <t>1071600</t>
  </si>
  <si>
    <t>10724</t>
  </si>
  <si>
    <t>1072401</t>
  </si>
  <si>
    <t>1072402</t>
  </si>
  <si>
    <t>108</t>
  </si>
  <si>
    <t>10813</t>
  </si>
  <si>
    <t>1081301</t>
  </si>
  <si>
    <t>1081302</t>
  </si>
  <si>
    <t>10821</t>
  </si>
  <si>
    <t>1082100</t>
  </si>
  <si>
    <t>109</t>
  </si>
  <si>
    <t>10911</t>
  </si>
  <si>
    <t>1091101</t>
  </si>
  <si>
    <t>1091102</t>
  </si>
  <si>
    <t>10929</t>
  </si>
  <si>
    <t>1092900</t>
  </si>
  <si>
    <t>10937</t>
  </si>
  <si>
    <t>1093701</t>
  </si>
  <si>
    <t>1093702</t>
  </si>
  <si>
    <t>10945</t>
  </si>
  <si>
    <t>1094500</t>
  </si>
  <si>
    <t>10953</t>
  </si>
  <si>
    <t>1095300</t>
  </si>
  <si>
    <t>10961</t>
  </si>
  <si>
    <t>1096100</t>
  </si>
  <si>
    <t>10996</t>
  </si>
  <si>
    <t>1099601</t>
  </si>
  <si>
    <t>1099602</t>
  </si>
  <si>
    <t>1099603</t>
  </si>
  <si>
    <t>1099604</t>
  </si>
  <si>
    <t>1099605</t>
  </si>
  <si>
    <t>1099606</t>
  </si>
  <si>
    <t>1099607</t>
  </si>
  <si>
    <t>1099699</t>
  </si>
  <si>
    <t>11</t>
  </si>
  <si>
    <t>111</t>
  </si>
  <si>
    <t>11119</t>
  </si>
  <si>
    <t>1111901</t>
  </si>
  <si>
    <t>1111902</t>
  </si>
  <si>
    <t>11127</t>
  </si>
  <si>
    <t>1112700</t>
  </si>
  <si>
    <t>11135</t>
  </si>
  <si>
    <t>1113501</t>
  </si>
  <si>
    <t>1113502</t>
  </si>
  <si>
    <t>112</t>
  </si>
  <si>
    <t>11216</t>
  </si>
  <si>
    <t>1121600</t>
  </si>
  <si>
    <t>11224</t>
  </si>
  <si>
    <t>1122401</t>
  </si>
  <si>
    <t>1122402</t>
  </si>
  <si>
    <t>1122403</t>
  </si>
  <si>
    <t>1122404</t>
  </si>
  <si>
    <t>1122499</t>
  </si>
  <si>
    <t>12</t>
  </si>
  <si>
    <t>121</t>
  </si>
  <si>
    <t>12107</t>
  </si>
  <si>
    <t>1210700</t>
  </si>
  <si>
    <t>122</t>
  </si>
  <si>
    <t>12204</t>
  </si>
  <si>
    <t>1220401</t>
  </si>
  <si>
    <t>1220402</t>
  </si>
  <si>
    <t>1220403</t>
  </si>
  <si>
    <t>1220499</t>
  </si>
  <si>
    <t>13</t>
  </si>
  <si>
    <t>131</t>
  </si>
  <si>
    <t>13111</t>
  </si>
  <si>
    <t>1311100</t>
  </si>
  <si>
    <t>13120</t>
  </si>
  <si>
    <t>1312000</t>
  </si>
  <si>
    <t>13138</t>
  </si>
  <si>
    <t>1313800</t>
  </si>
  <si>
    <t>13146</t>
  </si>
  <si>
    <t>1314600</t>
  </si>
  <si>
    <t>132</t>
  </si>
  <si>
    <t>13219</t>
  </si>
  <si>
    <t>1321900</t>
  </si>
  <si>
    <t>13227</t>
  </si>
  <si>
    <t>1322700</t>
  </si>
  <si>
    <t>13235</t>
  </si>
  <si>
    <t>1323500</t>
  </si>
  <si>
    <t>133</t>
  </si>
  <si>
    <t>13308</t>
  </si>
  <si>
    <t>1330800</t>
  </si>
  <si>
    <t>134</t>
  </si>
  <si>
    <t>13405</t>
  </si>
  <si>
    <t>1340501</t>
  </si>
  <si>
    <t>1340502</t>
  </si>
  <si>
    <t>1340599</t>
  </si>
  <si>
    <t>135</t>
  </si>
  <si>
    <t>13511</t>
  </si>
  <si>
    <t>1351100</t>
  </si>
  <si>
    <t>13529</t>
  </si>
  <si>
    <t>1352900</t>
  </si>
  <si>
    <t>13537</t>
  </si>
  <si>
    <t>1353700</t>
  </si>
  <si>
    <t>13545</t>
  </si>
  <si>
    <t>1354500</t>
  </si>
  <si>
    <t>13596</t>
  </si>
  <si>
    <t>1359600</t>
  </si>
  <si>
    <t>14</t>
  </si>
  <si>
    <t>141</t>
  </si>
  <si>
    <t>14118</t>
  </si>
  <si>
    <t>1411801</t>
  </si>
  <si>
    <t>1411802</t>
  </si>
  <si>
    <t>14126</t>
  </si>
  <si>
    <t>1412601</t>
  </si>
  <si>
    <t>1412602</t>
  </si>
  <si>
    <t>1412603</t>
  </si>
  <si>
    <t>14134</t>
  </si>
  <si>
    <t>1413401</t>
  </si>
  <si>
    <t>1413402</t>
  </si>
  <si>
    <t>1413403</t>
  </si>
  <si>
    <t>14142</t>
  </si>
  <si>
    <t>1414200</t>
  </si>
  <si>
    <t>142</t>
  </si>
  <si>
    <t>14215</t>
  </si>
  <si>
    <t>1421500</t>
  </si>
  <si>
    <t>14223</t>
  </si>
  <si>
    <t>1422300</t>
  </si>
  <si>
    <t>15</t>
  </si>
  <si>
    <t>151</t>
  </si>
  <si>
    <t>15106</t>
  </si>
  <si>
    <t>1510600</t>
  </si>
  <si>
    <t>152</t>
  </si>
  <si>
    <t>15211</t>
  </si>
  <si>
    <t>1521100</t>
  </si>
  <si>
    <t>15297</t>
  </si>
  <si>
    <t>1529700</t>
  </si>
  <si>
    <t>153</t>
  </si>
  <si>
    <t>15319</t>
  </si>
  <si>
    <t>1531901</t>
  </si>
  <si>
    <t>1531902</t>
  </si>
  <si>
    <t>15327</t>
  </si>
  <si>
    <t>1532700</t>
  </si>
  <si>
    <t>15335</t>
  </si>
  <si>
    <t>1533500</t>
  </si>
  <si>
    <t>15394</t>
  </si>
  <si>
    <t>1539400</t>
  </si>
  <si>
    <t>154</t>
  </si>
  <si>
    <t>15408</t>
  </si>
  <si>
    <t>1540800</t>
  </si>
  <si>
    <t>16</t>
  </si>
  <si>
    <t>161</t>
  </si>
  <si>
    <t>16102</t>
  </si>
  <si>
    <t>1610203</t>
  </si>
  <si>
    <t>1610204</t>
  </si>
  <si>
    <t>1610205</t>
  </si>
  <si>
    <t>162</t>
  </si>
  <si>
    <t>16218</t>
  </si>
  <si>
    <t>1621800</t>
  </si>
  <si>
    <t>16226</t>
  </si>
  <si>
    <t>1622601</t>
  </si>
  <si>
    <t>1622602</t>
  </si>
  <si>
    <t>1622699</t>
  </si>
  <si>
    <t>16234</t>
  </si>
  <si>
    <t>1623400</t>
  </si>
  <si>
    <t>16293</t>
  </si>
  <si>
    <t>1629301</t>
  </si>
  <si>
    <t>1629302</t>
  </si>
  <si>
    <t>17</t>
  </si>
  <si>
    <t>171</t>
  </si>
  <si>
    <t>17109</t>
  </si>
  <si>
    <t>1710900</t>
  </si>
  <si>
    <t>172</t>
  </si>
  <si>
    <t>17214</t>
  </si>
  <si>
    <t>1721400</t>
  </si>
  <si>
    <t>17222</t>
  </si>
  <si>
    <t>1722200</t>
  </si>
  <si>
    <t>173</t>
  </si>
  <si>
    <t>17311</t>
  </si>
  <si>
    <t>1731100</t>
  </si>
  <si>
    <t>17320</t>
  </si>
  <si>
    <t>1732000</t>
  </si>
  <si>
    <t>17338</t>
  </si>
  <si>
    <t>1733800</t>
  </si>
  <si>
    <t>174</t>
  </si>
  <si>
    <t>17419</t>
  </si>
  <si>
    <t>1741901</t>
  </si>
  <si>
    <t>1741902</t>
  </si>
  <si>
    <t>17427</t>
  </si>
  <si>
    <t>1742701</t>
  </si>
  <si>
    <t>1742702</t>
  </si>
  <si>
    <t>1742799</t>
  </si>
  <si>
    <t>17494</t>
  </si>
  <si>
    <t>1749400</t>
  </si>
  <si>
    <t>18</t>
  </si>
  <si>
    <t>181</t>
  </si>
  <si>
    <t>18113</t>
  </si>
  <si>
    <t>1811301</t>
  </si>
  <si>
    <t>1811302</t>
  </si>
  <si>
    <t>18121</t>
  </si>
  <si>
    <t>1812100</t>
  </si>
  <si>
    <t>18130</t>
  </si>
  <si>
    <t>1813001</t>
  </si>
  <si>
    <t>1813099</t>
  </si>
  <si>
    <t>182</t>
  </si>
  <si>
    <t>18211</t>
  </si>
  <si>
    <t>1821100</t>
  </si>
  <si>
    <t>18229</t>
  </si>
  <si>
    <t>1822901</t>
  </si>
  <si>
    <t>1822999</t>
  </si>
  <si>
    <t>183</t>
  </si>
  <si>
    <t>18300</t>
  </si>
  <si>
    <t>1830001</t>
  </si>
  <si>
    <t>1830002</t>
  </si>
  <si>
    <t>1830003</t>
  </si>
  <si>
    <t>Reprodução de software em qualquer suporte</t>
  </si>
  <si>
    <t>19</t>
  </si>
  <si>
    <t>191</t>
  </si>
  <si>
    <t>19101</t>
  </si>
  <si>
    <t>1910100</t>
  </si>
  <si>
    <t>192</t>
  </si>
  <si>
    <t>19217</t>
  </si>
  <si>
    <t>1921700</t>
  </si>
  <si>
    <t>19225</t>
  </si>
  <si>
    <t>1922501</t>
  </si>
  <si>
    <t>1922502</t>
  </si>
  <si>
    <t>1922599</t>
  </si>
  <si>
    <t>193</t>
  </si>
  <si>
    <t>19314</t>
  </si>
  <si>
    <t>1931400</t>
  </si>
  <si>
    <t>19322</t>
  </si>
  <si>
    <t>1932200</t>
  </si>
  <si>
    <t>20</t>
  </si>
  <si>
    <t>201</t>
  </si>
  <si>
    <t>20118</t>
  </si>
  <si>
    <t>2011800</t>
  </si>
  <si>
    <t>20126</t>
  </si>
  <si>
    <t>2012600</t>
  </si>
  <si>
    <t>20134</t>
  </si>
  <si>
    <t>2013401</t>
  </si>
  <si>
    <t>2013402</t>
  </si>
  <si>
    <t>20142</t>
  </si>
  <si>
    <t>2014200</t>
  </si>
  <si>
    <t>20193</t>
  </si>
  <si>
    <t>2019301</t>
  </si>
  <si>
    <t>2019399</t>
  </si>
  <si>
    <t>202</t>
  </si>
  <si>
    <t>20215</t>
  </si>
  <si>
    <t>2021500</t>
  </si>
  <si>
    <t>20223</t>
  </si>
  <si>
    <t>2022300</t>
  </si>
  <si>
    <t>20291</t>
  </si>
  <si>
    <t>2029100</t>
  </si>
  <si>
    <t>203</t>
  </si>
  <si>
    <t>20312</t>
  </si>
  <si>
    <t>2031200</t>
  </si>
  <si>
    <t>20321</t>
  </si>
  <si>
    <t>2032100</t>
  </si>
  <si>
    <t>20339</t>
  </si>
  <si>
    <t>2033900</t>
  </si>
  <si>
    <t>204</t>
  </si>
  <si>
    <t>20401</t>
  </si>
  <si>
    <t>2040100</t>
  </si>
  <si>
    <t>205</t>
  </si>
  <si>
    <t>20517</t>
  </si>
  <si>
    <t>2051700</t>
  </si>
  <si>
    <t>20525</t>
  </si>
  <si>
    <t>2052500</t>
  </si>
  <si>
    <t>206</t>
  </si>
  <si>
    <t>20614</t>
  </si>
  <si>
    <t>2061400</t>
  </si>
  <si>
    <t>20622</t>
  </si>
  <si>
    <t>2062200</t>
  </si>
  <si>
    <t>20631</t>
  </si>
  <si>
    <t>2063100</t>
  </si>
  <si>
    <t>207</t>
  </si>
  <si>
    <t>20711</t>
  </si>
  <si>
    <t>2071100</t>
  </si>
  <si>
    <t>20720</t>
  </si>
  <si>
    <t>2072000</t>
  </si>
  <si>
    <t>20738</t>
  </si>
  <si>
    <t>2073800</t>
  </si>
  <si>
    <t>209</t>
  </si>
  <si>
    <t>20916</t>
  </si>
  <si>
    <t>2091600</t>
  </si>
  <si>
    <t>20924</t>
  </si>
  <si>
    <t>2092401</t>
  </si>
  <si>
    <t>2092402</t>
  </si>
  <si>
    <t>2092403</t>
  </si>
  <si>
    <t>20932</t>
  </si>
  <si>
    <t>2093200</t>
  </si>
  <si>
    <t>20941</t>
  </si>
  <si>
    <t>2094100</t>
  </si>
  <si>
    <t>20991</t>
  </si>
  <si>
    <t>2099101</t>
  </si>
  <si>
    <t>2099199</t>
  </si>
  <si>
    <t>211</t>
  </si>
  <si>
    <t>21106</t>
  </si>
  <si>
    <t>2110600</t>
  </si>
  <si>
    <t>212</t>
  </si>
  <si>
    <t>21211</t>
  </si>
  <si>
    <t>2121101</t>
  </si>
  <si>
    <t>2121102</t>
  </si>
  <si>
    <t>2121103</t>
  </si>
  <si>
    <t>21220</t>
  </si>
  <si>
    <t>2122000</t>
  </si>
  <si>
    <t>21238</t>
  </si>
  <si>
    <t>2123800</t>
  </si>
  <si>
    <t>22</t>
  </si>
  <si>
    <t>221</t>
  </si>
  <si>
    <t>22111</t>
  </si>
  <si>
    <t>2211100</t>
  </si>
  <si>
    <t>22129</t>
  </si>
  <si>
    <t>2212900</t>
  </si>
  <si>
    <t>22196</t>
  </si>
  <si>
    <t>2219600</t>
  </si>
  <si>
    <t>222</t>
  </si>
  <si>
    <t>22218</t>
  </si>
  <si>
    <t>2221800</t>
  </si>
  <si>
    <t>22226</t>
  </si>
  <si>
    <t>2222600</t>
  </si>
  <si>
    <t>22234</t>
  </si>
  <si>
    <t>2223400</t>
  </si>
  <si>
    <t>22293</t>
  </si>
  <si>
    <t>2229301</t>
  </si>
  <si>
    <t>2229302</t>
  </si>
  <si>
    <t>2229303</t>
  </si>
  <si>
    <t>2229399</t>
  </si>
  <si>
    <t>231</t>
  </si>
  <si>
    <t>23117</t>
  </si>
  <si>
    <t>2311700</t>
  </si>
  <si>
    <t>23125</t>
  </si>
  <si>
    <t>2312500</t>
  </si>
  <si>
    <t>23192</t>
  </si>
  <si>
    <t>2319200</t>
  </si>
  <si>
    <t>232</t>
  </si>
  <si>
    <t>23206</t>
  </si>
  <si>
    <t>2320600</t>
  </si>
  <si>
    <t>233</t>
  </si>
  <si>
    <t>23303</t>
  </si>
  <si>
    <t>2330301</t>
  </si>
  <si>
    <t>2330302</t>
  </si>
  <si>
    <t>2330303</t>
  </si>
  <si>
    <t>2330304</t>
  </si>
  <si>
    <t>2330305</t>
  </si>
  <si>
    <t>2330399</t>
  </si>
  <si>
    <t>234</t>
  </si>
  <si>
    <t>23419</t>
  </si>
  <si>
    <t>2341900</t>
  </si>
  <si>
    <t>23427</t>
  </si>
  <si>
    <t>2342701</t>
  </si>
  <si>
    <t>2342702</t>
  </si>
  <si>
    <t>23494</t>
  </si>
  <si>
    <t>2349401</t>
  </si>
  <si>
    <t>2349499</t>
  </si>
  <si>
    <t>239</t>
  </si>
  <si>
    <t>23915</t>
  </si>
  <si>
    <t>2391501</t>
  </si>
  <si>
    <t>2391502</t>
  </si>
  <si>
    <t>2391503</t>
  </si>
  <si>
    <t>23923</t>
  </si>
  <si>
    <t>2392300</t>
  </si>
  <si>
    <t>23991</t>
  </si>
  <si>
    <t>2399101</t>
  </si>
  <si>
    <t>2399102</t>
  </si>
  <si>
    <t>2399199</t>
  </si>
  <si>
    <t>24</t>
  </si>
  <si>
    <t>241</t>
  </si>
  <si>
    <t>24113</t>
  </si>
  <si>
    <t>2411300</t>
  </si>
  <si>
    <t>24121</t>
  </si>
  <si>
    <t>2412100</t>
  </si>
  <si>
    <t>242</t>
  </si>
  <si>
    <t>24211</t>
  </si>
  <si>
    <t>2421100</t>
  </si>
  <si>
    <t>24229</t>
  </si>
  <si>
    <t>2422901</t>
  </si>
  <si>
    <t>2422902</t>
  </si>
  <si>
    <t>24237</t>
  </si>
  <si>
    <t>2423701</t>
  </si>
  <si>
    <t>2423702</t>
  </si>
  <si>
    <t>24245</t>
  </si>
  <si>
    <t>2424501</t>
  </si>
  <si>
    <t>2424502</t>
  </si>
  <si>
    <t>243</t>
  </si>
  <si>
    <t>24318</t>
  </si>
  <si>
    <t>2431800</t>
  </si>
  <si>
    <t>24393</t>
  </si>
  <si>
    <t>2439300</t>
  </si>
  <si>
    <t>244</t>
  </si>
  <si>
    <t>24415</t>
  </si>
  <si>
    <t>2441501</t>
  </si>
  <si>
    <t>2441502</t>
  </si>
  <si>
    <t>24423</t>
  </si>
  <si>
    <t>2442300</t>
  </si>
  <si>
    <t>24431</t>
  </si>
  <si>
    <t>2443100</t>
  </si>
  <si>
    <t>24491</t>
  </si>
  <si>
    <t>2449101</t>
  </si>
  <si>
    <t>2449102</t>
  </si>
  <si>
    <t>2449103</t>
  </si>
  <si>
    <t>2449199</t>
  </si>
  <si>
    <t>245</t>
  </si>
  <si>
    <t>24512</t>
  </si>
  <si>
    <t>2451200</t>
  </si>
  <si>
    <t>24521</t>
  </si>
  <si>
    <t>2452100</t>
  </si>
  <si>
    <t>25</t>
  </si>
  <si>
    <t>251</t>
  </si>
  <si>
    <t>25110</t>
  </si>
  <si>
    <t>2511000</t>
  </si>
  <si>
    <t>25128</t>
  </si>
  <si>
    <t>2512800</t>
  </si>
  <si>
    <t>25136</t>
  </si>
  <si>
    <t>2513600</t>
  </si>
  <si>
    <t>252</t>
  </si>
  <si>
    <t>25217</t>
  </si>
  <si>
    <t>2521700</t>
  </si>
  <si>
    <t>25225</t>
  </si>
  <si>
    <t>2522500</t>
  </si>
  <si>
    <t>253</t>
  </si>
  <si>
    <t>25314</t>
  </si>
  <si>
    <t>2531401</t>
  </si>
  <si>
    <t>2531402</t>
  </si>
  <si>
    <t>25322</t>
  </si>
  <si>
    <t>2532201</t>
  </si>
  <si>
    <t>2532202</t>
  </si>
  <si>
    <t>25390</t>
  </si>
  <si>
    <t>2539001</t>
  </si>
  <si>
    <t>2539002</t>
  </si>
  <si>
    <t>254</t>
  </si>
  <si>
    <t>25411</t>
  </si>
  <si>
    <t>2541100</t>
  </si>
  <si>
    <t>25420</t>
  </si>
  <si>
    <t>2542000</t>
  </si>
  <si>
    <t>25438</t>
  </si>
  <si>
    <t>2543800</t>
  </si>
  <si>
    <t>255</t>
  </si>
  <si>
    <t>25501</t>
  </si>
  <si>
    <t>2550101</t>
  </si>
  <si>
    <t>2550102</t>
  </si>
  <si>
    <t>259</t>
  </si>
  <si>
    <t>25918</t>
  </si>
  <si>
    <t>2591800</t>
  </si>
  <si>
    <t>25926</t>
  </si>
  <si>
    <t>2592601</t>
  </si>
  <si>
    <t>2592602</t>
  </si>
  <si>
    <t>25934</t>
  </si>
  <si>
    <t>2593400</t>
  </si>
  <si>
    <t>25993</t>
  </si>
  <si>
    <t>2599301</t>
  </si>
  <si>
    <t>2599302</t>
  </si>
  <si>
    <t>2599399</t>
  </si>
  <si>
    <t>26</t>
  </si>
  <si>
    <t>261</t>
  </si>
  <si>
    <t>26108</t>
  </si>
  <si>
    <t>2610800</t>
  </si>
  <si>
    <t>262</t>
  </si>
  <si>
    <t>26213</t>
  </si>
  <si>
    <t>2621300</t>
  </si>
  <si>
    <t>26221</t>
  </si>
  <si>
    <t>2622100</t>
  </si>
  <si>
    <t>263</t>
  </si>
  <si>
    <t>26311</t>
  </si>
  <si>
    <t>2631100</t>
  </si>
  <si>
    <t>26329</t>
  </si>
  <si>
    <t>2632900</t>
  </si>
  <si>
    <t>264</t>
  </si>
  <si>
    <t>26400</t>
  </si>
  <si>
    <t>2640000</t>
  </si>
  <si>
    <t>265</t>
  </si>
  <si>
    <t>26515</t>
  </si>
  <si>
    <t>2651500</t>
  </si>
  <si>
    <t>26523</t>
  </si>
  <si>
    <t>2652300</t>
  </si>
  <si>
    <t>266</t>
  </si>
  <si>
    <t>26604</t>
  </si>
  <si>
    <t>2660400</t>
  </si>
  <si>
    <t>267</t>
  </si>
  <si>
    <t>26701</t>
  </si>
  <si>
    <t>2670101</t>
  </si>
  <si>
    <t>2670102</t>
  </si>
  <si>
    <t>268</t>
  </si>
  <si>
    <t>26809</t>
  </si>
  <si>
    <t>2680900</t>
  </si>
  <si>
    <t>27</t>
  </si>
  <si>
    <t>271</t>
  </si>
  <si>
    <t>27104</t>
  </si>
  <si>
    <t>2710401</t>
  </si>
  <si>
    <t>2710402</t>
  </si>
  <si>
    <t>2710403</t>
  </si>
  <si>
    <t>272</t>
  </si>
  <si>
    <t>27210</t>
  </si>
  <si>
    <t>2721000</t>
  </si>
  <si>
    <t>27228</t>
  </si>
  <si>
    <t>2722801</t>
  </si>
  <si>
    <t>2722802</t>
  </si>
  <si>
    <t>273</t>
  </si>
  <si>
    <t>27317</t>
  </si>
  <si>
    <t>2731700</t>
  </si>
  <si>
    <t>27325</t>
  </si>
  <si>
    <t>2732500</t>
  </si>
  <si>
    <t>27333</t>
  </si>
  <si>
    <t>2733300</t>
  </si>
  <si>
    <t>274</t>
  </si>
  <si>
    <t>27406</t>
  </si>
  <si>
    <t>2740601</t>
  </si>
  <si>
    <t>2740602</t>
  </si>
  <si>
    <t>275</t>
  </si>
  <si>
    <t>27511</t>
  </si>
  <si>
    <t>2751100</t>
  </si>
  <si>
    <t>27597</t>
  </si>
  <si>
    <t>2759701</t>
  </si>
  <si>
    <t>2759799</t>
  </si>
  <si>
    <t>279</t>
  </si>
  <si>
    <t>27902</t>
  </si>
  <si>
    <t>2790201</t>
  </si>
  <si>
    <t>2790202</t>
  </si>
  <si>
    <t>2790299</t>
  </si>
  <si>
    <t>28</t>
  </si>
  <si>
    <t>281</t>
  </si>
  <si>
    <t>28119</t>
  </si>
  <si>
    <t>2811900</t>
  </si>
  <si>
    <t>28127</t>
  </si>
  <si>
    <t>2812700</t>
  </si>
  <si>
    <t>28135</t>
  </si>
  <si>
    <t>2813500</t>
  </si>
  <si>
    <t>28143</t>
  </si>
  <si>
    <t>2814301</t>
  </si>
  <si>
    <t>2814302</t>
  </si>
  <si>
    <t>28151</t>
  </si>
  <si>
    <t>2815101</t>
  </si>
  <si>
    <t>2815102</t>
  </si>
  <si>
    <t>282</t>
  </si>
  <si>
    <t>28216</t>
  </si>
  <si>
    <t>2821601</t>
  </si>
  <si>
    <t>2821602</t>
  </si>
  <si>
    <t>28224</t>
  </si>
  <si>
    <t>2822401</t>
  </si>
  <si>
    <t>2822402</t>
  </si>
  <si>
    <t>28232</t>
  </si>
  <si>
    <t>2823200</t>
  </si>
  <si>
    <t>28241</t>
  </si>
  <si>
    <t>2824101</t>
  </si>
  <si>
    <t>2824102</t>
  </si>
  <si>
    <t>28259</t>
  </si>
  <si>
    <t>2825900</t>
  </si>
  <si>
    <t>28291</t>
  </si>
  <si>
    <t>2829101</t>
  </si>
  <si>
    <t>2829199</t>
  </si>
  <si>
    <t>283</t>
  </si>
  <si>
    <t>28313</t>
  </si>
  <si>
    <t>2831300</t>
  </si>
  <si>
    <t>28321</t>
  </si>
  <si>
    <t>2832100</t>
  </si>
  <si>
    <t>28330</t>
  </si>
  <si>
    <t>2833000</t>
  </si>
  <si>
    <t>284</t>
  </si>
  <si>
    <t>28402</t>
  </si>
  <si>
    <t>2840200</t>
  </si>
  <si>
    <t>285</t>
  </si>
  <si>
    <t>28518</t>
  </si>
  <si>
    <t>2851800</t>
  </si>
  <si>
    <t>28526</t>
  </si>
  <si>
    <t>2852600</t>
  </si>
  <si>
    <t>28534</t>
  </si>
  <si>
    <t>2853400</t>
  </si>
  <si>
    <t>28542</t>
  </si>
  <si>
    <t>2854200</t>
  </si>
  <si>
    <t>286</t>
  </si>
  <si>
    <t>28615</t>
  </si>
  <si>
    <t>2861500</t>
  </si>
  <si>
    <t>28623</t>
  </si>
  <si>
    <t>2862300</t>
  </si>
  <si>
    <t>28631</t>
  </si>
  <si>
    <t>2863100</t>
  </si>
  <si>
    <t>28640</t>
  </si>
  <si>
    <t>2864000</t>
  </si>
  <si>
    <t>28658</t>
  </si>
  <si>
    <t>2865800</t>
  </si>
  <si>
    <t>28666</t>
  </si>
  <si>
    <t>2866600</t>
  </si>
  <si>
    <t>28691</t>
  </si>
  <si>
    <t>2869100</t>
  </si>
  <si>
    <t>29</t>
  </si>
  <si>
    <t>291</t>
  </si>
  <si>
    <t>29107</t>
  </si>
  <si>
    <t>2910701</t>
  </si>
  <si>
    <t>2910702</t>
  </si>
  <si>
    <t>2910703</t>
  </si>
  <si>
    <t>292</t>
  </si>
  <si>
    <t>29204</t>
  </si>
  <si>
    <t>2920401</t>
  </si>
  <si>
    <t>2920402</t>
  </si>
  <si>
    <t>293</t>
  </si>
  <si>
    <t>29301</t>
  </si>
  <si>
    <t>2930101</t>
  </si>
  <si>
    <t>2930102</t>
  </si>
  <si>
    <t>2930103</t>
  </si>
  <si>
    <t>294</t>
  </si>
  <si>
    <t>29417</t>
  </si>
  <si>
    <t>2941700</t>
  </si>
  <si>
    <t>29425</t>
  </si>
  <si>
    <t>2942500</t>
  </si>
  <si>
    <t>29433</t>
  </si>
  <si>
    <t>2943300</t>
  </si>
  <si>
    <t>29441</t>
  </si>
  <si>
    <t>2944100</t>
  </si>
  <si>
    <t>29450</t>
  </si>
  <si>
    <t>2945000</t>
  </si>
  <si>
    <t>29492</t>
  </si>
  <si>
    <t>2949201</t>
  </si>
  <si>
    <t>2949299</t>
  </si>
  <si>
    <t>295</t>
  </si>
  <si>
    <t>29506</t>
  </si>
  <si>
    <t>2950600</t>
  </si>
  <si>
    <t>30</t>
  </si>
  <si>
    <t>301</t>
  </si>
  <si>
    <t>30113</t>
  </si>
  <si>
    <t>3011301</t>
  </si>
  <si>
    <t>3011302</t>
  </si>
  <si>
    <t>30121</t>
  </si>
  <si>
    <t>3012100</t>
  </si>
  <si>
    <t>303</t>
  </si>
  <si>
    <t>30318</t>
  </si>
  <si>
    <t>3031800</t>
  </si>
  <si>
    <t>30326</t>
  </si>
  <si>
    <t>3032600</t>
  </si>
  <si>
    <t>304</t>
  </si>
  <si>
    <t>30415</t>
  </si>
  <si>
    <t>3041500</t>
  </si>
  <si>
    <t>30423</t>
  </si>
  <si>
    <t>3042300</t>
  </si>
  <si>
    <t>305</t>
  </si>
  <si>
    <t>30504</t>
  </si>
  <si>
    <t>3050400</t>
  </si>
  <si>
    <t>309</t>
  </si>
  <si>
    <t>30911</t>
  </si>
  <si>
    <t>3091101</t>
  </si>
  <si>
    <t>3091102</t>
  </si>
  <si>
    <t>30920</t>
  </si>
  <si>
    <t>3092000</t>
  </si>
  <si>
    <t>30997</t>
  </si>
  <si>
    <t>3099700</t>
  </si>
  <si>
    <t>31</t>
  </si>
  <si>
    <t>310</t>
  </si>
  <si>
    <t>31012</t>
  </si>
  <si>
    <t>3101200</t>
  </si>
  <si>
    <t>31021</t>
  </si>
  <si>
    <t>3102100</t>
  </si>
  <si>
    <t>31039</t>
  </si>
  <si>
    <t>3103900</t>
  </si>
  <si>
    <t>31047</t>
  </si>
  <si>
    <t>3104700</t>
  </si>
  <si>
    <t>32</t>
  </si>
  <si>
    <t>321</t>
  </si>
  <si>
    <t>32116</t>
  </si>
  <si>
    <t>3211601</t>
  </si>
  <si>
    <t>3211602</t>
  </si>
  <si>
    <t>3211603</t>
  </si>
  <si>
    <t>32124</t>
  </si>
  <si>
    <t>3212400</t>
  </si>
  <si>
    <t>322</t>
  </si>
  <si>
    <t>32205</t>
  </si>
  <si>
    <t>3220500</t>
  </si>
  <si>
    <t>323</t>
  </si>
  <si>
    <t>32302</t>
  </si>
  <si>
    <t>3230200</t>
  </si>
  <si>
    <t>324</t>
  </si>
  <si>
    <t>32400</t>
  </si>
  <si>
    <t>3240001</t>
  </si>
  <si>
    <t>3240002</t>
  </si>
  <si>
    <t>3240003</t>
  </si>
  <si>
    <t>3240099</t>
  </si>
  <si>
    <t>325</t>
  </si>
  <si>
    <t>32507</t>
  </si>
  <si>
    <t>3250701</t>
  </si>
  <si>
    <t>3250702</t>
  </si>
  <si>
    <t>3250703</t>
  </si>
  <si>
    <t>3250704</t>
  </si>
  <si>
    <t>3250705</t>
  </si>
  <si>
    <t>3250706</t>
  </si>
  <si>
    <t>3250707</t>
  </si>
  <si>
    <t>3250709</t>
  </si>
  <si>
    <t>329</t>
  </si>
  <si>
    <t>32914</t>
  </si>
  <si>
    <t>3291400</t>
  </si>
  <si>
    <t>32922</t>
  </si>
  <si>
    <t>3292201</t>
  </si>
  <si>
    <t>3292202</t>
  </si>
  <si>
    <t>32990</t>
  </si>
  <si>
    <t>3299001</t>
  </si>
  <si>
    <t>3299002</t>
  </si>
  <si>
    <t>3299003</t>
  </si>
  <si>
    <t>3299004</t>
  </si>
  <si>
    <t>3299005</t>
  </si>
  <si>
    <t>3299006</t>
  </si>
  <si>
    <t>3299099</t>
  </si>
  <si>
    <t>331</t>
  </si>
  <si>
    <t>33112</t>
  </si>
  <si>
    <t>3311200</t>
  </si>
  <si>
    <t>33121</t>
  </si>
  <si>
    <t>3312102</t>
  </si>
  <si>
    <t>3312103</t>
  </si>
  <si>
    <t>3312104</t>
  </si>
  <si>
    <t>33139</t>
  </si>
  <si>
    <t>3313901</t>
  </si>
  <si>
    <t>3313902</t>
  </si>
  <si>
    <t>3313999</t>
  </si>
  <si>
    <t>33147</t>
  </si>
  <si>
    <t>3314701</t>
  </si>
  <si>
    <t>3314702</t>
  </si>
  <si>
    <t>3314703</t>
  </si>
  <si>
    <t>3314704</t>
  </si>
  <si>
    <t>3314705</t>
  </si>
  <si>
    <t>3314706</t>
  </si>
  <si>
    <t>3314707</t>
  </si>
  <si>
    <t>3314708</t>
  </si>
  <si>
    <t>3314709</t>
  </si>
  <si>
    <t>3314710</t>
  </si>
  <si>
    <t>3314711</t>
  </si>
  <si>
    <t>3314712</t>
  </si>
  <si>
    <t>3314713</t>
  </si>
  <si>
    <t>3314714</t>
  </si>
  <si>
    <t>3314715</t>
  </si>
  <si>
    <t>3314716</t>
  </si>
  <si>
    <t>3314717</t>
  </si>
  <si>
    <t>3314718</t>
  </si>
  <si>
    <t>3314719</t>
  </si>
  <si>
    <t>3314720</t>
  </si>
  <si>
    <t>3314721</t>
  </si>
  <si>
    <t>3314722</t>
  </si>
  <si>
    <t>3314799</t>
  </si>
  <si>
    <t>33155</t>
  </si>
  <si>
    <t>3315500</t>
  </si>
  <si>
    <t>33163</t>
  </si>
  <si>
    <t>3316301</t>
  </si>
  <si>
    <t>3316302</t>
  </si>
  <si>
    <t>33171</t>
  </si>
  <si>
    <t>3317101</t>
  </si>
  <si>
    <t>3317102</t>
  </si>
  <si>
    <t>33198</t>
  </si>
  <si>
    <t>3319800</t>
  </si>
  <si>
    <t>332</t>
  </si>
  <si>
    <t>33210</t>
  </si>
  <si>
    <t>3321000</t>
  </si>
  <si>
    <t>33295</t>
  </si>
  <si>
    <t>3329501</t>
  </si>
  <si>
    <t>3329599</t>
  </si>
  <si>
    <t>D</t>
  </si>
  <si>
    <t>351</t>
  </si>
  <si>
    <t>35115</t>
  </si>
  <si>
    <t>3511501</t>
  </si>
  <si>
    <t>3511502</t>
  </si>
  <si>
    <t>35123</t>
  </si>
  <si>
    <t>3512300</t>
  </si>
  <si>
    <t>35131</t>
  </si>
  <si>
    <t>3513100</t>
  </si>
  <si>
    <t>35140</t>
  </si>
  <si>
    <t>3514000</t>
  </si>
  <si>
    <t>352</t>
  </si>
  <si>
    <t>35204</t>
  </si>
  <si>
    <t>3520401</t>
  </si>
  <si>
    <t>3520402</t>
  </si>
  <si>
    <t>353</t>
  </si>
  <si>
    <t>35301</t>
  </si>
  <si>
    <t>3530100</t>
  </si>
  <si>
    <t>E</t>
  </si>
  <si>
    <t>360</t>
  </si>
  <si>
    <t>36006</t>
  </si>
  <si>
    <t>3600601</t>
  </si>
  <si>
    <t>3600602</t>
  </si>
  <si>
    <t>370</t>
  </si>
  <si>
    <t>37011</t>
  </si>
  <si>
    <t>3701100</t>
  </si>
  <si>
    <t>37029</t>
  </si>
  <si>
    <t>3702900</t>
  </si>
  <si>
    <t>381</t>
  </si>
  <si>
    <t>38114</t>
  </si>
  <si>
    <t>3811400</t>
  </si>
  <si>
    <t>38122</t>
  </si>
  <si>
    <t>3812200</t>
  </si>
  <si>
    <t>382</t>
  </si>
  <si>
    <t>38211</t>
  </si>
  <si>
    <t>3821100</t>
  </si>
  <si>
    <t>38220</t>
  </si>
  <si>
    <t>3822000</t>
  </si>
  <si>
    <t>383</t>
  </si>
  <si>
    <t>38319</t>
  </si>
  <si>
    <t>3831901</t>
  </si>
  <si>
    <t>3831999</t>
  </si>
  <si>
    <t>38327</t>
  </si>
  <si>
    <t>3832700</t>
  </si>
  <si>
    <t>38394</t>
  </si>
  <si>
    <t>3839401</t>
  </si>
  <si>
    <t>3839499</t>
  </si>
  <si>
    <t>390</t>
  </si>
  <si>
    <t>39005</t>
  </si>
  <si>
    <t>3900500</t>
  </si>
  <si>
    <t>F</t>
  </si>
  <si>
    <t>411</t>
  </si>
  <si>
    <t>41107</t>
  </si>
  <si>
    <t>4110700</t>
  </si>
  <si>
    <t>412</t>
  </si>
  <si>
    <t>41204</t>
  </si>
  <si>
    <t>4120400</t>
  </si>
  <si>
    <t>421</t>
  </si>
  <si>
    <t>42111</t>
  </si>
  <si>
    <t>4211101</t>
  </si>
  <si>
    <t>4211102</t>
  </si>
  <si>
    <t>42120</t>
  </si>
  <si>
    <t>4212000</t>
  </si>
  <si>
    <t>42138</t>
  </si>
  <si>
    <t>4213800</t>
  </si>
  <si>
    <t>422</t>
  </si>
  <si>
    <t>42219</t>
  </si>
  <si>
    <t>4221901</t>
  </si>
  <si>
    <t>4221902</t>
  </si>
  <si>
    <t>4221903</t>
  </si>
  <si>
    <t>4221904</t>
  </si>
  <si>
    <t>4221905</t>
  </si>
  <si>
    <t>42227</t>
  </si>
  <si>
    <t>4222701</t>
  </si>
  <si>
    <t>4222702</t>
  </si>
  <si>
    <t>42235</t>
  </si>
  <si>
    <t>4223500</t>
  </si>
  <si>
    <t>429</t>
  </si>
  <si>
    <t>42910</t>
  </si>
  <si>
    <t>4291000</t>
  </si>
  <si>
    <t>42928</t>
  </si>
  <si>
    <t>4292801</t>
  </si>
  <si>
    <t>4292802</t>
  </si>
  <si>
    <t>42995</t>
  </si>
  <si>
    <t>4299501</t>
  </si>
  <si>
    <t>4299599</t>
  </si>
  <si>
    <t>431</t>
  </si>
  <si>
    <t>43118</t>
  </si>
  <si>
    <t>4311801</t>
  </si>
  <si>
    <t>4311802</t>
  </si>
  <si>
    <t>43126</t>
  </si>
  <si>
    <t>4312600</t>
  </si>
  <si>
    <t>43134</t>
  </si>
  <si>
    <t>4313400</t>
  </si>
  <si>
    <t>43193</t>
  </si>
  <si>
    <t>4319300</t>
  </si>
  <si>
    <t>432</t>
  </si>
  <si>
    <t>43215</t>
  </si>
  <si>
    <t>4321500</t>
  </si>
  <si>
    <t>43223</t>
  </si>
  <si>
    <t>4322301</t>
  </si>
  <si>
    <t>4322302</t>
  </si>
  <si>
    <t>4322303</t>
  </si>
  <si>
    <t>43291</t>
  </si>
  <si>
    <t>4329101</t>
  </si>
  <si>
    <t>4329102</t>
  </si>
  <si>
    <t>4329103</t>
  </si>
  <si>
    <t>4329104</t>
  </si>
  <si>
    <t>4329105</t>
  </si>
  <si>
    <t>4329199</t>
  </si>
  <si>
    <t>433</t>
  </si>
  <si>
    <t>43304</t>
  </si>
  <si>
    <t>4330401</t>
  </si>
  <si>
    <t>4330402</t>
  </si>
  <si>
    <t>4330403</t>
  </si>
  <si>
    <t>4330404</t>
  </si>
  <si>
    <t>4330405</t>
  </si>
  <si>
    <t>4330499</t>
  </si>
  <si>
    <t>439</t>
  </si>
  <si>
    <t>43916</t>
  </si>
  <si>
    <t>4391600</t>
  </si>
  <si>
    <t>43991</t>
  </si>
  <si>
    <t>4399101</t>
  </si>
  <si>
    <t>4399102</t>
  </si>
  <si>
    <t>4399103</t>
  </si>
  <si>
    <t>4399104</t>
  </si>
  <si>
    <t>4399105</t>
  </si>
  <si>
    <t>4399199</t>
  </si>
  <si>
    <t>G</t>
  </si>
  <si>
    <t>451</t>
  </si>
  <si>
    <t>45111</t>
  </si>
  <si>
    <t>4511101</t>
  </si>
  <si>
    <t>4511102</t>
  </si>
  <si>
    <t>4511103</t>
  </si>
  <si>
    <t>4511104</t>
  </si>
  <si>
    <t>4511105</t>
  </si>
  <si>
    <t>4511106</t>
  </si>
  <si>
    <t>45129</t>
  </si>
  <si>
    <t>4512901</t>
  </si>
  <si>
    <t>4512902</t>
  </si>
  <si>
    <t>452</t>
  </si>
  <si>
    <t>45200</t>
  </si>
  <si>
    <t>4520001</t>
  </si>
  <si>
    <t>4520002</t>
  </si>
  <si>
    <t>4520003</t>
  </si>
  <si>
    <t>4520004</t>
  </si>
  <si>
    <t>4520005</t>
  </si>
  <si>
    <t>4520006</t>
  </si>
  <si>
    <t>4520007</t>
  </si>
  <si>
    <t>4520008</t>
  </si>
  <si>
    <t>453</t>
  </si>
  <si>
    <t>45307</t>
  </si>
  <si>
    <t>4530701</t>
  </si>
  <si>
    <t>4530702</t>
  </si>
  <si>
    <t>4530703</t>
  </si>
  <si>
    <t>4530704</t>
  </si>
  <si>
    <t>4530705</t>
  </si>
  <si>
    <t>4530706</t>
  </si>
  <si>
    <t>454</t>
  </si>
  <si>
    <t>45412</t>
  </si>
  <si>
    <t>4541201</t>
  </si>
  <si>
    <t>4541202</t>
  </si>
  <si>
    <t>4541203</t>
  </si>
  <si>
    <t>4541204</t>
  </si>
  <si>
    <t>4541206</t>
  </si>
  <si>
    <t>4541207</t>
  </si>
  <si>
    <t>45421</t>
  </si>
  <si>
    <t>4542101</t>
  </si>
  <si>
    <t>4542102</t>
  </si>
  <si>
    <t>45439</t>
  </si>
  <si>
    <t>4543900</t>
  </si>
  <si>
    <t>46</t>
  </si>
  <si>
    <t>461</t>
  </si>
  <si>
    <t>46117</t>
  </si>
  <si>
    <t>4611700</t>
  </si>
  <si>
    <t>46125</t>
  </si>
  <si>
    <t>4612500</t>
  </si>
  <si>
    <t>46133</t>
  </si>
  <si>
    <t>4613300</t>
  </si>
  <si>
    <t>46141</t>
  </si>
  <si>
    <t>4614100</t>
  </si>
  <si>
    <t>46150</t>
  </si>
  <si>
    <t>4615000</t>
  </si>
  <si>
    <t>46168</t>
  </si>
  <si>
    <t>4616800</t>
  </si>
  <si>
    <t>46176</t>
  </si>
  <si>
    <t>4617600</t>
  </si>
  <si>
    <t>46184</t>
  </si>
  <si>
    <t>4618401</t>
  </si>
  <si>
    <t>4618402</t>
  </si>
  <si>
    <t>4618403</t>
  </si>
  <si>
    <t>4618499</t>
  </si>
  <si>
    <t>46192</t>
  </si>
  <si>
    <t>4619200</t>
  </si>
  <si>
    <t>462</t>
  </si>
  <si>
    <t>46214</t>
  </si>
  <si>
    <t>4621400</t>
  </si>
  <si>
    <t>46222</t>
  </si>
  <si>
    <t>4622200</t>
  </si>
  <si>
    <t>46231</t>
  </si>
  <si>
    <t>4623101</t>
  </si>
  <si>
    <t>4623102</t>
  </si>
  <si>
    <t>4623103</t>
  </si>
  <si>
    <t>4623104</t>
  </si>
  <si>
    <t>4623105</t>
  </si>
  <si>
    <t>4623106</t>
  </si>
  <si>
    <t>4623107</t>
  </si>
  <si>
    <t>4623108</t>
  </si>
  <si>
    <t>4623109</t>
  </si>
  <si>
    <t>4623199</t>
  </si>
  <si>
    <t>463</t>
  </si>
  <si>
    <t>46311</t>
  </si>
  <si>
    <t>4631100</t>
  </si>
  <si>
    <t>46320</t>
  </si>
  <si>
    <t>4632001</t>
  </si>
  <si>
    <t>4632002</t>
  </si>
  <si>
    <t>4632003</t>
  </si>
  <si>
    <t>46338</t>
  </si>
  <si>
    <t>4633801</t>
  </si>
  <si>
    <t>4633802</t>
  </si>
  <si>
    <t>4633803</t>
  </si>
  <si>
    <t>46346</t>
  </si>
  <si>
    <t>4634601</t>
  </si>
  <si>
    <t>4634602</t>
  </si>
  <si>
    <t>4634603</t>
  </si>
  <si>
    <t>4634699</t>
  </si>
  <si>
    <t>46354</t>
  </si>
  <si>
    <t>4635401</t>
  </si>
  <si>
    <t>4635402</t>
  </si>
  <si>
    <t>4635403</t>
  </si>
  <si>
    <t>4635499</t>
  </si>
  <si>
    <t>46362</t>
  </si>
  <si>
    <t>4636201</t>
  </si>
  <si>
    <t>4636202</t>
  </si>
  <si>
    <t>46371</t>
  </si>
  <si>
    <t>4637101</t>
  </si>
  <si>
    <t>4637102</t>
  </si>
  <si>
    <t>4637103</t>
  </si>
  <si>
    <t>4637104</t>
  </si>
  <si>
    <t>4637105</t>
  </si>
  <si>
    <t>4637106</t>
  </si>
  <si>
    <t>4637107</t>
  </si>
  <si>
    <t>4637199</t>
  </si>
  <si>
    <t>46397</t>
  </si>
  <si>
    <t>4639701</t>
  </si>
  <si>
    <t>4639702</t>
  </si>
  <si>
    <t>464</t>
  </si>
  <si>
    <t>46419</t>
  </si>
  <si>
    <t>4641901</t>
  </si>
  <si>
    <t>4641902</t>
  </si>
  <si>
    <t>4641903</t>
  </si>
  <si>
    <t>46427</t>
  </si>
  <si>
    <t>4642701</t>
  </si>
  <si>
    <t>4642702</t>
  </si>
  <si>
    <t>46435</t>
  </si>
  <si>
    <t>4643501</t>
  </si>
  <si>
    <t>4643502</t>
  </si>
  <si>
    <t>46443</t>
  </si>
  <si>
    <t>4644301</t>
  </si>
  <si>
    <t>4644302</t>
  </si>
  <si>
    <t>46451</t>
  </si>
  <si>
    <t>4645101</t>
  </si>
  <si>
    <t>4645102</t>
  </si>
  <si>
    <t>4645103</t>
  </si>
  <si>
    <t>46460</t>
  </si>
  <si>
    <t>4646001</t>
  </si>
  <si>
    <t>4646002</t>
  </si>
  <si>
    <t>46478</t>
  </si>
  <si>
    <t>4647801</t>
  </si>
  <si>
    <t>4647802</t>
  </si>
  <si>
    <t>46494</t>
  </si>
  <si>
    <t>4649401</t>
  </si>
  <si>
    <t>4649402</t>
  </si>
  <si>
    <t>4649403</t>
  </si>
  <si>
    <t>4649404</t>
  </si>
  <si>
    <t>4649405</t>
  </si>
  <si>
    <t>4649406</t>
  </si>
  <si>
    <t>4649407</t>
  </si>
  <si>
    <t>4649408</t>
  </si>
  <si>
    <t>4649409</t>
  </si>
  <si>
    <t>4649410</t>
  </si>
  <si>
    <t>4649499</t>
  </si>
  <si>
    <t>465</t>
  </si>
  <si>
    <t>46516</t>
  </si>
  <si>
    <t>4651601</t>
  </si>
  <si>
    <t>4651602</t>
  </si>
  <si>
    <t>46524</t>
  </si>
  <si>
    <t>4652400</t>
  </si>
  <si>
    <t>466</t>
  </si>
  <si>
    <t>46613</t>
  </si>
  <si>
    <t>4661300</t>
  </si>
  <si>
    <t>46621</t>
  </si>
  <si>
    <t>4662100</t>
  </si>
  <si>
    <t>46630</t>
  </si>
  <si>
    <t>4663000</t>
  </si>
  <si>
    <t>46648</t>
  </si>
  <si>
    <t>4664800</t>
  </si>
  <si>
    <t>46656</t>
  </si>
  <si>
    <t>4665600</t>
  </si>
  <si>
    <t>46699</t>
  </si>
  <si>
    <t>4669901</t>
  </si>
  <si>
    <t>4669999</t>
  </si>
  <si>
    <t>467</t>
  </si>
  <si>
    <t>46711</t>
  </si>
  <si>
    <t>4671100</t>
  </si>
  <si>
    <t>46729</t>
  </si>
  <si>
    <t>4672900</t>
  </si>
  <si>
    <t>46737</t>
  </si>
  <si>
    <t>4673700</t>
  </si>
  <si>
    <t>46745</t>
  </si>
  <si>
    <t>4674500</t>
  </si>
  <si>
    <t>46796</t>
  </si>
  <si>
    <t>4679601</t>
  </si>
  <si>
    <t>4679602</t>
  </si>
  <si>
    <t>4679603</t>
  </si>
  <si>
    <t>4679604</t>
  </si>
  <si>
    <t>4679699</t>
  </si>
  <si>
    <t>468</t>
  </si>
  <si>
    <t>46818</t>
  </si>
  <si>
    <t>4681801</t>
  </si>
  <si>
    <t>4681802</t>
  </si>
  <si>
    <t>4681803</t>
  </si>
  <si>
    <t>4681804</t>
  </si>
  <si>
    <t>4681805</t>
  </si>
  <si>
    <t>46826</t>
  </si>
  <si>
    <t>4682600</t>
  </si>
  <si>
    <t>46834</t>
  </si>
  <si>
    <t>4683400</t>
  </si>
  <si>
    <t>46842</t>
  </si>
  <si>
    <t>4684201</t>
  </si>
  <si>
    <t>4684202</t>
  </si>
  <si>
    <t>4684299</t>
  </si>
  <si>
    <t>46851</t>
  </si>
  <si>
    <t>4685100</t>
  </si>
  <si>
    <t>46869</t>
  </si>
  <si>
    <t>4686901</t>
  </si>
  <si>
    <t>4686902</t>
  </si>
  <si>
    <t>46877</t>
  </si>
  <si>
    <t>4687701</t>
  </si>
  <si>
    <t>4687702</t>
  </si>
  <si>
    <t>4687703</t>
  </si>
  <si>
    <t>46893</t>
  </si>
  <si>
    <t>4689301</t>
  </si>
  <si>
    <t>4689302</t>
  </si>
  <si>
    <t>4689399</t>
  </si>
  <si>
    <t>469</t>
  </si>
  <si>
    <t>46915</t>
  </si>
  <si>
    <t>4691500</t>
  </si>
  <si>
    <t>46923</t>
  </si>
  <si>
    <t>4692300</t>
  </si>
  <si>
    <t>46931</t>
  </si>
  <si>
    <t>4693100</t>
  </si>
  <si>
    <t>47</t>
  </si>
  <si>
    <t>471</t>
  </si>
  <si>
    <t>47113</t>
  </si>
  <si>
    <t>4711301</t>
  </si>
  <si>
    <t>4711302</t>
  </si>
  <si>
    <t>47121</t>
  </si>
  <si>
    <t>4712100</t>
  </si>
  <si>
    <t>47130</t>
  </si>
  <si>
    <t>4713002</t>
  </si>
  <si>
    <t>4713004</t>
  </si>
  <si>
    <t>Lojas de departamentos ou magazines, exceto lojas francas (Duty free)</t>
  </si>
  <si>
    <t>4713005</t>
  </si>
  <si>
    <t>Lojas francas (Duty Free) de aeroportos, portos e em fronteiras terrestres</t>
  </si>
  <si>
    <t>472</t>
  </si>
  <si>
    <t>47211</t>
  </si>
  <si>
    <t>4721102</t>
  </si>
  <si>
    <t>4721103</t>
  </si>
  <si>
    <t>4721104</t>
  </si>
  <si>
    <t>47229</t>
  </si>
  <si>
    <t>4722901</t>
  </si>
  <si>
    <t>4722902</t>
  </si>
  <si>
    <t>47237</t>
  </si>
  <si>
    <t>4723700</t>
  </si>
  <si>
    <t>47245</t>
  </si>
  <si>
    <t>4724500</t>
  </si>
  <si>
    <t>47296</t>
  </si>
  <si>
    <t>4729601</t>
  </si>
  <si>
    <t>4729602</t>
  </si>
  <si>
    <t>4729699</t>
  </si>
  <si>
    <t>473</t>
  </si>
  <si>
    <t>47318</t>
  </si>
  <si>
    <t>4731800</t>
  </si>
  <si>
    <t>47326</t>
  </si>
  <si>
    <t>4732600</t>
  </si>
  <si>
    <t>474</t>
  </si>
  <si>
    <t>47415</t>
  </si>
  <si>
    <t>4741500</t>
  </si>
  <si>
    <t>47423</t>
  </si>
  <si>
    <t>4742300</t>
  </si>
  <si>
    <t>47431</t>
  </si>
  <si>
    <t>4743100</t>
  </si>
  <si>
    <t>47440</t>
  </si>
  <si>
    <t>4744001</t>
  </si>
  <si>
    <t>4744002</t>
  </si>
  <si>
    <t>4744003</t>
  </si>
  <si>
    <t>4744004</t>
  </si>
  <si>
    <t>4744005</t>
  </si>
  <si>
    <t>4744006</t>
  </si>
  <si>
    <t>4744099</t>
  </si>
  <si>
    <t>475</t>
  </si>
  <si>
    <t>47512</t>
  </si>
  <si>
    <t>4751201</t>
  </si>
  <si>
    <t>4751202</t>
  </si>
  <si>
    <t>47521</t>
  </si>
  <si>
    <t>4752100</t>
  </si>
  <si>
    <t>47539</t>
  </si>
  <si>
    <t>4753900</t>
  </si>
  <si>
    <t>47547</t>
  </si>
  <si>
    <t>4754701</t>
  </si>
  <si>
    <t>4754702</t>
  </si>
  <si>
    <t>4754703</t>
  </si>
  <si>
    <t>47555</t>
  </si>
  <si>
    <t>4755501</t>
  </si>
  <si>
    <t>4755502</t>
  </si>
  <si>
    <t>4755503</t>
  </si>
  <si>
    <t>47563</t>
  </si>
  <si>
    <t>4756300</t>
  </si>
  <si>
    <t>47571</t>
  </si>
  <si>
    <t>4757100</t>
  </si>
  <si>
    <t>47598</t>
  </si>
  <si>
    <t>4759801</t>
  </si>
  <si>
    <t>4759899</t>
  </si>
  <si>
    <t>476</t>
  </si>
  <si>
    <t>47610</t>
  </si>
  <si>
    <t>4761001</t>
  </si>
  <si>
    <t>4761002</t>
  </si>
  <si>
    <t>4761003</t>
  </si>
  <si>
    <t>47628</t>
  </si>
  <si>
    <t>4762800</t>
  </si>
  <si>
    <t>47636</t>
  </si>
  <si>
    <t>4763601</t>
  </si>
  <si>
    <t>4763602</t>
  </si>
  <si>
    <t>4763603</t>
  </si>
  <si>
    <t>4763604</t>
  </si>
  <si>
    <t>Comércio varejista de artigos de caça, pesca e camping</t>
  </si>
  <si>
    <t>4763605</t>
  </si>
  <si>
    <t>477</t>
  </si>
  <si>
    <t>47717</t>
  </si>
  <si>
    <t>4771701</t>
  </si>
  <si>
    <t>4771702</t>
  </si>
  <si>
    <t>4771703</t>
  </si>
  <si>
    <t>4771704</t>
  </si>
  <si>
    <t>47725</t>
  </si>
  <si>
    <t>4772500</t>
  </si>
  <si>
    <t>47733</t>
  </si>
  <si>
    <t>4773300</t>
  </si>
  <si>
    <t>47741</t>
  </si>
  <si>
    <t>4774100</t>
  </si>
  <si>
    <t>478</t>
  </si>
  <si>
    <t>47814</t>
  </si>
  <si>
    <t>4781400</t>
  </si>
  <si>
    <t>47822</t>
  </si>
  <si>
    <t>4782201</t>
  </si>
  <si>
    <t>4782202</t>
  </si>
  <si>
    <t>47831</t>
  </si>
  <si>
    <t>4783101</t>
  </si>
  <si>
    <t>4783102</t>
  </si>
  <si>
    <t>47849</t>
  </si>
  <si>
    <t>4784900</t>
  </si>
  <si>
    <t>47857</t>
  </si>
  <si>
    <t>4785701</t>
  </si>
  <si>
    <t>4785799</t>
  </si>
  <si>
    <t>47890</t>
  </si>
  <si>
    <t>4789001</t>
  </si>
  <si>
    <t>4789002</t>
  </si>
  <si>
    <t>4789003</t>
  </si>
  <si>
    <t>4789004</t>
  </si>
  <si>
    <t>4789005</t>
  </si>
  <si>
    <t>4789006</t>
  </si>
  <si>
    <t>4789007</t>
  </si>
  <si>
    <t>4789008</t>
  </si>
  <si>
    <t>4789009</t>
  </si>
  <si>
    <t>4789099</t>
  </si>
  <si>
    <t>479</t>
  </si>
  <si>
    <t>47903</t>
  </si>
  <si>
    <t>H</t>
  </si>
  <si>
    <t>49</t>
  </si>
  <si>
    <t>491</t>
  </si>
  <si>
    <t>49116</t>
  </si>
  <si>
    <t>4911600</t>
  </si>
  <si>
    <t>49124</t>
  </si>
  <si>
    <t>4912401</t>
  </si>
  <si>
    <t>4912402</t>
  </si>
  <si>
    <t>4912403</t>
  </si>
  <si>
    <t>492</t>
  </si>
  <si>
    <t>49213</t>
  </si>
  <si>
    <t>4921301</t>
  </si>
  <si>
    <t>4921302</t>
  </si>
  <si>
    <t>49221</t>
  </si>
  <si>
    <t>4922101</t>
  </si>
  <si>
    <t>4922102</t>
  </si>
  <si>
    <t>4922103</t>
  </si>
  <si>
    <t>49230</t>
  </si>
  <si>
    <t>4923001</t>
  </si>
  <si>
    <t>4923002</t>
  </si>
  <si>
    <t>49248</t>
  </si>
  <si>
    <t>4924800</t>
  </si>
  <si>
    <t>49299</t>
  </si>
  <si>
    <t>4929901</t>
  </si>
  <si>
    <t>4929902</t>
  </si>
  <si>
    <t>4929903</t>
  </si>
  <si>
    <t>4929904</t>
  </si>
  <si>
    <t>4929999</t>
  </si>
  <si>
    <t>493</t>
  </si>
  <si>
    <t>49302</t>
  </si>
  <si>
    <t>4930201</t>
  </si>
  <si>
    <t>4930202</t>
  </si>
  <si>
    <t>4930203</t>
  </si>
  <si>
    <t>4930204</t>
  </si>
  <si>
    <t>494</t>
  </si>
  <si>
    <t>49400</t>
  </si>
  <si>
    <t>4940000</t>
  </si>
  <si>
    <t>495</t>
  </si>
  <si>
    <t>49507</t>
  </si>
  <si>
    <t>4950700</t>
  </si>
  <si>
    <t>50</t>
  </si>
  <si>
    <t>501</t>
  </si>
  <si>
    <t>50114</t>
  </si>
  <si>
    <t>5011401</t>
  </si>
  <si>
    <t>5011402</t>
  </si>
  <si>
    <t>50122</t>
  </si>
  <si>
    <t>5012201</t>
  </si>
  <si>
    <t>5012202</t>
  </si>
  <si>
    <t>502</t>
  </si>
  <si>
    <t>50211</t>
  </si>
  <si>
    <t>5021101</t>
  </si>
  <si>
    <t>5021102</t>
  </si>
  <si>
    <t>50220</t>
  </si>
  <si>
    <t>5022001</t>
  </si>
  <si>
    <t>5022002</t>
  </si>
  <si>
    <t>503</t>
  </si>
  <si>
    <t>50301</t>
  </si>
  <si>
    <t>5030101</t>
  </si>
  <si>
    <t>5030102</t>
  </si>
  <si>
    <t>5030103</t>
  </si>
  <si>
    <t>509</t>
  </si>
  <si>
    <t>50912</t>
  </si>
  <si>
    <t>5091201</t>
  </si>
  <si>
    <t>5091202</t>
  </si>
  <si>
    <t>50998</t>
  </si>
  <si>
    <t>5099801</t>
  </si>
  <si>
    <t>5099899</t>
  </si>
  <si>
    <t>51</t>
  </si>
  <si>
    <t>511</t>
  </si>
  <si>
    <t>51111</t>
  </si>
  <si>
    <t>5111100</t>
  </si>
  <si>
    <t>51129</t>
  </si>
  <si>
    <t>5112901</t>
  </si>
  <si>
    <t>5112999</t>
  </si>
  <si>
    <t>512</t>
  </si>
  <si>
    <t>51200</t>
  </si>
  <si>
    <t>5120000</t>
  </si>
  <si>
    <t>513</t>
  </si>
  <si>
    <t>51307</t>
  </si>
  <si>
    <t>5130700</t>
  </si>
  <si>
    <t>52</t>
  </si>
  <si>
    <t>521</t>
  </si>
  <si>
    <t>52117</t>
  </si>
  <si>
    <t>5211701</t>
  </si>
  <si>
    <t>Armazéns gerais - emissão de warrant</t>
  </si>
  <si>
    <t>5211702</t>
  </si>
  <si>
    <t>5211799</t>
  </si>
  <si>
    <t>52125</t>
  </si>
  <si>
    <t>5212500</t>
  </si>
  <si>
    <t>522</t>
  </si>
  <si>
    <t>52214</t>
  </si>
  <si>
    <t>5221400</t>
  </si>
  <si>
    <t>52222</t>
  </si>
  <si>
    <t>5222200</t>
  </si>
  <si>
    <t>52231</t>
  </si>
  <si>
    <t>5223100</t>
  </si>
  <si>
    <t>52290</t>
  </si>
  <si>
    <t>5229001</t>
  </si>
  <si>
    <t>5229002</t>
  </si>
  <si>
    <t>5229099</t>
  </si>
  <si>
    <t>523</t>
  </si>
  <si>
    <t>52311</t>
  </si>
  <si>
    <t>5231101</t>
  </si>
  <si>
    <t>5231102</t>
  </si>
  <si>
    <t>5231103</t>
  </si>
  <si>
    <t>52320</t>
  </si>
  <si>
    <t>5232000</t>
  </si>
  <si>
    <t>52397</t>
  </si>
  <si>
    <t>5239701</t>
  </si>
  <si>
    <t>5239799</t>
  </si>
  <si>
    <t>524</t>
  </si>
  <si>
    <t>52401</t>
  </si>
  <si>
    <t>5240101</t>
  </si>
  <si>
    <t>5240199</t>
  </si>
  <si>
    <t>525</t>
  </si>
  <si>
    <t>52508</t>
  </si>
  <si>
    <t>5250801</t>
  </si>
  <si>
    <t>5250802</t>
  </si>
  <si>
    <t>5250803</t>
  </si>
  <si>
    <t>5250804</t>
  </si>
  <si>
    <t>5250805</t>
  </si>
  <si>
    <t>53</t>
  </si>
  <si>
    <t>531</t>
  </si>
  <si>
    <t>53105</t>
  </si>
  <si>
    <t>5310501</t>
  </si>
  <si>
    <t>5310502</t>
  </si>
  <si>
    <t>532</t>
  </si>
  <si>
    <t>53202</t>
  </si>
  <si>
    <t>5320201</t>
  </si>
  <si>
    <t>5320202</t>
  </si>
  <si>
    <t>I</t>
  </si>
  <si>
    <t>55</t>
  </si>
  <si>
    <t>551</t>
  </si>
  <si>
    <t>55108</t>
  </si>
  <si>
    <t>5510801</t>
  </si>
  <si>
    <t>5510802</t>
  </si>
  <si>
    <t>5510803</t>
  </si>
  <si>
    <t>559</t>
  </si>
  <si>
    <t>55906</t>
  </si>
  <si>
    <t>5590601</t>
  </si>
  <si>
    <t>5590602</t>
  </si>
  <si>
    <t>5590603</t>
  </si>
  <si>
    <t>5590699</t>
  </si>
  <si>
    <t>56</t>
  </si>
  <si>
    <t>561</t>
  </si>
  <si>
    <t>56112</t>
  </si>
  <si>
    <t>5611201</t>
  </si>
  <si>
    <t>5611203</t>
  </si>
  <si>
    <t>5611204</t>
  </si>
  <si>
    <t>5611205</t>
  </si>
  <si>
    <t>56121</t>
  </si>
  <si>
    <t>5612100</t>
  </si>
  <si>
    <t>562</t>
  </si>
  <si>
    <t>Serviços de catering, bufê e outros serviços de comida preparada</t>
  </si>
  <si>
    <t>56201</t>
  </si>
  <si>
    <t>5620101</t>
  </si>
  <si>
    <t>5620102</t>
  </si>
  <si>
    <t>5620103</t>
  </si>
  <si>
    <t>5620104</t>
  </si>
  <si>
    <t>J</t>
  </si>
  <si>
    <t>58</t>
  </si>
  <si>
    <t>581</t>
  </si>
  <si>
    <t>58115</t>
  </si>
  <si>
    <t>5811500</t>
  </si>
  <si>
    <t>58123</t>
  </si>
  <si>
    <t>5812301</t>
  </si>
  <si>
    <t>5812302</t>
  </si>
  <si>
    <t>58131</t>
  </si>
  <si>
    <t>5813100</t>
  </si>
  <si>
    <t>58191</t>
  </si>
  <si>
    <t>5819100</t>
  </si>
  <si>
    <t>582</t>
  </si>
  <si>
    <t>58212</t>
  </si>
  <si>
    <t>5821200</t>
  </si>
  <si>
    <t>58221</t>
  </si>
  <si>
    <t>5822101</t>
  </si>
  <si>
    <t>5822102</t>
  </si>
  <si>
    <t>58239</t>
  </si>
  <si>
    <t>5823900</t>
  </si>
  <si>
    <t>58298</t>
  </si>
  <si>
    <t>5829800</t>
  </si>
  <si>
    <t>59</t>
  </si>
  <si>
    <t>591</t>
  </si>
  <si>
    <t>59111</t>
  </si>
  <si>
    <t>5911101</t>
  </si>
  <si>
    <t>5911102</t>
  </si>
  <si>
    <t>5911199</t>
  </si>
  <si>
    <t>59120</t>
  </si>
  <si>
    <t>5912001</t>
  </si>
  <si>
    <t>5912002</t>
  </si>
  <si>
    <t>5912099</t>
  </si>
  <si>
    <t>59138</t>
  </si>
  <si>
    <t>5913800</t>
  </si>
  <si>
    <t>59146</t>
  </si>
  <si>
    <t>5914600</t>
  </si>
  <si>
    <t>592</t>
  </si>
  <si>
    <t>59201</t>
  </si>
  <si>
    <t>5920100</t>
  </si>
  <si>
    <t>60</t>
  </si>
  <si>
    <t>601</t>
  </si>
  <si>
    <t>60101</t>
  </si>
  <si>
    <t>6010100</t>
  </si>
  <si>
    <t>602</t>
  </si>
  <si>
    <t>60217</t>
  </si>
  <si>
    <t>6021700</t>
  </si>
  <si>
    <t>60225</t>
  </si>
  <si>
    <t>6022501</t>
  </si>
  <si>
    <t>6022502</t>
  </si>
  <si>
    <t>61</t>
  </si>
  <si>
    <t>611</t>
  </si>
  <si>
    <t>61108</t>
  </si>
  <si>
    <t>6110801</t>
  </si>
  <si>
    <t>6110802</t>
  </si>
  <si>
    <t>6110803</t>
  </si>
  <si>
    <t>6110899</t>
  </si>
  <si>
    <t>612</t>
  </si>
  <si>
    <t>61205</t>
  </si>
  <si>
    <t>6120501</t>
  </si>
  <si>
    <t>6120502</t>
  </si>
  <si>
    <t>6120599</t>
  </si>
  <si>
    <t>613</t>
  </si>
  <si>
    <t>61302</t>
  </si>
  <si>
    <t>6130200</t>
  </si>
  <si>
    <t>614</t>
  </si>
  <si>
    <t>61418</t>
  </si>
  <si>
    <t>6141800</t>
  </si>
  <si>
    <t>61426</t>
  </si>
  <si>
    <t>6142600</t>
  </si>
  <si>
    <t>61434</t>
  </si>
  <si>
    <t>6143400</t>
  </si>
  <si>
    <t>619</t>
  </si>
  <si>
    <t>61906</t>
  </si>
  <si>
    <t>6190601</t>
  </si>
  <si>
    <t>6190602</t>
  </si>
  <si>
    <t>6190699</t>
  </si>
  <si>
    <t>62</t>
  </si>
  <si>
    <t>620</t>
  </si>
  <si>
    <t>62015</t>
  </si>
  <si>
    <t>6201501</t>
  </si>
  <si>
    <t>6201502</t>
  </si>
  <si>
    <t>62023</t>
  </si>
  <si>
    <t>6202300</t>
  </si>
  <si>
    <t>62031</t>
  </si>
  <si>
    <t>6203100</t>
  </si>
  <si>
    <t>62040</t>
  </si>
  <si>
    <t>6204000</t>
  </si>
  <si>
    <t>62091</t>
  </si>
  <si>
    <t>6209100</t>
  </si>
  <si>
    <t>631</t>
  </si>
  <si>
    <t>63119</t>
  </si>
  <si>
    <t>6311900</t>
  </si>
  <si>
    <t>63194</t>
  </si>
  <si>
    <t>6319400</t>
  </si>
  <si>
    <t>639</t>
  </si>
  <si>
    <t>63917</t>
  </si>
  <si>
    <t>6391700</t>
  </si>
  <si>
    <t>63992</t>
  </si>
  <si>
    <t>6399200</t>
  </si>
  <si>
    <t>K</t>
  </si>
  <si>
    <t>64</t>
  </si>
  <si>
    <t>641</t>
  </si>
  <si>
    <t>64107</t>
  </si>
  <si>
    <t>6410700</t>
  </si>
  <si>
    <t>642</t>
  </si>
  <si>
    <t>64212</t>
  </si>
  <si>
    <t>6421200</t>
  </si>
  <si>
    <t>64221</t>
  </si>
  <si>
    <t>6422100</t>
  </si>
  <si>
    <t>64239</t>
  </si>
  <si>
    <t>6423900</t>
  </si>
  <si>
    <t>64247</t>
  </si>
  <si>
    <t>6424701</t>
  </si>
  <si>
    <t>6424702</t>
  </si>
  <si>
    <t>6424703</t>
  </si>
  <si>
    <t>6424704</t>
  </si>
  <si>
    <t>643</t>
  </si>
  <si>
    <t>64310</t>
  </si>
  <si>
    <t>6431000</t>
  </si>
  <si>
    <t>64328</t>
  </si>
  <si>
    <t>6432800</t>
  </si>
  <si>
    <t>64336</t>
  </si>
  <si>
    <t>6433600</t>
  </si>
  <si>
    <t>64344</t>
  </si>
  <si>
    <t>6434400</t>
  </si>
  <si>
    <t>64352</t>
  </si>
  <si>
    <t>6435201</t>
  </si>
  <si>
    <t>6435202</t>
  </si>
  <si>
    <t>6435203</t>
  </si>
  <si>
    <t>64361</t>
  </si>
  <si>
    <t>6436100</t>
  </si>
  <si>
    <t>64379</t>
  </si>
  <si>
    <t>6437900</t>
  </si>
  <si>
    <t>64387</t>
  </si>
  <si>
    <t>6438701</t>
  </si>
  <si>
    <t>6438799</t>
  </si>
  <si>
    <t>644</t>
  </si>
  <si>
    <t>64409</t>
  </si>
  <si>
    <t>6440900</t>
  </si>
  <si>
    <t>645</t>
  </si>
  <si>
    <t>64506</t>
  </si>
  <si>
    <t>6450600</t>
  </si>
  <si>
    <t>646</t>
  </si>
  <si>
    <t>64611</t>
  </si>
  <si>
    <t>Holdings de instituições financeiras</t>
  </si>
  <si>
    <t>6461100</t>
  </si>
  <si>
    <t>64620</t>
  </si>
  <si>
    <t>Holdings de instituições não financeiras</t>
  </si>
  <si>
    <t>6462000</t>
  </si>
  <si>
    <t>64638</t>
  </si>
  <si>
    <t>Outras sociedades de participação, exceto holdings</t>
  </si>
  <si>
    <t>6463800</t>
  </si>
  <si>
    <t>647</t>
  </si>
  <si>
    <t>64701</t>
  </si>
  <si>
    <t>6470101</t>
  </si>
  <si>
    <t>6470102</t>
  </si>
  <si>
    <t>6470103</t>
  </si>
  <si>
    <t>649</t>
  </si>
  <si>
    <t>64913</t>
  </si>
  <si>
    <t>Sociedades de fomento mercantil - factoring</t>
  </si>
  <si>
    <t>6491300</t>
  </si>
  <si>
    <t>64921</t>
  </si>
  <si>
    <t>6492100</t>
  </si>
  <si>
    <t>64930</t>
  </si>
  <si>
    <t>6493000</t>
  </si>
  <si>
    <t>64999</t>
  </si>
  <si>
    <t>6499901</t>
  </si>
  <si>
    <t>6499902</t>
  </si>
  <si>
    <t>6499903</t>
  </si>
  <si>
    <t>6499904</t>
  </si>
  <si>
    <t>6499905</t>
  </si>
  <si>
    <t>6499999</t>
  </si>
  <si>
    <t>65</t>
  </si>
  <si>
    <t>651</t>
  </si>
  <si>
    <t>65111</t>
  </si>
  <si>
    <t>6511101</t>
  </si>
  <si>
    <t>6511102</t>
  </si>
  <si>
    <t>65120</t>
  </si>
  <si>
    <t>6512000</t>
  </si>
  <si>
    <t>652</t>
  </si>
  <si>
    <t>65201</t>
  </si>
  <si>
    <t>6520100</t>
  </si>
  <si>
    <t>653</t>
  </si>
  <si>
    <t>65308</t>
  </si>
  <si>
    <t>6530800</t>
  </si>
  <si>
    <t>654</t>
  </si>
  <si>
    <t>65413</t>
  </si>
  <si>
    <t>6541300</t>
  </si>
  <si>
    <t>65421</t>
  </si>
  <si>
    <t>6542100</t>
  </si>
  <si>
    <t>655</t>
  </si>
  <si>
    <t>65502</t>
  </si>
  <si>
    <t>6550200</t>
  </si>
  <si>
    <t>66</t>
  </si>
  <si>
    <t>661</t>
  </si>
  <si>
    <t>66118</t>
  </si>
  <si>
    <t>6611801</t>
  </si>
  <si>
    <t>6611802</t>
  </si>
  <si>
    <t>6611803</t>
  </si>
  <si>
    <t>6611804</t>
  </si>
  <si>
    <t>66126</t>
  </si>
  <si>
    <t>6612601</t>
  </si>
  <si>
    <t>6612602</t>
  </si>
  <si>
    <t>6612603</t>
  </si>
  <si>
    <t>6612604</t>
  </si>
  <si>
    <t>6612605</t>
  </si>
  <si>
    <t>66134</t>
  </si>
  <si>
    <t>6613400</t>
  </si>
  <si>
    <t>66193</t>
  </si>
  <si>
    <t>6619301</t>
  </si>
  <si>
    <t>6619302</t>
  </si>
  <si>
    <t>6619303</t>
  </si>
  <si>
    <t>6619304</t>
  </si>
  <si>
    <t>6619305</t>
  </si>
  <si>
    <t>6619399</t>
  </si>
  <si>
    <t>662</t>
  </si>
  <si>
    <t>66215</t>
  </si>
  <si>
    <t>6621501</t>
  </si>
  <si>
    <t>6621502</t>
  </si>
  <si>
    <t>66223</t>
  </si>
  <si>
    <t>6622300</t>
  </si>
  <si>
    <t>66291</t>
  </si>
  <si>
    <t>6629100</t>
  </si>
  <si>
    <t>663</t>
  </si>
  <si>
    <t>66304</t>
  </si>
  <si>
    <t>6630400</t>
  </si>
  <si>
    <t>L</t>
  </si>
  <si>
    <t>68</t>
  </si>
  <si>
    <t>681</t>
  </si>
  <si>
    <t>68102</t>
  </si>
  <si>
    <t>6810201</t>
  </si>
  <si>
    <t>6810202</t>
  </si>
  <si>
    <t>6810203</t>
  </si>
  <si>
    <t>682</t>
  </si>
  <si>
    <t>68218</t>
  </si>
  <si>
    <t>6821801</t>
  </si>
  <si>
    <t>6821802</t>
  </si>
  <si>
    <t>68226</t>
  </si>
  <si>
    <t>6822600</t>
  </si>
  <si>
    <t>M</t>
  </si>
  <si>
    <t>69</t>
  </si>
  <si>
    <t>691</t>
  </si>
  <si>
    <t>69117</t>
  </si>
  <si>
    <t>6911701</t>
  </si>
  <si>
    <t>6911702</t>
  </si>
  <si>
    <t>6911703</t>
  </si>
  <si>
    <t>69125</t>
  </si>
  <si>
    <t>6912500</t>
  </si>
  <si>
    <t>692</t>
  </si>
  <si>
    <t>69206</t>
  </si>
  <si>
    <t>6920601</t>
  </si>
  <si>
    <t>6920602</t>
  </si>
  <si>
    <t>70</t>
  </si>
  <si>
    <t>701</t>
  </si>
  <si>
    <t>70107</t>
  </si>
  <si>
    <t>702</t>
  </si>
  <si>
    <t>70204</t>
  </si>
  <si>
    <t>7020400</t>
  </si>
  <si>
    <t>71</t>
  </si>
  <si>
    <t>711</t>
  </si>
  <si>
    <t>71111</t>
  </si>
  <si>
    <t>7111100</t>
  </si>
  <si>
    <t>71120</t>
  </si>
  <si>
    <t>7112000</t>
  </si>
  <si>
    <t>71197</t>
  </si>
  <si>
    <t>7119701</t>
  </si>
  <si>
    <t>7119702</t>
  </si>
  <si>
    <t>7119703</t>
  </si>
  <si>
    <t>7119704</t>
  </si>
  <si>
    <t>7119799</t>
  </si>
  <si>
    <t>712</t>
  </si>
  <si>
    <t>71201</t>
  </si>
  <si>
    <t>7120100</t>
  </si>
  <si>
    <t>72</t>
  </si>
  <si>
    <t>721</t>
  </si>
  <si>
    <t>72100</t>
  </si>
  <si>
    <t>7210000</t>
  </si>
  <si>
    <t>722</t>
  </si>
  <si>
    <t>72207</t>
  </si>
  <si>
    <t>7220700</t>
  </si>
  <si>
    <t>73</t>
  </si>
  <si>
    <t>731</t>
  </si>
  <si>
    <t>73114</t>
  </si>
  <si>
    <t>7311400</t>
  </si>
  <si>
    <t>73122</t>
  </si>
  <si>
    <t>7312200</t>
  </si>
  <si>
    <t>73190</t>
  </si>
  <si>
    <t>7319001</t>
  </si>
  <si>
    <t>7319002</t>
  </si>
  <si>
    <t>7319003</t>
  </si>
  <si>
    <t>Marketing direto</t>
  </si>
  <si>
    <t>7319004</t>
  </si>
  <si>
    <t>7319099</t>
  </si>
  <si>
    <t>732</t>
  </si>
  <si>
    <t>73203</t>
  </si>
  <si>
    <t>7320300</t>
  </si>
  <si>
    <t>74</t>
  </si>
  <si>
    <t>741</t>
  </si>
  <si>
    <t>Design e decoração de interiores</t>
  </si>
  <si>
    <t>74102</t>
  </si>
  <si>
    <t>7410202</t>
  </si>
  <si>
    <t>Design de interiores</t>
  </si>
  <si>
    <t>7410203</t>
  </si>
  <si>
    <t>Desing de produto</t>
  </si>
  <si>
    <t>7410299</t>
  </si>
  <si>
    <t>Atividades de desing não especificadas anteriormente</t>
  </si>
  <si>
    <t>742</t>
  </si>
  <si>
    <t>74200</t>
  </si>
  <si>
    <t>7420001</t>
  </si>
  <si>
    <t>7420002</t>
  </si>
  <si>
    <t>7420003</t>
  </si>
  <si>
    <t>7420004</t>
  </si>
  <si>
    <t>7420005</t>
  </si>
  <si>
    <t>749</t>
  </si>
  <si>
    <t>74901</t>
  </si>
  <si>
    <t>7490101</t>
  </si>
  <si>
    <t>7490102</t>
  </si>
  <si>
    <t>7490103</t>
  </si>
  <si>
    <t>7490104</t>
  </si>
  <si>
    <t>7490105</t>
  </si>
  <si>
    <t>7490199</t>
  </si>
  <si>
    <t>75</t>
  </si>
  <si>
    <t>750</t>
  </si>
  <si>
    <t>75001</t>
  </si>
  <si>
    <t>7500100</t>
  </si>
  <si>
    <t>N</t>
  </si>
  <si>
    <t>77</t>
  </si>
  <si>
    <t>771</t>
  </si>
  <si>
    <t>77110</t>
  </si>
  <si>
    <t>7711000</t>
  </si>
  <si>
    <t>77195</t>
  </si>
  <si>
    <t>7719501</t>
  </si>
  <si>
    <t>7719502</t>
  </si>
  <si>
    <t>7719599</t>
  </si>
  <si>
    <t>772</t>
  </si>
  <si>
    <t>77217</t>
  </si>
  <si>
    <t>7721700</t>
  </si>
  <si>
    <t>77225</t>
  </si>
  <si>
    <t>7722500</t>
  </si>
  <si>
    <t>77233</t>
  </si>
  <si>
    <t>7723300</t>
  </si>
  <si>
    <t>77292</t>
  </si>
  <si>
    <t>7729201</t>
  </si>
  <si>
    <t>7729202</t>
  </si>
  <si>
    <t>7729203</t>
  </si>
  <si>
    <t>7729299</t>
  </si>
  <si>
    <t>773</t>
  </si>
  <si>
    <t>77314</t>
  </si>
  <si>
    <t>7731400</t>
  </si>
  <si>
    <t>77322</t>
  </si>
  <si>
    <t>7732201</t>
  </si>
  <si>
    <t>7732202</t>
  </si>
  <si>
    <t>77331</t>
  </si>
  <si>
    <t>7733100</t>
  </si>
  <si>
    <t>77390</t>
  </si>
  <si>
    <t>7739001</t>
  </si>
  <si>
    <t>7739002</t>
  </si>
  <si>
    <t>7739003</t>
  </si>
  <si>
    <t>7739099</t>
  </si>
  <si>
    <t>774</t>
  </si>
  <si>
    <t>77403</t>
  </si>
  <si>
    <t>7740300</t>
  </si>
  <si>
    <t>78</t>
  </si>
  <si>
    <t>781</t>
  </si>
  <si>
    <t>78108</t>
  </si>
  <si>
    <t>7810800</t>
  </si>
  <si>
    <t>782</t>
  </si>
  <si>
    <t>78205</t>
  </si>
  <si>
    <t>7820500</t>
  </si>
  <si>
    <t>783</t>
  </si>
  <si>
    <t>78302</t>
  </si>
  <si>
    <t>7830200</t>
  </si>
  <si>
    <t>79</t>
  </si>
  <si>
    <t>791</t>
  </si>
  <si>
    <t>79112</t>
  </si>
  <si>
    <t>7911200</t>
  </si>
  <si>
    <t>79121</t>
  </si>
  <si>
    <t>7912100</t>
  </si>
  <si>
    <t>799</t>
  </si>
  <si>
    <t>79902</t>
  </si>
  <si>
    <t>7990200</t>
  </si>
  <si>
    <t>80</t>
  </si>
  <si>
    <t>801</t>
  </si>
  <si>
    <t>80111</t>
  </si>
  <si>
    <t>8011101</t>
  </si>
  <si>
    <t>8011102</t>
  </si>
  <si>
    <t>80129</t>
  </si>
  <si>
    <t>8012900</t>
  </si>
  <si>
    <t>802</t>
  </si>
  <si>
    <t>80200</t>
  </si>
  <si>
    <t>8020001</t>
  </si>
  <si>
    <t>8020002</t>
  </si>
  <si>
    <t>803</t>
  </si>
  <si>
    <t>80307</t>
  </si>
  <si>
    <t>8030700</t>
  </si>
  <si>
    <t>81</t>
  </si>
  <si>
    <t>811</t>
  </si>
  <si>
    <t>81117</t>
  </si>
  <si>
    <t>8111700</t>
  </si>
  <si>
    <t>81125</t>
  </si>
  <si>
    <t>8112500</t>
  </si>
  <si>
    <t>812</t>
  </si>
  <si>
    <t>81214</t>
  </si>
  <si>
    <t>8121400</t>
  </si>
  <si>
    <t>81222</t>
  </si>
  <si>
    <t>8122200</t>
  </si>
  <si>
    <t>81290</t>
  </si>
  <si>
    <t>8129000</t>
  </si>
  <si>
    <t>813</t>
  </si>
  <si>
    <t>81303</t>
  </si>
  <si>
    <t>8130300</t>
  </si>
  <si>
    <t>82</t>
  </si>
  <si>
    <t>821</t>
  </si>
  <si>
    <t>82113</t>
  </si>
  <si>
    <t>8211300</t>
  </si>
  <si>
    <t>82199</t>
  </si>
  <si>
    <t>8219901</t>
  </si>
  <si>
    <t>8219999</t>
  </si>
  <si>
    <t>822</t>
  </si>
  <si>
    <t>82202</t>
  </si>
  <si>
    <t>8220200</t>
  </si>
  <si>
    <t>823</t>
  </si>
  <si>
    <t>82300</t>
  </si>
  <si>
    <t>8230001</t>
  </si>
  <si>
    <t>8230002</t>
  </si>
  <si>
    <t>829</t>
  </si>
  <si>
    <t>82911</t>
  </si>
  <si>
    <t>8291100</t>
  </si>
  <si>
    <t>82920</t>
  </si>
  <si>
    <t>8292000</t>
  </si>
  <si>
    <t>82997</t>
  </si>
  <si>
    <t>8299701</t>
  </si>
  <si>
    <t>8299702</t>
  </si>
  <si>
    <t>8299703</t>
  </si>
  <si>
    <t>8299704</t>
  </si>
  <si>
    <t>8299705</t>
  </si>
  <si>
    <t>8299706</t>
  </si>
  <si>
    <t>8299707</t>
  </si>
  <si>
    <t>8299799</t>
  </si>
  <si>
    <t>O</t>
  </si>
  <si>
    <t>84</t>
  </si>
  <si>
    <t>841</t>
  </si>
  <si>
    <t>84116</t>
  </si>
  <si>
    <t>8411600</t>
  </si>
  <si>
    <t>84124</t>
  </si>
  <si>
    <t>8412400</t>
  </si>
  <si>
    <t>84132</t>
  </si>
  <si>
    <t>8413200</t>
  </si>
  <si>
    <t>842</t>
  </si>
  <si>
    <t>84213</t>
  </si>
  <si>
    <t>8421300</t>
  </si>
  <si>
    <t>84221</t>
  </si>
  <si>
    <t>8422100</t>
  </si>
  <si>
    <t>84230</t>
  </si>
  <si>
    <t>8423000</t>
  </si>
  <si>
    <t>84248</t>
  </si>
  <si>
    <t>8424800</t>
  </si>
  <si>
    <t>84256</t>
  </si>
  <si>
    <t>8425600</t>
  </si>
  <si>
    <t>843</t>
  </si>
  <si>
    <t>84302</t>
  </si>
  <si>
    <t>8430200</t>
  </si>
  <si>
    <t>P</t>
  </si>
  <si>
    <t>85</t>
  </si>
  <si>
    <t>851</t>
  </si>
  <si>
    <t>85112</t>
  </si>
  <si>
    <t>8511200</t>
  </si>
  <si>
    <t>85121</t>
  </si>
  <si>
    <t>8512100</t>
  </si>
  <si>
    <t>85139</t>
  </si>
  <si>
    <t>8513900</t>
  </si>
  <si>
    <t>852</t>
  </si>
  <si>
    <t>85201</t>
  </si>
  <si>
    <t>8520100</t>
  </si>
  <si>
    <t>853</t>
  </si>
  <si>
    <t>85317</t>
  </si>
  <si>
    <t>8531700</t>
  </si>
  <si>
    <t>85325</t>
  </si>
  <si>
    <t>8532500</t>
  </si>
  <si>
    <t>85333</t>
  </si>
  <si>
    <t>8533300</t>
  </si>
  <si>
    <t>854</t>
  </si>
  <si>
    <t>85414</t>
  </si>
  <si>
    <t>8541400</t>
  </si>
  <si>
    <t>85422</t>
  </si>
  <si>
    <t>8542200</t>
  </si>
  <si>
    <t>855</t>
  </si>
  <si>
    <t>85503</t>
  </si>
  <si>
    <t>8550301</t>
  </si>
  <si>
    <t>8550302</t>
  </si>
  <si>
    <t>859</t>
  </si>
  <si>
    <t>85911</t>
  </si>
  <si>
    <t>8591100</t>
  </si>
  <si>
    <t>85929</t>
  </si>
  <si>
    <t>8592901</t>
  </si>
  <si>
    <t>8592902</t>
  </si>
  <si>
    <t>8592903</t>
  </si>
  <si>
    <t>8592999</t>
  </si>
  <si>
    <t>85937</t>
  </si>
  <si>
    <t>8593700</t>
  </si>
  <si>
    <t>85996</t>
  </si>
  <si>
    <t>8599601</t>
  </si>
  <si>
    <t>8599602</t>
  </si>
  <si>
    <t>8599603</t>
  </si>
  <si>
    <t>8599604</t>
  </si>
  <si>
    <t>8599605</t>
  </si>
  <si>
    <t>8599699</t>
  </si>
  <si>
    <t>Q</t>
  </si>
  <si>
    <t>86</t>
  </si>
  <si>
    <t>861</t>
  </si>
  <si>
    <t>86101</t>
  </si>
  <si>
    <t>8610101</t>
  </si>
  <si>
    <t>8610102</t>
  </si>
  <si>
    <t>862</t>
  </si>
  <si>
    <t>86216</t>
  </si>
  <si>
    <t>8621601</t>
  </si>
  <si>
    <t>8621602</t>
  </si>
  <si>
    <t>86224</t>
  </si>
  <si>
    <t>8622400</t>
  </si>
  <si>
    <t>863</t>
  </si>
  <si>
    <t>86305</t>
  </si>
  <si>
    <t>8630501</t>
  </si>
  <si>
    <t>8630502</t>
  </si>
  <si>
    <t>8630503</t>
  </si>
  <si>
    <t>8630504</t>
  </si>
  <si>
    <t>8630506</t>
  </si>
  <si>
    <t>8630507</t>
  </si>
  <si>
    <t>8630599</t>
  </si>
  <si>
    <t>864</t>
  </si>
  <si>
    <t>86402</t>
  </si>
  <si>
    <t>8640201</t>
  </si>
  <si>
    <t>8640202</t>
  </si>
  <si>
    <t>8640203</t>
  </si>
  <si>
    <t>8640204</t>
  </si>
  <si>
    <t>8640205</t>
  </si>
  <si>
    <t>8640206</t>
  </si>
  <si>
    <t>8640207</t>
  </si>
  <si>
    <t>8640208</t>
  </si>
  <si>
    <t>8640209</t>
  </si>
  <si>
    <t>8640210</t>
  </si>
  <si>
    <t>8640211</t>
  </si>
  <si>
    <t>8640212</t>
  </si>
  <si>
    <t>8640213</t>
  </si>
  <si>
    <t>8640214</t>
  </si>
  <si>
    <t>8640299</t>
  </si>
  <si>
    <t>865</t>
  </si>
  <si>
    <t>86500</t>
  </si>
  <si>
    <t>8650001</t>
  </si>
  <si>
    <t>8650002</t>
  </si>
  <si>
    <t>8650003</t>
  </si>
  <si>
    <t>8650004</t>
  </si>
  <si>
    <t>8650005</t>
  </si>
  <si>
    <t>8650006</t>
  </si>
  <si>
    <t>8650007</t>
  </si>
  <si>
    <t>8650099</t>
  </si>
  <si>
    <t>866</t>
  </si>
  <si>
    <t>86607</t>
  </si>
  <si>
    <t>8660700</t>
  </si>
  <si>
    <t>869</t>
  </si>
  <si>
    <t>86909</t>
  </si>
  <si>
    <t>8690901</t>
  </si>
  <si>
    <t>8690902</t>
  </si>
  <si>
    <t>8690903</t>
  </si>
  <si>
    <t>8690904</t>
  </si>
  <si>
    <t>8690999</t>
  </si>
  <si>
    <t>87</t>
  </si>
  <si>
    <t>871</t>
  </si>
  <si>
    <t>87115</t>
  </si>
  <si>
    <t>8711501</t>
  </si>
  <si>
    <t>8711502</t>
  </si>
  <si>
    <t>8711503</t>
  </si>
  <si>
    <t>8711504</t>
  </si>
  <si>
    <t>8711505</t>
  </si>
  <si>
    <t>87123</t>
  </si>
  <si>
    <t>8712300</t>
  </si>
  <si>
    <t>872</t>
  </si>
  <si>
    <t>87204</t>
  </si>
  <si>
    <t>8720401</t>
  </si>
  <si>
    <t>8720499</t>
  </si>
  <si>
    <t>873</t>
  </si>
  <si>
    <t>87301</t>
  </si>
  <si>
    <t>8730101</t>
  </si>
  <si>
    <t>8730102</t>
  </si>
  <si>
    <t>8730199</t>
  </si>
  <si>
    <t>88</t>
  </si>
  <si>
    <t>880</t>
  </si>
  <si>
    <t>88006</t>
  </si>
  <si>
    <t>8800600</t>
  </si>
  <si>
    <t>R</t>
  </si>
  <si>
    <t>90</t>
  </si>
  <si>
    <t>900</t>
  </si>
  <si>
    <t>90019</t>
  </si>
  <si>
    <t>9001901</t>
  </si>
  <si>
    <t>9001902</t>
  </si>
  <si>
    <t>9001903</t>
  </si>
  <si>
    <t>9001904</t>
  </si>
  <si>
    <t>9001905</t>
  </si>
  <si>
    <t>9001906</t>
  </si>
  <si>
    <t>9001999</t>
  </si>
  <si>
    <t>90027</t>
  </si>
  <si>
    <t>9002701</t>
  </si>
  <si>
    <t>9002702</t>
  </si>
  <si>
    <t>90035</t>
  </si>
  <si>
    <t>9003500</t>
  </si>
  <si>
    <t>91</t>
  </si>
  <si>
    <t>910</t>
  </si>
  <si>
    <t>91015</t>
  </si>
  <si>
    <t>9101500</t>
  </si>
  <si>
    <t>91023</t>
  </si>
  <si>
    <t>9102301</t>
  </si>
  <si>
    <t>9102302</t>
  </si>
  <si>
    <t>91031</t>
  </si>
  <si>
    <t>9103100</t>
  </si>
  <si>
    <t>92</t>
  </si>
  <si>
    <t>920</t>
  </si>
  <si>
    <t>92003</t>
  </si>
  <si>
    <t>9200301</t>
  </si>
  <si>
    <t>9200302</t>
  </si>
  <si>
    <t>9200399</t>
  </si>
  <si>
    <t>93</t>
  </si>
  <si>
    <t>931</t>
  </si>
  <si>
    <t>93115</t>
  </si>
  <si>
    <t>9311500</t>
  </si>
  <si>
    <t>93123</t>
  </si>
  <si>
    <t>9312300</t>
  </si>
  <si>
    <t>93131</t>
  </si>
  <si>
    <t>9313100</t>
  </si>
  <si>
    <t>93191</t>
  </si>
  <si>
    <t>9319101</t>
  </si>
  <si>
    <t>9319199</t>
  </si>
  <si>
    <t>932</t>
  </si>
  <si>
    <t>93212</t>
  </si>
  <si>
    <t>9321200</t>
  </si>
  <si>
    <t>93298</t>
  </si>
  <si>
    <t>9329801</t>
  </si>
  <si>
    <t>9329802</t>
  </si>
  <si>
    <t>9329803</t>
  </si>
  <si>
    <t>9329804</t>
  </si>
  <si>
    <t>9329899</t>
  </si>
  <si>
    <t>S</t>
  </si>
  <si>
    <t>941</t>
  </si>
  <si>
    <t>94111</t>
  </si>
  <si>
    <t>9411100</t>
  </si>
  <si>
    <t>94120</t>
  </si>
  <si>
    <t>9412001</t>
  </si>
  <si>
    <t>9412099</t>
  </si>
  <si>
    <t>942</t>
  </si>
  <si>
    <t>94201</t>
  </si>
  <si>
    <t>9420100</t>
  </si>
  <si>
    <t>943</t>
  </si>
  <si>
    <t>94308</t>
  </si>
  <si>
    <t>9430800</t>
  </si>
  <si>
    <t>949</t>
  </si>
  <si>
    <t>94910</t>
  </si>
  <si>
    <t>9491000</t>
  </si>
  <si>
    <t>94928</t>
  </si>
  <si>
    <t>9492800</t>
  </si>
  <si>
    <t>94936</t>
  </si>
  <si>
    <t>9493600</t>
  </si>
  <si>
    <t>94995</t>
  </si>
  <si>
    <t>9499500</t>
  </si>
  <si>
    <t>951</t>
  </si>
  <si>
    <t>95118</t>
  </si>
  <si>
    <t>9511800</t>
  </si>
  <si>
    <t>95126</t>
  </si>
  <si>
    <t>9512600</t>
  </si>
  <si>
    <t>952</t>
  </si>
  <si>
    <t>95215</t>
  </si>
  <si>
    <t>9521500</t>
  </si>
  <si>
    <t>95291</t>
  </si>
  <si>
    <t>9529101</t>
  </si>
  <si>
    <t>9529102</t>
  </si>
  <si>
    <t>9529103</t>
  </si>
  <si>
    <t>9529104</t>
  </si>
  <si>
    <t>9529105</t>
  </si>
  <si>
    <t>9529106</t>
  </si>
  <si>
    <t>9529199</t>
  </si>
  <si>
    <t>96</t>
  </si>
  <si>
    <t>960</t>
  </si>
  <si>
    <t>96017</t>
  </si>
  <si>
    <t>9601701</t>
  </si>
  <si>
    <t>9601702</t>
  </si>
  <si>
    <t>9601703</t>
  </si>
  <si>
    <t>96025</t>
  </si>
  <si>
    <t>9602501</t>
  </si>
  <si>
    <t>9602502</t>
  </si>
  <si>
    <t>96033</t>
  </si>
  <si>
    <t>9603301</t>
  </si>
  <si>
    <t>9603302</t>
  </si>
  <si>
    <t>9603303</t>
  </si>
  <si>
    <t>9603304</t>
  </si>
  <si>
    <t>9603305</t>
  </si>
  <si>
    <t>9603399</t>
  </si>
  <si>
    <t>96092</t>
  </si>
  <si>
    <t>9609202</t>
  </si>
  <si>
    <t>9609204</t>
  </si>
  <si>
    <t>9609205</t>
  </si>
  <si>
    <t>9609206</t>
  </si>
  <si>
    <t>Serviços de tatuagem e colocação de piercing</t>
  </si>
  <si>
    <t>9609207</t>
  </si>
  <si>
    <t>9609208</t>
  </si>
  <si>
    <t>9609299</t>
  </si>
  <si>
    <t>T</t>
  </si>
  <si>
    <t>97</t>
  </si>
  <si>
    <t>970</t>
  </si>
  <si>
    <t>97005</t>
  </si>
  <si>
    <t>9700500</t>
  </si>
  <si>
    <t>U</t>
  </si>
  <si>
    <t>99</t>
  </si>
  <si>
    <t>990</t>
  </si>
  <si>
    <t>99008</t>
  </si>
  <si>
    <t>e_obj4</t>
  </si>
  <si>
    <t>com_agr</t>
  </si>
  <si>
    <t>com_min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</si>
</sst>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DD67-2500-494A-947B-CD03E453765E}">
  <dimension ref="A1:N1332"/>
  <sheetViews>
    <sheetView tabSelected="1" topLeftCell="H1" workbookViewId="0">
      <selection activeCell="J4" sqref="J4"/>
    </sheetView>
  </sheetViews>
  <sheetFormatPr defaultRowHeight="15" x14ac:dyDescent="0.25"/>
  <cols>
    <col min="6" max="6" width="70.140625" bestFit="1" customWidth="1"/>
    <col min="7" max="7" width="49.5703125" customWidth="1"/>
    <col min="8" max="8" width="35.42578125" customWidth="1"/>
    <col min="9" max="9" width="70.5703125" customWidth="1"/>
    <col min="10" max="10" width="76.5703125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5</v>
      </c>
      <c r="L1" t="s">
        <v>4262</v>
      </c>
      <c r="M1" t="s">
        <v>4263</v>
      </c>
      <c r="N1" t="s">
        <v>4264</v>
      </c>
    </row>
    <row r="2" spans="1:14" x14ac:dyDescent="0.25">
      <c r="A2" t="s">
        <v>1863</v>
      </c>
      <c r="B2" t="s">
        <v>1865</v>
      </c>
      <c r="C2" t="s">
        <v>1866</v>
      </c>
      <c r="D2" t="s">
        <v>1867</v>
      </c>
      <c r="E2" t="s">
        <v>1868</v>
      </c>
      <c r="F2" t="str">
        <f>VLOOKUP(A2,Base!$A:$F,6,FALSE)</f>
        <v>AGRICULTURA, PECUÁRIA, PRODUÇÃO FLORESTAL, PESCA E AQUICULTURA</v>
      </c>
      <c r="G2" t="str">
        <f>VLOOKUP(B2,Base!$B:$F,5,FALSE)</f>
        <v>AGRICULTURA, PECUÁRIA E SERVIÇOS RELACIONADOS</v>
      </c>
      <c r="H2" t="str">
        <f>VLOOKUP(C2,Base!$C:$F,4,FALSE)</f>
        <v>Produção de lavouras temporárias</v>
      </c>
      <c r="I2" t="str">
        <f>VLOOKUP(D2,Base!$D:$F,3,FALSE)</f>
        <v>Cultivo de cereais</v>
      </c>
      <c r="J2" t="str">
        <f>VLOOKUP(E2,Base!$E:$F,2,FALSE)</f>
        <v>Cultivo de arroz</v>
      </c>
      <c r="K2" t="s">
        <v>1868</v>
      </c>
      <c r="L2">
        <f>IFERROR(VLOOKUP($K2,Base_Atividades!$E$1:$N$2398,MATCH(BancoAjustado!L$1,Base_Atividades!$E$1:$N$1,0),FALSE),0)</f>
        <v>1</v>
      </c>
      <c r="M2">
        <f>IFERROR(VLOOKUP($K2,Base_Atividades!$E$1:$N$2398,MATCH(BancoAjustado!M$1,Base_Atividades!$E$1:$N$1,0),FALSE),0)</f>
        <v>0</v>
      </c>
      <c r="N2">
        <f>IFERROR(VLOOKUP($K2,Base_Atividades!$E$1:$N$2398,MATCH(BancoAjustado!N$1,Base_Atividades!$E$1:$N$1,0),FALSE),0)</f>
        <v>0</v>
      </c>
    </row>
    <row r="3" spans="1:14" x14ac:dyDescent="0.25">
      <c r="A3" t="s">
        <v>1863</v>
      </c>
      <c r="B3" t="s">
        <v>1865</v>
      </c>
      <c r="C3" t="s">
        <v>1866</v>
      </c>
      <c r="D3" t="s">
        <v>1867</v>
      </c>
      <c r="E3" t="s">
        <v>1869</v>
      </c>
      <c r="F3" t="str">
        <f>VLOOKUP(A3,Base!$A:$F,6,FALSE)</f>
        <v>AGRICULTURA, PECUÁRIA, PRODUÇÃO FLORESTAL, PESCA E AQUICULTURA</v>
      </c>
      <c r="G3" t="str">
        <f>VLOOKUP(B3,Base!$B:$F,5,FALSE)</f>
        <v>AGRICULTURA, PECUÁRIA E SERVIÇOS RELACIONADOS</v>
      </c>
      <c r="H3" t="str">
        <f>VLOOKUP(C3,Base!$C:$F,4,FALSE)</f>
        <v>Produção de lavouras temporárias</v>
      </c>
      <c r="I3" t="str">
        <f>VLOOKUP(D3,Base!$D:$F,3,FALSE)</f>
        <v>Cultivo de cereais</v>
      </c>
      <c r="J3" t="str">
        <f>VLOOKUP(E3,Base!$E:$F,2,FALSE)</f>
        <v>Cultivo de milho</v>
      </c>
      <c r="K3" t="s">
        <v>1869</v>
      </c>
      <c r="L3">
        <f>IFERROR(VLOOKUP($K3,Base_Atividades!$E$1:$N$2398,MATCH(BancoAjustado!L$1,Base_Atividades!$E$1:$N$1,0),FALSE),0)</f>
        <v>0</v>
      </c>
      <c r="M3">
        <f>IFERROR(VLOOKUP($K3,Base_Atividades!$E$1:$N$2398,MATCH(BancoAjustado!M$1,Base_Atividades!$E$1:$N$1,0),FALSE),0)</f>
        <v>1</v>
      </c>
      <c r="N3">
        <f>IFERROR(VLOOKUP($K3,Base_Atividades!$E$1:$N$2398,MATCH(BancoAjustado!N$1,Base_Atividades!$E$1:$N$1,0),FALSE),0)</f>
        <v>0</v>
      </c>
    </row>
    <row r="4" spans="1:14" x14ac:dyDescent="0.25">
      <c r="A4" t="s">
        <v>1863</v>
      </c>
      <c r="B4" t="s">
        <v>1865</v>
      </c>
      <c r="C4" t="s">
        <v>1866</v>
      </c>
      <c r="D4" t="s">
        <v>1867</v>
      </c>
      <c r="E4" t="s">
        <v>1870</v>
      </c>
      <c r="F4" t="str">
        <f>VLOOKUP(A4,Base!$A:$F,6,FALSE)</f>
        <v>AGRICULTURA, PECUÁRIA, PRODUÇÃO FLORESTAL, PESCA E AQUICULTURA</v>
      </c>
      <c r="G4" t="str">
        <f>VLOOKUP(B4,Base!$B:$F,5,FALSE)</f>
        <v>AGRICULTURA, PECUÁRIA E SERVIÇOS RELACIONADOS</v>
      </c>
      <c r="H4" t="str">
        <f>VLOOKUP(C4,Base!$C:$F,4,FALSE)</f>
        <v>Produção de lavouras temporárias</v>
      </c>
      <c r="I4" t="str">
        <f>VLOOKUP(D4,Base!$D:$F,3,FALSE)</f>
        <v>Cultivo de cereais</v>
      </c>
      <c r="J4" t="str">
        <f>VLOOKUP(E4,Base!$E:$F,2,FALSE)</f>
        <v>Cultivo de trigo</v>
      </c>
      <c r="K4" t="s">
        <v>1870</v>
      </c>
      <c r="L4">
        <f>IFERROR(VLOOKUP($K4,Base_Atividades!$E$1:$N$2398,MATCH(BancoAjustado!L$1,Base_Atividades!$E$1:$N$1,0),FALSE),0)</f>
        <v>0</v>
      </c>
      <c r="M4">
        <f>IFERROR(VLOOKUP($K4,Base_Atividades!$E$1:$N$2398,MATCH(BancoAjustado!M$1,Base_Atividades!$E$1:$N$1,0),FALSE),0)</f>
        <v>1</v>
      </c>
      <c r="N4">
        <f>IFERROR(VLOOKUP($K4,Base_Atividades!$E$1:$N$2398,MATCH(BancoAjustado!N$1,Base_Atividades!$E$1:$N$1,0),FALSE),0)</f>
        <v>0</v>
      </c>
    </row>
    <row r="5" spans="1:14" x14ac:dyDescent="0.25">
      <c r="A5" t="s">
        <v>1863</v>
      </c>
      <c r="B5" t="s">
        <v>1865</v>
      </c>
      <c r="C5" t="s">
        <v>1866</v>
      </c>
      <c r="D5" t="s">
        <v>1867</v>
      </c>
      <c r="E5" t="s">
        <v>1871</v>
      </c>
      <c r="F5" t="str">
        <f>VLOOKUP(A5,Base!$A:$F,6,FALSE)</f>
        <v>AGRICULTURA, PECUÁRIA, PRODUÇÃO FLORESTAL, PESCA E AQUICULTURA</v>
      </c>
      <c r="G5" t="str">
        <f>VLOOKUP(B5,Base!$B:$F,5,FALSE)</f>
        <v>AGRICULTURA, PECUÁRIA E SERVIÇOS RELACIONADOS</v>
      </c>
      <c r="H5" t="str">
        <f>VLOOKUP(C5,Base!$C:$F,4,FALSE)</f>
        <v>Produção de lavouras temporárias</v>
      </c>
      <c r="I5" t="str">
        <f>VLOOKUP(D5,Base!$D:$F,3,FALSE)</f>
        <v>Cultivo de cereais</v>
      </c>
      <c r="J5" t="str">
        <f>VLOOKUP(E5,Base!$E:$F,2,FALSE)</f>
        <v>Cultivo de outros cereais não especificados anteriormente</v>
      </c>
      <c r="K5" t="s">
        <v>1871</v>
      </c>
      <c r="L5">
        <f>IFERROR(VLOOKUP($K5,Base_Atividades!$E$1:$N$2398,MATCH(BancoAjustado!L$1,Base_Atividades!$E$1:$N$1,0),FALSE),0)</f>
        <v>1</v>
      </c>
      <c r="M5">
        <f>IFERROR(VLOOKUP($K5,Base_Atividades!$E$1:$N$2398,MATCH(BancoAjustado!M$1,Base_Atividades!$E$1:$N$1,0),FALSE),0)</f>
        <v>0</v>
      </c>
      <c r="N5">
        <f>IFERROR(VLOOKUP($K5,Base_Atividades!$E$1:$N$2398,MATCH(BancoAjustado!N$1,Base_Atividades!$E$1:$N$1,0),FALSE),0)</f>
        <v>0</v>
      </c>
    </row>
    <row r="6" spans="1:14" x14ac:dyDescent="0.25">
      <c r="A6" t="s">
        <v>1863</v>
      </c>
      <c r="B6" t="s">
        <v>1865</v>
      </c>
      <c r="C6" t="s">
        <v>1866</v>
      </c>
      <c r="D6" t="s">
        <v>1872</v>
      </c>
      <c r="E6" t="s">
        <v>1873</v>
      </c>
      <c r="F6" t="str">
        <f>VLOOKUP(A6,Base!$A:$F,6,FALSE)</f>
        <v>AGRICULTURA, PECUÁRIA, PRODUÇÃO FLORESTAL, PESCA E AQUICULTURA</v>
      </c>
      <c r="G6" t="str">
        <f>VLOOKUP(B6,Base!$B:$F,5,FALSE)</f>
        <v>AGRICULTURA, PECUÁRIA E SERVIÇOS RELACIONADOS</v>
      </c>
      <c r="H6" t="str">
        <f>VLOOKUP(C6,Base!$C:$F,4,FALSE)</f>
        <v>Produção de lavouras temporárias</v>
      </c>
      <c r="I6" t="str">
        <f>VLOOKUP(D6,Base!$D:$F,3,FALSE)</f>
        <v>Cultivo de algodão herbáceo e de outras fibras de lavoura temporária</v>
      </c>
      <c r="J6" t="str">
        <f>VLOOKUP(E6,Base!$E:$F,2,FALSE)</f>
        <v>Cultivo de algodão herbáceo</v>
      </c>
      <c r="K6" t="s">
        <v>1873</v>
      </c>
      <c r="L6">
        <f>IFERROR(VLOOKUP($K6,Base_Atividades!$E$1:$N$2398,MATCH(BancoAjustado!L$1,Base_Atividades!$E$1:$N$1,0),FALSE),0)</f>
        <v>0</v>
      </c>
      <c r="M6">
        <f>IFERROR(VLOOKUP($K6,Base_Atividades!$E$1:$N$2398,MATCH(BancoAjustado!M$1,Base_Atividades!$E$1:$N$1,0),FALSE),0)</f>
        <v>1</v>
      </c>
      <c r="N6">
        <f>IFERROR(VLOOKUP($K6,Base_Atividades!$E$1:$N$2398,MATCH(BancoAjustado!N$1,Base_Atividades!$E$1:$N$1,0),FALSE),0)</f>
        <v>0</v>
      </c>
    </row>
    <row r="7" spans="1:14" x14ac:dyDescent="0.25">
      <c r="A7" t="s">
        <v>1863</v>
      </c>
      <c r="B7" t="s">
        <v>1865</v>
      </c>
      <c r="C7" t="s">
        <v>1866</v>
      </c>
      <c r="D7" t="s">
        <v>1872</v>
      </c>
      <c r="E7" t="s">
        <v>1874</v>
      </c>
      <c r="F7" t="str">
        <f>VLOOKUP(A7,Base!$A:$F,6,FALSE)</f>
        <v>AGRICULTURA, PECUÁRIA, PRODUÇÃO FLORESTAL, PESCA E AQUICULTURA</v>
      </c>
      <c r="G7" t="str">
        <f>VLOOKUP(B7,Base!$B:$F,5,FALSE)</f>
        <v>AGRICULTURA, PECUÁRIA E SERVIÇOS RELACIONADOS</v>
      </c>
      <c r="H7" t="str">
        <f>VLOOKUP(C7,Base!$C:$F,4,FALSE)</f>
        <v>Produção de lavouras temporárias</v>
      </c>
      <c r="I7" t="str">
        <f>VLOOKUP(D7,Base!$D:$F,3,FALSE)</f>
        <v>Cultivo de algodão herbáceo e de outras fibras de lavoura temporária</v>
      </c>
      <c r="J7" t="str">
        <f>VLOOKUP(E7,Base!$E:$F,2,FALSE)</f>
        <v>Cultivo de juta</v>
      </c>
      <c r="K7" t="s">
        <v>1874</v>
      </c>
      <c r="L7">
        <f>IFERROR(VLOOKUP($K7,Base_Atividades!$E$1:$N$2398,MATCH(BancoAjustado!L$1,Base_Atividades!$E$1:$N$1,0),FALSE),0)</f>
        <v>1</v>
      </c>
      <c r="M7">
        <f>IFERROR(VLOOKUP($K7,Base_Atividades!$E$1:$N$2398,MATCH(BancoAjustado!M$1,Base_Atividades!$E$1:$N$1,0),FALSE),0)</f>
        <v>0</v>
      </c>
      <c r="N7">
        <f>IFERROR(VLOOKUP($K7,Base_Atividades!$E$1:$N$2398,MATCH(BancoAjustado!N$1,Base_Atividades!$E$1:$N$1,0),FALSE),0)</f>
        <v>0</v>
      </c>
    </row>
    <row r="8" spans="1:14" x14ac:dyDescent="0.25">
      <c r="A8" t="s">
        <v>1863</v>
      </c>
      <c r="B8" t="s">
        <v>1865</v>
      </c>
      <c r="C8" t="s">
        <v>1866</v>
      </c>
      <c r="D8" t="s">
        <v>1872</v>
      </c>
      <c r="E8" t="s">
        <v>1875</v>
      </c>
      <c r="F8" t="str">
        <f>VLOOKUP(A8,Base!$A:$F,6,FALSE)</f>
        <v>AGRICULTURA, PECUÁRIA, PRODUÇÃO FLORESTAL, PESCA E AQUICULTURA</v>
      </c>
      <c r="G8" t="str">
        <f>VLOOKUP(B8,Base!$B:$F,5,FALSE)</f>
        <v>AGRICULTURA, PECUÁRIA E SERVIÇOS RELACIONADOS</v>
      </c>
      <c r="H8" t="str">
        <f>VLOOKUP(C8,Base!$C:$F,4,FALSE)</f>
        <v>Produção de lavouras temporárias</v>
      </c>
      <c r="I8" t="str">
        <f>VLOOKUP(D8,Base!$D:$F,3,FALSE)</f>
        <v>Cultivo de algodão herbáceo e de outras fibras de lavoura temporária</v>
      </c>
      <c r="J8" t="str">
        <f>VLOOKUP(E8,Base!$E:$F,2,FALSE)</f>
        <v>Cultivo de outras fibras de lavoura temporária não especificadas anteriormente</v>
      </c>
      <c r="K8" t="s">
        <v>1875</v>
      </c>
      <c r="L8">
        <f>IFERROR(VLOOKUP($K8,Base_Atividades!$E$1:$N$2398,MATCH(BancoAjustado!L$1,Base_Atividades!$E$1:$N$1,0),FALSE),0)</f>
        <v>1</v>
      </c>
      <c r="M8">
        <f>IFERROR(VLOOKUP($K8,Base_Atividades!$E$1:$N$2398,MATCH(BancoAjustado!M$1,Base_Atividades!$E$1:$N$1,0),FALSE),0)</f>
        <v>0</v>
      </c>
      <c r="N8">
        <f>IFERROR(VLOOKUP($K8,Base_Atividades!$E$1:$N$2398,MATCH(BancoAjustado!N$1,Base_Atividades!$E$1:$N$1,0),FALSE),0)</f>
        <v>0</v>
      </c>
    </row>
    <row r="9" spans="1:14" x14ac:dyDescent="0.25">
      <c r="A9" t="s">
        <v>1863</v>
      </c>
      <c r="B9" t="s">
        <v>1865</v>
      </c>
      <c r="C9" t="s">
        <v>1866</v>
      </c>
      <c r="D9" t="s">
        <v>1876</v>
      </c>
      <c r="E9" t="s">
        <v>1877</v>
      </c>
      <c r="F9" t="str">
        <f>VLOOKUP(A9,Base!$A:$F,6,FALSE)</f>
        <v>AGRICULTURA, PECUÁRIA, PRODUÇÃO FLORESTAL, PESCA E AQUICULTURA</v>
      </c>
      <c r="G9" t="str">
        <f>VLOOKUP(B9,Base!$B:$F,5,FALSE)</f>
        <v>AGRICULTURA, PECUÁRIA E SERVIÇOS RELACIONADOS</v>
      </c>
      <c r="H9" t="str">
        <f>VLOOKUP(C9,Base!$C:$F,4,FALSE)</f>
        <v>Produção de lavouras temporárias</v>
      </c>
      <c r="I9" t="str">
        <f>VLOOKUP(D9,Base!$D:$F,3,FALSE)</f>
        <v>Cultivo de cana-de-açúcar</v>
      </c>
      <c r="J9" t="str">
        <f>VLOOKUP(E9,Base!$E:$F,2,FALSE)</f>
        <v>Cultivo de cana-de-açúcar</v>
      </c>
      <c r="K9" t="s">
        <v>1877</v>
      </c>
      <c r="L9">
        <f>IFERROR(VLOOKUP($K9,Base_Atividades!$E$1:$N$2398,MATCH(BancoAjustado!L$1,Base_Atividades!$E$1:$N$1,0),FALSE),0)</f>
        <v>0</v>
      </c>
      <c r="M9">
        <f>IFERROR(VLOOKUP($K9,Base_Atividades!$E$1:$N$2398,MATCH(BancoAjustado!M$1,Base_Atividades!$E$1:$N$1,0),FALSE),0)</f>
        <v>1</v>
      </c>
      <c r="N9">
        <f>IFERROR(VLOOKUP($K9,Base_Atividades!$E$1:$N$2398,MATCH(BancoAjustado!N$1,Base_Atividades!$E$1:$N$1,0),FALSE),0)</f>
        <v>0</v>
      </c>
    </row>
    <row r="10" spans="1:14" x14ac:dyDescent="0.25">
      <c r="A10" t="s">
        <v>1863</v>
      </c>
      <c r="B10" t="s">
        <v>1865</v>
      </c>
      <c r="C10" t="s">
        <v>1866</v>
      </c>
      <c r="D10" t="s">
        <v>1878</v>
      </c>
      <c r="E10" t="s">
        <v>1879</v>
      </c>
      <c r="F10" t="str">
        <f>VLOOKUP(A10,Base!$A:$F,6,FALSE)</f>
        <v>AGRICULTURA, PECUÁRIA, PRODUÇÃO FLORESTAL, PESCA E AQUICULTURA</v>
      </c>
      <c r="G10" t="str">
        <f>VLOOKUP(B10,Base!$B:$F,5,FALSE)</f>
        <v>AGRICULTURA, PECUÁRIA E SERVIÇOS RELACIONADOS</v>
      </c>
      <c r="H10" t="str">
        <f>VLOOKUP(C10,Base!$C:$F,4,FALSE)</f>
        <v>Produção de lavouras temporárias</v>
      </c>
      <c r="I10" t="str">
        <f>VLOOKUP(D10,Base!$D:$F,3,FALSE)</f>
        <v>Cultivo de fumo</v>
      </c>
      <c r="J10" t="str">
        <f>VLOOKUP(E10,Base!$E:$F,2,FALSE)</f>
        <v>Cultivo de fumo</v>
      </c>
      <c r="K10" t="s">
        <v>1879</v>
      </c>
      <c r="L10">
        <f>IFERROR(VLOOKUP($K10,Base_Atividades!$E$1:$N$2398,MATCH(BancoAjustado!L$1,Base_Atividades!$E$1:$N$1,0),FALSE),0)</f>
        <v>0</v>
      </c>
      <c r="M10">
        <f>IFERROR(VLOOKUP($K10,Base_Atividades!$E$1:$N$2398,MATCH(BancoAjustado!M$1,Base_Atividades!$E$1:$N$1,0),FALSE),0)</f>
        <v>0</v>
      </c>
      <c r="N10">
        <f>IFERROR(VLOOKUP($K10,Base_Atividades!$E$1:$N$2398,MATCH(BancoAjustado!N$1,Base_Atividades!$E$1:$N$1,0),FALSE),0)</f>
        <v>0</v>
      </c>
    </row>
    <row r="11" spans="1:14" x14ac:dyDescent="0.25">
      <c r="A11" t="s">
        <v>1863</v>
      </c>
      <c r="B11" t="s">
        <v>1865</v>
      </c>
      <c r="C11" t="s">
        <v>1866</v>
      </c>
      <c r="D11" t="s">
        <v>1880</v>
      </c>
      <c r="E11" t="s">
        <v>1881</v>
      </c>
      <c r="F11" t="str">
        <f>VLOOKUP(A11,Base!$A:$F,6,FALSE)</f>
        <v>AGRICULTURA, PECUÁRIA, PRODUÇÃO FLORESTAL, PESCA E AQUICULTURA</v>
      </c>
      <c r="G11" t="str">
        <f>VLOOKUP(B11,Base!$B:$F,5,FALSE)</f>
        <v>AGRICULTURA, PECUÁRIA E SERVIÇOS RELACIONADOS</v>
      </c>
      <c r="H11" t="str">
        <f>VLOOKUP(C11,Base!$C:$F,4,FALSE)</f>
        <v>Produção de lavouras temporárias</v>
      </c>
      <c r="I11" t="str">
        <f>VLOOKUP(D11,Base!$D:$F,3,FALSE)</f>
        <v>Cultivo de soja</v>
      </c>
      <c r="J11" t="str">
        <f>VLOOKUP(E11,Base!$E:$F,2,FALSE)</f>
        <v>Cultivo de soja</v>
      </c>
      <c r="K11" t="s">
        <v>1881</v>
      </c>
      <c r="L11">
        <f>IFERROR(VLOOKUP($K11,Base_Atividades!$E$1:$N$2398,MATCH(BancoAjustado!L$1,Base_Atividades!$E$1:$N$1,0),FALSE),0)</f>
        <v>0</v>
      </c>
      <c r="M11">
        <f>IFERROR(VLOOKUP($K11,Base_Atividades!$E$1:$N$2398,MATCH(BancoAjustado!M$1,Base_Atividades!$E$1:$N$1,0),FALSE),0)</f>
        <v>1</v>
      </c>
      <c r="N11">
        <f>IFERROR(VLOOKUP($K11,Base_Atividades!$E$1:$N$2398,MATCH(BancoAjustado!N$1,Base_Atividades!$E$1:$N$1,0),FALSE),0)</f>
        <v>0</v>
      </c>
    </row>
    <row r="12" spans="1:14" x14ac:dyDescent="0.25">
      <c r="A12" t="s">
        <v>1863</v>
      </c>
      <c r="B12" t="s">
        <v>1865</v>
      </c>
      <c r="C12" t="s">
        <v>1866</v>
      </c>
      <c r="D12" t="s">
        <v>1882</v>
      </c>
      <c r="E12" t="s">
        <v>1883</v>
      </c>
      <c r="F12" t="str">
        <f>VLOOKUP(A12,Base!$A:$F,6,FALSE)</f>
        <v>AGRICULTURA, PECUÁRIA, PRODUÇÃO FLORESTAL, PESCA E AQUICULTURA</v>
      </c>
      <c r="G12" t="str">
        <f>VLOOKUP(B12,Base!$B:$F,5,FALSE)</f>
        <v>AGRICULTURA, PECUÁRIA E SERVIÇOS RELACIONADOS</v>
      </c>
      <c r="H12" t="str">
        <f>VLOOKUP(C12,Base!$C:$F,4,FALSE)</f>
        <v>Produção de lavouras temporárias</v>
      </c>
      <c r="I12" t="str">
        <f>VLOOKUP(D12,Base!$D:$F,3,FALSE)</f>
        <v>Cultivo de oleaginosas de lavoura temporária, exceto soja</v>
      </c>
      <c r="J12" t="str">
        <f>VLOOKUP(E12,Base!$E:$F,2,FALSE)</f>
        <v>Cultivo de amendoim</v>
      </c>
      <c r="K12" t="s">
        <v>1883</v>
      </c>
      <c r="L12">
        <f>IFERROR(VLOOKUP($K12,Base_Atividades!$E$1:$N$2398,MATCH(BancoAjustado!L$1,Base_Atividades!$E$1:$N$1,0),FALSE),0)</f>
        <v>1</v>
      </c>
      <c r="M12">
        <f>IFERROR(VLOOKUP($K12,Base_Atividades!$E$1:$N$2398,MATCH(BancoAjustado!M$1,Base_Atividades!$E$1:$N$1,0),FALSE),0)</f>
        <v>0</v>
      </c>
      <c r="N12">
        <f>IFERROR(VLOOKUP($K12,Base_Atividades!$E$1:$N$2398,MATCH(BancoAjustado!N$1,Base_Atividades!$E$1:$N$1,0),FALSE),0)</f>
        <v>0</v>
      </c>
    </row>
    <row r="13" spans="1:14" x14ac:dyDescent="0.25">
      <c r="A13" t="s">
        <v>1863</v>
      </c>
      <c r="B13" t="s">
        <v>1865</v>
      </c>
      <c r="C13" t="s">
        <v>1866</v>
      </c>
      <c r="D13" t="s">
        <v>1882</v>
      </c>
      <c r="E13" t="s">
        <v>1884</v>
      </c>
      <c r="F13" t="str">
        <f>VLOOKUP(A13,Base!$A:$F,6,FALSE)</f>
        <v>AGRICULTURA, PECUÁRIA, PRODUÇÃO FLORESTAL, PESCA E AQUICULTURA</v>
      </c>
      <c r="G13" t="str">
        <f>VLOOKUP(B13,Base!$B:$F,5,FALSE)</f>
        <v>AGRICULTURA, PECUÁRIA E SERVIÇOS RELACIONADOS</v>
      </c>
      <c r="H13" t="str">
        <f>VLOOKUP(C13,Base!$C:$F,4,FALSE)</f>
        <v>Produção de lavouras temporárias</v>
      </c>
      <c r="I13" t="str">
        <f>VLOOKUP(D13,Base!$D:$F,3,FALSE)</f>
        <v>Cultivo de oleaginosas de lavoura temporária, exceto soja</v>
      </c>
      <c r="J13" t="str">
        <f>VLOOKUP(E13,Base!$E:$F,2,FALSE)</f>
        <v>Cultivo de girassol</v>
      </c>
      <c r="K13" t="s">
        <v>1884</v>
      </c>
      <c r="L13">
        <f>IFERROR(VLOOKUP($K13,Base_Atividades!$E$1:$N$2398,MATCH(BancoAjustado!L$1,Base_Atividades!$E$1:$N$1,0),FALSE),0)</f>
        <v>1</v>
      </c>
      <c r="M13">
        <f>IFERROR(VLOOKUP($K13,Base_Atividades!$E$1:$N$2398,MATCH(BancoAjustado!M$1,Base_Atividades!$E$1:$N$1,0),FALSE),0)</f>
        <v>0</v>
      </c>
      <c r="N13">
        <f>IFERROR(VLOOKUP($K13,Base_Atividades!$E$1:$N$2398,MATCH(BancoAjustado!N$1,Base_Atividades!$E$1:$N$1,0),FALSE),0)</f>
        <v>0</v>
      </c>
    </row>
    <row r="14" spans="1:14" x14ac:dyDescent="0.25">
      <c r="A14" t="s">
        <v>1863</v>
      </c>
      <c r="B14" t="s">
        <v>1865</v>
      </c>
      <c r="C14" t="s">
        <v>1866</v>
      </c>
      <c r="D14" t="s">
        <v>1882</v>
      </c>
      <c r="E14" t="s">
        <v>1885</v>
      </c>
      <c r="F14" t="str">
        <f>VLOOKUP(A14,Base!$A:$F,6,FALSE)</f>
        <v>AGRICULTURA, PECUÁRIA, PRODUÇÃO FLORESTAL, PESCA E AQUICULTURA</v>
      </c>
      <c r="G14" t="str">
        <f>VLOOKUP(B14,Base!$B:$F,5,FALSE)</f>
        <v>AGRICULTURA, PECUÁRIA E SERVIÇOS RELACIONADOS</v>
      </c>
      <c r="H14" t="str">
        <f>VLOOKUP(C14,Base!$C:$F,4,FALSE)</f>
        <v>Produção de lavouras temporárias</v>
      </c>
      <c r="I14" t="str">
        <f>VLOOKUP(D14,Base!$D:$F,3,FALSE)</f>
        <v>Cultivo de oleaginosas de lavoura temporária, exceto soja</v>
      </c>
      <c r="J14" t="str">
        <f>VLOOKUP(E14,Base!$E:$F,2,FALSE)</f>
        <v>Cultivo de mamona</v>
      </c>
      <c r="K14" t="s">
        <v>1885</v>
      </c>
      <c r="L14">
        <f>IFERROR(VLOOKUP($K14,Base_Atividades!$E$1:$N$2398,MATCH(BancoAjustado!L$1,Base_Atividades!$E$1:$N$1,0),FALSE),0)</f>
        <v>1</v>
      </c>
      <c r="M14">
        <f>IFERROR(VLOOKUP($K14,Base_Atividades!$E$1:$N$2398,MATCH(BancoAjustado!M$1,Base_Atividades!$E$1:$N$1,0),FALSE),0)</f>
        <v>0</v>
      </c>
      <c r="N14">
        <f>IFERROR(VLOOKUP($K14,Base_Atividades!$E$1:$N$2398,MATCH(BancoAjustado!N$1,Base_Atividades!$E$1:$N$1,0),FALSE),0)</f>
        <v>0</v>
      </c>
    </row>
    <row r="15" spans="1:14" x14ac:dyDescent="0.25">
      <c r="A15" t="s">
        <v>1863</v>
      </c>
      <c r="B15" t="s">
        <v>1865</v>
      </c>
      <c r="C15" t="s">
        <v>1866</v>
      </c>
      <c r="D15" t="s">
        <v>1882</v>
      </c>
      <c r="E15" t="s">
        <v>1886</v>
      </c>
      <c r="F15" t="str">
        <f>VLOOKUP(A15,Base!$A:$F,6,FALSE)</f>
        <v>AGRICULTURA, PECUÁRIA, PRODUÇÃO FLORESTAL, PESCA E AQUICULTURA</v>
      </c>
      <c r="G15" t="str">
        <f>VLOOKUP(B15,Base!$B:$F,5,FALSE)</f>
        <v>AGRICULTURA, PECUÁRIA E SERVIÇOS RELACIONADOS</v>
      </c>
      <c r="H15" t="str">
        <f>VLOOKUP(C15,Base!$C:$F,4,FALSE)</f>
        <v>Produção de lavouras temporárias</v>
      </c>
      <c r="I15" t="str">
        <f>VLOOKUP(D15,Base!$D:$F,3,FALSE)</f>
        <v>Cultivo de oleaginosas de lavoura temporária, exceto soja</v>
      </c>
      <c r="J15" t="str">
        <f>VLOOKUP(E15,Base!$E:$F,2,FALSE)</f>
        <v>Cultivo de outras oleaginosas de lavoura temporária não especificadas anteriormente</v>
      </c>
      <c r="K15" t="s">
        <v>1886</v>
      </c>
      <c r="L15">
        <f>IFERROR(VLOOKUP($K15,Base_Atividades!$E$1:$N$2398,MATCH(BancoAjustado!L$1,Base_Atividades!$E$1:$N$1,0),FALSE),0)</f>
        <v>1</v>
      </c>
      <c r="M15">
        <f>IFERROR(VLOOKUP($K15,Base_Atividades!$E$1:$N$2398,MATCH(BancoAjustado!M$1,Base_Atividades!$E$1:$N$1,0),FALSE),0)</f>
        <v>0</v>
      </c>
      <c r="N15">
        <f>IFERROR(VLOOKUP($K15,Base_Atividades!$E$1:$N$2398,MATCH(BancoAjustado!N$1,Base_Atividades!$E$1:$N$1,0),FALSE),0)</f>
        <v>0</v>
      </c>
    </row>
    <row r="16" spans="1:14" x14ac:dyDescent="0.25">
      <c r="A16" t="s">
        <v>1863</v>
      </c>
      <c r="B16" t="s">
        <v>1865</v>
      </c>
      <c r="C16" t="s">
        <v>1866</v>
      </c>
      <c r="D16" t="s">
        <v>1887</v>
      </c>
      <c r="E16" t="s">
        <v>1888</v>
      </c>
      <c r="F16" t="str">
        <f>VLOOKUP(A16,Base!$A:$F,6,FALSE)</f>
        <v>AGRICULTURA, PECUÁRIA, PRODUÇÃO FLORESTAL, PESCA E AQUICULTURA</v>
      </c>
      <c r="G16" t="str">
        <f>VLOOKUP(B16,Base!$B:$F,5,FALSE)</f>
        <v>AGRICULTURA, PECUÁRIA E SERVIÇOS RELACIONADOS</v>
      </c>
      <c r="H16" t="str">
        <f>VLOOKUP(C16,Base!$C:$F,4,FALSE)</f>
        <v>Produção de lavouras temporárias</v>
      </c>
      <c r="I16" t="str">
        <f>VLOOKUP(D16,Base!$D:$F,3,FALSE)</f>
        <v>Cultivo de plantas de lavoura temporária não especificadas anteriormente</v>
      </c>
      <c r="J16" t="str">
        <f>VLOOKUP(E16,Base!$E:$F,2,FALSE)</f>
        <v>Cultivo de abacaxi</v>
      </c>
      <c r="K16" t="s">
        <v>1888</v>
      </c>
      <c r="L16">
        <f>IFERROR(VLOOKUP($K16,Base_Atividades!$E$1:$N$2398,MATCH(BancoAjustado!L$1,Base_Atividades!$E$1:$N$1,0),FALSE),0)</f>
        <v>1</v>
      </c>
      <c r="M16">
        <f>IFERROR(VLOOKUP($K16,Base_Atividades!$E$1:$N$2398,MATCH(BancoAjustado!M$1,Base_Atividades!$E$1:$N$1,0),FALSE),0)</f>
        <v>0</v>
      </c>
      <c r="N16">
        <f>IFERROR(VLOOKUP($K16,Base_Atividades!$E$1:$N$2398,MATCH(BancoAjustado!N$1,Base_Atividades!$E$1:$N$1,0),FALSE),0)</f>
        <v>0</v>
      </c>
    </row>
    <row r="17" spans="1:14" x14ac:dyDescent="0.25">
      <c r="A17" t="s">
        <v>1863</v>
      </c>
      <c r="B17" t="s">
        <v>1865</v>
      </c>
      <c r="C17" t="s">
        <v>1866</v>
      </c>
      <c r="D17" t="s">
        <v>1887</v>
      </c>
      <c r="E17" t="s">
        <v>1889</v>
      </c>
      <c r="F17" t="str">
        <f>VLOOKUP(A17,Base!$A:$F,6,FALSE)</f>
        <v>AGRICULTURA, PECUÁRIA, PRODUÇÃO FLORESTAL, PESCA E AQUICULTURA</v>
      </c>
      <c r="G17" t="str">
        <f>VLOOKUP(B17,Base!$B:$F,5,FALSE)</f>
        <v>AGRICULTURA, PECUÁRIA E SERVIÇOS RELACIONADOS</v>
      </c>
      <c r="H17" t="str">
        <f>VLOOKUP(C17,Base!$C:$F,4,FALSE)</f>
        <v>Produção de lavouras temporárias</v>
      </c>
      <c r="I17" t="str">
        <f>VLOOKUP(D17,Base!$D:$F,3,FALSE)</f>
        <v>Cultivo de plantas de lavoura temporária não especificadas anteriormente</v>
      </c>
      <c r="J17" t="str">
        <f>VLOOKUP(E17,Base!$E:$F,2,FALSE)</f>
        <v>Cultivo de alho</v>
      </c>
      <c r="K17" t="s">
        <v>1889</v>
      </c>
      <c r="L17">
        <f>IFERROR(VLOOKUP($K17,Base_Atividades!$E$1:$N$2398,MATCH(BancoAjustado!L$1,Base_Atividades!$E$1:$N$1,0),FALSE),0)</f>
        <v>1</v>
      </c>
      <c r="M17">
        <f>IFERROR(VLOOKUP($K17,Base_Atividades!$E$1:$N$2398,MATCH(BancoAjustado!M$1,Base_Atividades!$E$1:$N$1,0),FALSE),0)</f>
        <v>0</v>
      </c>
      <c r="N17">
        <f>IFERROR(VLOOKUP($K17,Base_Atividades!$E$1:$N$2398,MATCH(BancoAjustado!N$1,Base_Atividades!$E$1:$N$1,0),FALSE),0)</f>
        <v>0</v>
      </c>
    </row>
    <row r="18" spans="1:14" x14ac:dyDescent="0.25">
      <c r="A18" t="s">
        <v>1863</v>
      </c>
      <c r="B18" t="s">
        <v>1865</v>
      </c>
      <c r="C18" t="s">
        <v>1866</v>
      </c>
      <c r="D18" t="s">
        <v>1887</v>
      </c>
      <c r="E18" t="s">
        <v>1890</v>
      </c>
      <c r="F18" t="str">
        <f>VLOOKUP(A18,Base!$A:$F,6,FALSE)</f>
        <v>AGRICULTURA, PECUÁRIA, PRODUÇÃO FLORESTAL, PESCA E AQUICULTURA</v>
      </c>
      <c r="G18" t="str">
        <f>VLOOKUP(B18,Base!$B:$F,5,FALSE)</f>
        <v>AGRICULTURA, PECUÁRIA E SERVIÇOS RELACIONADOS</v>
      </c>
      <c r="H18" t="str">
        <f>VLOOKUP(C18,Base!$C:$F,4,FALSE)</f>
        <v>Produção de lavouras temporárias</v>
      </c>
      <c r="I18" t="str">
        <f>VLOOKUP(D18,Base!$D:$F,3,FALSE)</f>
        <v>Cultivo de plantas de lavoura temporária não especificadas anteriormente</v>
      </c>
      <c r="J18" t="str">
        <f>VLOOKUP(E18,Base!$E:$F,2,FALSE)</f>
        <v>Cultivo de batata-inglesa</v>
      </c>
      <c r="K18" t="s">
        <v>1890</v>
      </c>
      <c r="L18">
        <f>IFERROR(VLOOKUP($K18,Base_Atividades!$E$1:$N$2398,MATCH(BancoAjustado!L$1,Base_Atividades!$E$1:$N$1,0),FALSE),0)</f>
        <v>1</v>
      </c>
      <c r="M18">
        <f>IFERROR(VLOOKUP($K18,Base_Atividades!$E$1:$N$2398,MATCH(BancoAjustado!M$1,Base_Atividades!$E$1:$N$1,0),FALSE),0)</f>
        <v>0</v>
      </c>
      <c r="N18">
        <f>IFERROR(VLOOKUP($K18,Base_Atividades!$E$1:$N$2398,MATCH(BancoAjustado!N$1,Base_Atividades!$E$1:$N$1,0),FALSE),0)</f>
        <v>0</v>
      </c>
    </row>
    <row r="19" spans="1:14" x14ac:dyDescent="0.25">
      <c r="A19" t="s">
        <v>1863</v>
      </c>
      <c r="B19" t="s">
        <v>1865</v>
      </c>
      <c r="C19" t="s">
        <v>1866</v>
      </c>
      <c r="D19" t="s">
        <v>1887</v>
      </c>
      <c r="E19" t="s">
        <v>1891</v>
      </c>
      <c r="F19" t="str">
        <f>VLOOKUP(A19,Base!$A:$F,6,FALSE)</f>
        <v>AGRICULTURA, PECUÁRIA, PRODUÇÃO FLORESTAL, PESCA E AQUICULTURA</v>
      </c>
      <c r="G19" t="str">
        <f>VLOOKUP(B19,Base!$B:$F,5,FALSE)</f>
        <v>AGRICULTURA, PECUÁRIA E SERVIÇOS RELACIONADOS</v>
      </c>
      <c r="H19" t="str">
        <f>VLOOKUP(C19,Base!$C:$F,4,FALSE)</f>
        <v>Produção de lavouras temporárias</v>
      </c>
      <c r="I19" t="str">
        <f>VLOOKUP(D19,Base!$D:$F,3,FALSE)</f>
        <v>Cultivo de plantas de lavoura temporária não especificadas anteriormente</v>
      </c>
      <c r="J19" t="str">
        <f>VLOOKUP(E19,Base!$E:$F,2,FALSE)</f>
        <v>Cultivo de cebola</v>
      </c>
      <c r="K19" t="s">
        <v>1891</v>
      </c>
      <c r="L19">
        <f>IFERROR(VLOOKUP($K19,Base_Atividades!$E$1:$N$2398,MATCH(BancoAjustado!L$1,Base_Atividades!$E$1:$N$1,0),FALSE),0)</f>
        <v>1</v>
      </c>
      <c r="M19">
        <f>IFERROR(VLOOKUP($K19,Base_Atividades!$E$1:$N$2398,MATCH(BancoAjustado!M$1,Base_Atividades!$E$1:$N$1,0),FALSE),0)</f>
        <v>0</v>
      </c>
      <c r="N19">
        <f>IFERROR(VLOOKUP($K19,Base_Atividades!$E$1:$N$2398,MATCH(BancoAjustado!N$1,Base_Atividades!$E$1:$N$1,0),FALSE),0)</f>
        <v>0</v>
      </c>
    </row>
    <row r="20" spans="1:14" x14ac:dyDescent="0.25">
      <c r="A20" t="s">
        <v>1863</v>
      </c>
      <c r="B20" t="s">
        <v>1865</v>
      </c>
      <c r="C20" t="s">
        <v>1866</v>
      </c>
      <c r="D20" t="s">
        <v>1887</v>
      </c>
      <c r="E20" t="s">
        <v>1892</v>
      </c>
      <c r="F20" t="str">
        <f>VLOOKUP(A20,Base!$A:$F,6,FALSE)</f>
        <v>AGRICULTURA, PECUÁRIA, PRODUÇÃO FLORESTAL, PESCA E AQUICULTURA</v>
      </c>
      <c r="G20" t="str">
        <f>VLOOKUP(B20,Base!$B:$F,5,FALSE)</f>
        <v>AGRICULTURA, PECUÁRIA E SERVIÇOS RELACIONADOS</v>
      </c>
      <c r="H20" t="str">
        <f>VLOOKUP(C20,Base!$C:$F,4,FALSE)</f>
        <v>Produção de lavouras temporárias</v>
      </c>
      <c r="I20" t="str">
        <f>VLOOKUP(D20,Base!$D:$F,3,FALSE)</f>
        <v>Cultivo de plantas de lavoura temporária não especificadas anteriormente</v>
      </c>
      <c r="J20" t="str">
        <f>VLOOKUP(E20,Base!$E:$F,2,FALSE)</f>
        <v>Cultivo de feijão</v>
      </c>
      <c r="K20" t="s">
        <v>1892</v>
      </c>
      <c r="L20">
        <f>IFERROR(VLOOKUP($K20,Base_Atividades!$E$1:$N$2398,MATCH(BancoAjustado!L$1,Base_Atividades!$E$1:$N$1,0),FALSE),0)</f>
        <v>1</v>
      </c>
      <c r="M20">
        <f>IFERROR(VLOOKUP($K20,Base_Atividades!$E$1:$N$2398,MATCH(BancoAjustado!M$1,Base_Atividades!$E$1:$N$1,0),FALSE),0)</f>
        <v>0</v>
      </c>
      <c r="N20">
        <f>IFERROR(VLOOKUP($K20,Base_Atividades!$E$1:$N$2398,MATCH(BancoAjustado!N$1,Base_Atividades!$E$1:$N$1,0),FALSE),0)</f>
        <v>0</v>
      </c>
    </row>
    <row r="21" spans="1:14" x14ac:dyDescent="0.25">
      <c r="A21" t="s">
        <v>1863</v>
      </c>
      <c r="B21" t="s">
        <v>1865</v>
      </c>
      <c r="C21" t="s">
        <v>1866</v>
      </c>
      <c r="D21" t="s">
        <v>1887</v>
      </c>
      <c r="E21" t="s">
        <v>1893</v>
      </c>
      <c r="F21" t="str">
        <f>VLOOKUP(A21,Base!$A:$F,6,FALSE)</f>
        <v>AGRICULTURA, PECUÁRIA, PRODUÇÃO FLORESTAL, PESCA E AQUICULTURA</v>
      </c>
      <c r="G21" t="str">
        <f>VLOOKUP(B21,Base!$B:$F,5,FALSE)</f>
        <v>AGRICULTURA, PECUÁRIA E SERVIÇOS RELACIONADOS</v>
      </c>
      <c r="H21" t="str">
        <f>VLOOKUP(C21,Base!$C:$F,4,FALSE)</f>
        <v>Produção de lavouras temporárias</v>
      </c>
      <c r="I21" t="str">
        <f>VLOOKUP(D21,Base!$D:$F,3,FALSE)</f>
        <v>Cultivo de plantas de lavoura temporária não especificadas anteriormente</v>
      </c>
      <c r="J21" t="str">
        <f>VLOOKUP(E21,Base!$E:$F,2,FALSE)</f>
        <v>Cultivo de mandioca</v>
      </c>
      <c r="K21" t="s">
        <v>1893</v>
      </c>
      <c r="L21">
        <f>IFERROR(VLOOKUP($K21,Base_Atividades!$E$1:$N$2398,MATCH(BancoAjustado!L$1,Base_Atividades!$E$1:$N$1,0),FALSE),0)</f>
        <v>1</v>
      </c>
      <c r="M21">
        <f>IFERROR(VLOOKUP($K21,Base_Atividades!$E$1:$N$2398,MATCH(BancoAjustado!M$1,Base_Atividades!$E$1:$N$1,0),FALSE),0)</f>
        <v>0</v>
      </c>
      <c r="N21">
        <f>IFERROR(VLOOKUP($K21,Base_Atividades!$E$1:$N$2398,MATCH(BancoAjustado!N$1,Base_Atividades!$E$1:$N$1,0),FALSE),0)</f>
        <v>0</v>
      </c>
    </row>
    <row r="22" spans="1:14" x14ac:dyDescent="0.25">
      <c r="A22" t="s">
        <v>1863</v>
      </c>
      <c r="B22" t="s">
        <v>1865</v>
      </c>
      <c r="C22" t="s">
        <v>1866</v>
      </c>
      <c r="D22" t="s">
        <v>1887</v>
      </c>
      <c r="E22" t="s">
        <v>1894</v>
      </c>
      <c r="F22" t="str">
        <f>VLOOKUP(A22,Base!$A:$F,6,FALSE)</f>
        <v>AGRICULTURA, PECUÁRIA, PRODUÇÃO FLORESTAL, PESCA E AQUICULTURA</v>
      </c>
      <c r="G22" t="str">
        <f>VLOOKUP(B22,Base!$B:$F,5,FALSE)</f>
        <v>AGRICULTURA, PECUÁRIA E SERVIÇOS RELACIONADOS</v>
      </c>
      <c r="H22" t="str">
        <f>VLOOKUP(C22,Base!$C:$F,4,FALSE)</f>
        <v>Produção de lavouras temporárias</v>
      </c>
      <c r="I22" t="str">
        <f>VLOOKUP(D22,Base!$D:$F,3,FALSE)</f>
        <v>Cultivo de plantas de lavoura temporária não especificadas anteriormente</v>
      </c>
      <c r="J22" t="str">
        <f>VLOOKUP(E22,Base!$E:$F,2,FALSE)</f>
        <v>Cultivo de melão</v>
      </c>
      <c r="K22" t="s">
        <v>1894</v>
      </c>
      <c r="L22">
        <f>IFERROR(VLOOKUP($K22,Base_Atividades!$E$1:$N$2398,MATCH(BancoAjustado!L$1,Base_Atividades!$E$1:$N$1,0),FALSE),0)</f>
        <v>1</v>
      </c>
      <c r="M22">
        <f>IFERROR(VLOOKUP($K22,Base_Atividades!$E$1:$N$2398,MATCH(BancoAjustado!M$1,Base_Atividades!$E$1:$N$1,0),FALSE),0)</f>
        <v>0</v>
      </c>
      <c r="N22">
        <f>IFERROR(VLOOKUP($K22,Base_Atividades!$E$1:$N$2398,MATCH(BancoAjustado!N$1,Base_Atividades!$E$1:$N$1,0),FALSE),0)</f>
        <v>0</v>
      </c>
    </row>
    <row r="23" spans="1:14" x14ac:dyDescent="0.25">
      <c r="A23" t="s">
        <v>1863</v>
      </c>
      <c r="B23" t="s">
        <v>1865</v>
      </c>
      <c r="C23" t="s">
        <v>1866</v>
      </c>
      <c r="D23" t="s">
        <v>1887</v>
      </c>
      <c r="E23" t="s">
        <v>1895</v>
      </c>
      <c r="F23" t="str">
        <f>VLOOKUP(A23,Base!$A:$F,6,FALSE)</f>
        <v>AGRICULTURA, PECUÁRIA, PRODUÇÃO FLORESTAL, PESCA E AQUICULTURA</v>
      </c>
      <c r="G23" t="str">
        <f>VLOOKUP(B23,Base!$B:$F,5,FALSE)</f>
        <v>AGRICULTURA, PECUÁRIA E SERVIÇOS RELACIONADOS</v>
      </c>
      <c r="H23" t="str">
        <f>VLOOKUP(C23,Base!$C:$F,4,FALSE)</f>
        <v>Produção de lavouras temporárias</v>
      </c>
      <c r="I23" t="str">
        <f>VLOOKUP(D23,Base!$D:$F,3,FALSE)</f>
        <v>Cultivo de plantas de lavoura temporária não especificadas anteriormente</v>
      </c>
      <c r="J23" t="str">
        <f>VLOOKUP(E23,Base!$E:$F,2,FALSE)</f>
        <v>Cultivo de melancia</v>
      </c>
      <c r="K23" t="s">
        <v>1895</v>
      </c>
      <c r="L23">
        <f>IFERROR(VLOOKUP($K23,Base_Atividades!$E$1:$N$2398,MATCH(BancoAjustado!L$1,Base_Atividades!$E$1:$N$1,0),FALSE),0)</f>
        <v>1</v>
      </c>
      <c r="M23">
        <f>IFERROR(VLOOKUP($K23,Base_Atividades!$E$1:$N$2398,MATCH(BancoAjustado!M$1,Base_Atividades!$E$1:$N$1,0),FALSE),0)</f>
        <v>0</v>
      </c>
      <c r="N23">
        <f>IFERROR(VLOOKUP($K23,Base_Atividades!$E$1:$N$2398,MATCH(BancoAjustado!N$1,Base_Atividades!$E$1:$N$1,0),FALSE),0)</f>
        <v>0</v>
      </c>
    </row>
    <row r="24" spans="1:14" x14ac:dyDescent="0.25">
      <c r="A24" t="s">
        <v>1863</v>
      </c>
      <c r="B24" t="s">
        <v>1865</v>
      </c>
      <c r="C24" t="s">
        <v>1866</v>
      </c>
      <c r="D24" t="s">
        <v>1887</v>
      </c>
      <c r="E24" t="s">
        <v>1896</v>
      </c>
      <c r="F24" t="str">
        <f>VLOOKUP(A24,Base!$A:$F,6,FALSE)</f>
        <v>AGRICULTURA, PECUÁRIA, PRODUÇÃO FLORESTAL, PESCA E AQUICULTURA</v>
      </c>
      <c r="G24" t="str">
        <f>VLOOKUP(B24,Base!$B:$F,5,FALSE)</f>
        <v>AGRICULTURA, PECUÁRIA E SERVIÇOS RELACIONADOS</v>
      </c>
      <c r="H24" t="str">
        <f>VLOOKUP(C24,Base!$C:$F,4,FALSE)</f>
        <v>Produção de lavouras temporárias</v>
      </c>
      <c r="I24" t="str">
        <f>VLOOKUP(D24,Base!$D:$F,3,FALSE)</f>
        <v>Cultivo de plantas de lavoura temporária não especificadas anteriormente</v>
      </c>
      <c r="J24" t="str">
        <f>VLOOKUP(E24,Base!$E:$F,2,FALSE)</f>
        <v>Cultivo de tomate rasteiro</v>
      </c>
      <c r="K24" t="s">
        <v>1896</v>
      </c>
      <c r="L24">
        <f>IFERROR(VLOOKUP($K24,Base_Atividades!$E$1:$N$2398,MATCH(BancoAjustado!L$1,Base_Atividades!$E$1:$N$1,0),FALSE),0)</f>
        <v>1</v>
      </c>
      <c r="M24">
        <f>IFERROR(VLOOKUP($K24,Base_Atividades!$E$1:$N$2398,MATCH(BancoAjustado!M$1,Base_Atividades!$E$1:$N$1,0),FALSE),0)</f>
        <v>0</v>
      </c>
      <c r="N24">
        <f>IFERROR(VLOOKUP($K24,Base_Atividades!$E$1:$N$2398,MATCH(BancoAjustado!N$1,Base_Atividades!$E$1:$N$1,0),FALSE),0)</f>
        <v>0</v>
      </c>
    </row>
    <row r="25" spans="1:14" x14ac:dyDescent="0.25">
      <c r="A25" t="s">
        <v>1863</v>
      </c>
      <c r="B25" t="s">
        <v>1865</v>
      </c>
      <c r="C25" t="s">
        <v>1866</v>
      </c>
      <c r="D25" t="s">
        <v>1887</v>
      </c>
      <c r="E25" t="s">
        <v>1897</v>
      </c>
      <c r="F25" t="str">
        <f>VLOOKUP(A25,Base!$A:$F,6,FALSE)</f>
        <v>AGRICULTURA, PECUÁRIA, PRODUÇÃO FLORESTAL, PESCA E AQUICULTURA</v>
      </c>
      <c r="G25" t="str">
        <f>VLOOKUP(B25,Base!$B:$F,5,FALSE)</f>
        <v>AGRICULTURA, PECUÁRIA E SERVIÇOS RELACIONADOS</v>
      </c>
      <c r="H25" t="str">
        <f>VLOOKUP(C25,Base!$C:$F,4,FALSE)</f>
        <v>Produção de lavouras temporárias</v>
      </c>
      <c r="I25" t="str">
        <f>VLOOKUP(D25,Base!$D:$F,3,FALSE)</f>
        <v>Cultivo de plantas de lavoura temporária não especificadas anteriormente</v>
      </c>
      <c r="J25" t="str">
        <f>VLOOKUP(E25,Base!$E:$F,2,FALSE)</f>
        <v>Cultivo de outras plantas de lavoura temporária não especificadas anteriormente</v>
      </c>
      <c r="K25" t="s">
        <v>1897</v>
      </c>
      <c r="L25">
        <f>IFERROR(VLOOKUP($K25,Base_Atividades!$E$1:$N$2398,MATCH(BancoAjustado!L$1,Base_Atividades!$E$1:$N$1,0),FALSE),0)</f>
        <v>1</v>
      </c>
      <c r="M25">
        <f>IFERROR(VLOOKUP($K25,Base_Atividades!$E$1:$N$2398,MATCH(BancoAjustado!M$1,Base_Atividades!$E$1:$N$1,0),FALSE),0)</f>
        <v>0</v>
      </c>
      <c r="N25">
        <f>IFERROR(VLOOKUP($K25,Base_Atividades!$E$1:$N$2398,MATCH(BancoAjustado!N$1,Base_Atividades!$E$1:$N$1,0),FALSE),0)</f>
        <v>0</v>
      </c>
    </row>
    <row r="26" spans="1:14" x14ac:dyDescent="0.25">
      <c r="A26" t="s">
        <v>1863</v>
      </c>
      <c r="B26" t="s">
        <v>1865</v>
      </c>
      <c r="C26" t="s">
        <v>1898</v>
      </c>
      <c r="D26" t="s">
        <v>1899</v>
      </c>
      <c r="E26" t="s">
        <v>1900</v>
      </c>
      <c r="F26" t="str">
        <f>VLOOKUP(A26,Base!$A:$F,6,FALSE)</f>
        <v>AGRICULTURA, PECUÁRIA, PRODUÇÃO FLORESTAL, PESCA E AQUICULTURA</v>
      </c>
      <c r="G26" t="str">
        <f>VLOOKUP(B26,Base!$B:$F,5,FALSE)</f>
        <v>AGRICULTURA, PECUÁRIA E SERVIÇOS RELACIONADOS</v>
      </c>
      <c r="H26" t="str">
        <f>VLOOKUP(C26,Base!$C:$F,4,FALSE)</f>
        <v>Horticultura e floricultura</v>
      </c>
      <c r="I26" t="str">
        <f>VLOOKUP(D26,Base!$D:$F,3,FALSE)</f>
        <v>Horticultura</v>
      </c>
      <c r="J26" t="str">
        <f>VLOOKUP(E26,Base!$E:$F,2,FALSE)</f>
        <v>Horticultura, exceto morango</v>
      </c>
      <c r="K26" t="s">
        <v>1900</v>
      </c>
      <c r="L26">
        <f>IFERROR(VLOOKUP($K26,Base_Atividades!$E$1:$N$2398,MATCH(BancoAjustado!L$1,Base_Atividades!$E$1:$N$1,0),FALSE),0)</f>
        <v>1</v>
      </c>
      <c r="M26">
        <f>IFERROR(VLOOKUP($K26,Base_Atividades!$E$1:$N$2398,MATCH(BancoAjustado!M$1,Base_Atividades!$E$1:$N$1,0),FALSE),0)</f>
        <v>0</v>
      </c>
      <c r="N26">
        <f>IFERROR(VLOOKUP($K26,Base_Atividades!$E$1:$N$2398,MATCH(BancoAjustado!N$1,Base_Atividades!$E$1:$N$1,0),FALSE),0)</f>
        <v>0</v>
      </c>
    </row>
    <row r="27" spans="1:14" x14ac:dyDescent="0.25">
      <c r="A27" t="s">
        <v>1863</v>
      </c>
      <c r="B27" t="s">
        <v>1865</v>
      </c>
      <c r="C27" t="s">
        <v>1898</v>
      </c>
      <c r="D27" t="s">
        <v>1899</v>
      </c>
      <c r="E27" t="s">
        <v>1901</v>
      </c>
      <c r="F27" t="str">
        <f>VLOOKUP(A27,Base!$A:$F,6,FALSE)</f>
        <v>AGRICULTURA, PECUÁRIA, PRODUÇÃO FLORESTAL, PESCA E AQUICULTURA</v>
      </c>
      <c r="G27" t="str">
        <f>VLOOKUP(B27,Base!$B:$F,5,FALSE)</f>
        <v>AGRICULTURA, PECUÁRIA E SERVIÇOS RELACIONADOS</v>
      </c>
      <c r="H27" t="str">
        <f>VLOOKUP(C27,Base!$C:$F,4,FALSE)</f>
        <v>Horticultura e floricultura</v>
      </c>
      <c r="I27" t="str">
        <f>VLOOKUP(D27,Base!$D:$F,3,FALSE)</f>
        <v>Horticultura</v>
      </c>
      <c r="J27" t="str">
        <f>VLOOKUP(E27,Base!$E:$F,2,FALSE)</f>
        <v>Cultivo de morango</v>
      </c>
      <c r="K27" t="s">
        <v>1901</v>
      </c>
      <c r="L27">
        <f>IFERROR(VLOOKUP($K27,Base_Atividades!$E$1:$N$2398,MATCH(BancoAjustado!L$1,Base_Atividades!$E$1:$N$1,0),FALSE),0)</f>
        <v>1</v>
      </c>
      <c r="M27">
        <f>IFERROR(VLOOKUP($K27,Base_Atividades!$E$1:$N$2398,MATCH(BancoAjustado!M$1,Base_Atividades!$E$1:$N$1,0),FALSE),0)</f>
        <v>0</v>
      </c>
      <c r="N27">
        <f>IFERROR(VLOOKUP($K27,Base_Atividades!$E$1:$N$2398,MATCH(BancoAjustado!N$1,Base_Atividades!$E$1:$N$1,0),FALSE),0)</f>
        <v>0</v>
      </c>
    </row>
    <row r="28" spans="1:14" x14ac:dyDescent="0.25">
      <c r="A28" t="s">
        <v>1863</v>
      </c>
      <c r="B28" t="s">
        <v>1865</v>
      </c>
      <c r="C28" t="s">
        <v>1898</v>
      </c>
      <c r="D28" t="s">
        <v>1902</v>
      </c>
      <c r="E28" t="s">
        <v>1903</v>
      </c>
      <c r="F28" t="str">
        <f>VLOOKUP(A28,Base!$A:$F,6,FALSE)</f>
        <v>AGRICULTURA, PECUÁRIA, PRODUÇÃO FLORESTAL, PESCA E AQUICULTURA</v>
      </c>
      <c r="G28" t="str">
        <f>VLOOKUP(B28,Base!$B:$F,5,FALSE)</f>
        <v>AGRICULTURA, PECUÁRIA E SERVIÇOS RELACIONADOS</v>
      </c>
      <c r="H28" t="str">
        <f>VLOOKUP(C28,Base!$C:$F,4,FALSE)</f>
        <v>Horticultura e floricultura</v>
      </c>
      <c r="I28" t="str">
        <f>VLOOKUP(D28,Base!$D:$F,3,FALSE)</f>
        <v>Cultivo de flores e plantas ornamentais</v>
      </c>
      <c r="J28" t="str">
        <f>VLOOKUP(E28,Base!$E:$F,2,FALSE)</f>
        <v>Cultivo de flores e plantas ornamentais</v>
      </c>
      <c r="K28" t="s">
        <v>1903</v>
      </c>
      <c r="L28">
        <f>IFERROR(VLOOKUP($K28,Base_Atividades!$E$1:$N$2398,MATCH(BancoAjustado!L$1,Base_Atividades!$E$1:$N$1,0),FALSE),0)</f>
        <v>1</v>
      </c>
      <c r="M28">
        <f>IFERROR(VLOOKUP($K28,Base_Atividades!$E$1:$N$2398,MATCH(BancoAjustado!M$1,Base_Atividades!$E$1:$N$1,0),FALSE),0)</f>
        <v>0</v>
      </c>
      <c r="N28">
        <f>IFERROR(VLOOKUP($K28,Base_Atividades!$E$1:$N$2398,MATCH(BancoAjustado!N$1,Base_Atividades!$E$1:$N$1,0),FALSE),0)</f>
        <v>0</v>
      </c>
    </row>
    <row r="29" spans="1:14" x14ac:dyDescent="0.25">
      <c r="A29" t="s">
        <v>1863</v>
      </c>
      <c r="B29" t="s">
        <v>1865</v>
      </c>
      <c r="C29" t="s">
        <v>1904</v>
      </c>
      <c r="D29" t="s">
        <v>1905</v>
      </c>
      <c r="E29" t="s">
        <v>1906</v>
      </c>
      <c r="F29" t="str">
        <f>VLOOKUP(A29,Base!$A:$F,6,FALSE)</f>
        <v>AGRICULTURA, PECUÁRIA, PRODUÇÃO FLORESTAL, PESCA E AQUICULTURA</v>
      </c>
      <c r="G29" t="str">
        <f>VLOOKUP(B29,Base!$B:$F,5,FALSE)</f>
        <v>AGRICULTURA, PECUÁRIA E SERVIÇOS RELACIONADOS</v>
      </c>
      <c r="H29" t="str">
        <f>VLOOKUP(C29,Base!$C:$F,4,FALSE)</f>
        <v>Produção de lavouras permanentes</v>
      </c>
      <c r="I29" t="str">
        <f>VLOOKUP(D29,Base!$D:$F,3,FALSE)</f>
        <v>Cultivo de laranja</v>
      </c>
      <c r="J29" t="str">
        <f>VLOOKUP(E29,Base!$E:$F,2,FALSE)</f>
        <v>Cultivo de laranja</v>
      </c>
      <c r="K29" t="s">
        <v>1906</v>
      </c>
      <c r="L29">
        <f>IFERROR(VLOOKUP($K29,Base_Atividades!$E$1:$N$2398,MATCH(BancoAjustado!L$1,Base_Atividades!$E$1:$N$1,0),FALSE),0)</f>
        <v>1</v>
      </c>
      <c r="M29">
        <f>IFERROR(VLOOKUP($K29,Base_Atividades!$E$1:$N$2398,MATCH(BancoAjustado!M$1,Base_Atividades!$E$1:$N$1,0),FALSE),0)</f>
        <v>0</v>
      </c>
      <c r="N29">
        <f>IFERROR(VLOOKUP($K29,Base_Atividades!$E$1:$N$2398,MATCH(BancoAjustado!N$1,Base_Atividades!$E$1:$N$1,0),FALSE),0)</f>
        <v>0</v>
      </c>
    </row>
    <row r="30" spans="1:14" x14ac:dyDescent="0.25">
      <c r="A30" t="s">
        <v>1863</v>
      </c>
      <c r="B30" t="s">
        <v>1865</v>
      </c>
      <c r="C30" t="s">
        <v>1904</v>
      </c>
      <c r="D30" t="s">
        <v>1907</v>
      </c>
      <c r="E30" t="s">
        <v>1908</v>
      </c>
      <c r="F30" t="str">
        <f>VLOOKUP(A30,Base!$A:$F,6,FALSE)</f>
        <v>AGRICULTURA, PECUÁRIA, PRODUÇÃO FLORESTAL, PESCA E AQUICULTURA</v>
      </c>
      <c r="G30" t="str">
        <f>VLOOKUP(B30,Base!$B:$F,5,FALSE)</f>
        <v>AGRICULTURA, PECUÁRIA E SERVIÇOS RELACIONADOS</v>
      </c>
      <c r="H30" t="str">
        <f>VLOOKUP(C30,Base!$C:$F,4,FALSE)</f>
        <v>Produção de lavouras permanentes</v>
      </c>
      <c r="I30" t="str">
        <f>VLOOKUP(D30,Base!$D:$F,3,FALSE)</f>
        <v>Cultivo de uva</v>
      </c>
      <c r="J30" t="str">
        <f>VLOOKUP(E30,Base!$E:$F,2,FALSE)</f>
        <v>Cultivo de uva</v>
      </c>
      <c r="K30" t="s">
        <v>1908</v>
      </c>
      <c r="L30">
        <f>IFERROR(VLOOKUP($K30,Base_Atividades!$E$1:$N$2398,MATCH(BancoAjustado!L$1,Base_Atividades!$E$1:$N$1,0),FALSE),0)</f>
        <v>1</v>
      </c>
      <c r="M30">
        <f>IFERROR(VLOOKUP($K30,Base_Atividades!$E$1:$N$2398,MATCH(BancoAjustado!M$1,Base_Atividades!$E$1:$N$1,0),FALSE),0)</f>
        <v>0</v>
      </c>
      <c r="N30">
        <f>IFERROR(VLOOKUP($K30,Base_Atividades!$E$1:$N$2398,MATCH(BancoAjustado!N$1,Base_Atividades!$E$1:$N$1,0),FALSE),0)</f>
        <v>0</v>
      </c>
    </row>
    <row r="31" spans="1:14" x14ac:dyDescent="0.25">
      <c r="A31" t="s">
        <v>1863</v>
      </c>
      <c r="B31" t="s">
        <v>1865</v>
      </c>
      <c r="C31" t="s">
        <v>1904</v>
      </c>
      <c r="D31" t="s">
        <v>1909</v>
      </c>
      <c r="E31" t="s">
        <v>1910</v>
      </c>
      <c r="F31" t="str">
        <f>VLOOKUP(A31,Base!$A:$F,6,FALSE)</f>
        <v>AGRICULTURA, PECUÁRIA, PRODUÇÃO FLORESTAL, PESCA E AQUICULTURA</v>
      </c>
      <c r="G31" t="str">
        <f>VLOOKUP(B31,Base!$B:$F,5,FALSE)</f>
        <v>AGRICULTURA, PECUÁRIA E SERVIÇOS RELACIONADOS</v>
      </c>
      <c r="H31" t="str">
        <f>VLOOKUP(C31,Base!$C:$F,4,FALSE)</f>
        <v>Produção de lavouras permanentes</v>
      </c>
      <c r="I31" t="str">
        <f>VLOOKUP(D31,Base!$D:$F,3,FALSE)</f>
        <v>Cultivo de frutas de lavoura permanente, exceto laranja e uva</v>
      </c>
      <c r="J31" t="str">
        <f>VLOOKUP(E31,Base!$E:$F,2,FALSE)</f>
        <v>Cultivo de açaí</v>
      </c>
      <c r="K31" t="s">
        <v>1910</v>
      </c>
      <c r="L31">
        <f>IFERROR(VLOOKUP($K31,Base_Atividades!$E$1:$N$2398,MATCH(BancoAjustado!L$1,Base_Atividades!$E$1:$N$1,0),FALSE),0)</f>
        <v>1</v>
      </c>
      <c r="M31">
        <f>IFERROR(VLOOKUP($K31,Base_Atividades!$E$1:$N$2398,MATCH(BancoAjustado!M$1,Base_Atividades!$E$1:$N$1,0),FALSE),0)</f>
        <v>0</v>
      </c>
      <c r="N31">
        <f>IFERROR(VLOOKUP($K31,Base_Atividades!$E$1:$N$2398,MATCH(BancoAjustado!N$1,Base_Atividades!$E$1:$N$1,0),FALSE),0)</f>
        <v>0</v>
      </c>
    </row>
    <row r="32" spans="1:14" x14ac:dyDescent="0.25">
      <c r="A32" t="s">
        <v>1863</v>
      </c>
      <c r="B32" t="s">
        <v>1865</v>
      </c>
      <c r="C32" t="s">
        <v>1904</v>
      </c>
      <c r="D32" t="s">
        <v>1909</v>
      </c>
      <c r="E32" t="s">
        <v>1911</v>
      </c>
      <c r="F32" t="str">
        <f>VLOOKUP(A32,Base!$A:$F,6,FALSE)</f>
        <v>AGRICULTURA, PECUÁRIA, PRODUÇÃO FLORESTAL, PESCA E AQUICULTURA</v>
      </c>
      <c r="G32" t="str">
        <f>VLOOKUP(B32,Base!$B:$F,5,FALSE)</f>
        <v>AGRICULTURA, PECUÁRIA E SERVIÇOS RELACIONADOS</v>
      </c>
      <c r="H32" t="str">
        <f>VLOOKUP(C32,Base!$C:$F,4,FALSE)</f>
        <v>Produção de lavouras permanentes</v>
      </c>
      <c r="I32" t="str">
        <f>VLOOKUP(D32,Base!$D:$F,3,FALSE)</f>
        <v>Cultivo de frutas de lavoura permanente, exceto laranja e uva</v>
      </c>
      <c r="J32" t="str">
        <f>VLOOKUP(E32,Base!$E:$F,2,FALSE)</f>
        <v>Cultivo de banana</v>
      </c>
      <c r="K32" t="s">
        <v>1911</v>
      </c>
      <c r="L32">
        <f>IFERROR(VLOOKUP($K32,Base_Atividades!$E$1:$N$2398,MATCH(BancoAjustado!L$1,Base_Atividades!$E$1:$N$1,0),FALSE),0)</f>
        <v>1</v>
      </c>
      <c r="M32">
        <f>IFERROR(VLOOKUP($K32,Base_Atividades!$E$1:$N$2398,MATCH(BancoAjustado!M$1,Base_Atividades!$E$1:$N$1,0),FALSE),0)</f>
        <v>0</v>
      </c>
      <c r="N32">
        <f>IFERROR(VLOOKUP($K32,Base_Atividades!$E$1:$N$2398,MATCH(BancoAjustado!N$1,Base_Atividades!$E$1:$N$1,0),FALSE),0)</f>
        <v>0</v>
      </c>
    </row>
    <row r="33" spans="1:14" x14ac:dyDescent="0.25">
      <c r="A33" t="s">
        <v>1863</v>
      </c>
      <c r="B33" t="s">
        <v>1865</v>
      </c>
      <c r="C33" t="s">
        <v>1904</v>
      </c>
      <c r="D33" t="s">
        <v>1909</v>
      </c>
      <c r="E33" t="s">
        <v>1912</v>
      </c>
      <c r="F33" t="str">
        <f>VLOOKUP(A33,Base!$A:$F,6,FALSE)</f>
        <v>AGRICULTURA, PECUÁRIA, PRODUÇÃO FLORESTAL, PESCA E AQUICULTURA</v>
      </c>
      <c r="G33" t="str">
        <f>VLOOKUP(B33,Base!$B:$F,5,FALSE)</f>
        <v>AGRICULTURA, PECUÁRIA E SERVIÇOS RELACIONADOS</v>
      </c>
      <c r="H33" t="str">
        <f>VLOOKUP(C33,Base!$C:$F,4,FALSE)</f>
        <v>Produção de lavouras permanentes</v>
      </c>
      <c r="I33" t="str">
        <f>VLOOKUP(D33,Base!$D:$F,3,FALSE)</f>
        <v>Cultivo de frutas de lavoura permanente, exceto laranja e uva</v>
      </c>
      <c r="J33" t="str">
        <f>VLOOKUP(E33,Base!$E:$F,2,FALSE)</f>
        <v>Cultivo de caju</v>
      </c>
      <c r="K33" t="s">
        <v>1912</v>
      </c>
      <c r="L33">
        <f>IFERROR(VLOOKUP($K33,Base_Atividades!$E$1:$N$2398,MATCH(BancoAjustado!L$1,Base_Atividades!$E$1:$N$1,0),FALSE),0)</f>
        <v>1</v>
      </c>
      <c r="M33">
        <f>IFERROR(VLOOKUP($K33,Base_Atividades!$E$1:$N$2398,MATCH(BancoAjustado!M$1,Base_Atividades!$E$1:$N$1,0),FALSE),0)</f>
        <v>0</v>
      </c>
      <c r="N33">
        <f>IFERROR(VLOOKUP($K33,Base_Atividades!$E$1:$N$2398,MATCH(BancoAjustado!N$1,Base_Atividades!$E$1:$N$1,0),FALSE),0)</f>
        <v>0</v>
      </c>
    </row>
    <row r="34" spans="1:14" x14ac:dyDescent="0.25">
      <c r="A34" t="s">
        <v>1863</v>
      </c>
      <c r="B34" t="s">
        <v>1865</v>
      </c>
      <c r="C34" t="s">
        <v>1904</v>
      </c>
      <c r="D34" t="s">
        <v>1909</v>
      </c>
      <c r="E34" t="s">
        <v>1913</v>
      </c>
      <c r="F34" t="str">
        <f>VLOOKUP(A34,Base!$A:$F,6,FALSE)</f>
        <v>AGRICULTURA, PECUÁRIA, PRODUÇÃO FLORESTAL, PESCA E AQUICULTURA</v>
      </c>
      <c r="G34" t="str">
        <f>VLOOKUP(B34,Base!$B:$F,5,FALSE)</f>
        <v>AGRICULTURA, PECUÁRIA E SERVIÇOS RELACIONADOS</v>
      </c>
      <c r="H34" t="str">
        <f>VLOOKUP(C34,Base!$C:$F,4,FALSE)</f>
        <v>Produção de lavouras permanentes</v>
      </c>
      <c r="I34" t="str">
        <f>VLOOKUP(D34,Base!$D:$F,3,FALSE)</f>
        <v>Cultivo de frutas de lavoura permanente, exceto laranja e uva</v>
      </c>
      <c r="J34" t="str">
        <f>VLOOKUP(E34,Base!$E:$F,2,FALSE)</f>
        <v>Cultivo de cítricos, exceto laranja</v>
      </c>
      <c r="K34" t="s">
        <v>1913</v>
      </c>
      <c r="L34">
        <f>IFERROR(VLOOKUP($K34,Base_Atividades!$E$1:$N$2398,MATCH(BancoAjustado!L$1,Base_Atividades!$E$1:$N$1,0),FALSE),0)</f>
        <v>1</v>
      </c>
      <c r="M34">
        <f>IFERROR(VLOOKUP($K34,Base_Atividades!$E$1:$N$2398,MATCH(BancoAjustado!M$1,Base_Atividades!$E$1:$N$1,0),FALSE),0)</f>
        <v>0</v>
      </c>
      <c r="N34">
        <f>IFERROR(VLOOKUP($K34,Base_Atividades!$E$1:$N$2398,MATCH(BancoAjustado!N$1,Base_Atividades!$E$1:$N$1,0),FALSE),0)</f>
        <v>0</v>
      </c>
    </row>
    <row r="35" spans="1:14" x14ac:dyDescent="0.25">
      <c r="A35" t="s">
        <v>1863</v>
      </c>
      <c r="B35" t="s">
        <v>1865</v>
      </c>
      <c r="C35" t="s">
        <v>1904</v>
      </c>
      <c r="D35" t="s">
        <v>1909</v>
      </c>
      <c r="E35" t="s">
        <v>1914</v>
      </c>
      <c r="F35" t="str">
        <f>VLOOKUP(A35,Base!$A:$F,6,FALSE)</f>
        <v>AGRICULTURA, PECUÁRIA, PRODUÇÃO FLORESTAL, PESCA E AQUICULTURA</v>
      </c>
      <c r="G35" t="str">
        <f>VLOOKUP(B35,Base!$B:$F,5,FALSE)</f>
        <v>AGRICULTURA, PECUÁRIA E SERVIÇOS RELACIONADOS</v>
      </c>
      <c r="H35" t="str">
        <f>VLOOKUP(C35,Base!$C:$F,4,FALSE)</f>
        <v>Produção de lavouras permanentes</v>
      </c>
      <c r="I35" t="str">
        <f>VLOOKUP(D35,Base!$D:$F,3,FALSE)</f>
        <v>Cultivo de frutas de lavoura permanente, exceto laranja e uva</v>
      </c>
      <c r="J35" t="str">
        <f>VLOOKUP(E35,Base!$E:$F,2,FALSE)</f>
        <v>Cultivo de coco-da-baía</v>
      </c>
      <c r="K35" t="s">
        <v>1914</v>
      </c>
      <c r="L35">
        <f>IFERROR(VLOOKUP($K35,Base_Atividades!$E$1:$N$2398,MATCH(BancoAjustado!L$1,Base_Atividades!$E$1:$N$1,0),FALSE),0)</f>
        <v>1</v>
      </c>
      <c r="M35">
        <f>IFERROR(VLOOKUP($K35,Base_Atividades!$E$1:$N$2398,MATCH(BancoAjustado!M$1,Base_Atividades!$E$1:$N$1,0),FALSE),0)</f>
        <v>0</v>
      </c>
      <c r="N35">
        <f>IFERROR(VLOOKUP($K35,Base_Atividades!$E$1:$N$2398,MATCH(BancoAjustado!N$1,Base_Atividades!$E$1:$N$1,0),FALSE),0)</f>
        <v>0</v>
      </c>
    </row>
    <row r="36" spans="1:14" x14ac:dyDescent="0.25">
      <c r="A36" t="s">
        <v>1863</v>
      </c>
      <c r="B36" t="s">
        <v>1865</v>
      </c>
      <c r="C36" t="s">
        <v>1904</v>
      </c>
      <c r="D36" t="s">
        <v>1909</v>
      </c>
      <c r="E36" t="s">
        <v>1915</v>
      </c>
      <c r="F36" t="str">
        <f>VLOOKUP(A36,Base!$A:$F,6,FALSE)</f>
        <v>AGRICULTURA, PECUÁRIA, PRODUÇÃO FLORESTAL, PESCA E AQUICULTURA</v>
      </c>
      <c r="G36" t="str">
        <f>VLOOKUP(B36,Base!$B:$F,5,FALSE)</f>
        <v>AGRICULTURA, PECUÁRIA E SERVIÇOS RELACIONADOS</v>
      </c>
      <c r="H36" t="str">
        <f>VLOOKUP(C36,Base!$C:$F,4,FALSE)</f>
        <v>Produção de lavouras permanentes</v>
      </c>
      <c r="I36" t="str">
        <f>VLOOKUP(D36,Base!$D:$F,3,FALSE)</f>
        <v>Cultivo de frutas de lavoura permanente, exceto laranja e uva</v>
      </c>
      <c r="J36" t="str">
        <f>VLOOKUP(E36,Base!$E:$F,2,FALSE)</f>
        <v>Cultivo de guaraná</v>
      </c>
      <c r="K36" t="s">
        <v>1915</v>
      </c>
      <c r="L36">
        <f>IFERROR(VLOOKUP($K36,Base_Atividades!$E$1:$N$2398,MATCH(BancoAjustado!L$1,Base_Atividades!$E$1:$N$1,0),FALSE),0)</f>
        <v>1</v>
      </c>
      <c r="M36">
        <f>IFERROR(VLOOKUP($K36,Base_Atividades!$E$1:$N$2398,MATCH(BancoAjustado!M$1,Base_Atividades!$E$1:$N$1,0),FALSE),0)</f>
        <v>0</v>
      </c>
      <c r="N36">
        <f>IFERROR(VLOOKUP($K36,Base_Atividades!$E$1:$N$2398,MATCH(BancoAjustado!N$1,Base_Atividades!$E$1:$N$1,0),FALSE),0)</f>
        <v>0</v>
      </c>
    </row>
    <row r="37" spans="1:14" x14ac:dyDescent="0.25">
      <c r="A37" t="s">
        <v>1863</v>
      </c>
      <c r="B37" t="s">
        <v>1865</v>
      </c>
      <c r="C37" t="s">
        <v>1904</v>
      </c>
      <c r="D37" t="s">
        <v>1909</v>
      </c>
      <c r="E37" t="s">
        <v>1916</v>
      </c>
      <c r="F37" t="str">
        <f>VLOOKUP(A37,Base!$A:$F,6,FALSE)</f>
        <v>AGRICULTURA, PECUÁRIA, PRODUÇÃO FLORESTAL, PESCA E AQUICULTURA</v>
      </c>
      <c r="G37" t="str">
        <f>VLOOKUP(B37,Base!$B:$F,5,FALSE)</f>
        <v>AGRICULTURA, PECUÁRIA E SERVIÇOS RELACIONADOS</v>
      </c>
      <c r="H37" t="str">
        <f>VLOOKUP(C37,Base!$C:$F,4,FALSE)</f>
        <v>Produção de lavouras permanentes</v>
      </c>
      <c r="I37" t="str">
        <f>VLOOKUP(D37,Base!$D:$F,3,FALSE)</f>
        <v>Cultivo de frutas de lavoura permanente, exceto laranja e uva</v>
      </c>
      <c r="J37" t="str">
        <f>VLOOKUP(E37,Base!$E:$F,2,FALSE)</f>
        <v>Cultivo de maçã</v>
      </c>
      <c r="K37" t="s">
        <v>1916</v>
      </c>
      <c r="L37">
        <f>IFERROR(VLOOKUP($K37,Base_Atividades!$E$1:$N$2398,MATCH(BancoAjustado!L$1,Base_Atividades!$E$1:$N$1,0),FALSE),0)</f>
        <v>1</v>
      </c>
      <c r="M37">
        <f>IFERROR(VLOOKUP($K37,Base_Atividades!$E$1:$N$2398,MATCH(BancoAjustado!M$1,Base_Atividades!$E$1:$N$1,0),FALSE),0)</f>
        <v>0</v>
      </c>
      <c r="N37">
        <f>IFERROR(VLOOKUP($K37,Base_Atividades!$E$1:$N$2398,MATCH(BancoAjustado!N$1,Base_Atividades!$E$1:$N$1,0),FALSE),0)</f>
        <v>0</v>
      </c>
    </row>
    <row r="38" spans="1:14" x14ac:dyDescent="0.25">
      <c r="A38" t="s">
        <v>1863</v>
      </c>
      <c r="B38" t="s">
        <v>1865</v>
      </c>
      <c r="C38" t="s">
        <v>1904</v>
      </c>
      <c r="D38" t="s">
        <v>1909</v>
      </c>
      <c r="E38" t="s">
        <v>1917</v>
      </c>
      <c r="F38" t="str">
        <f>VLOOKUP(A38,Base!$A:$F,6,FALSE)</f>
        <v>AGRICULTURA, PECUÁRIA, PRODUÇÃO FLORESTAL, PESCA E AQUICULTURA</v>
      </c>
      <c r="G38" t="str">
        <f>VLOOKUP(B38,Base!$B:$F,5,FALSE)</f>
        <v>AGRICULTURA, PECUÁRIA E SERVIÇOS RELACIONADOS</v>
      </c>
      <c r="H38" t="str">
        <f>VLOOKUP(C38,Base!$C:$F,4,FALSE)</f>
        <v>Produção de lavouras permanentes</v>
      </c>
      <c r="I38" t="str">
        <f>VLOOKUP(D38,Base!$D:$F,3,FALSE)</f>
        <v>Cultivo de frutas de lavoura permanente, exceto laranja e uva</v>
      </c>
      <c r="J38" t="str">
        <f>VLOOKUP(E38,Base!$E:$F,2,FALSE)</f>
        <v>Cultivo de mamão</v>
      </c>
      <c r="K38" t="s">
        <v>1917</v>
      </c>
      <c r="L38">
        <f>IFERROR(VLOOKUP($K38,Base_Atividades!$E$1:$N$2398,MATCH(BancoAjustado!L$1,Base_Atividades!$E$1:$N$1,0),FALSE),0)</f>
        <v>1</v>
      </c>
      <c r="M38">
        <f>IFERROR(VLOOKUP($K38,Base_Atividades!$E$1:$N$2398,MATCH(BancoAjustado!M$1,Base_Atividades!$E$1:$N$1,0),FALSE),0)</f>
        <v>0</v>
      </c>
      <c r="N38">
        <f>IFERROR(VLOOKUP($K38,Base_Atividades!$E$1:$N$2398,MATCH(BancoAjustado!N$1,Base_Atividades!$E$1:$N$1,0),FALSE),0)</f>
        <v>0</v>
      </c>
    </row>
    <row r="39" spans="1:14" x14ac:dyDescent="0.25">
      <c r="A39" t="s">
        <v>1863</v>
      </c>
      <c r="B39" t="s">
        <v>1865</v>
      </c>
      <c r="C39" t="s">
        <v>1904</v>
      </c>
      <c r="D39" t="s">
        <v>1909</v>
      </c>
      <c r="E39" t="s">
        <v>1918</v>
      </c>
      <c r="F39" t="str">
        <f>VLOOKUP(A39,Base!$A:$F,6,FALSE)</f>
        <v>AGRICULTURA, PECUÁRIA, PRODUÇÃO FLORESTAL, PESCA E AQUICULTURA</v>
      </c>
      <c r="G39" t="str">
        <f>VLOOKUP(B39,Base!$B:$F,5,FALSE)</f>
        <v>AGRICULTURA, PECUÁRIA E SERVIÇOS RELACIONADOS</v>
      </c>
      <c r="H39" t="str">
        <f>VLOOKUP(C39,Base!$C:$F,4,FALSE)</f>
        <v>Produção de lavouras permanentes</v>
      </c>
      <c r="I39" t="str">
        <f>VLOOKUP(D39,Base!$D:$F,3,FALSE)</f>
        <v>Cultivo de frutas de lavoura permanente, exceto laranja e uva</v>
      </c>
      <c r="J39" t="str">
        <f>VLOOKUP(E39,Base!$E:$F,2,FALSE)</f>
        <v>Cultivo de maracujá</v>
      </c>
      <c r="K39" t="s">
        <v>1918</v>
      </c>
      <c r="L39">
        <f>IFERROR(VLOOKUP($K39,Base_Atividades!$E$1:$N$2398,MATCH(BancoAjustado!L$1,Base_Atividades!$E$1:$N$1,0),FALSE),0)</f>
        <v>1</v>
      </c>
      <c r="M39">
        <f>IFERROR(VLOOKUP($K39,Base_Atividades!$E$1:$N$2398,MATCH(BancoAjustado!M$1,Base_Atividades!$E$1:$N$1,0),FALSE),0)</f>
        <v>0</v>
      </c>
      <c r="N39">
        <f>IFERROR(VLOOKUP($K39,Base_Atividades!$E$1:$N$2398,MATCH(BancoAjustado!N$1,Base_Atividades!$E$1:$N$1,0),FALSE),0)</f>
        <v>0</v>
      </c>
    </row>
    <row r="40" spans="1:14" x14ac:dyDescent="0.25">
      <c r="A40" t="s">
        <v>1863</v>
      </c>
      <c r="B40" t="s">
        <v>1865</v>
      </c>
      <c r="C40" t="s">
        <v>1904</v>
      </c>
      <c r="D40" t="s">
        <v>1909</v>
      </c>
      <c r="E40" t="s">
        <v>1919</v>
      </c>
      <c r="F40" t="str">
        <f>VLOOKUP(A40,Base!$A:$F,6,FALSE)</f>
        <v>AGRICULTURA, PECUÁRIA, PRODUÇÃO FLORESTAL, PESCA E AQUICULTURA</v>
      </c>
      <c r="G40" t="str">
        <f>VLOOKUP(B40,Base!$B:$F,5,FALSE)</f>
        <v>AGRICULTURA, PECUÁRIA E SERVIÇOS RELACIONADOS</v>
      </c>
      <c r="H40" t="str">
        <f>VLOOKUP(C40,Base!$C:$F,4,FALSE)</f>
        <v>Produção de lavouras permanentes</v>
      </c>
      <c r="I40" t="str">
        <f>VLOOKUP(D40,Base!$D:$F,3,FALSE)</f>
        <v>Cultivo de frutas de lavoura permanente, exceto laranja e uva</v>
      </c>
      <c r="J40" t="str">
        <f>VLOOKUP(E40,Base!$E:$F,2,FALSE)</f>
        <v>Cultivo de manga</v>
      </c>
      <c r="K40" t="s">
        <v>1919</v>
      </c>
      <c r="L40">
        <f>IFERROR(VLOOKUP($K40,Base_Atividades!$E$1:$N$2398,MATCH(BancoAjustado!L$1,Base_Atividades!$E$1:$N$1,0),FALSE),0)</f>
        <v>1</v>
      </c>
      <c r="M40">
        <f>IFERROR(VLOOKUP($K40,Base_Atividades!$E$1:$N$2398,MATCH(BancoAjustado!M$1,Base_Atividades!$E$1:$N$1,0),FALSE),0)</f>
        <v>0</v>
      </c>
      <c r="N40">
        <f>IFERROR(VLOOKUP($K40,Base_Atividades!$E$1:$N$2398,MATCH(BancoAjustado!N$1,Base_Atividades!$E$1:$N$1,0),FALSE),0)</f>
        <v>0</v>
      </c>
    </row>
    <row r="41" spans="1:14" x14ac:dyDescent="0.25">
      <c r="A41" t="s">
        <v>1863</v>
      </c>
      <c r="B41" t="s">
        <v>1865</v>
      </c>
      <c r="C41" t="s">
        <v>1904</v>
      </c>
      <c r="D41" t="s">
        <v>1909</v>
      </c>
      <c r="E41" t="s">
        <v>1920</v>
      </c>
      <c r="F41" t="str">
        <f>VLOOKUP(A41,Base!$A:$F,6,FALSE)</f>
        <v>AGRICULTURA, PECUÁRIA, PRODUÇÃO FLORESTAL, PESCA E AQUICULTURA</v>
      </c>
      <c r="G41" t="str">
        <f>VLOOKUP(B41,Base!$B:$F,5,FALSE)</f>
        <v>AGRICULTURA, PECUÁRIA E SERVIÇOS RELACIONADOS</v>
      </c>
      <c r="H41" t="str">
        <f>VLOOKUP(C41,Base!$C:$F,4,FALSE)</f>
        <v>Produção de lavouras permanentes</v>
      </c>
      <c r="I41" t="str">
        <f>VLOOKUP(D41,Base!$D:$F,3,FALSE)</f>
        <v>Cultivo de frutas de lavoura permanente, exceto laranja e uva</v>
      </c>
      <c r="J41" t="str">
        <f>VLOOKUP(E41,Base!$E:$F,2,FALSE)</f>
        <v>Cultivo de pêssego</v>
      </c>
      <c r="K41" t="s">
        <v>1920</v>
      </c>
      <c r="L41">
        <f>IFERROR(VLOOKUP($K41,Base_Atividades!$E$1:$N$2398,MATCH(BancoAjustado!L$1,Base_Atividades!$E$1:$N$1,0),FALSE),0)</f>
        <v>1</v>
      </c>
      <c r="M41">
        <f>IFERROR(VLOOKUP($K41,Base_Atividades!$E$1:$N$2398,MATCH(BancoAjustado!M$1,Base_Atividades!$E$1:$N$1,0),FALSE),0)</f>
        <v>0</v>
      </c>
      <c r="N41">
        <f>IFERROR(VLOOKUP($K41,Base_Atividades!$E$1:$N$2398,MATCH(BancoAjustado!N$1,Base_Atividades!$E$1:$N$1,0),FALSE),0)</f>
        <v>0</v>
      </c>
    </row>
    <row r="42" spans="1:14" x14ac:dyDescent="0.25">
      <c r="A42" t="s">
        <v>1863</v>
      </c>
      <c r="B42" t="s">
        <v>1865</v>
      </c>
      <c r="C42" t="s">
        <v>1904</v>
      </c>
      <c r="D42" t="s">
        <v>1909</v>
      </c>
      <c r="E42" t="s">
        <v>1921</v>
      </c>
      <c r="F42" t="str">
        <f>VLOOKUP(A42,Base!$A:$F,6,FALSE)</f>
        <v>AGRICULTURA, PECUÁRIA, PRODUÇÃO FLORESTAL, PESCA E AQUICULTURA</v>
      </c>
      <c r="G42" t="str">
        <f>VLOOKUP(B42,Base!$B:$F,5,FALSE)</f>
        <v>AGRICULTURA, PECUÁRIA E SERVIÇOS RELACIONADOS</v>
      </c>
      <c r="H42" t="str">
        <f>VLOOKUP(C42,Base!$C:$F,4,FALSE)</f>
        <v>Produção de lavouras permanentes</v>
      </c>
      <c r="I42" t="str">
        <f>VLOOKUP(D42,Base!$D:$F,3,FALSE)</f>
        <v>Cultivo de frutas de lavoura permanente, exceto laranja e uva</v>
      </c>
      <c r="J42" t="str">
        <f>VLOOKUP(E42,Base!$E:$F,2,FALSE)</f>
        <v>Cultivo de frutas de lavoura permanente não especificadas anteriormente</v>
      </c>
      <c r="K42" t="s">
        <v>1921</v>
      </c>
      <c r="L42">
        <f>IFERROR(VLOOKUP($K42,Base_Atividades!$E$1:$N$2398,MATCH(BancoAjustado!L$1,Base_Atividades!$E$1:$N$1,0),FALSE),0)</f>
        <v>1</v>
      </c>
      <c r="M42">
        <f>IFERROR(VLOOKUP($K42,Base_Atividades!$E$1:$N$2398,MATCH(BancoAjustado!M$1,Base_Atividades!$E$1:$N$1,0),FALSE),0)</f>
        <v>0</v>
      </c>
      <c r="N42">
        <f>IFERROR(VLOOKUP($K42,Base_Atividades!$E$1:$N$2398,MATCH(BancoAjustado!N$1,Base_Atividades!$E$1:$N$1,0),FALSE),0)</f>
        <v>0</v>
      </c>
    </row>
    <row r="43" spans="1:14" x14ac:dyDescent="0.25">
      <c r="A43" t="s">
        <v>1863</v>
      </c>
      <c r="B43" t="s">
        <v>1865</v>
      </c>
      <c r="C43" t="s">
        <v>1904</v>
      </c>
      <c r="D43" t="s">
        <v>1922</v>
      </c>
      <c r="E43" t="s">
        <v>1923</v>
      </c>
      <c r="F43" t="str">
        <f>VLOOKUP(A43,Base!$A:$F,6,FALSE)</f>
        <v>AGRICULTURA, PECUÁRIA, PRODUÇÃO FLORESTAL, PESCA E AQUICULTURA</v>
      </c>
      <c r="G43" t="str">
        <f>VLOOKUP(B43,Base!$B:$F,5,FALSE)</f>
        <v>AGRICULTURA, PECUÁRIA E SERVIÇOS RELACIONADOS</v>
      </c>
      <c r="H43" t="str">
        <f>VLOOKUP(C43,Base!$C:$F,4,FALSE)</f>
        <v>Produção de lavouras permanentes</v>
      </c>
      <c r="I43" t="str">
        <f>VLOOKUP(D43,Base!$D:$F,3,FALSE)</f>
        <v>Cultivo de café</v>
      </c>
      <c r="J43" t="str">
        <f>VLOOKUP(E43,Base!$E:$F,2,FALSE)</f>
        <v>Cultivo de café</v>
      </c>
      <c r="K43" t="s">
        <v>1923</v>
      </c>
      <c r="L43">
        <f>IFERROR(VLOOKUP($K43,Base_Atividades!$E$1:$N$2398,MATCH(BancoAjustado!L$1,Base_Atividades!$E$1:$N$1,0),FALSE),0)</f>
        <v>1</v>
      </c>
      <c r="M43">
        <f>IFERROR(VLOOKUP($K43,Base_Atividades!$E$1:$N$2398,MATCH(BancoAjustado!M$1,Base_Atividades!$E$1:$N$1,0),FALSE),0)</f>
        <v>0</v>
      </c>
      <c r="N43">
        <f>IFERROR(VLOOKUP($K43,Base_Atividades!$E$1:$N$2398,MATCH(BancoAjustado!N$1,Base_Atividades!$E$1:$N$1,0),FALSE),0)</f>
        <v>0</v>
      </c>
    </row>
    <row r="44" spans="1:14" x14ac:dyDescent="0.25">
      <c r="A44" t="s">
        <v>1863</v>
      </c>
      <c r="B44" t="s">
        <v>1865</v>
      </c>
      <c r="C44" t="s">
        <v>1904</v>
      </c>
      <c r="D44" t="s">
        <v>1924</v>
      </c>
      <c r="E44" t="s">
        <v>1925</v>
      </c>
      <c r="F44" t="str">
        <f>VLOOKUP(A44,Base!$A:$F,6,FALSE)</f>
        <v>AGRICULTURA, PECUÁRIA, PRODUÇÃO FLORESTAL, PESCA E AQUICULTURA</v>
      </c>
      <c r="G44" t="str">
        <f>VLOOKUP(B44,Base!$B:$F,5,FALSE)</f>
        <v>AGRICULTURA, PECUÁRIA E SERVIÇOS RELACIONADOS</v>
      </c>
      <c r="H44" t="str">
        <f>VLOOKUP(C44,Base!$C:$F,4,FALSE)</f>
        <v>Produção de lavouras permanentes</v>
      </c>
      <c r="I44" t="str">
        <f>VLOOKUP(D44,Base!$D:$F,3,FALSE)</f>
        <v>Cultivo de cacau</v>
      </c>
      <c r="J44" t="str">
        <f>VLOOKUP(E44,Base!$E:$F,2,FALSE)</f>
        <v>Cultivo de cacau</v>
      </c>
      <c r="K44" t="s">
        <v>1925</v>
      </c>
      <c r="L44">
        <f>IFERROR(VLOOKUP($K44,Base_Atividades!$E$1:$N$2398,MATCH(BancoAjustado!L$1,Base_Atividades!$E$1:$N$1,0),FALSE),0)</f>
        <v>1</v>
      </c>
      <c r="M44">
        <f>IFERROR(VLOOKUP($K44,Base_Atividades!$E$1:$N$2398,MATCH(BancoAjustado!M$1,Base_Atividades!$E$1:$N$1,0),FALSE),0)</f>
        <v>0</v>
      </c>
      <c r="N44">
        <f>IFERROR(VLOOKUP($K44,Base_Atividades!$E$1:$N$2398,MATCH(BancoAjustado!N$1,Base_Atividades!$E$1:$N$1,0),FALSE),0)</f>
        <v>0</v>
      </c>
    </row>
    <row r="45" spans="1:14" x14ac:dyDescent="0.25">
      <c r="A45" t="s">
        <v>1863</v>
      </c>
      <c r="B45" t="s">
        <v>1865</v>
      </c>
      <c r="C45" t="s">
        <v>1904</v>
      </c>
      <c r="D45" t="s">
        <v>1926</v>
      </c>
      <c r="E45" t="s">
        <v>1927</v>
      </c>
      <c r="F45" t="str">
        <f>VLOOKUP(A45,Base!$A:$F,6,FALSE)</f>
        <v>AGRICULTURA, PECUÁRIA, PRODUÇÃO FLORESTAL, PESCA E AQUICULTURA</v>
      </c>
      <c r="G45" t="str">
        <f>VLOOKUP(B45,Base!$B:$F,5,FALSE)</f>
        <v>AGRICULTURA, PECUÁRIA E SERVIÇOS RELACIONADOS</v>
      </c>
      <c r="H45" t="str">
        <f>VLOOKUP(C45,Base!$C:$F,4,FALSE)</f>
        <v>Produção de lavouras permanentes</v>
      </c>
      <c r="I45" t="str">
        <f>VLOOKUP(D45,Base!$D:$F,3,FALSE)</f>
        <v>Cultivo de plantas de lavoura permanente não especificadas anteriormente</v>
      </c>
      <c r="J45" t="str">
        <f>VLOOKUP(E45,Base!$E:$F,2,FALSE)</f>
        <v>Cultivo de chá-da-índia</v>
      </c>
      <c r="K45" t="s">
        <v>1927</v>
      </c>
      <c r="L45">
        <f>IFERROR(VLOOKUP($K45,Base_Atividades!$E$1:$N$2398,MATCH(BancoAjustado!L$1,Base_Atividades!$E$1:$N$1,0),FALSE),0)</f>
        <v>1</v>
      </c>
      <c r="M45">
        <f>IFERROR(VLOOKUP($K45,Base_Atividades!$E$1:$N$2398,MATCH(BancoAjustado!M$1,Base_Atividades!$E$1:$N$1,0),FALSE),0)</f>
        <v>0</v>
      </c>
      <c r="N45">
        <f>IFERROR(VLOOKUP($K45,Base_Atividades!$E$1:$N$2398,MATCH(BancoAjustado!N$1,Base_Atividades!$E$1:$N$1,0),FALSE),0)</f>
        <v>0</v>
      </c>
    </row>
    <row r="46" spans="1:14" x14ac:dyDescent="0.25">
      <c r="A46" t="s">
        <v>1863</v>
      </c>
      <c r="B46" t="s">
        <v>1865</v>
      </c>
      <c r="C46" t="s">
        <v>1904</v>
      </c>
      <c r="D46" t="s">
        <v>1926</v>
      </c>
      <c r="E46" t="s">
        <v>1928</v>
      </c>
      <c r="F46" t="str">
        <f>VLOOKUP(A46,Base!$A:$F,6,FALSE)</f>
        <v>AGRICULTURA, PECUÁRIA, PRODUÇÃO FLORESTAL, PESCA E AQUICULTURA</v>
      </c>
      <c r="G46" t="str">
        <f>VLOOKUP(B46,Base!$B:$F,5,FALSE)</f>
        <v>AGRICULTURA, PECUÁRIA E SERVIÇOS RELACIONADOS</v>
      </c>
      <c r="H46" t="str">
        <f>VLOOKUP(C46,Base!$C:$F,4,FALSE)</f>
        <v>Produção de lavouras permanentes</v>
      </c>
      <c r="I46" t="str">
        <f>VLOOKUP(D46,Base!$D:$F,3,FALSE)</f>
        <v>Cultivo de plantas de lavoura permanente não especificadas anteriormente</v>
      </c>
      <c r="J46" t="str">
        <f>VLOOKUP(E46,Base!$E:$F,2,FALSE)</f>
        <v>Cultivo de erva-mate</v>
      </c>
      <c r="K46" t="s">
        <v>1928</v>
      </c>
      <c r="L46">
        <f>IFERROR(VLOOKUP($K46,Base_Atividades!$E$1:$N$2398,MATCH(BancoAjustado!L$1,Base_Atividades!$E$1:$N$1,0),FALSE),0)</f>
        <v>1</v>
      </c>
      <c r="M46">
        <f>IFERROR(VLOOKUP($K46,Base_Atividades!$E$1:$N$2398,MATCH(BancoAjustado!M$1,Base_Atividades!$E$1:$N$1,0),FALSE),0)</f>
        <v>0</v>
      </c>
      <c r="N46">
        <f>IFERROR(VLOOKUP($K46,Base_Atividades!$E$1:$N$2398,MATCH(BancoAjustado!N$1,Base_Atividades!$E$1:$N$1,0),FALSE),0)</f>
        <v>0</v>
      </c>
    </row>
    <row r="47" spans="1:14" x14ac:dyDescent="0.25">
      <c r="A47" t="s">
        <v>1863</v>
      </c>
      <c r="B47" t="s">
        <v>1865</v>
      </c>
      <c r="C47" t="s">
        <v>1904</v>
      </c>
      <c r="D47" t="s">
        <v>1926</v>
      </c>
      <c r="E47" t="s">
        <v>1929</v>
      </c>
      <c r="F47" t="str">
        <f>VLOOKUP(A47,Base!$A:$F,6,FALSE)</f>
        <v>AGRICULTURA, PECUÁRIA, PRODUÇÃO FLORESTAL, PESCA E AQUICULTURA</v>
      </c>
      <c r="G47" t="str">
        <f>VLOOKUP(B47,Base!$B:$F,5,FALSE)</f>
        <v>AGRICULTURA, PECUÁRIA E SERVIÇOS RELACIONADOS</v>
      </c>
      <c r="H47" t="str">
        <f>VLOOKUP(C47,Base!$C:$F,4,FALSE)</f>
        <v>Produção de lavouras permanentes</v>
      </c>
      <c r="I47" t="str">
        <f>VLOOKUP(D47,Base!$D:$F,3,FALSE)</f>
        <v>Cultivo de plantas de lavoura permanente não especificadas anteriormente</v>
      </c>
      <c r="J47" t="str">
        <f>VLOOKUP(E47,Base!$E:$F,2,FALSE)</f>
        <v>Cultivo de pimenta-do-reino</v>
      </c>
      <c r="K47" t="s">
        <v>1929</v>
      </c>
      <c r="L47">
        <f>IFERROR(VLOOKUP($K47,Base_Atividades!$E$1:$N$2398,MATCH(BancoAjustado!L$1,Base_Atividades!$E$1:$N$1,0),FALSE),0)</f>
        <v>1</v>
      </c>
      <c r="M47">
        <f>IFERROR(VLOOKUP($K47,Base_Atividades!$E$1:$N$2398,MATCH(BancoAjustado!M$1,Base_Atividades!$E$1:$N$1,0),FALSE),0)</f>
        <v>0</v>
      </c>
      <c r="N47">
        <f>IFERROR(VLOOKUP($K47,Base_Atividades!$E$1:$N$2398,MATCH(BancoAjustado!N$1,Base_Atividades!$E$1:$N$1,0),FALSE),0)</f>
        <v>0</v>
      </c>
    </row>
    <row r="48" spans="1:14" x14ac:dyDescent="0.25">
      <c r="A48" t="s">
        <v>1863</v>
      </c>
      <c r="B48" t="s">
        <v>1865</v>
      </c>
      <c r="C48" t="s">
        <v>1904</v>
      </c>
      <c r="D48" t="s">
        <v>1926</v>
      </c>
      <c r="E48" t="s">
        <v>1930</v>
      </c>
      <c r="F48" t="str">
        <f>VLOOKUP(A48,Base!$A:$F,6,FALSE)</f>
        <v>AGRICULTURA, PECUÁRIA, PRODUÇÃO FLORESTAL, PESCA E AQUICULTURA</v>
      </c>
      <c r="G48" t="str">
        <f>VLOOKUP(B48,Base!$B:$F,5,FALSE)</f>
        <v>AGRICULTURA, PECUÁRIA E SERVIÇOS RELACIONADOS</v>
      </c>
      <c r="H48" t="str">
        <f>VLOOKUP(C48,Base!$C:$F,4,FALSE)</f>
        <v>Produção de lavouras permanentes</v>
      </c>
      <c r="I48" t="str">
        <f>VLOOKUP(D48,Base!$D:$F,3,FALSE)</f>
        <v>Cultivo de plantas de lavoura permanente não especificadas anteriormente</v>
      </c>
      <c r="J48" t="str">
        <f>VLOOKUP(E48,Base!$E:$F,2,FALSE)</f>
        <v>Cultivo de plantas para condimento, exceto pimenta-do-reino</v>
      </c>
      <c r="K48" t="s">
        <v>1930</v>
      </c>
      <c r="L48">
        <f>IFERROR(VLOOKUP($K48,Base_Atividades!$E$1:$N$2398,MATCH(BancoAjustado!L$1,Base_Atividades!$E$1:$N$1,0),FALSE),0)</f>
        <v>1</v>
      </c>
      <c r="M48">
        <f>IFERROR(VLOOKUP($K48,Base_Atividades!$E$1:$N$2398,MATCH(BancoAjustado!M$1,Base_Atividades!$E$1:$N$1,0),FALSE),0)</f>
        <v>0</v>
      </c>
      <c r="N48">
        <f>IFERROR(VLOOKUP($K48,Base_Atividades!$E$1:$N$2398,MATCH(BancoAjustado!N$1,Base_Atividades!$E$1:$N$1,0),FALSE),0)</f>
        <v>0</v>
      </c>
    </row>
    <row r="49" spans="1:14" x14ac:dyDescent="0.25">
      <c r="A49" t="s">
        <v>1863</v>
      </c>
      <c r="B49" t="s">
        <v>1865</v>
      </c>
      <c r="C49" t="s">
        <v>1904</v>
      </c>
      <c r="D49" t="s">
        <v>1926</v>
      </c>
      <c r="E49" t="s">
        <v>1931</v>
      </c>
      <c r="F49" t="str">
        <f>VLOOKUP(A49,Base!$A:$F,6,FALSE)</f>
        <v>AGRICULTURA, PECUÁRIA, PRODUÇÃO FLORESTAL, PESCA E AQUICULTURA</v>
      </c>
      <c r="G49" t="str">
        <f>VLOOKUP(B49,Base!$B:$F,5,FALSE)</f>
        <v>AGRICULTURA, PECUÁRIA E SERVIÇOS RELACIONADOS</v>
      </c>
      <c r="H49" t="str">
        <f>VLOOKUP(C49,Base!$C:$F,4,FALSE)</f>
        <v>Produção de lavouras permanentes</v>
      </c>
      <c r="I49" t="str">
        <f>VLOOKUP(D49,Base!$D:$F,3,FALSE)</f>
        <v>Cultivo de plantas de lavoura permanente não especificadas anteriormente</v>
      </c>
      <c r="J49" t="str">
        <f>VLOOKUP(E49,Base!$E:$F,2,FALSE)</f>
        <v>Cultivo de dendê</v>
      </c>
      <c r="K49" t="s">
        <v>1931</v>
      </c>
      <c r="L49">
        <f>IFERROR(VLOOKUP($K49,Base_Atividades!$E$1:$N$2398,MATCH(BancoAjustado!L$1,Base_Atividades!$E$1:$N$1,0),FALSE),0)</f>
        <v>1</v>
      </c>
      <c r="M49">
        <f>IFERROR(VLOOKUP($K49,Base_Atividades!$E$1:$N$2398,MATCH(BancoAjustado!M$1,Base_Atividades!$E$1:$N$1,0),FALSE),0)</f>
        <v>0</v>
      </c>
      <c r="N49">
        <f>IFERROR(VLOOKUP($K49,Base_Atividades!$E$1:$N$2398,MATCH(BancoAjustado!N$1,Base_Atividades!$E$1:$N$1,0),FALSE),0)</f>
        <v>0</v>
      </c>
    </row>
    <row r="50" spans="1:14" x14ac:dyDescent="0.25">
      <c r="A50" t="s">
        <v>1863</v>
      </c>
      <c r="B50" t="s">
        <v>1865</v>
      </c>
      <c r="C50" t="s">
        <v>1904</v>
      </c>
      <c r="D50" t="s">
        <v>1926</v>
      </c>
      <c r="E50" t="s">
        <v>1932</v>
      </c>
      <c r="F50" t="str">
        <f>VLOOKUP(A50,Base!$A:$F,6,FALSE)</f>
        <v>AGRICULTURA, PECUÁRIA, PRODUÇÃO FLORESTAL, PESCA E AQUICULTURA</v>
      </c>
      <c r="G50" t="str">
        <f>VLOOKUP(B50,Base!$B:$F,5,FALSE)</f>
        <v>AGRICULTURA, PECUÁRIA E SERVIÇOS RELACIONADOS</v>
      </c>
      <c r="H50" t="str">
        <f>VLOOKUP(C50,Base!$C:$F,4,FALSE)</f>
        <v>Produção de lavouras permanentes</v>
      </c>
      <c r="I50" t="str">
        <f>VLOOKUP(D50,Base!$D:$F,3,FALSE)</f>
        <v>Cultivo de plantas de lavoura permanente não especificadas anteriormente</v>
      </c>
      <c r="J50" t="str">
        <f>VLOOKUP(E50,Base!$E:$F,2,FALSE)</f>
        <v>Cultivo de seringueira</v>
      </c>
      <c r="K50" t="s">
        <v>1932</v>
      </c>
      <c r="L50">
        <f>IFERROR(VLOOKUP($K50,Base_Atividades!$E$1:$N$2398,MATCH(BancoAjustado!L$1,Base_Atividades!$E$1:$N$1,0),FALSE),0)</f>
        <v>0</v>
      </c>
      <c r="M50">
        <f>IFERROR(VLOOKUP($K50,Base_Atividades!$E$1:$N$2398,MATCH(BancoAjustado!M$1,Base_Atividades!$E$1:$N$1,0),FALSE),0)</f>
        <v>0</v>
      </c>
      <c r="N50">
        <f>IFERROR(VLOOKUP($K50,Base_Atividades!$E$1:$N$2398,MATCH(BancoAjustado!N$1,Base_Atividades!$E$1:$N$1,0),FALSE),0)</f>
        <v>0</v>
      </c>
    </row>
    <row r="51" spans="1:14" x14ac:dyDescent="0.25">
      <c r="A51" t="s">
        <v>1863</v>
      </c>
      <c r="B51" t="s">
        <v>1865</v>
      </c>
      <c r="C51" t="s">
        <v>1904</v>
      </c>
      <c r="D51" t="s">
        <v>1926</v>
      </c>
      <c r="E51" t="s">
        <v>1933</v>
      </c>
      <c r="F51" t="str">
        <f>VLOOKUP(A51,Base!$A:$F,6,FALSE)</f>
        <v>AGRICULTURA, PECUÁRIA, PRODUÇÃO FLORESTAL, PESCA E AQUICULTURA</v>
      </c>
      <c r="G51" t="str">
        <f>VLOOKUP(B51,Base!$B:$F,5,FALSE)</f>
        <v>AGRICULTURA, PECUÁRIA E SERVIÇOS RELACIONADOS</v>
      </c>
      <c r="H51" t="str">
        <f>VLOOKUP(C51,Base!$C:$F,4,FALSE)</f>
        <v>Produção de lavouras permanentes</v>
      </c>
      <c r="I51" t="str">
        <f>VLOOKUP(D51,Base!$D:$F,3,FALSE)</f>
        <v>Cultivo de plantas de lavoura permanente não especificadas anteriormente</v>
      </c>
      <c r="J51" t="str">
        <f>VLOOKUP(E51,Base!$E:$F,2,FALSE)</f>
        <v>Cultivo de outras plantas de lavoura permanente não especificadas anteriormente</v>
      </c>
      <c r="K51" t="s">
        <v>1933</v>
      </c>
      <c r="L51">
        <f>IFERROR(VLOOKUP($K51,Base_Atividades!$E$1:$N$2398,MATCH(BancoAjustado!L$1,Base_Atividades!$E$1:$N$1,0),FALSE),0)</f>
        <v>1</v>
      </c>
      <c r="M51">
        <f>IFERROR(VLOOKUP($K51,Base_Atividades!$E$1:$N$2398,MATCH(BancoAjustado!M$1,Base_Atividades!$E$1:$N$1,0),FALSE),0)</f>
        <v>0</v>
      </c>
      <c r="N51">
        <f>IFERROR(VLOOKUP($K51,Base_Atividades!$E$1:$N$2398,MATCH(BancoAjustado!N$1,Base_Atividades!$E$1:$N$1,0),FALSE),0)</f>
        <v>0</v>
      </c>
    </row>
    <row r="52" spans="1:14" x14ac:dyDescent="0.25">
      <c r="A52" t="s">
        <v>1863</v>
      </c>
      <c r="B52" t="s">
        <v>1865</v>
      </c>
      <c r="C52" t="s">
        <v>1934</v>
      </c>
      <c r="D52" t="s">
        <v>1935</v>
      </c>
      <c r="E52" t="s">
        <v>1936</v>
      </c>
      <c r="F52" t="str">
        <f>VLOOKUP(A52,Base!$A:$F,6,FALSE)</f>
        <v>AGRICULTURA, PECUÁRIA, PRODUÇÃO FLORESTAL, PESCA E AQUICULTURA</v>
      </c>
      <c r="G52" t="str">
        <f>VLOOKUP(B52,Base!$B:$F,5,FALSE)</f>
        <v>AGRICULTURA, PECUÁRIA E SERVIÇOS RELACIONADOS</v>
      </c>
      <c r="H52" t="str">
        <f>VLOOKUP(C52,Base!$C:$F,4,FALSE)</f>
        <v>Produção de sementes e mudas certificadas</v>
      </c>
      <c r="I52" t="str">
        <f>VLOOKUP(D52,Base!$D:$F,3,FALSE)</f>
        <v>Produção de sementes certificadas</v>
      </c>
      <c r="J52" t="str">
        <f>VLOOKUP(E52,Base!$E:$F,2,FALSE)</f>
        <v>Produção de sementes certificadas, exceto de forrageiras para pasto</v>
      </c>
      <c r="K52" t="s">
        <v>1936</v>
      </c>
      <c r="L52">
        <f>IFERROR(VLOOKUP($K52,Base_Atividades!$E$1:$N$2398,MATCH(BancoAjustado!L$1,Base_Atividades!$E$1:$N$1,0),FALSE),0)</f>
        <v>1</v>
      </c>
      <c r="M52">
        <f>IFERROR(VLOOKUP($K52,Base_Atividades!$E$1:$N$2398,MATCH(BancoAjustado!M$1,Base_Atividades!$E$1:$N$1,0),FALSE),0)</f>
        <v>0</v>
      </c>
      <c r="N52">
        <f>IFERROR(VLOOKUP($K52,Base_Atividades!$E$1:$N$2398,MATCH(BancoAjustado!N$1,Base_Atividades!$E$1:$N$1,0),FALSE),0)</f>
        <v>0</v>
      </c>
    </row>
    <row r="53" spans="1:14" x14ac:dyDescent="0.25">
      <c r="A53" t="s">
        <v>1863</v>
      </c>
      <c r="B53" t="s">
        <v>1865</v>
      </c>
      <c r="C53" t="s">
        <v>1934</v>
      </c>
      <c r="D53" t="s">
        <v>1935</v>
      </c>
      <c r="E53" t="s">
        <v>1937</v>
      </c>
      <c r="F53" t="str">
        <f>VLOOKUP(A53,Base!$A:$F,6,FALSE)</f>
        <v>AGRICULTURA, PECUÁRIA, PRODUÇÃO FLORESTAL, PESCA E AQUICULTURA</v>
      </c>
      <c r="G53" t="str">
        <f>VLOOKUP(B53,Base!$B:$F,5,FALSE)</f>
        <v>AGRICULTURA, PECUÁRIA E SERVIÇOS RELACIONADOS</v>
      </c>
      <c r="H53" t="str">
        <f>VLOOKUP(C53,Base!$C:$F,4,FALSE)</f>
        <v>Produção de sementes e mudas certificadas</v>
      </c>
      <c r="I53" t="str">
        <f>VLOOKUP(D53,Base!$D:$F,3,FALSE)</f>
        <v>Produção de sementes certificadas</v>
      </c>
      <c r="J53" t="str">
        <f>VLOOKUP(E53,Base!$E:$F,2,FALSE)</f>
        <v>Produção de sementes certificadas de forrageiras para formação de pasto</v>
      </c>
      <c r="K53" t="s">
        <v>1937</v>
      </c>
      <c r="L53">
        <f>IFERROR(VLOOKUP($K53,Base_Atividades!$E$1:$N$2398,MATCH(BancoAjustado!L$1,Base_Atividades!$E$1:$N$1,0),FALSE),0)</f>
        <v>1</v>
      </c>
      <c r="M53">
        <f>IFERROR(VLOOKUP($K53,Base_Atividades!$E$1:$N$2398,MATCH(BancoAjustado!M$1,Base_Atividades!$E$1:$N$1,0),FALSE),0)</f>
        <v>0</v>
      </c>
      <c r="N53">
        <f>IFERROR(VLOOKUP($K53,Base_Atividades!$E$1:$N$2398,MATCH(BancoAjustado!N$1,Base_Atividades!$E$1:$N$1,0),FALSE),0)</f>
        <v>0</v>
      </c>
    </row>
    <row r="54" spans="1:14" x14ac:dyDescent="0.25">
      <c r="A54" t="s">
        <v>1863</v>
      </c>
      <c r="B54" t="s">
        <v>1865</v>
      </c>
      <c r="C54" t="s">
        <v>1934</v>
      </c>
      <c r="D54" t="s">
        <v>1938</v>
      </c>
      <c r="E54" t="s">
        <v>1939</v>
      </c>
      <c r="F54" t="str">
        <f>VLOOKUP(A54,Base!$A:$F,6,FALSE)</f>
        <v>AGRICULTURA, PECUÁRIA, PRODUÇÃO FLORESTAL, PESCA E AQUICULTURA</v>
      </c>
      <c r="G54" t="str">
        <f>VLOOKUP(B54,Base!$B:$F,5,FALSE)</f>
        <v>AGRICULTURA, PECUÁRIA E SERVIÇOS RELACIONADOS</v>
      </c>
      <c r="H54" t="str">
        <f>VLOOKUP(C54,Base!$C:$F,4,FALSE)</f>
        <v>Produção de sementes e mudas certificadas</v>
      </c>
      <c r="I54" t="str">
        <f>VLOOKUP(D54,Base!$D:$F,3,FALSE)</f>
        <v>Produção de mudas e outras formas de propagação vegetal, certificadas</v>
      </c>
      <c r="J54" t="str">
        <f>VLOOKUP(E54,Base!$E:$F,2,FALSE)</f>
        <v>Produção de mudas e outras formas de propagação vegetal, certificadas</v>
      </c>
      <c r="K54" t="s">
        <v>1939</v>
      </c>
      <c r="L54">
        <f>IFERROR(VLOOKUP($K54,Base_Atividades!$E$1:$N$2398,MATCH(BancoAjustado!L$1,Base_Atividades!$E$1:$N$1,0),FALSE),0)</f>
        <v>1</v>
      </c>
      <c r="M54">
        <f>IFERROR(VLOOKUP($K54,Base_Atividades!$E$1:$N$2398,MATCH(BancoAjustado!M$1,Base_Atividades!$E$1:$N$1,0),FALSE),0)</f>
        <v>0</v>
      </c>
      <c r="N54">
        <f>IFERROR(VLOOKUP($K54,Base_Atividades!$E$1:$N$2398,MATCH(BancoAjustado!N$1,Base_Atividades!$E$1:$N$1,0),FALSE),0)</f>
        <v>0</v>
      </c>
    </row>
    <row r="55" spans="1:14" x14ac:dyDescent="0.25">
      <c r="A55" t="s">
        <v>1863</v>
      </c>
      <c r="B55" t="s">
        <v>1865</v>
      </c>
      <c r="C55" t="s">
        <v>1940</v>
      </c>
      <c r="D55" t="s">
        <v>1941</v>
      </c>
      <c r="E55" t="s">
        <v>1942</v>
      </c>
      <c r="F55" t="str">
        <f>VLOOKUP(A55,Base!$A:$F,6,FALSE)</f>
        <v>AGRICULTURA, PECUÁRIA, PRODUÇÃO FLORESTAL, PESCA E AQUICULTURA</v>
      </c>
      <c r="G55" t="str">
        <f>VLOOKUP(B55,Base!$B:$F,5,FALSE)</f>
        <v>AGRICULTURA, PECUÁRIA E SERVIÇOS RELACIONADOS</v>
      </c>
      <c r="H55" t="str">
        <f>VLOOKUP(C55,Base!$C:$F,4,FALSE)</f>
        <v>Pecuária</v>
      </c>
      <c r="I55" t="str">
        <f>VLOOKUP(D55,Base!$D:$F,3,FALSE)</f>
        <v>Criação de bovinos</v>
      </c>
      <c r="J55" t="str">
        <f>VLOOKUP(E55,Base!$E:$F,2,FALSE)</f>
        <v>Criação de bovinos para corte</v>
      </c>
      <c r="K55" t="s">
        <v>1942</v>
      </c>
      <c r="L55">
        <f>IFERROR(VLOOKUP($K55,Base_Atividades!$E$1:$N$2398,MATCH(BancoAjustado!L$1,Base_Atividades!$E$1:$N$1,0),FALSE),0)</f>
        <v>0</v>
      </c>
      <c r="M55">
        <f>IFERROR(VLOOKUP($K55,Base_Atividades!$E$1:$N$2398,MATCH(BancoAjustado!M$1,Base_Atividades!$E$1:$N$1,0),FALSE),0)</f>
        <v>1</v>
      </c>
      <c r="N55">
        <f>IFERROR(VLOOKUP($K55,Base_Atividades!$E$1:$N$2398,MATCH(BancoAjustado!N$1,Base_Atividades!$E$1:$N$1,0),FALSE),0)</f>
        <v>0</v>
      </c>
    </row>
    <row r="56" spans="1:14" x14ac:dyDescent="0.25">
      <c r="A56" t="s">
        <v>1863</v>
      </c>
      <c r="B56" t="s">
        <v>1865</v>
      </c>
      <c r="C56" t="s">
        <v>1940</v>
      </c>
      <c r="D56" t="s">
        <v>1941</v>
      </c>
      <c r="E56" t="s">
        <v>1943</v>
      </c>
      <c r="F56" t="str">
        <f>VLOOKUP(A56,Base!$A:$F,6,FALSE)</f>
        <v>AGRICULTURA, PECUÁRIA, PRODUÇÃO FLORESTAL, PESCA E AQUICULTURA</v>
      </c>
      <c r="G56" t="str">
        <f>VLOOKUP(B56,Base!$B:$F,5,FALSE)</f>
        <v>AGRICULTURA, PECUÁRIA E SERVIÇOS RELACIONADOS</v>
      </c>
      <c r="H56" t="str">
        <f>VLOOKUP(C56,Base!$C:$F,4,FALSE)</f>
        <v>Pecuária</v>
      </c>
      <c r="I56" t="str">
        <f>VLOOKUP(D56,Base!$D:$F,3,FALSE)</f>
        <v>Criação de bovinos</v>
      </c>
      <c r="J56" t="str">
        <f>VLOOKUP(E56,Base!$E:$F,2,FALSE)</f>
        <v>Criação de bovinos para leite</v>
      </c>
      <c r="K56" t="s">
        <v>1943</v>
      </c>
      <c r="L56">
        <f>IFERROR(VLOOKUP($K56,Base_Atividades!$E$1:$N$2398,MATCH(BancoAjustado!L$1,Base_Atividades!$E$1:$N$1,0),FALSE),0)</f>
        <v>1</v>
      </c>
      <c r="M56">
        <f>IFERROR(VLOOKUP($K56,Base_Atividades!$E$1:$N$2398,MATCH(BancoAjustado!M$1,Base_Atividades!$E$1:$N$1,0),FALSE),0)</f>
        <v>0</v>
      </c>
      <c r="N56">
        <f>IFERROR(VLOOKUP($K56,Base_Atividades!$E$1:$N$2398,MATCH(BancoAjustado!N$1,Base_Atividades!$E$1:$N$1,0),FALSE),0)</f>
        <v>0</v>
      </c>
    </row>
    <row r="57" spans="1:14" x14ac:dyDescent="0.25">
      <c r="A57" t="s">
        <v>1863</v>
      </c>
      <c r="B57" t="s">
        <v>1865</v>
      </c>
      <c r="C57" t="s">
        <v>1940</v>
      </c>
      <c r="D57" t="s">
        <v>1941</v>
      </c>
      <c r="E57" t="s">
        <v>1944</v>
      </c>
      <c r="F57" t="str">
        <f>VLOOKUP(A57,Base!$A:$F,6,FALSE)</f>
        <v>AGRICULTURA, PECUÁRIA, PRODUÇÃO FLORESTAL, PESCA E AQUICULTURA</v>
      </c>
      <c r="G57" t="str">
        <f>VLOOKUP(B57,Base!$B:$F,5,FALSE)</f>
        <v>AGRICULTURA, PECUÁRIA E SERVIÇOS RELACIONADOS</v>
      </c>
      <c r="H57" t="str">
        <f>VLOOKUP(C57,Base!$C:$F,4,FALSE)</f>
        <v>Pecuária</v>
      </c>
      <c r="I57" t="str">
        <f>VLOOKUP(D57,Base!$D:$F,3,FALSE)</f>
        <v>Criação de bovinos</v>
      </c>
      <c r="J57" t="str">
        <f>VLOOKUP(E57,Base!$E:$F,2,FALSE)</f>
        <v>Criação de bovinos, exceto para corte e leite</v>
      </c>
      <c r="K57" t="s">
        <v>1944</v>
      </c>
      <c r="L57">
        <f>IFERROR(VLOOKUP($K57,Base_Atividades!$E$1:$N$2398,MATCH(BancoAjustado!L$1,Base_Atividades!$E$1:$N$1,0),FALSE),0)</f>
        <v>0</v>
      </c>
      <c r="M57">
        <f>IFERROR(VLOOKUP($K57,Base_Atividades!$E$1:$N$2398,MATCH(BancoAjustado!M$1,Base_Atividades!$E$1:$N$1,0),FALSE),0)</f>
        <v>1</v>
      </c>
      <c r="N57">
        <f>IFERROR(VLOOKUP($K57,Base_Atividades!$E$1:$N$2398,MATCH(BancoAjustado!N$1,Base_Atividades!$E$1:$N$1,0),FALSE),0)</f>
        <v>0</v>
      </c>
    </row>
    <row r="58" spans="1:14" x14ac:dyDescent="0.25">
      <c r="A58" t="s">
        <v>1863</v>
      </c>
      <c r="B58" t="s">
        <v>1865</v>
      </c>
      <c r="C58" t="s">
        <v>1940</v>
      </c>
      <c r="D58" t="s">
        <v>1945</v>
      </c>
      <c r="E58" t="s">
        <v>1946</v>
      </c>
      <c r="F58" t="str">
        <f>VLOOKUP(A58,Base!$A:$F,6,FALSE)</f>
        <v>AGRICULTURA, PECUÁRIA, PRODUÇÃO FLORESTAL, PESCA E AQUICULTURA</v>
      </c>
      <c r="G58" t="str">
        <f>VLOOKUP(B58,Base!$B:$F,5,FALSE)</f>
        <v>AGRICULTURA, PECUÁRIA E SERVIÇOS RELACIONADOS</v>
      </c>
      <c r="H58" t="str">
        <f>VLOOKUP(C58,Base!$C:$F,4,FALSE)</f>
        <v>Pecuária</v>
      </c>
      <c r="I58" t="str">
        <f>VLOOKUP(D58,Base!$D:$F,3,FALSE)</f>
        <v>Criação de outros animais de grande porte</v>
      </c>
      <c r="J58" t="str">
        <f>VLOOKUP(E58,Base!$E:$F,2,FALSE)</f>
        <v>Criação de bufalinos</v>
      </c>
      <c r="K58" t="s">
        <v>1946</v>
      </c>
      <c r="L58">
        <f>IFERROR(VLOOKUP($K58,Base_Atividades!$E$1:$N$2398,MATCH(BancoAjustado!L$1,Base_Atividades!$E$1:$N$1,0),FALSE),0)</f>
        <v>0</v>
      </c>
      <c r="M58">
        <f>IFERROR(VLOOKUP($K58,Base_Atividades!$E$1:$N$2398,MATCH(BancoAjustado!M$1,Base_Atividades!$E$1:$N$1,0),FALSE),0)</f>
        <v>0</v>
      </c>
      <c r="N58">
        <f>IFERROR(VLOOKUP($K58,Base_Atividades!$E$1:$N$2398,MATCH(BancoAjustado!N$1,Base_Atividades!$E$1:$N$1,0),FALSE),0)</f>
        <v>0</v>
      </c>
    </row>
    <row r="59" spans="1:14" x14ac:dyDescent="0.25">
      <c r="A59" t="s">
        <v>1863</v>
      </c>
      <c r="B59" t="s">
        <v>1865</v>
      </c>
      <c r="C59" t="s">
        <v>1940</v>
      </c>
      <c r="D59" t="s">
        <v>1945</v>
      </c>
      <c r="E59" t="s">
        <v>1947</v>
      </c>
      <c r="F59" t="str">
        <f>VLOOKUP(A59,Base!$A:$F,6,FALSE)</f>
        <v>AGRICULTURA, PECUÁRIA, PRODUÇÃO FLORESTAL, PESCA E AQUICULTURA</v>
      </c>
      <c r="G59" t="str">
        <f>VLOOKUP(B59,Base!$B:$F,5,FALSE)</f>
        <v>AGRICULTURA, PECUÁRIA E SERVIÇOS RELACIONADOS</v>
      </c>
      <c r="H59" t="str">
        <f>VLOOKUP(C59,Base!$C:$F,4,FALSE)</f>
        <v>Pecuária</v>
      </c>
      <c r="I59" t="str">
        <f>VLOOKUP(D59,Base!$D:$F,3,FALSE)</f>
        <v>Criação de outros animais de grande porte</v>
      </c>
      <c r="J59" t="str">
        <f>VLOOKUP(E59,Base!$E:$F,2,FALSE)</f>
        <v>Criação de equinos</v>
      </c>
      <c r="K59" t="s">
        <v>1947</v>
      </c>
      <c r="L59">
        <f>IFERROR(VLOOKUP($K59,Base_Atividades!$E$1:$N$2398,MATCH(BancoAjustado!L$1,Base_Atividades!$E$1:$N$1,0),FALSE),0)</f>
        <v>0</v>
      </c>
      <c r="M59">
        <f>IFERROR(VLOOKUP($K59,Base_Atividades!$E$1:$N$2398,MATCH(BancoAjustado!M$1,Base_Atividades!$E$1:$N$1,0),FALSE),0)</f>
        <v>0</v>
      </c>
      <c r="N59">
        <f>IFERROR(VLOOKUP($K59,Base_Atividades!$E$1:$N$2398,MATCH(BancoAjustado!N$1,Base_Atividades!$E$1:$N$1,0),FALSE),0)</f>
        <v>0</v>
      </c>
    </row>
    <row r="60" spans="1:14" x14ac:dyDescent="0.25">
      <c r="A60" t="s">
        <v>1863</v>
      </c>
      <c r="B60" t="s">
        <v>1865</v>
      </c>
      <c r="C60" t="s">
        <v>1940</v>
      </c>
      <c r="D60" t="s">
        <v>1945</v>
      </c>
      <c r="E60" t="s">
        <v>1948</v>
      </c>
      <c r="F60" t="str">
        <f>VLOOKUP(A60,Base!$A:$F,6,FALSE)</f>
        <v>AGRICULTURA, PECUÁRIA, PRODUÇÃO FLORESTAL, PESCA E AQUICULTURA</v>
      </c>
      <c r="G60" t="str">
        <f>VLOOKUP(B60,Base!$B:$F,5,FALSE)</f>
        <v>AGRICULTURA, PECUÁRIA E SERVIÇOS RELACIONADOS</v>
      </c>
      <c r="H60" t="str">
        <f>VLOOKUP(C60,Base!$C:$F,4,FALSE)</f>
        <v>Pecuária</v>
      </c>
      <c r="I60" t="str">
        <f>VLOOKUP(D60,Base!$D:$F,3,FALSE)</f>
        <v>Criação de outros animais de grande porte</v>
      </c>
      <c r="J60" t="str">
        <f>VLOOKUP(E60,Base!$E:$F,2,FALSE)</f>
        <v>Criação de asininos e muares</v>
      </c>
      <c r="K60" t="s">
        <v>1948</v>
      </c>
      <c r="L60">
        <f>IFERROR(VLOOKUP($K60,Base_Atividades!$E$1:$N$2398,MATCH(BancoAjustado!L$1,Base_Atividades!$E$1:$N$1,0),FALSE),0)</f>
        <v>0</v>
      </c>
      <c r="M60">
        <f>IFERROR(VLOOKUP($K60,Base_Atividades!$E$1:$N$2398,MATCH(BancoAjustado!M$1,Base_Atividades!$E$1:$N$1,0),FALSE),0)</f>
        <v>0</v>
      </c>
      <c r="N60">
        <f>IFERROR(VLOOKUP($K60,Base_Atividades!$E$1:$N$2398,MATCH(BancoAjustado!N$1,Base_Atividades!$E$1:$N$1,0),FALSE),0)</f>
        <v>0</v>
      </c>
    </row>
    <row r="61" spans="1:14" x14ac:dyDescent="0.25">
      <c r="A61" t="s">
        <v>1863</v>
      </c>
      <c r="B61" t="s">
        <v>1865</v>
      </c>
      <c r="C61" t="s">
        <v>1940</v>
      </c>
      <c r="D61" t="s">
        <v>1949</v>
      </c>
      <c r="E61" t="s">
        <v>1950</v>
      </c>
      <c r="F61" t="str">
        <f>VLOOKUP(A61,Base!$A:$F,6,FALSE)</f>
        <v>AGRICULTURA, PECUÁRIA, PRODUÇÃO FLORESTAL, PESCA E AQUICULTURA</v>
      </c>
      <c r="G61" t="str">
        <f>VLOOKUP(B61,Base!$B:$F,5,FALSE)</f>
        <v>AGRICULTURA, PECUÁRIA E SERVIÇOS RELACIONADOS</v>
      </c>
      <c r="H61" t="str">
        <f>VLOOKUP(C61,Base!$C:$F,4,FALSE)</f>
        <v>Pecuária</v>
      </c>
      <c r="I61" t="str">
        <f>VLOOKUP(D61,Base!$D:$F,3,FALSE)</f>
        <v>Criação de caprinos e ovinos</v>
      </c>
      <c r="J61" t="str">
        <f>VLOOKUP(E61,Base!$E:$F,2,FALSE)</f>
        <v>Criação de caprinos</v>
      </c>
      <c r="K61" t="s">
        <v>1950</v>
      </c>
      <c r="L61">
        <f>IFERROR(VLOOKUP($K61,Base_Atividades!$E$1:$N$2398,MATCH(BancoAjustado!L$1,Base_Atividades!$E$1:$N$1,0),FALSE),0)</f>
        <v>1</v>
      </c>
      <c r="M61">
        <f>IFERROR(VLOOKUP($K61,Base_Atividades!$E$1:$N$2398,MATCH(BancoAjustado!M$1,Base_Atividades!$E$1:$N$1,0),FALSE),0)</f>
        <v>0</v>
      </c>
      <c r="N61">
        <f>IFERROR(VLOOKUP($K61,Base_Atividades!$E$1:$N$2398,MATCH(BancoAjustado!N$1,Base_Atividades!$E$1:$N$1,0),FALSE),0)</f>
        <v>0</v>
      </c>
    </row>
    <row r="62" spans="1:14" x14ac:dyDescent="0.25">
      <c r="A62" t="s">
        <v>1863</v>
      </c>
      <c r="B62" t="s">
        <v>1865</v>
      </c>
      <c r="C62" t="s">
        <v>1940</v>
      </c>
      <c r="D62" t="s">
        <v>1949</v>
      </c>
      <c r="E62" t="s">
        <v>1951</v>
      </c>
      <c r="F62" t="str">
        <f>VLOOKUP(A62,Base!$A:$F,6,FALSE)</f>
        <v>AGRICULTURA, PECUÁRIA, PRODUÇÃO FLORESTAL, PESCA E AQUICULTURA</v>
      </c>
      <c r="G62" t="str">
        <f>VLOOKUP(B62,Base!$B:$F,5,FALSE)</f>
        <v>AGRICULTURA, PECUÁRIA E SERVIÇOS RELACIONADOS</v>
      </c>
      <c r="H62" t="str">
        <f>VLOOKUP(C62,Base!$C:$F,4,FALSE)</f>
        <v>Pecuária</v>
      </c>
      <c r="I62" t="str">
        <f>VLOOKUP(D62,Base!$D:$F,3,FALSE)</f>
        <v>Criação de caprinos e ovinos</v>
      </c>
      <c r="J62" t="str">
        <f>VLOOKUP(E62,Base!$E:$F,2,FALSE)</f>
        <v>Criação de ovinos, inclusive para produção de lã</v>
      </c>
      <c r="K62" t="s">
        <v>1951</v>
      </c>
      <c r="L62">
        <f>IFERROR(VLOOKUP($K62,Base_Atividades!$E$1:$N$2398,MATCH(BancoAjustado!L$1,Base_Atividades!$E$1:$N$1,0),FALSE),0)</f>
        <v>1</v>
      </c>
      <c r="M62">
        <f>IFERROR(VLOOKUP($K62,Base_Atividades!$E$1:$N$2398,MATCH(BancoAjustado!M$1,Base_Atividades!$E$1:$N$1,0),FALSE),0)</f>
        <v>0</v>
      </c>
      <c r="N62">
        <f>IFERROR(VLOOKUP($K62,Base_Atividades!$E$1:$N$2398,MATCH(BancoAjustado!N$1,Base_Atividades!$E$1:$N$1,0),FALSE),0)</f>
        <v>0</v>
      </c>
    </row>
    <row r="63" spans="1:14" x14ac:dyDescent="0.25">
      <c r="A63" t="s">
        <v>1863</v>
      </c>
      <c r="B63" t="s">
        <v>1865</v>
      </c>
      <c r="C63" t="s">
        <v>1940</v>
      </c>
      <c r="D63" t="s">
        <v>1952</v>
      </c>
      <c r="E63" t="s">
        <v>1953</v>
      </c>
      <c r="F63" t="str">
        <f>VLOOKUP(A63,Base!$A:$F,6,FALSE)</f>
        <v>AGRICULTURA, PECUÁRIA, PRODUÇÃO FLORESTAL, PESCA E AQUICULTURA</v>
      </c>
      <c r="G63" t="str">
        <f>VLOOKUP(B63,Base!$B:$F,5,FALSE)</f>
        <v>AGRICULTURA, PECUÁRIA E SERVIÇOS RELACIONADOS</v>
      </c>
      <c r="H63" t="str">
        <f>VLOOKUP(C63,Base!$C:$F,4,FALSE)</f>
        <v>Pecuária</v>
      </c>
      <c r="I63" t="str">
        <f>VLOOKUP(D63,Base!$D:$F,3,FALSE)</f>
        <v>Criação de suínos</v>
      </c>
      <c r="J63" t="str">
        <f>VLOOKUP(E63,Base!$E:$F,2,FALSE)</f>
        <v>Criação de suínos</v>
      </c>
      <c r="K63" t="s">
        <v>1953</v>
      </c>
      <c r="L63">
        <f>IFERROR(VLOOKUP($K63,Base_Atividades!$E$1:$N$2398,MATCH(BancoAjustado!L$1,Base_Atividades!$E$1:$N$1,0),FALSE),0)</f>
        <v>1</v>
      </c>
      <c r="M63">
        <f>IFERROR(VLOOKUP($K63,Base_Atividades!$E$1:$N$2398,MATCH(BancoAjustado!M$1,Base_Atividades!$E$1:$N$1,0),FALSE),0)</f>
        <v>0</v>
      </c>
      <c r="N63">
        <f>IFERROR(VLOOKUP($K63,Base_Atividades!$E$1:$N$2398,MATCH(BancoAjustado!N$1,Base_Atividades!$E$1:$N$1,0),FALSE),0)</f>
        <v>0</v>
      </c>
    </row>
    <row r="64" spans="1:14" x14ac:dyDescent="0.25">
      <c r="A64" t="s">
        <v>1863</v>
      </c>
      <c r="B64" t="s">
        <v>1865</v>
      </c>
      <c r="C64" t="s">
        <v>1940</v>
      </c>
      <c r="D64" t="s">
        <v>1954</v>
      </c>
      <c r="E64" t="s">
        <v>1955</v>
      </c>
      <c r="F64" t="str">
        <f>VLOOKUP(A64,Base!$A:$F,6,FALSE)</f>
        <v>AGRICULTURA, PECUÁRIA, PRODUÇÃO FLORESTAL, PESCA E AQUICULTURA</v>
      </c>
      <c r="G64" t="str">
        <f>VLOOKUP(B64,Base!$B:$F,5,FALSE)</f>
        <v>AGRICULTURA, PECUÁRIA E SERVIÇOS RELACIONADOS</v>
      </c>
      <c r="H64" t="str">
        <f>VLOOKUP(C64,Base!$C:$F,4,FALSE)</f>
        <v>Pecuária</v>
      </c>
      <c r="I64" t="str">
        <f>VLOOKUP(D64,Base!$D:$F,3,FALSE)</f>
        <v>Criação de aves</v>
      </c>
      <c r="J64" t="str">
        <f>VLOOKUP(E64,Base!$E:$F,2,FALSE)</f>
        <v>Criação de frangos para corte</v>
      </c>
      <c r="K64" t="s">
        <v>1955</v>
      </c>
      <c r="L64">
        <f>IFERROR(VLOOKUP($K64,Base_Atividades!$E$1:$N$2398,MATCH(BancoAjustado!L$1,Base_Atividades!$E$1:$N$1,0),FALSE),0)</f>
        <v>1</v>
      </c>
      <c r="M64">
        <f>IFERROR(VLOOKUP($K64,Base_Atividades!$E$1:$N$2398,MATCH(BancoAjustado!M$1,Base_Atividades!$E$1:$N$1,0),FALSE),0)</f>
        <v>0</v>
      </c>
      <c r="N64">
        <f>IFERROR(VLOOKUP($K64,Base_Atividades!$E$1:$N$2398,MATCH(BancoAjustado!N$1,Base_Atividades!$E$1:$N$1,0),FALSE),0)</f>
        <v>0</v>
      </c>
    </row>
    <row r="65" spans="1:14" x14ac:dyDescent="0.25">
      <c r="A65" t="s">
        <v>1863</v>
      </c>
      <c r="B65" t="s">
        <v>1865</v>
      </c>
      <c r="C65" t="s">
        <v>1940</v>
      </c>
      <c r="D65" t="s">
        <v>1954</v>
      </c>
      <c r="E65" t="s">
        <v>1956</v>
      </c>
      <c r="F65" t="str">
        <f>VLOOKUP(A65,Base!$A:$F,6,FALSE)</f>
        <v>AGRICULTURA, PECUÁRIA, PRODUÇÃO FLORESTAL, PESCA E AQUICULTURA</v>
      </c>
      <c r="G65" t="str">
        <f>VLOOKUP(B65,Base!$B:$F,5,FALSE)</f>
        <v>AGRICULTURA, PECUÁRIA E SERVIÇOS RELACIONADOS</v>
      </c>
      <c r="H65" t="str">
        <f>VLOOKUP(C65,Base!$C:$F,4,FALSE)</f>
        <v>Pecuária</v>
      </c>
      <c r="I65" t="str">
        <f>VLOOKUP(D65,Base!$D:$F,3,FALSE)</f>
        <v>Criação de aves</v>
      </c>
      <c r="J65" t="str">
        <f>VLOOKUP(E65,Base!$E:$F,2,FALSE)</f>
        <v>Produção de pintos de um dia</v>
      </c>
      <c r="K65" t="s">
        <v>1956</v>
      </c>
      <c r="L65">
        <f>IFERROR(VLOOKUP($K65,Base_Atividades!$E$1:$N$2398,MATCH(BancoAjustado!L$1,Base_Atividades!$E$1:$N$1,0),FALSE),0)</f>
        <v>1</v>
      </c>
      <c r="M65">
        <f>IFERROR(VLOOKUP($K65,Base_Atividades!$E$1:$N$2398,MATCH(BancoAjustado!M$1,Base_Atividades!$E$1:$N$1,0),FALSE),0)</f>
        <v>0</v>
      </c>
      <c r="N65">
        <f>IFERROR(VLOOKUP($K65,Base_Atividades!$E$1:$N$2398,MATCH(BancoAjustado!N$1,Base_Atividades!$E$1:$N$1,0),FALSE),0)</f>
        <v>0</v>
      </c>
    </row>
    <row r="66" spans="1:14" x14ac:dyDescent="0.25">
      <c r="A66" t="s">
        <v>1863</v>
      </c>
      <c r="B66" t="s">
        <v>1865</v>
      </c>
      <c r="C66" t="s">
        <v>1940</v>
      </c>
      <c r="D66" t="s">
        <v>1954</v>
      </c>
      <c r="E66" t="s">
        <v>1957</v>
      </c>
      <c r="F66" t="str">
        <f>VLOOKUP(A66,Base!$A:$F,6,FALSE)</f>
        <v>AGRICULTURA, PECUÁRIA, PRODUÇÃO FLORESTAL, PESCA E AQUICULTURA</v>
      </c>
      <c r="G66" t="str">
        <f>VLOOKUP(B66,Base!$B:$F,5,FALSE)</f>
        <v>AGRICULTURA, PECUÁRIA E SERVIÇOS RELACIONADOS</v>
      </c>
      <c r="H66" t="str">
        <f>VLOOKUP(C66,Base!$C:$F,4,FALSE)</f>
        <v>Pecuária</v>
      </c>
      <c r="I66" t="str">
        <f>VLOOKUP(D66,Base!$D:$F,3,FALSE)</f>
        <v>Criação de aves</v>
      </c>
      <c r="J66" t="str">
        <f>VLOOKUP(E66,Base!$E:$F,2,FALSE)</f>
        <v>Criação de outros galináceos, exceto para corte</v>
      </c>
      <c r="K66" t="s">
        <v>1957</v>
      </c>
      <c r="L66">
        <f>IFERROR(VLOOKUP($K66,Base_Atividades!$E$1:$N$2398,MATCH(BancoAjustado!L$1,Base_Atividades!$E$1:$N$1,0),FALSE),0)</f>
        <v>1</v>
      </c>
      <c r="M66">
        <f>IFERROR(VLOOKUP($K66,Base_Atividades!$E$1:$N$2398,MATCH(BancoAjustado!M$1,Base_Atividades!$E$1:$N$1,0),FALSE),0)</f>
        <v>0</v>
      </c>
      <c r="N66">
        <f>IFERROR(VLOOKUP($K66,Base_Atividades!$E$1:$N$2398,MATCH(BancoAjustado!N$1,Base_Atividades!$E$1:$N$1,0),FALSE),0)</f>
        <v>0</v>
      </c>
    </row>
    <row r="67" spans="1:14" x14ac:dyDescent="0.25">
      <c r="A67" t="s">
        <v>1863</v>
      </c>
      <c r="B67" t="s">
        <v>1865</v>
      </c>
      <c r="C67" t="s">
        <v>1940</v>
      </c>
      <c r="D67" t="s">
        <v>1954</v>
      </c>
      <c r="E67" t="s">
        <v>1958</v>
      </c>
      <c r="F67" t="str">
        <f>VLOOKUP(A67,Base!$A:$F,6,FALSE)</f>
        <v>AGRICULTURA, PECUÁRIA, PRODUÇÃO FLORESTAL, PESCA E AQUICULTURA</v>
      </c>
      <c r="G67" t="str">
        <f>VLOOKUP(B67,Base!$B:$F,5,FALSE)</f>
        <v>AGRICULTURA, PECUÁRIA E SERVIÇOS RELACIONADOS</v>
      </c>
      <c r="H67" t="str">
        <f>VLOOKUP(C67,Base!$C:$F,4,FALSE)</f>
        <v>Pecuária</v>
      </c>
      <c r="I67" t="str">
        <f>VLOOKUP(D67,Base!$D:$F,3,FALSE)</f>
        <v>Criação de aves</v>
      </c>
      <c r="J67" t="str">
        <f>VLOOKUP(E67,Base!$E:$F,2,FALSE)</f>
        <v>Criação de aves, exceto galináceos</v>
      </c>
      <c r="K67" t="s">
        <v>1958</v>
      </c>
      <c r="L67">
        <f>IFERROR(VLOOKUP($K67,Base_Atividades!$E$1:$N$2398,MATCH(BancoAjustado!L$1,Base_Atividades!$E$1:$N$1,0),FALSE),0)</f>
        <v>1</v>
      </c>
      <c r="M67">
        <f>IFERROR(VLOOKUP($K67,Base_Atividades!$E$1:$N$2398,MATCH(BancoAjustado!M$1,Base_Atividades!$E$1:$N$1,0),FALSE),0)</f>
        <v>0</v>
      </c>
      <c r="N67">
        <f>IFERROR(VLOOKUP($K67,Base_Atividades!$E$1:$N$2398,MATCH(BancoAjustado!N$1,Base_Atividades!$E$1:$N$1,0),FALSE),0)</f>
        <v>0</v>
      </c>
    </row>
    <row r="68" spans="1:14" x14ac:dyDescent="0.25">
      <c r="A68" t="s">
        <v>1863</v>
      </c>
      <c r="B68" t="s">
        <v>1865</v>
      </c>
      <c r="C68" t="s">
        <v>1940</v>
      </c>
      <c r="D68" t="s">
        <v>1954</v>
      </c>
      <c r="E68" t="s">
        <v>1959</v>
      </c>
      <c r="F68" t="str">
        <f>VLOOKUP(A68,Base!$A:$F,6,FALSE)</f>
        <v>AGRICULTURA, PECUÁRIA, PRODUÇÃO FLORESTAL, PESCA E AQUICULTURA</v>
      </c>
      <c r="G68" t="str">
        <f>VLOOKUP(B68,Base!$B:$F,5,FALSE)</f>
        <v>AGRICULTURA, PECUÁRIA E SERVIÇOS RELACIONADOS</v>
      </c>
      <c r="H68" t="str">
        <f>VLOOKUP(C68,Base!$C:$F,4,FALSE)</f>
        <v>Pecuária</v>
      </c>
      <c r="I68" t="str">
        <f>VLOOKUP(D68,Base!$D:$F,3,FALSE)</f>
        <v>Criação de aves</v>
      </c>
      <c r="J68" t="str">
        <f>VLOOKUP(E68,Base!$E:$F,2,FALSE)</f>
        <v>Produção de ovos</v>
      </c>
      <c r="K68" t="s">
        <v>1959</v>
      </c>
      <c r="L68">
        <f>IFERROR(VLOOKUP($K68,Base_Atividades!$E$1:$N$2398,MATCH(BancoAjustado!L$1,Base_Atividades!$E$1:$N$1,0),FALSE),0)</f>
        <v>1</v>
      </c>
      <c r="M68">
        <f>IFERROR(VLOOKUP($K68,Base_Atividades!$E$1:$N$2398,MATCH(BancoAjustado!M$1,Base_Atividades!$E$1:$N$1,0),FALSE),0)</f>
        <v>0</v>
      </c>
      <c r="N68">
        <f>IFERROR(VLOOKUP($K68,Base_Atividades!$E$1:$N$2398,MATCH(BancoAjustado!N$1,Base_Atividades!$E$1:$N$1,0),FALSE),0)</f>
        <v>0</v>
      </c>
    </row>
    <row r="69" spans="1:14" x14ac:dyDescent="0.25">
      <c r="A69" t="s">
        <v>1863</v>
      </c>
      <c r="B69" t="s">
        <v>1865</v>
      </c>
      <c r="C69" t="s">
        <v>1940</v>
      </c>
      <c r="D69" t="s">
        <v>1960</v>
      </c>
      <c r="E69" t="s">
        <v>1961</v>
      </c>
      <c r="F69" t="str">
        <f>VLOOKUP(A69,Base!$A:$F,6,FALSE)</f>
        <v>AGRICULTURA, PECUÁRIA, PRODUÇÃO FLORESTAL, PESCA E AQUICULTURA</v>
      </c>
      <c r="G69" t="str">
        <f>VLOOKUP(B69,Base!$B:$F,5,FALSE)</f>
        <v>AGRICULTURA, PECUÁRIA E SERVIÇOS RELACIONADOS</v>
      </c>
      <c r="H69" t="str">
        <f>VLOOKUP(C69,Base!$C:$F,4,FALSE)</f>
        <v>Pecuária</v>
      </c>
      <c r="I69" t="str">
        <f>VLOOKUP(D69,Base!$D:$F,3,FALSE)</f>
        <v>Criação de animais não especificados anteriormente</v>
      </c>
      <c r="J69" t="str">
        <f>VLOOKUP(E69,Base!$E:$F,2,FALSE)</f>
        <v>Apicultura</v>
      </c>
      <c r="K69" t="s">
        <v>1961</v>
      </c>
      <c r="L69">
        <f>IFERROR(VLOOKUP($K69,Base_Atividades!$E$1:$N$2398,MATCH(BancoAjustado!L$1,Base_Atividades!$E$1:$N$1,0),FALSE),0)</f>
        <v>1</v>
      </c>
      <c r="M69">
        <f>IFERROR(VLOOKUP($K69,Base_Atividades!$E$1:$N$2398,MATCH(BancoAjustado!M$1,Base_Atividades!$E$1:$N$1,0),FALSE),0)</f>
        <v>0</v>
      </c>
      <c r="N69">
        <f>IFERROR(VLOOKUP($K69,Base_Atividades!$E$1:$N$2398,MATCH(BancoAjustado!N$1,Base_Atividades!$E$1:$N$1,0),FALSE),0)</f>
        <v>0</v>
      </c>
    </row>
    <row r="70" spans="1:14" x14ac:dyDescent="0.25">
      <c r="A70" t="s">
        <v>1863</v>
      </c>
      <c r="B70" t="s">
        <v>1865</v>
      </c>
      <c r="C70" t="s">
        <v>1940</v>
      </c>
      <c r="D70" t="s">
        <v>1960</v>
      </c>
      <c r="E70" t="s">
        <v>1962</v>
      </c>
      <c r="F70" t="str">
        <f>VLOOKUP(A70,Base!$A:$F,6,FALSE)</f>
        <v>AGRICULTURA, PECUÁRIA, PRODUÇÃO FLORESTAL, PESCA E AQUICULTURA</v>
      </c>
      <c r="G70" t="str">
        <f>VLOOKUP(B70,Base!$B:$F,5,FALSE)</f>
        <v>AGRICULTURA, PECUÁRIA E SERVIÇOS RELACIONADOS</v>
      </c>
      <c r="H70" t="str">
        <f>VLOOKUP(C70,Base!$C:$F,4,FALSE)</f>
        <v>Pecuária</v>
      </c>
      <c r="I70" t="str">
        <f>VLOOKUP(D70,Base!$D:$F,3,FALSE)</f>
        <v>Criação de animais não especificados anteriormente</v>
      </c>
      <c r="J70" t="str">
        <f>VLOOKUP(E70,Base!$E:$F,2,FALSE)</f>
        <v>Criação de animais de estimação</v>
      </c>
      <c r="K70" t="s">
        <v>1962</v>
      </c>
      <c r="L70">
        <f>IFERROR(VLOOKUP($K70,Base_Atividades!$E$1:$N$2398,MATCH(BancoAjustado!L$1,Base_Atividades!$E$1:$N$1,0),FALSE),0)</f>
        <v>1</v>
      </c>
      <c r="M70">
        <f>IFERROR(VLOOKUP($K70,Base_Atividades!$E$1:$N$2398,MATCH(BancoAjustado!M$1,Base_Atividades!$E$1:$N$1,0),FALSE),0)</f>
        <v>0</v>
      </c>
      <c r="N70">
        <f>IFERROR(VLOOKUP($K70,Base_Atividades!$E$1:$N$2398,MATCH(BancoAjustado!N$1,Base_Atividades!$E$1:$N$1,0),FALSE),0)</f>
        <v>0</v>
      </c>
    </row>
    <row r="71" spans="1:14" x14ac:dyDescent="0.25">
      <c r="A71" t="s">
        <v>1863</v>
      </c>
      <c r="B71" t="s">
        <v>1865</v>
      </c>
      <c r="C71" t="s">
        <v>1940</v>
      </c>
      <c r="D71" t="s">
        <v>1960</v>
      </c>
      <c r="E71" t="s">
        <v>1963</v>
      </c>
      <c r="F71" t="str">
        <f>VLOOKUP(A71,Base!$A:$F,6,FALSE)</f>
        <v>AGRICULTURA, PECUÁRIA, PRODUÇÃO FLORESTAL, PESCA E AQUICULTURA</v>
      </c>
      <c r="G71" t="str">
        <f>VLOOKUP(B71,Base!$B:$F,5,FALSE)</f>
        <v>AGRICULTURA, PECUÁRIA E SERVIÇOS RELACIONADOS</v>
      </c>
      <c r="H71" t="str">
        <f>VLOOKUP(C71,Base!$C:$F,4,FALSE)</f>
        <v>Pecuária</v>
      </c>
      <c r="I71" t="str">
        <f>VLOOKUP(D71,Base!$D:$F,3,FALSE)</f>
        <v>Criação de animais não especificados anteriormente</v>
      </c>
      <c r="J71" t="str">
        <f>VLOOKUP(E71,Base!$E:$F,2,FALSE)</f>
        <v>Criação de escargô</v>
      </c>
      <c r="K71" t="s">
        <v>1963</v>
      </c>
      <c r="L71">
        <f>IFERROR(VLOOKUP($K71,Base_Atividades!$E$1:$N$2398,MATCH(BancoAjustado!L$1,Base_Atividades!$E$1:$N$1,0),FALSE),0)</f>
        <v>1</v>
      </c>
      <c r="M71">
        <f>IFERROR(VLOOKUP($K71,Base_Atividades!$E$1:$N$2398,MATCH(BancoAjustado!M$1,Base_Atividades!$E$1:$N$1,0),FALSE),0)</f>
        <v>0</v>
      </c>
      <c r="N71">
        <f>IFERROR(VLOOKUP($K71,Base_Atividades!$E$1:$N$2398,MATCH(BancoAjustado!N$1,Base_Atividades!$E$1:$N$1,0),FALSE),0)</f>
        <v>0</v>
      </c>
    </row>
    <row r="72" spans="1:14" x14ac:dyDescent="0.25">
      <c r="A72" t="s">
        <v>1863</v>
      </c>
      <c r="B72" t="s">
        <v>1865</v>
      </c>
      <c r="C72" t="s">
        <v>1940</v>
      </c>
      <c r="D72" t="s">
        <v>1960</v>
      </c>
      <c r="E72" t="s">
        <v>1964</v>
      </c>
      <c r="F72" t="str">
        <f>VLOOKUP(A72,Base!$A:$F,6,FALSE)</f>
        <v>AGRICULTURA, PECUÁRIA, PRODUÇÃO FLORESTAL, PESCA E AQUICULTURA</v>
      </c>
      <c r="G72" t="str">
        <f>VLOOKUP(B72,Base!$B:$F,5,FALSE)</f>
        <v>AGRICULTURA, PECUÁRIA E SERVIÇOS RELACIONADOS</v>
      </c>
      <c r="H72" t="str">
        <f>VLOOKUP(C72,Base!$C:$F,4,FALSE)</f>
        <v>Pecuária</v>
      </c>
      <c r="I72" t="str">
        <f>VLOOKUP(D72,Base!$D:$F,3,FALSE)</f>
        <v>Criação de animais não especificados anteriormente</v>
      </c>
      <c r="J72" t="str">
        <f>VLOOKUP(E72,Base!$E:$F,2,FALSE)</f>
        <v>Criação de bicho-da-seda</v>
      </c>
      <c r="K72" t="s">
        <v>1964</v>
      </c>
      <c r="L72">
        <f>IFERROR(VLOOKUP($K72,Base_Atividades!$E$1:$N$2398,MATCH(BancoAjustado!L$1,Base_Atividades!$E$1:$N$1,0),FALSE),0)</f>
        <v>1</v>
      </c>
      <c r="M72">
        <f>IFERROR(VLOOKUP($K72,Base_Atividades!$E$1:$N$2398,MATCH(BancoAjustado!M$1,Base_Atividades!$E$1:$N$1,0),FALSE),0)</f>
        <v>0</v>
      </c>
      <c r="N72">
        <f>IFERROR(VLOOKUP($K72,Base_Atividades!$E$1:$N$2398,MATCH(BancoAjustado!N$1,Base_Atividades!$E$1:$N$1,0),FALSE),0)</f>
        <v>0</v>
      </c>
    </row>
    <row r="73" spans="1:14" x14ac:dyDescent="0.25">
      <c r="A73" t="s">
        <v>1863</v>
      </c>
      <c r="B73" t="s">
        <v>1865</v>
      </c>
      <c r="C73" t="s">
        <v>1940</v>
      </c>
      <c r="D73" t="s">
        <v>1960</v>
      </c>
      <c r="E73" t="s">
        <v>1965</v>
      </c>
      <c r="F73" t="str">
        <f>VLOOKUP(A73,Base!$A:$F,6,FALSE)</f>
        <v>AGRICULTURA, PECUÁRIA, PRODUÇÃO FLORESTAL, PESCA E AQUICULTURA</v>
      </c>
      <c r="G73" t="str">
        <f>VLOOKUP(B73,Base!$B:$F,5,FALSE)</f>
        <v>AGRICULTURA, PECUÁRIA E SERVIÇOS RELACIONADOS</v>
      </c>
      <c r="H73" t="str">
        <f>VLOOKUP(C73,Base!$C:$F,4,FALSE)</f>
        <v>Pecuária</v>
      </c>
      <c r="I73" t="str">
        <f>VLOOKUP(D73,Base!$D:$F,3,FALSE)</f>
        <v>Criação de animais não especificados anteriormente</v>
      </c>
      <c r="J73" t="str">
        <f>VLOOKUP(E73,Base!$E:$F,2,FALSE)</f>
        <v>Criação de outros animais não especificados anteriormente</v>
      </c>
      <c r="K73" t="s">
        <v>1965</v>
      </c>
      <c r="L73">
        <f>IFERROR(VLOOKUP($K73,Base_Atividades!$E$1:$N$2398,MATCH(BancoAjustado!L$1,Base_Atividades!$E$1:$N$1,0),FALSE),0)</f>
        <v>1</v>
      </c>
      <c r="M73">
        <f>IFERROR(VLOOKUP($K73,Base_Atividades!$E$1:$N$2398,MATCH(BancoAjustado!M$1,Base_Atividades!$E$1:$N$1,0),FALSE),0)</f>
        <v>0</v>
      </c>
      <c r="N73">
        <f>IFERROR(VLOOKUP($K73,Base_Atividades!$E$1:$N$2398,MATCH(BancoAjustado!N$1,Base_Atividades!$E$1:$N$1,0),FALSE),0)</f>
        <v>0</v>
      </c>
    </row>
    <row r="74" spans="1:14" x14ac:dyDescent="0.25">
      <c r="A74" t="s">
        <v>1863</v>
      </c>
      <c r="B74" t="s">
        <v>1865</v>
      </c>
      <c r="C74" t="s">
        <v>1966</v>
      </c>
      <c r="D74" t="s">
        <v>1967</v>
      </c>
      <c r="E74" t="s">
        <v>1968</v>
      </c>
      <c r="F74" t="str">
        <f>VLOOKUP(A74,Base!$A:$F,6,FALSE)</f>
        <v>AGRICULTURA, PECUÁRIA, PRODUÇÃO FLORESTAL, PESCA E AQUICULTURA</v>
      </c>
      <c r="G74" t="str">
        <f>VLOOKUP(B74,Base!$B:$F,5,FALSE)</f>
        <v>AGRICULTURA, PECUÁRIA E SERVIÇOS RELACIONADOS</v>
      </c>
      <c r="H74" t="str">
        <f>VLOOKUP(C74,Base!$C:$F,4,FALSE)</f>
        <v>Atividades de apoio à agricultura e à pecuária; atividades de
pós-colheita</v>
      </c>
      <c r="I74" t="str">
        <f>VLOOKUP(D74,Base!$D:$F,3,FALSE)</f>
        <v>Atividades de apoio à agricultura</v>
      </c>
      <c r="J74" t="str">
        <f>VLOOKUP(E74,Base!$E:$F,2,FALSE)</f>
        <v>Serviço de pulverização e controle de pragas agrícolas</v>
      </c>
      <c r="K74" t="s">
        <v>1968</v>
      </c>
      <c r="L74">
        <f>IFERROR(VLOOKUP($K74,Base_Atividades!$E$1:$N$2398,MATCH(BancoAjustado!L$1,Base_Atividades!$E$1:$N$1,0),FALSE),0)</f>
        <v>1</v>
      </c>
      <c r="M74">
        <f>IFERROR(VLOOKUP($K74,Base_Atividades!$E$1:$N$2398,MATCH(BancoAjustado!M$1,Base_Atividades!$E$1:$N$1,0),FALSE),0)</f>
        <v>0</v>
      </c>
      <c r="N74">
        <f>IFERROR(VLOOKUP($K74,Base_Atividades!$E$1:$N$2398,MATCH(BancoAjustado!N$1,Base_Atividades!$E$1:$N$1,0),FALSE),0)</f>
        <v>0</v>
      </c>
    </row>
    <row r="75" spans="1:14" x14ac:dyDescent="0.25">
      <c r="A75" t="s">
        <v>1863</v>
      </c>
      <c r="B75" t="s">
        <v>1865</v>
      </c>
      <c r="C75" t="s">
        <v>1966</v>
      </c>
      <c r="D75" t="s">
        <v>1967</v>
      </c>
      <c r="E75" t="s">
        <v>1969</v>
      </c>
      <c r="F75" t="str">
        <f>VLOOKUP(A75,Base!$A:$F,6,FALSE)</f>
        <v>AGRICULTURA, PECUÁRIA, PRODUÇÃO FLORESTAL, PESCA E AQUICULTURA</v>
      </c>
      <c r="G75" t="str">
        <f>VLOOKUP(B75,Base!$B:$F,5,FALSE)</f>
        <v>AGRICULTURA, PECUÁRIA E SERVIÇOS RELACIONADOS</v>
      </c>
      <c r="H75" t="str">
        <f>VLOOKUP(C75,Base!$C:$F,4,FALSE)</f>
        <v>Atividades de apoio à agricultura e à pecuária; atividades de
pós-colheita</v>
      </c>
      <c r="I75" t="str">
        <f>VLOOKUP(D75,Base!$D:$F,3,FALSE)</f>
        <v>Atividades de apoio à agricultura</v>
      </c>
      <c r="J75" t="str">
        <f>VLOOKUP(E75,Base!$E:$F,2,FALSE)</f>
        <v>Serviço de poda de árvores para lavouras</v>
      </c>
      <c r="K75" t="s">
        <v>1969</v>
      </c>
      <c r="L75">
        <f>IFERROR(VLOOKUP($K75,Base_Atividades!$E$1:$N$2398,MATCH(BancoAjustado!L$1,Base_Atividades!$E$1:$N$1,0),FALSE),0)</f>
        <v>1</v>
      </c>
      <c r="M75">
        <f>IFERROR(VLOOKUP($K75,Base_Atividades!$E$1:$N$2398,MATCH(BancoAjustado!M$1,Base_Atividades!$E$1:$N$1,0),FALSE),0)</f>
        <v>0</v>
      </c>
      <c r="N75">
        <f>IFERROR(VLOOKUP($K75,Base_Atividades!$E$1:$N$2398,MATCH(BancoAjustado!N$1,Base_Atividades!$E$1:$N$1,0),FALSE),0)</f>
        <v>0</v>
      </c>
    </row>
    <row r="76" spans="1:14" x14ac:dyDescent="0.25">
      <c r="A76" t="s">
        <v>1863</v>
      </c>
      <c r="B76" t="s">
        <v>1865</v>
      </c>
      <c r="C76" t="s">
        <v>1966</v>
      </c>
      <c r="D76" t="s">
        <v>1967</v>
      </c>
      <c r="E76" t="s">
        <v>1970</v>
      </c>
      <c r="F76" t="str">
        <f>VLOOKUP(A76,Base!$A:$F,6,FALSE)</f>
        <v>AGRICULTURA, PECUÁRIA, PRODUÇÃO FLORESTAL, PESCA E AQUICULTURA</v>
      </c>
      <c r="G76" t="str">
        <f>VLOOKUP(B76,Base!$B:$F,5,FALSE)</f>
        <v>AGRICULTURA, PECUÁRIA E SERVIÇOS RELACIONADOS</v>
      </c>
      <c r="H76" t="str">
        <f>VLOOKUP(C76,Base!$C:$F,4,FALSE)</f>
        <v>Atividades de apoio à agricultura e à pecuária; atividades de
pós-colheita</v>
      </c>
      <c r="I76" t="str">
        <f>VLOOKUP(D76,Base!$D:$F,3,FALSE)</f>
        <v>Atividades de apoio à agricultura</v>
      </c>
      <c r="J76" t="str">
        <f>VLOOKUP(E76,Base!$E:$F,2,FALSE)</f>
        <v>Serviço de preparação de terreno, cultivo e colheita</v>
      </c>
      <c r="K76" t="s">
        <v>1970</v>
      </c>
      <c r="L76">
        <f>IFERROR(VLOOKUP($K76,Base_Atividades!$E$1:$N$2398,MATCH(BancoAjustado!L$1,Base_Atividades!$E$1:$N$1,0),FALSE),0)</f>
        <v>1</v>
      </c>
      <c r="M76">
        <f>IFERROR(VLOOKUP($K76,Base_Atividades!$E$1:$N$2398,MATCH(BancoAjustado!M$1,Base_Atividades!$E$1:$N$1,0),FALSE),0)</f>
        <v>0</v>
      </c>
      <c r="N76">
        <f>IFERROR(VLOOKUP($K76,Base_Atividades!$E$1:$N$2398,MATCH(BancoAjustado!N$1,Base_Atividades!$E$1:$N$1,0),FALSE),0)</f>
        <v>0</v>
      </c>
    </row>
    <row r="77" spans="1:14" x14ac:dyDescent="0.25">
      <c r="A77" t="s">
        <v>1863</v>
      </c>
      <c r="B77" t="s">
        <v>1865</v>
      </c>
      <c r="C77" t="s">
        <v>1966</v>
      </c>
      <c r="D77" t="s">
        <v>1967</v>
      </c>
      <c r="E77" t="s">
        <v>1971</v>
      </c>
      <c r="F77" t="str">
        <f>VLOOKUP(A77,Base!$A:$F,6,FALSE)</f>
        <v>AGRICULTURA, PECUÁRIA, PRODUÇÃO FLORESTAL, PESCA E AQUICULTURA</v>
      </c>
      <c r="G77" t="str">
        <f>VLOOKUP(B77,Base!$B:$F,5,FALSE)</f>
        <v>AGRICULTURA, PECUÁRIA E SERVIÇOS RELACIONADOS</v>
      </c>
      <c r="H77" t="str">
        <f>VLOOKUP(C77,Base!$C:$F,4,FALSE)</f>
        <v>Atividades de apoio à agricultura e à pecuária; atividades de
pós-colheita</v>
      </c>
      <c r="I77" t="str">
        <f>VLOOKUP(D77,Base!$D:$F,3,FALSE)</f>
        <v>Atividades de apoio à agricultura</v>
      </c>
      <c r="J77" t="str">
        <f>VLOOKUP(E77,Base!$E:$F,2,FALSE)</f>
        <v>Atividades de apoio à agricultura não especificadas anteriormente</v>
      </c>
      <c r="K77" t="s">
        <v>1971</v>
      </c>
      <c r="L77">
        <f>IFERROR(VLOOKUP($K77,Base_Atividades!$E$1:$N$2398,MATCH(BancoAjustado!L$1,Base_Atividades!$E$1:$N$1,0),FALSE),0)</f>
        <v>1</v>
      </c>
      <c r="M77">
        <f>IFERROR(VLOOKUP($K77,Base_Atividades!$E$1:$N$2398,MATCH(BancoAjustado!M$1,Base_Atividades!$E$1:$N$1,0),FALSE),0)</f>
        <v>0</v>
      </c>
      <c r="N77">
        <f>IFERROR(VLOOKUP($K77,Base_Atividades!$E$1:$N$2398,MATCH(BancoAjustado!N$1,Base_Atividades!$E$1:$N$1,0),FALSE),0)</f>
        <v>0</v>
      </c>
    </row>
    <row r="78" spans="1:14" x14ac:dyDescent="0.25">
      <c r="A78" t="s">
        <v>1863</v>
      </c>
      <c r="B78" t="s">
        <v>1865</v>
      </c>
      <c r="C78" t="s">
        <v>1966</v>
      </c>
      <c r="D78" t="s">
        <v>1972</v>
      </c>
      <c r="E78" t="s">
        <v>1973</v>
      </c>
      <c r="F78" t="str">
        <f>VLOOKUP(A78,Base!$A:$F,6,FALSE)</f>
        <v>AGRICULTURA, PECUÁRIA, PRODUÇÃO FLORESTAL, PESCA E AQUICULTURA</v>
      </c>
      <c r="G78" t="str">
        <f>VLOOKUP(B78,Base!$B:$F,5,FALSE)</f>
        <v>AGRICULTURA, PECUÁRIA E SERVIÇOS RELACIONADOS</v>
      </c>
      <c r="H78" t="str">
        <f>VLOOKUP(C78,Base!$C:$F,4,FALSE)</f>
        <v>Atividades de apoio à agricultura e à pecuária; atividades de
pós-colheita</v>
      </c>
      <c r="I78" t="str">
        <f>VLOOKUP(D78,Base!$D:$F,3,FALSE)</f>
        <v>Atividades de apoio à pecuária</v>
      </c>
      <c r="J78" t="str">
        <f>VLOOKUP(E78,Base!$E:$F,2,FALSE)</f>
        <v>Serviço de inseminação artificial em animais</v>
      </c>
      <c r="K78" t="s">
        <v>1973</v>
      </c>
      <c r="L78">
        <f>IFERROR(VLOOKUP($K78,Base_Atividades!$E$1:$N$2398,MATCH(BancoAjustado!L$1,Base_Atividades!$E$1:$N$1,0),FALSE),0)</f>
        <v>1</v>
      </c>
      <c r="M78">
        <f>IFERROR(VLOOKUP($K78,Base_Atividades!$E$1:$N$2398,MATCH(BancoAjustado!M$1,Base_Atividades!$E$1:$N$1,0),FALSE),0)</f>
        <v>0</v>
      </c>
      <c r="N78">
        <f>IFERROR(VLOOKUP($K78,Base_Atividades!$E$1:$N$2398,MATCH(BancoAjustado!N$1,Base_Atividades!$E$1:$N$1,0),FALSE),0)</f>
        <v>0</v>
      </c>
    </row>
    <row r="79" spans="1:14" x14ac:dyDescent="0.25">
      <c r="A79" t="s">
        <v>1863</v>
      </c>
      <c r="B79" t="s">
        <v>1865</v>
      </c>
      <c r="C79" t="s">
        <v>1966</v>
      </c>
      <c r="D79" t="s">
        <v>1972</v>
      </c>
      <c r="E79" t="s">
        <v>1974</v>
      </c>
      <c r="F79" t="str">
        <f>VLOOKUP(A79,Base!$A:$F,6,FALSE)</f>
        <v>AGRICULTURA, PECUÁRIA, PRODUÇÃO FLORESTAL, PESCA E AQUICULTURA</v>
      </c>
      <c r="G79" t="str">
        <f>VLOOKUP(B79,Base!$B:$F,5,FALSE)</f>
        <v>AGRICULTURA, PECUÁRIA E SERVIÇOS RELACIONADOS</v>
      </c>
      <c r="H79" t="str">
        <f>VLOOKUP(C79,Base!$C:$F,4,FALSE)</f>
        <v>Atividades de apoio à agricultura e à pecuária; atividades de
pós-colheita</v>
      </c>
      <c r="I79" t="str">
        <f>VLOOKUP(D79,Base!$D:$F,3,FALSE)</f>
        <v>Atividades de apoio à pecuária</v>
      </c>
      <c r="J79" t="str">
        <f>VLOOKUP(E79,Base!$E:$F,2,FALSE)</f>
        <v>Serviço de tosquiamento de ovinos</v>
      </c>
      <c r="K79" t="s">
        <v>1974</v>
      </c>
      <c r="L79">
        <f>IFERROR(VLOOKUP($K79,Base_Atividades!$E$1:$N$2398,MATCH(BancoAjustado!L$1,Base_Atividades!$E$1:$N$1,0),FALSE),0)</f>
        <v>1</v>
      </c>
      <c r="M79">
        <f>IFERROR(VLOOKUP($K79,Base_Atividades!$E$1:$N$2398,MATCH(BancoAjustado!M$1,Base_Atividades!$E$1:$N$1,0),FALSE),0)</f>
        <v>0</v>
      </c>
      <c r="N79">
        <f>IFERROR(VLOOKUP($K79,Base_Atividades!$E$1:$N$2398,MATCH(BancoAjustado!N$1,Base_Atividades!$E$1:$N$1,0),FALSE),0)</f>
        <v>0</v>
      </c>
    </row>
    <row r="80" spans="1:14" x14ac:dyDescent="0.25">
      <c r="A80" t="s">
        <v>1863</v>
      </c>
      <c r="B80" t="s">
        <v>1865</v>
      </c>
      <c r="C80" t="s">
        <v>1966</v>
      </c>
      <c r="D80" t="s">
        <v>1972</v>
      </c>
      <c r="E80" t="s">
        <v>1975</v>
      </c>
      <c r="F80" t="str">
        <f>VLOOKUP(A80,Base!$A:$F,6,FALSE)</f>
        <v>AGRICULTURA, PECUÁRIA, PRODUÇÃO FLORESTAL, PESCA E AQUICULTURA</v>
      </c>
      <c r="G80" t="str">
        <f>VLOOKUP(B80,Base!$B:$F,5,FALSE)</f>
        <v>AGRICULTURA, PECUÁRIA E SERVIÇOS RELACIONADOS</v>
      </c>
      <c r="H80" t="str">
        <f>VLOOKUP(C80,Base!$C:$F,4,FALSE)</f>
        <v>Atividades de apoio à agricultura e à pecuária; atividades de
pós-colheita</v>
      </c>
      <c r="I80" t="str">
        <f>VLOOKUP(D80,Base!$D:$F,3,FALSE)</f>
        <v>Atividades de apoio à pecuária</v>
      </c>
      <c r="J80" t="str">
        <f>VLOOKUP(E80,Base!$E:$F,2,FALSE)</f>
        <v>Serviço de manejo de animais</v>
      </c>
      <c r="K80" t="s">
        <v>1975</v>
      </c>
      <c r="L80">
        <f>IFERROR(VLOOKUP($K80,Base_Atividades!$E$1:$N$2398,MATCH(BancoAjustado!L$1,Base_Atividades!$E$1:$N$1,0),FALSE),0)</f>
        <v>1</v>
      </c>
      <c r="M80">
        <f>IFERROR(VLOOKUP($K80,Base_Atividades!$E$1:$N$2398,MATCH(BancoAjustado!M$1,Base_Atividades!$E$1:$N$1,0),FALSE),0)</f>
        <v>0</v>
      </c>
      <c r="N80">
        <f>IFERROR(VLOOKUP($K80,Base_Atividades!$E$1:$N$2398,MATCH(BancoAjustado!N$1,Base_Atividades!$E$1:$N$1,0),FALSE),0)</f>
        <v>0</v>
      </c>
    </row>
    <row r="81" spans="1:14" x14ac:dyDescent="0.25">
      <c r="A81" t="s">
        <v>1863</v>
      </c>
      <c r="B81" t="s">
        <v>1865</v>
      </c>
      <c r="C81" t="s">
        <v>1966</v>
      </c>
      <c r="D81" t="s">
        <v>1972</v>
      </c>
      <c r="E81" t="s">
        <v>1976</v>
      </c>
      <c r="F81" t="str">
        <f>VLOOKUP(A81,Base!$A:$F,6,FALSE)</f>
        <v>AGRICULTURA, PECUÁRIA, PRODUÇÃO FLORESTAL, PESCA E AQUICULTURA</v>
      </c>
      <c r="G81" t="str">
        <f>VLOOKUP(B81,Base!$B:$F,5,FALSE)</f>
        <v>AGRICULTURA, PECUÁRIA E SERVIÇOS RELACIONADOS</v>
      </c>
      <c r="H81" t="str">
        <f>VLOOKUP(C81,Base!$C:$F,4,FALSE)</f>
        <v>Atividades de apoio à agricultura e à pecuária; atividades de
pós-colheita</v>
      </c>
      <c r="I81" t="str">
        <f>VLOOKUP(D81,Base!$D:$F,3,FALSE)</f>
        <v>Atividades de apoio à pecuária</v>
      </c>
      <c r="J81" t="str">
        <f>VLOOKUP(E81,Base!$E:$F,2,FALSE)</f>
        <v>Atividades de apoio à pecuária não especificadas anteriormente</v>
      </c>
      <c r="K81" t="s">
        <v>1976</v>
      </c>
      <c r="L81">
        <f>IFERROR(VLOOKUP($K81,Base_Atividades!$E$1:$N$2398,MATCH(BancoAjustado!L$1,Base_Atividades!$E$1:$N$1,0),FALSE),0)</f>
        <v>1</v>
      </c>
      <c r="M81">
        <f>IFERROR(VLOOKUP($K81,Base_Atividades!$E$1:$N$2398,MATCH(BancoAjustado!M$1,Base_Atividades!$E$1:$N$1,0),FALSE),0)</f>
        <v>0</v>
      </c>
      <c r="N81">
        <f>IFERROR(VLOOKUP($K81,Base_Atividades!$E$1:$N$2398,MATCH(BancoAjustado!N$1,Base_Atividades!$E$1:$N$1,0),FALSE),0)</f>
        <v>0</v>
      </c>
    </row>
    <row r="82" spans="1:14" x14ac:dyDescent="0.25">
      <c r="A82" t="s">
        <v>1863</v>
      </c>
      <c r="B82" t="s">
        <v>1865</v>
      </c>
      <c r="C82" t="s">
        <v>1966</v>
      </c>
      <c r="D82" t="s">
        <v>1977</v>
      </c>
      <c r="E82" t="s">
        <v>1978</v>
      </c>
      <c r="F82" t="str">
        <f>VLOOKUP(A82,Base!$A:$F,6,FALSE)</f>
        <v>AGRICULTURA, PECUÁRIA, PRODUÇÃO FLORESTAL, PESCA E AQUICULTURA</v>
      </c>
      <c r="G82" t="str">
        <f>VLOOKUP(B82,Base!$B:$F,5,FALSE)</f>
        <v>AGRICULTURA, PECUÁRIA E SERVIÇOS RELACIONADOS</v>
      </c>
      <c r="H82" t="str">
        <f>VLOOKUP(C82,Base!$C:$F,4,FALSE)</f>
        <v>Atividades de apoio à agricultura e à pecuária; atividades de
pós-colheita</v>
      </c>
      <c r="I82" t="str">
        <f>VLOOKUP(D82,Base!$D:$F,3,FALSE)</f>
        <v>Atividades de pós-colheita</v>
      </c>
      <c r="J82" t="str">
        <f>VLOOKUP(E82,Base!$E:$F,2,FALSE)</f>
        <v>Atividades de pós-colheita</v>
      </c>
      <c r="K82" t="s">
        <v>1978</v>
      </c>
      <c r="L82">
        <f>IFERROR(VLOOKUP($K82,Base_Atividades!$E$1:$N$2398,MATCH(BancoAjustado!L$1,Base_Atividades!$E$1:$N$1,0),FALSE),0)</f>
        <v>1</v>
      </c>
      <c r="M82">
        <f>IFERROR(VLOOKUP($K82,Base_Atividades!$E$1:$N$2398,MATCH(BancoAjustado!M$1,Base_Atividades!$E$1:$N$1,0),FALSE),0)</f>
        <v>0</v>
      </c>
      <c r="N82">
        <f>IFERROR(VLOOKUP($K82,Base_Atividades!$E$1:$N$2398,MATCH(BancoAjustado!N$1,Base_Atividades!$E$1:$N$1,0),FALSE),0)</f>
        <v>0</v>
      </c>
    </row>
    <row r="83" spans="1:14" x14ac:dyDescent="0.25">
      <c r="A83" t="s">
        <v>1863</v>
      </c>
      <c r="B83" t="s">
        <v>1865</v>
      </c>
      <c r="C83" t="s">
        <v>1979</v>
      </c>
      <c r="D83" t="s">
        <v>1980</v>
      </c>
      <c r="E83" t="s">
        <v>1981</v>
      </c>
      <c r="F83" t="str">
        <f>VLOOKUP(A83,Base!$A:$F,6,FALSE)</f>
        <v>AGRICULTURA, PECUÁRIA, PRODUÇÃO FLORESTAL, PESCA E AQUICULTURA</v>
      </c>
      <c r="G83" t="str">
        <f>VLOOKUP(B83,Base!$B:$F,5,FALSE)</f>
        <v>AGRICULTURA, PECUÁRIA E SERVIÇOS RELACIONADOS</v>
      </c>
      <c r="H83" t="str">
        <f>VLOOKUP(C83,Base!$C:$F,4,FALSE)</f>
        <v>Caça e serviços relacionados</v>
      </c>
      <c r="I83" t="str">
        <f>VLOOKUP(D83,Base!$D:$F,3,FALSE)</f>
        <v>Caça e serviços relacionados</v>
      </c>
      <c r="J83" t="str">
        <f>VLOOKUP(E83,Base!$E:$F,2,FALSE)</f>
        <v>Caça e serviços relacionados</v>
      </c>
      <c r="K83" t="s">
        <v>1981</v>
      </c>
      <c r="L83">
        <f>IFERROR(VLOOKUP($K83,Base_Atividades!$E$1:$N$2398,MATCH(BancoAjustado!L$1,Base_Atividades!$E$1:$N$1,0),FALSE),0)</f>
        <v>0</v>
      </c>
      <c r="M83">
        <f>IFERROR(VLOOKUP($K83,Base_Atividades!$E$1:$N$2398,MATCH(BancoAjustado!M$1,Base_Atividades!$E$1:$N$1,0),FALSE),0)</f>
        <v>0</v>
      </c>
      <c r="N83">
        <f>IFERROR(VLOOKUP($K83,Base_Atividades!$E$1:$N$2398,MATCH(BancoAjustado!N$1,Base_Atividades!$E$1:$N$1,0),FALSE),0)</f>
        <v>0</v>
      </c>
    </row>
    <row r="84" spans="1:14" x14ac:dyDescent="0.25">
      <c r="A84" t="s">
        <v>1863</v>
      </c>
      <c r="B84" t="s">
        <v>1982</v>
      </c>
      <c r="C84" t="s">
        <v>1983</v>
      </c>
      <c r="D84" t="s">
        <v>1984</v>
      </c>
      <c r="E84" t="s">
        <v>1985</v>
      </c>
      <c r="F84" t="str">
        <f>VLOOKUP(A84,Base!$A:$F,6,FALSE)</f>
        <v>AGRICULTURA, PECUÁRIA, PRODUÇÃO FLORESTAL, PESCA E AQUICULTURA</v>
      </c>
      <c r="G84" t="str">
        <f>VLOOKUP(B84,Base!$B:$F,5,FALSE)</f>
        <v>PRODUÇÃO FLORESTAL</v>
      </c>
      <c r="H84" t="str">
        <f>VLOOKUP(C84,Base!$C:$F,4,FALSE)</f>
        <v>Produção florestal - florestas plantadas</v>
      </c>
      <c r="I84" t="str">
        <f>VLOOKUP(D84,Base!$D:$F,3,FALSE)</f>
        <v>Produção florestal - florestas plantadas</v>
      </c>
      <c r="J84" t="str">
        <f>VLOOKUP(E84,Base!$E:$F,2,FALSE)</f>
        <v>Cultivo de eucalipto</v>
      </c>
      <c r="K84" t="s">
        <v>1985</v>
      </c>
      <c r="L84">
        <f>IFERROR(VLOOKUP($K84,Base_Atividades!$E$1:$N$2398,MATCH(BancoAjustado!L$1,Base_Atividades!$E$1:$N$1,0),FALSE),0)</f>
        <v>0</v>
      </c>
      <c r="M84">
        <f>IFERROR(VLOOKUP($K84,Base_Atividades!$E$1:$N$2398,MATCH(BancoAjustado!M$1,Base_Atividades!$E$1:$N$1,0),FALSE),0)</f>
        <v>1</v>
      </c>
      <c r="N84">
        <f>IFERROR(VLOOKUP($K84,Base_Atividades!$E$1:$N$2398,MATCH(BancoAjustado!N$1,Base_Atividades!$E$1:$N$1,0),FALSE),0)</f>
        <v>0</v>
      </c>
    </row>
    <row r="85" spans="1:14" x14ac:dyDescent="0.25">
      <c r="A85" t="s">
        <v>1863</v>
      </c>
      <c r="B85" t="s">
        <v>1982</v>
      </c>
      <c r="C85" t="s">
        <v>1983</v>
      </c>
      <c r="D85" t="s">
        <v>1984</v>
      </c>
      <c r="E85" t="s">
        <v>1986</v>
      </c>
      <c r="F85" t="str">
        <f>VLOOKUP(A85,Base!$A:$F,6,FALSE)</f>
        <v>AGRICULTURA, PECUÁRIA, PRODUÇÃO FLORESTAL, PESCA E AQUICULTURA</v>
      </c>
      <c r="G85" t="str">
        <f>VLOOKUP(B85,Base!$B:$F,5,FALSE)</f>
        <v>PRODUÇÃO FLORESTAL</v>
      </c>
      <c r="H85" t="str">
        <f>VLOOKUP(C85,Base!$C:$F,4,FALSE)</f>
        <v>Produção florestal - florestas plantadas</v>
      </c>
      <c r="I85" t="str">
        <f>VLOOKUP(D85,Base!$D:$F,3,FALSE)</f>
        <v>Produção florestal - florestas plantadas</v>
      </c>
      <c r="J85" t="str">
        <f>VLOOKUP(E85,Base!$E:$F,2,FALSE)</f>
        <v>Cultivo de acácia-negra</v>
      </c>
      <c r="K85" t="s">
        <v>1986</v>
      </c>
      <c r="L85">
        <f>IFERROR(VLOOKUP($K85,Base_Atividades!$E$1:$N$2398,MATCH(BancoAjustado!L$1,Base_Atividades!$E$1:$N$1,0),FALSE),0)</f>
        <v>0</v>
      </c>
      <c r="M85">
        <f>IFERROR(VLOOKUP($K85,Base_Atividades!$E$1:$N$2398,MATCH(BancoAjustado!M$1,Base_Atividades!$E$1:$N$1,0),FALSE),0)</f>
        <v>1</v>
      </c>
      <c r="N85">
        <f>IFERROR(VLOOKUP($K85,Base_Atividades!$E$1:$N$2398,MATCH(BancoAjustado!N$1,Base_Atividades!$E$1:$N$1,0),FALSE),0)</f>
        <v>0</v>
      </c>
    </row>
    <row r="86" spans="1:14" x14ac:dyDescent="0.25">
      <c r="A86" t="s">
        <v>1863</v>
      </c>
      <c r="B86" t="s">
        <v>1982</v>
      </c>
      <c r="C86" t="s">
        <v>1983</v>
      </c>
      <c r="D86" t="s">
        <v>1984</v>
      </c>
      <c r="E86" t="s">
        <v>1987</v>
      </c>
      <c r="F86" t="str">
        <f>VLOOKUP(A86,Base!$A:$F,6,FALSE)</f>
        <v>AGRICULTURA, PECUÁRIA, PRODUÇÃO FLORESTAL, PESCA E AQUICULTURA</v>
      </c>
      <c r="G86" t="str">
        <f>VLOOKUP(B86,Base!$B:$F,5,FALSE)</f>
        <v>PRODUÇÃO FLORESTAL</v>
      </c>
      <c r="H86" t="str">
        <f>VLOOKUP(C86,Base!$C:$F,4,FALSE)</f>
        <v>Produção florestal - florestas plantadas</v>
      </c>
      <c r="I86" t="str">
        <f>VLOOKUP(D86,Base!$D:$F,3,FALSE)</f>
        <v>Produção florestal - florestas plantadas</v>
      </c>
      <c r="J86" t="str">
        <f>VLOOKUP(E86,Base!$E:$F,2,FALSE)</f>
        <v>Cultivo de pinus</v>
      </c>
      <c r="K86" t="s">
        <v>1987</v>
      </c>
      <c r="L86">
        <f>IFERROR(VLOOKUP($K86,Base_Atividades!$E$1:$N$2398,MATCH(BancoAjustado!L$1,Base_Atividades!$E$1:$N$1,0),FALSE),0)</f>
        <v>0</v>
      </c>
      <c r="M86">
        <f>IFERROR(VLOOKUP($K86,Base_Atividades!$E$1:$N$2398,MATCH(BancoAjustado!M$1,Base_Atividades!$E$1:$N$1,0),FALSE),0)</f>
        <v>1</v>
      </c>
      <c r="N86">
        <f>IFERROR(VLOOKUP($K86,Base_Atividades!$E$1:$N$2398,MATCH(BancoAjustado!N$1,Base_Atividades!$E$1:$N$1,0),FALSE),0)</f>
        <v>0</v>
      </c>
    </row>
    <row r="87" spans="1:14" x14ac:dyDescent="0.25">
      <c r="A87" t="s">
        <v>1863</v>
      </c>
      <c r="B87" t="s">
        <v>1982</v>
      </c>
      <c r="C87" t="s">
        <v>1983</v>
      </c>
      <c r="D87" t="s">
        <v>1984</v>
      </c>
      <c r="E87" t="s">
        <v>1988</v>
      </c>
      <c r="F87" t="str">
        <f>VLOOKUP(A87,Base!$A:$F,6,FALSE)</f>
        <v>AGRICULTURA, PECUÁRIA, PRODUÇÃO FLORESTAL, PESCA E AQUICULTURA</v>
      </c>
      <c r="G87" t="str">
        <f>VLOOKUP(B87,Base!$B:$F,5,FALSE)</f>
        <v>PRODUÇÃO FLORESTAL</v>
      </c>
      <c r="H87" t="str">
        <f>VLOOKUP(C87,Base!$C:$F,4,FALSE)</f>
        <v>Produção florestal - florestas plantadas</v>
      </c>
      <c r="I87" t="str">
        <f>VLOOKUP(D87,Base!$D:$F,3,FALSE)</f>
        <v>Produção florestal - florestas plantadas</v>
      </c>
      <c r="J87" t="str">
        <f>VLOOKUP(E87,Base!$E:$F,2,FALSE)</f>
        <v>Cultivo de teca</v>
      </c>
      <c r="K87" t="s">
        <v>1988</v>
      </c>
      <c r="L87">
        <f>IFERROR(VLOOKUP($K87,Base_Atividades!$E$1:$N$2398,MATCH(BancoAjustado!L$1,Base_Atividades!$E$1:$N$1,0),FALSE),0)</f>
        <v>0</v>
      </c>
      <c r="M87">
        <f>IFERROR(VLOOKUP($K87,Base_Atividades!$E$1:$N$2398,MATCH(BancoAjustado!M$1,Base_Atividades!$E$1:$N$1,0),FALSE),0)</f>
        <v>1</v>
      </c>
      <c r="N87">
        <f>IFERROR(VLOOKUP($K87,Base_Atividades!$E$1:$N$2398,MATCH(BancoAjustado!N$1,Base_Atividades!$E$1:$N$1,0),FALSE),0)</f>
        <v>0</v>
      </c>
    </row>
    <row r="88" spans="1:14" x14ac:dyDescent="0.25">
      <c r="A88" t="s">
        <v>1863</v>
      </c>
      <c r="B88" t="s">
        <v>1982</v>
      </c>
      <c r="C88" t="s">
        <v>1983</v>
      </c>
      <c r="D88" t="s">
        <v>1984</v>
      </c>
      <c r="E88" t="s">
        <v>1989</v>
      </c>
      <c r="F88" t="str">
        <f>VLOOKUP(A88,Base!$A:$F,6,FALSE)</f>
        <v>AGRICULTURA, PECUÁRIA, PRODUÇÃO FLORESTAL, PESCA E AQUICULTURA</v>
      </c>
      <c r="G88" t="str">
        <f>VLOOKUP(B88,Base!$B:$F,5,FALSE)</f>
        <v>PRODUÇÃO FLORESTAL</v>
      </c>
      <c r="H88" t="str">
        <f>VLOOKUP(C88,Base!$C:$F,4,FALSE)</f>
        <v>Produção florestal - florestas plantadas</v>
      </c>
      <c r="I88" t="str">
        <f>VLOOKUP(D88,Base!$D:$F,3,FALSE)</f>
        <v>Produção florestal - florestas plantadas</v>
      </c>
      <c r="J88" t="str">
        <f>VLOOKUP(E88,Base!$E:$F,2,FALSE)</f>
        <v>Cultivo de espécies madeireiras, exceto eucalipto, acácia-negra, pinus e teca</v>
      </c>
      <c r="K88" t="s">
        <v>1989</v>
      </c>
      <c r="L88">
        <f>IFERROR(VLOOKUP($K88,Base_Atividades!$E$1:$N$2398,MATCH(BancoAjustado!L$1,Base_Atividades!$E$1:$N$1,0),FALSE),0)</f>
        <v>0</v>
      </c>
      <c r="M88">
        <f>IFERROR(VLOOKUP($K88,Base_Atividades!$E$1:$N$2398,MATCH(BancoAjustado!M$1,Base_Atividades!$E$1:$N$1,0),FALSE),0)</f>
        <v>1</v>
      </c>
      <c r="N88">
        <f>IFERROR(VLOOKUP($K88,Base_Atividades!$E$1:$N$2398,MATCH(BancoAjustado!N$1,Base_Atividades!$E$1:$N$1,0),FALSE),0)</f>
        <v>0</v>
      </c>
    </row>
    <row r="89" spans="1:14" x14ac:dyDescent="0.25">
      <c r="A89" t="s">
        <v>1863</v>
      </c>
      <c r="B89" t="s">
        <v>1982</v>
      </c>
      <c r="C89" t="s">
        <v>1983</v>
      </c>
      <c r="D89" t="s">
        <v>1984</v>
      </c>
      <c r="E89" t="s">
        <v>1990</v>
      </c>
      <c r="F89" t="str">
        <f>VLOOKUP(A89,Base!$A:$F,6,FALSE)</f>
        <v>AGRICULTURA, PECUÁRIA, PRODUÇÃO FLORESTAL, PESCA E AQUICULTURA</v>
      </c>
      <c r="G89" t="str">
        <f>VLOOKUP(B89,Base!$B:$F,5,FALSE)</f>
        <v>PRODUÇÃO FLORESTAL</v>
      </c>
      <c r="H89" t="str">
        <f>VLOOKUP(C89,Base!$C:$F,4,FALSE)</f>
        <v>Produção florestal - florestas plantadas</v>
      </c>
      <c r="I89" t="str">
        <f>VLOOKUP(D89,Base!$D:$F,3,FALSE)</f>
        <v>Produção florestal - florestas plantadas</v>
      </c>
      <c r="J89" t="str">
        <f>VLOOKUP(E89,Base!$E:$F,2,FALSE)</f>
        <v>Cultivo de mudas em viveiros florestais</v>
      </c>
      <c r="K89" t="s">
        <v>1990</v>
      </c>
      <c r="L89">
        <f>IFERROR(VLOOKUP($K89,Base_Atividades!$E$1:$N$2398,MATCH(BancoAjustado!L$1,Base_Atividades!$E$1:$N$1,0),FALSE),0)</f>
        <v>0</v>
      </c>
      <c r="M89">
        <f>IFERROR(VLOOKUP($K89,Base_Atividades!$E$1:$N$2398,MATCH(BancoAjustado!M$1,Base_Atividades!$E$1:$N$1,0),FALSE),0)</f>
        <v>1</v>
      </c>
      <c r="N89">
        <f>IFERROR(VLOOKUP($K89,Base_Atividades!$E$1:$N$2398,MATCH(BancoAjustado!N$1,Base_Atividades!$E$1:$N$1,0),FALSE),0)</f>
        <v>0</v>
      </c>
    </row>
    <row r="90" spans="1:14" x14ac:dyDescent="0.25">
      <c r="A90" t="s">
        <v>1863</v>
      </c>
      <c r="B90" t="s">
        <v>1982</v>
      </c>
      <c r="C90" t="s">
        <v>1983</v>
      </c>
      <c r="D90" t="s">
        <v>1984</v>
      </c>
      <c r="E90" t="s">
        <v>1991</v>
      </c>
      <c r="F90" t="str">
        <f>VLOOKUP(A90,Base!$A:$F,6,FALSE)</f>
        <v>AGRICULTURA, PECUÁRIA, PRODUÇÃO FLORESTAL, PESCA E AQUICULTURA</v>
      </c>
      <c r="G90" t="str">
        <f>VLOOKUP(B90,Base!$B:$F,5,FALSE)</f>
        <v>PRODUÇÃO FLORESTAL</v>
      </c>
      <c r="H90" t="str">
        <f>VLOOKUP(C90,Base!$C:$F,4,FALSE)</f>
        <v>Produção florestal - florestas plantadas</v>
      </c>
      <c r="I90" t="str">
        <f>VLOOKUP(D90,Base!$D:$F,3,FALSE)</f>
        <v>Produção florestal - florestas plantadas</v>
      </c>
      <c r="J90" t="str">
        <f>VLOOKUP(E90,Base!$E:$F,2,FALSE)</f>
        <v>Extração de madeira em florestas plantadas</v>
      </c>
      <c r="K90" t="s">
        <v>1991</v>
      </c>
      <c r="L90">
        <f>IFERROR(VLOOKUP($K90,Base_Atividades!$E$1:$N$2398,MATCH(BancoAjustado!L$1,Base_Atividades!$E$1:$N$1,0),FALSE),0)</f>
        <v>0</v>
      </c>
      <c r="M90">
        <f>IFERROR(VLOOKUP($K90,Base_Atividades!$E$1:$N$2398,MATCH(BancoAjustado!M$1,Base_Atividades!$E$1:$N$1,0),FALSE),0)</f>
        <v>1</v>
      </c>
      <c r="N90">
        <f>IFERROR(VLOOKUP($K90,Base_Atividades!$E$1:$N$2398,MATCH(BancoAjustado!N$1,Base_Atividades!$E$1:$N$1,0),FALSE),0)</f>
        <v>0</v>
      </c>
    </row>
    <row r="91" spans="1:14" x14ac:dyDescent="0.25">
      <c r="A91" t="s">
        <v>1863</v>
      </c>
      <c r="B91" t="s">
        <v>1982</v>
      </c>
      <c r="C91" t="s">
        <v>1983</v>
      </c>
      <c r="D91" t="s">
        <v>1984</v>
      </c>
      <c r="E91" t="s">
        <v>1992</v>
      </c>
      <c r="F91" t="str">
        <f>VLOOKUP(A91,Base!$A:$F,6,FALSE)</f>
        <v>AGRICULTURA, PECUÁRIA, PRODUÇÃO FLORESTAL, PESCA E AQUICULTURA</v>
      </c>
      <c r="G91" t="str">
        <f>VLOOKUP(B91,Base!$B:$F,5,FALSE)</f>
        <v>PRODUÇÃO FLORESTAL</v>
      </c>
      <c r="H91" t="str">
        <f>VLOOKUP(C91,Base!$C:$F,4,FALSE)</f>
        <v>Produção florestal - florestas plantadas</v>
      </c>
      <c r="I91" t="str">
        <f>VLOOKUP(D91,Base!$D:$F,3,FALSE)</f>
        <v>Produção florestal - florestas plantadas</v>
      </c>
      <c r="J91" t="str">
        <f>VLOOKUP(E91,Base!$E:$F,2,FALSE)</f>
        <v>Produção de carvão vegetal - florestas plantadas</v>
      </c>
      <c r="K91" t="s">
        <v>1992</v>
      </c>
      <c r="L91">
        <f>IFERROR(VLOOKUP($K91,Base_Atividades!$E$1:$N$2398,MATCH(BancoAjustado!L$1,Base_Atividades!$E$1:$N$1,0),FALSE),0)</f>
        <v>0</v>
      </c>
      <c r="M91">
        <f>IFERROR(VLOOKUP($K91,Base_Atividades!$E$1:$N$2398,MATCH(BancoAjustado!M$1,Base_Atividades!$E$1:$N$1,0),FALSE),0)</f>
        <v>1</v>
      </c>
      <c r="N91">
        <f>IFERROR(VLOOKUP($K91,Base_Atividades!$E$1:$N$2398,MATCH(BancoAjustado!N$1,Base_Atividades!$E$1:$N$1,0),FALSE),0)</f>
        <v>0</v>
      </c>
    </row>
    <row r="92" spans="1:14" x14ac:dyDescent="0.25">
      <c r="A92" t="s">
        <v>1863</v>
      </c>
      <c r="B92" t="s">
        <v>1982</v>
      </c>
      <c r="C92" t="s">
        <v>1983</v>
      </c>
      <c r="D92" t="s">
        <v>1984</v>
      </c>
      <c r="E92" t="s">
        <v>1993</v>
      </c>
      <c r="F92" t="str">
        <f>VLOOKUP(A92,Base!$A:$F,6,FALSE)</f>
        <v>AGRICULTURA, PECUÁRIA, PRODUÇÃO FLORESTAL, PESCA E AQUICULTURA</v>
      </c>
      <c r="G92" t="str">
        <f>VLOOKUP(B92,Base!$B:$F,5,FALSE)</f>
        <v>PRODUÇÃO FLORESTAL</v>
      </c>
      <c r="H92" t="str">
        <f>VLOOKUP(C92,Base!$C:$F,4,FALSE)</f>
        <v>Produção florestal - florestas plantadas</v>
      </c>
      <c r="I92" t="str">
        <f>VLOOKUP(D92,Base!$D:$F,3,FALSE)</f>
        <v>Produção florestal - florestas plantadas</v>
      </c>
      <c r="J92" t="str">
        <f>VLOOKUP(E92,Base!$E:$F,2,FALSE)</f>
        <v>Produção de casca de acácia-negra - florestas plantadas</v>
      </c>
      <c r="K92" t="s">
        <v>1993</v>
      </c>
      <c r="L92">
        <f>IFERROR(VLOOKUP($K92,Base_Atividades!$E$1:$N$2398,MATCH(BancoAjustado!L$1,Base_Atividades!$E$1:$N$1,0),FALSE),0)</f>
        <v>0</v>
      </c>
      <c r="M92">
        <f>IFERROR(VLOOKUP($K92,Base_Atividades!$E$1:$N$2398,MATCH(BancoAjustado!M$1,Base_Atividades!$E$1:$N$1,0),FALSE),0)</f>
        <v>1</v>
      </c>
      <c r="N92">
        <f>IFERROR(VLOOKUP($K92,Base_Atividades!$E$1:$N$2398,MATCH(BancoAjustado!N$1,Base_Atividades!$E$1:$N$1,0),FALSE),0)</f>
        <v>0</v>
      </c>
    </row>
    <row r="93" spans="1:14" x14ac:dyDescent="0.25">
      <c r="A93" t="s">
        <v>1863</v>
      </c>
      <c r="B93" t="s">
        <v>1982</v>
      </c>
      <c r="C93" t="s">
        <v>1983</v>
      </c>
      <c r="D93" t="s">
        <v>1984</v>
      </c>
      <c r="E93" t="s">
        <v>1994</v>
      </c>
      <c r="F93" t="str">
        <f>VLOOKUP(A93,Base!$A:$F,6,FALSE)</f>
        <v>AGRICULTURA, PECUÁRIA, PRODUÇÃO FLORESTAL, PESCA E AQUICULTURA</v>
      </c>
      <c r="G93" t="str">
        <f>VLOOKUP(B93,Base!$B:$F,5,FALSE)</f>
        <v>PRODUÇÃO FLORESTAL</v>
      </c>
      <c r="H93" t="str">
        <f>VLOOKUP(C93,Base!$C:$F,4,FALSE)</f>
        <v>Produção florestal - florestas plantadas</v>
      </c>
      <c r="I93" t="str">
        <f>VLOOKUP(D93,Base!$D:$F,3,FALSE)</f>
        <v>Produção florestal - florestas plantadas</v>
      </c>
      <c r="J93" t="str">
        <f>VLOOKUP(E93,Base!$E:$F,2,FALSE)</f>
        <v>Produção de produtos não madeireiros não especificados anteriormente em florestas plantadas</v>
      </c>
      <c r="K93" t="s">
        <v>1994</v>
      </c>
      <c r="L93">
        <f>IFERROR(VLOOKUP($K93,Base_Atividades!$E$1:$N$2398,MATCH(BancoAjustado!L$1,Base_Atividades!$E$1:$N$1,0),FALSE),0)</f>
        <v>0</v>
      </c>
      <c r="M93">
        <f>IFERROR(VLOOKUP($K93,Base_Atividades!$E$1:$N$2398,MATCH(BancoAjustado!M$1,Base_Atividades!$E$1:$N$1,0),FALSE),0)</f>
        <v>1</v>
      </c>
      <c r="N93">
        <f>IFERROR(VLOOKUP($K93,Base_Atividades!$E$1:$N$2398,MATCH(BancoAjustado!N$1,Base_Atividades!$E$1:$N$1,0),FALSE),0)</f>
        <v>0</v>
      </c>
    </row>
    <row r="94" spans="1:14" x14ac:dyDescent="0.25">
      <c r="A94" t="s">
        <v>1863</v>
      </c>
      <c r="B94" t="s">
        <v>1982</v>
      </c>
      <c r="C94" t="s">
        <v>1995</v>
      </c>
      <c r="D94" t="s">
        <v>1996</v>
      </c>
      <c r="E94" t="s">
        <v>1997</v>
      </c>
      <c r="F94" t="str">
        <f>VLOOKUP(A94,Base!$A:$F,6,FALSE)</f>
        <v>AGRICULTURA, PECUÁRIA, PRODUÇÃO FLORESTAL, PESCA E AQUICULTURA</v>
      </c>
      <c r="G94" t="str">
        <f>VLOOKUP(B94,Base!$B:$F,5,FALSE)</f>
        <v>PRODUÇÃO FLORESTAL</v>
      </c>
      <c r="H94" t="str">
        <f>VLOOKUP(C94,Base!$C:$F,4,FALSE)</f>
        <v>Produção florestal - florestas nativas</v>
      </c>
      <c r="I94" t="str">
        <f>VLOOKUP(D94,Base!$D:$F,3,FALSE)</f>
        <v>Produção florestal - florestas nativas</v>
      </c>
      <c r="J94" t="str">
        <f>VLOOKUP(E94,Base!$E:$F,2,FALSE)</f>
        <v>Extração de madeira em florestas nativas</v>
      </c>
      <c r="K94" t="s">
        <v>1997</v>
      </c>
      <c r="L94">
        <f>IFERROR(VLOOKUP($K94,Base_Atividades!$E$1:$N$2398,MATCH(BancoAjustado!L$1,Base_Atividades!$E$1:$N$1,0),FALSE),0)</f>
        <v>0</v>
      </c>
      <c r="M94">
        <f>IFERROR(VLOOKUP($K94,Base_Atividades!$E$1:$N$2398,MATCH(BancoAjustado!M$1,Base_Atividades!$E$1:$N$1,0),FALSE),0)</f>
        <v>0</v>
      </c>
      <c r="N94">
        <f>IFERROR(VLOOKUP($K94,Base_Atividades!$E$1:$N$2398,MATCH(BancoAjustado!N$1,Base_Atividades!$E$1:$N$1,0),FALSE),0)</f>
        <v>0</v>
      </c>
    </row>
    <row r="95" spans="1:14" x14ac:dyDescent="0.25">
      <c r="A95" t="s">
        <v>1863</v>
      </c>
      <c r="B95" t="s">
        <v>1982</v>
      </c>
      <c r="C95" t="s">
        <v>1995</v>
      </c>
      <c r="D95" t="s">
        <v>1996</v>
      </c>
      <c r="E95" t="s">
        <v>1998</v>
      </c>
      <c r="F95" t="str">
        <f>VLOOKUP(A95,Base!$A:$F,6,FALSE)</f>
        <v>AGRICULTURA, PECUÁRIA, PRODUÇÃO FLORESTAL, PESCA E AQUICULTURA</v>
      </c>
      <c r="G95" t="str">
        <f>VLOOKUP(B95,Base!$B:$F,5,FALSE)</f>
        <v>PRODUÇÃO FLORESTAL</v>
      </c>
      <c r="H95" t="str">
        <f>VLOOKUP(C95,Base!$C:$F,4,FALSE)</f>
        <v>Produção florestal - florestas nativas</v>
      </c>
      <c r="I95" t="str">
        <f>VLOOKUP(D95,Base!$D:$F,3,FALSE)</f>
        <v>Produção florestal - florestas nativas</v>
      </c>
      <c r="J95" t="str">
        <f>VLOOKUP(E95,Base!$E:$F,2,FALSE)</f>
        <v>Produção de carvão vegetal - florestas nativas</v>
      </c>
      <c r="K95" t="s">
        <v>1998</v>
      </c>
      <c r="L95">
        <f>IFERROR(VLOOKUP($K95,Base_Atividades!$E$1:$N$2398,MATCH(BancoAjustado!L$1,Base_Atividades!$E$1:$N$1,0),FALSE),0)</f>
        <v>0</v>
      </c>
      <c r="M95">
        <f>IFERROR(VLOOKUP($K95,Base_Atividades!$E$1:$N$2398,MATCH(BancoAjustado!M$1,Base_Atividades!$E$1:$N$1,0),FALSE),0)</f>
        <v>0</v>
      </c>
      <c r="N95">
        <f>IFERROR(VLOOKUP($K95,Base_Atividades!$E$1:$N$2398,MATCH(BancoAjustado!N$1,Base_Atividades!$E$1:$N$1,0),FALSE),0)</f>
        <v>0</v>
      </c>
    </row>
    <row r="96" spans="1:14" x14ac:dyDescent="0.25">
      <c r="A96" t="s">
        <v>1863</v>
      </c>
      <c r="B96" t="s">
        <v>1982</v>
      </c>
      <c r="C96" t="s">
        <v>1995</v>
      </c>
      <c r="D96" t="s">
        <v>1996</v>
      </c>
      <c r="E96" t="s">
        <v>1999</v>
      </c>
      <c r="F96" t="str">
        <f>VLOOKUP(A96,Base!$A:$F,6,FALSE)</f>
        <v>AGRICULTURA, PECUÁRIA, PRODUÇÃO FLORESTAL, PESCA E AQUICULTURA</v>
      </c>
      <c r="G96" t="str">
        <f>VLOOKUP(B96,Base!$B:$F,5,FALSE)</f>
        <v>PRODUÇÃO FLORESTAL</v>
      </c>
      <c r="H96" t="str">
        <f>VLOOKUP(C96,Base!$C:$F,4,FALSE)</f>
        <v>Produção florestal - florestas nativas</v>
      </c>
      <c r="I96" t="str">
        <f>VLOOKUP(D96,Base!$D:$F,3,FALSE)</f>
        <v>Produção florestal - florestas nativas</v>
      </c>
      <c r="J96" t="str">
        <f>VLOOKUP(E96,Base!$E:$F,2,FALSE)</f>
        <v>Coleta de castanha-do-pará em florestas nativas</v>
      </c>
      <c r="K96" t="s">
        <v>1999</v>
      </c>
      <c r="L96">
        <f>IFERROR(VLOOKUP($K96,Base_Atividades!$E$1:$N$2398,MATCH(BancoAjustado!L$1,Base_Atividades!$E$1:$N$1,0),FALSE),0)</f>
        <v>0</v>
      </c>
      <c r="M96">
        <f>IFERROR(VLOOKUP($K96,Base_Atividades!$E$1:$N$2398,MATCH(BancoAjustado!M$1,Base_Atividades!$E$1:$N$1,0),FALSE),0)</f>
        <v>0</v>
      </c>
      <c r="N96">
        <f>IFERROR(VLOOKUP($K96,Base_Atividades!$E$1:$N$2398,MATCH(BancoAjustado!N$1,Base_Atividades!$E$1:$N$1,0),FALSE),0)</f>
        <v>0</v>
      </c>
    </row>
    <row r="97" spans="1:14" x14ac:dyDescent="0.25">
      <c r="A97" t="s">
        <v>1863</v>
      </c>
      <c r="B97" t="s">
        <v>1982</v>
      </c>
      <c r="C97" t="s">
        <v>1995</v>
      </c>
      <c r="D97" t="s">
        <v>1996</v>
      </c>
      <c r="E97" t="s">
        <v>2000</v>
      </c>
      <c r="F97" t="str">
        <f>VLOOKUP(A97,Base!$A:$F,6,FALSE)</f>
        <v>AGRICULTURA, PECUÁRIA, PRODUÇÃO FLORESTAL, PESCA E AQUICULTURA</v>
      </c>
      <c r="G97" t="str">
        <f>VLOOKUP(B97,Base!$B:$F,5,FALSE)</f>
        <v>PRODUÇÃO FLORESTAL</v>
      </c>
      <c r="H97" t="str">
        <f>VLOOKUP(C97,Base!$C:$F,4,FALSE)</f>
        <v>Produção florestal - florestas nativas</v>
      </c>
      <c r="I97" t="str">
        <f>VLOOKUP(D97,Base!$D:$F,3,FALSE)</f>
        <v>Produção florestal - florestas nativas</v>
      </c>
      <c r="J97" t="str">
        <f>VLOOKUP(E97,Base!$E:$F,2,FALSE)</f>
        <v>Coleta de látex em florestas nativas</v>
      </c>
      <c r="K97" t="s">
        <v>2000</v>
      </c>
      <c r="L97">
        <f>IFERROR(VLOOKUP($K97,Base_Atividades!$E$1:$N$2398,MATCH(BancoAjustado!L$1,Base_Atividades!$E$1:$N$1,0),FALSE),0)</f>
        <v>0</v>
      </c>
      <c r="M97">
        <f>IFERROR(VLOOKUP($K97,Base_Atividades!$E$1:$N$2398,MATCH(BancoAjustado!M$1,Base_Atividades!$E$1:$N$1,0),FALSE),0)</f>
        <v>0</v>
      </c>
      <c r="N97">
        <f>IFERROR(VLOOKUP($K97,Base_Atividades!$E$1:$N$2398,MATCH(BancoAjustado!N$1,Base_Atividades!$E$1:$N$1,0),FALSE),0)</f>
        <v>0</v>
      </c>
    </row>
    <row r="98" spans="1:14" x14ac:dyDescent="0.25">
      <c r="A98" t="s">
        <v>1863</v>
      </c>
      <c r="B98" t="s">
        <v>1982</v>
      </c>
      <c r="C98" t="s">
        <v>1995</v>
      </c>
      <c r="D98" t="s">
        <v>1996</v>
      </c>
      <c r="E98" t="s">
        <v>2001</v>
      </c>
      <c r="F98" t="str">
        <f>VLOOKUP(A98,Base!$A:$F,6,FALSE)</f>
        <v>AGRICULTURA, PECUÁRIA, PRODUÇÃO FLORESTAL, PESCA E AQUICULTURA</v>
      </c>
      <c r="G98" t="str">
        <f>VLOOKUP(B98,Base!$B:$F,5,FALSE)</f>
        <v>PRODUÇÃO FLORESTAL</v>
      </c>
      <c r="H98" t="str">
        <f>VLOOKUP(C98,Base!$C:$F,4,FALSE)</f>
        <v>Produção florestal - florestas nativas</v>
      </c>
      <c r="I98" t="str">
        <f>VLOOKUP(D98,Base!$D:$F,3,FALSE)</f>
        <v>Produção florestal - florestas nativas</v>
      </c>
      <c r="J98" t="str">
        <f>VLOOKUP(E98,Base!$E:$F,2,FALSE)</f>
        <v>Coleta de palmito em florestas nativas</v>
      </c>
      <c r="K98" t="s">
        <v>2001</v>
      </c>
      <c r="L98">
        <f>IFERROR(VLOOKUP($K98,Base_Atividades!$E$1:$N$2398,MATCH(BancoAjustado!L$1,Base_Atividades!$E$1:$N$1,0),FALSE),0)</f>
        <v>0</v>
      </c>
      <c r="M98">
        <f>IFERROR(VLOOKUP($K98,Base_Atividades!$E$1:$N$2398,MATCH(BancoAjustado!M$1,Base_Atividades!$E$1:$N$1,0),FALSE),0)</f>
        <v>0</v>
      </c>
      <c r="N98">
        <f>IFERROR(VLOOKUP($K98,Base_Atividades!$E$1:$N$2398,MATCH(BancoAjustado!N$1,Base_Atividades!$E$1:$N$1,0),FALSE),0)</f>
        <v>0</v>
      </c>
    </row>
    <row r="99" spans="1:14" x14ac:dyDescent="0.25">
      <c r="A99" t="s">
        <v>1863</v>
      </c>
      <c r="B99" t="s">
        <v>1982</v>
      </c>
      <c r="C99" t="s">
        <v>1995</v>
      </c>
      <c r="D99" t="s">
        <v>1996</v>
      </c>
      <c r="E99" t="s">
        <v>2002</v>
      </c>
      <c r="F99" t="str">
        <f>VLOOKUP(A99,Base!$A:$F,6,FALSE)</f>
        <v>AGRICULTURA, PECUÁRIA, PRODUÇÃO FLORESTAL, PESCA E AQUICULTURA</v>
      </c>
      <c r="G99" t="str">
        <f>VLOOKUP(B99,Base!$B:$F,5,FALSE)</f>
        <v>PRODUÇÃO FLORESTAL</v>
      </c>
      <c r="H99" t="str">
        <f>VLOOKUP(C99,Base!$C:$F,4,FALSE)</f>
        <v>Produção florestal - florestas nativas</v>
      </c>
      <c r="I99" t="str">
        <f>VLOOKUP(D99,Base!$D:$F,3,FALSE)</f>
        <v>Produção florestal - florestas nativas</v>
      </c>
      <c r="J99" t="str">
        <f>VLOOKUP(E99,Base!$E:$F,2,FALSE)</f>
        <v>Conservação de florestas nativas</v>
      </c>
      <c r="K99" t="s">
        <v>2002</v>
      </c>
      <c r="L99">
        <f>IFERROR(VLOOKUP($K99,Base_Atividades!$E$1:$N$2398,MATCH(BancoAjustado!L$1,Base_Atividades!$E$1:$N$1,0),FALSE),0)</f>
        <v>0</v>
      </c>
      <c r="M99">
        <f>IFERROR(VLOOKUP($K99,Base_Atividades!$E$1:$N$2398,MATCH(BancoAjustado!M$1,Base_Atividades!$E$1:$N$1,0),FALSE),0)</f>
        <v>0</v>
      </c>
      <c r="N99">
        <f>IFERROR(VLOOKUP($K99,Base_Atividades!$E$1:$N$2398,MATCH(BancoAjustado!N$1,Base_Atividades!$E$1:$N$1,0),FALSE),0)</f>
        <v>0</v>
      </c>
    </row>
    <row r="100" spans="1:14" x14ac:dyDescent="0.25">
      <c r="A100" t="s">
        <v>1863</v>
      </c>
      <c r="B100" t="s">
        <v>1982</v>
      </c>
      <c r="C100" t="s">
        <v>1995</v>
      </c>
      <c r="D100" t="s">
        <v>1996</v>
      </c>
      <c r="E100" t="s">
        <v>2003</v>
      </c>
      <c r="F100" t="str">
        <f>VLOOKUP(A100,Base!$A:$F,6,FALSE)</f>
        <v>AGRICULTURA, PECUÁRIA, PRODUÇÃO FLORESTAL, PESCA E AQUICULTURA</v>
      </c>
      <c r="G100" t="str">
        <f>VLOOKUP(B100,Base!$B:$F,5,FALSE)</f>
        <v>PRODUÇÃO FLORESTAL</v>
      </c>
      <c r="H100" t="str">
        <f>VLOOKUP(C100,Base!$C:$F,4,FALSE)</f>
        <v>Produção florestal - florestas nativas</v>
      </c>
      <c r="I100" t="str">
        <f>VLOOKUP(D100,Base!$D:$F,3,FALSE)</f>
        <v>Produção florestal - florestas nativas</v>
      </c>
      <c r="J100" t="str">
        <f>VLOOKUP(E100,Base!$E:$F,2,FALSE)</f>
        <v>Coleta de produtos não madeireiros não especificados anteriormente em florestas nativas</v>
      </c>
      <c r="K100" t="s">
        <v>2003</v>
      </c>
      <c r="L100">
        <f>IFERROR(VLOOKUP($K100,Base_Atividades!$E$1:$N$2398,MATCH(BancoAjustado!L$1,Base_Atividades!$E$1:$N$1,0),FALSE),0)</f>
        <v>0</v>
      </c>
      <c r="M100">
        <f>IFERROR(VLOOKUP($K100,Base_Atividades!$E$1:$N$2398,MATCH(BancoAjustado!M$1,Base_Atividades!$E$1:$N$1,0),FALSE),0)</f>
        <v>0</v>
      </c>
      <c r="N100">
        <f>IFERROR(VLOOKUP($K100,Base_Atividades!$E$1:$N$2398,MATCH(BancoAjustado!N$1,Base_Atividades!$E$1:$N$1,0),FALSE),0)</f>
        <v>0</v>
      </c>
    </row>
    <row r="101" spans="1:14" x14ac:dyDescent="0.25">
      <c r="A101" t="s">
        <v>1863</v>
      </c>
      <c r="B101" t="s">
        <v>1982</v>
      </c>
      <c r="C101" t="s">
        <v>2004</v>
      </c>
      <c r="D101" t="s">
        <v>2005</v>
      </c>
      <c r="E101" t="s">
        <v>2006</v>
      </c>
      <c r="F101" t="str">
        <f>VLOOKUP(A101,Base!$A:$F,6,FALSE)</f>
        <v>AGRICULTURA, PECUÁRIA, PRODUÇÃO FLORESTAL, PESCA E AQUICULTURA</v>
      </c>
      <c r="G101" t="str">
        <f>VLOOKUP(B101,Base!$B:$F,5,FALSE)</f>
        <v>PRODUÇÃO FLORESTAL</v>
      </c>
      <c r="H101" t="str">
        <f>VLOOKUP(C101,Base!$C:$F,4,FALSE)</f>
        <v>Atividades de apoio à produção florestal</v>
      </c>
      <c r="I101" t="str">
        <f>VLOOKUP(D101,Base!$D:$F,3,FALSE)</f>
        <v>Atividades de apoio à produção florestal</v>
      </c>
      <c r="J101" t="str">
        <f>VLOOKUP(E101,Base!$E:$F,2,FALSE)</f>
        <v>Atividades de apoio à produção florestal</v>
      </c>
      <c r="K101" t="s">
        <v>2006</v>
      </c>
      <c r="L101">
        <f>IFERROR(VLOOKUP($K101,Base_Atividades!$E$1:$N$2398,MATCH(BancoAjustado!L$1,Base_Atividades!$E$1:$N$1,0),FALSE),0)</f>
        <v>0</v>
      </c>
      <c r="M101">
        <f>IFERROR(VLOOKUP($K101,Base_Atividades!$E$1:$N$2398,MATCH(BancoAjustado!M$1,Base_Atividades!$E$1:$N$1,0),FALSE),0)</f>
        <v>0</v>
      </c>
      <c r="N101">
        <f>IFERROR(VLOOKUP($K101,Base_Atividades!$E$1:$N$2398,MATCH(BancoAjustado!N$1,Base_Atividades!$E$1:$N$1,0),FALSE),0)</f>
        <v>0</v>
      </c>
    </row>
    <row r="102" spans="1:14" x14ac:dyDescent="0.25">
      <c r="A102" t="s">
        <v>1863</v>
      </c>
      <c r="B102" t="s">
        <v>2007</v>
      </c>
      <c r="C102" t="s">
        <v>2008</v>
      </c>
      <c r="D102" t="s">
        <v>2009</v>
      </c>
      <c r="E102" t="s">
        <v>2010</v>
      </c>
      <c r="F102" t="str">
        <f>VLOOKUP(A102,Base!$A:$F,6,FALSE)</f>
        <v>AGRICULTURA, PECUÁRIA, PRODUÇÃO FLORESTAL, PESCA E AQUICULTURA</v>
      </c>
      <c r="G102" t="str">
        <f>VLOOKUP(B102,Base!$B:$F,5,FALSE)</f>
        <v>PESCA E AQÜICULTURA</v>
      </c>
      <c r="H102" t="str">
        <f>VLOOKUP(C102,Base!$C:$F,4,FALSE)</f>
        <v>Pesca</v>
      </c>
      <c r="I102" t="str">
        <f>VLOOKUP(D102,Base!$D:$F,3,FALSE)</f>
        <v>Pesca em água salgada</v>
      </c>
      <c r="J102" t="str">
        <f>VLOOKUP(E102,Base!$E:$F,2,FALSE)</f>
        <v>Pesca de peixes em água salgada</v>
      </c>
      <c r="K102" t="s">
        <v>2010</v>
      </c>
      <c r="L102">
        <f>IFERROR(VLOOKUP($K102,Base_Atividades!$E$1:$N$2398,MATCH(BancoAjustado!L$1,Base_Atividades!$E$1:$N$1,0),FALSE),0)</f>
        <v>1</v>
      </c>
      <c r="M102">
        <f>IFERROR(VLOOKUP($K102,Base_Atividades!$E$1:$N$2398,MATCH(BancoAjustado!M$1,Base_Atividades!$E$1:$N$1,0),FALSE),0)</f>
        <v>0</v>
      </c>
      <c r="N102">
        <f>IFERROR(VLOOKUP($K102,Base_Atividades!$E$1:$N$2398,MATCH(BancoAjustado!N$1,Base_Atividades!$E$1:$N$1,0),FALSE),0)</f>
        <v>0</v>
      </c>
    </row>
    <row r="103" spans="1:14" x14ac:dyDescent="0.25">
      <c r="A103" t="s">
        <v>1863</v>
      </c>
      <c r="B103" t="s">
        <v>2007</v>
      </c>
      <c r="C103" t="s">
        <v>2008</v>
      </c>
      <c r="D103" t="s">
        <v>2009</v>
      </c>
      <c r="E103" t="s">
        <v>2011</v>
      </c>
      <c r="F103" t="str">
        <f>VLOOKUP(A103,Base!$A:$F,6,FALSE)</f>
        <v>AGRICULTURA, PECUÁRIA, PRODUÇÃO FLORESTAL, PESCA E AQUICULTURA</v>
      </c>
      <c r="G103" t="str">
        <f>VLOOKUP(B103,Base!$B:$F,5,FALSE)</f>
        <v>PESCA E AQÜICULTURA</v>
      </c>
      <c r="H103" t="str">
        <f>VLOOKUP(C103,Base!$C:$F,4,FALSE)</f>
        <v>Pesca</v>
      </c>
      <c r="I103" t="str">
        <f>VLOOKUP(D103,Base!$D:$F,3,FALSE)</f>
        <v>Pesca em água salgada</v>
      </c>
      <c r="J103" t="str">
        <f>VLOOKUP(E103,Base!$E:$F,2,FALSE)</f>
        <v>Pesca de crustáceos e moluscos em água salgada</v>
      </c>
      <c r="K103" t="s">
        <v>2011</v>
      </c>
      <c r="L103">
        <f>IFERROR(VLOOKUP($K103,Base_Atividades!$E$1:$N$2398,MATCH(BancoAjustado!L$1,Base_Atividades!$E$1:$N$1,0),FALSE),0)</f>
        <v>1</v>
      </c>
      <c r="M103">
        <f>IFERROR(VLOOKUP($K103,Base_Atividades!$E$1:$N$2398,MATCH(BancoAjustado!M$1,Base_Atividades!$E$1:$N$1,0),FALSE),0)</f>
        <v>0</v>
      </c>
      <c r="N103">
        <f>IFERROR(VLOOKUP($K103,Base_Atividades!$E$1:$N$2398,MATCH(BancoAjustado!N$1,Base_Atividades!$E$1:$N$1,0),FALSE),0)</f>
        <v>0</v>
      </c>
    </row>
    <row r="104" spans="1:14" x14ac:dyDescent="0.25">
      <c r="A104" t="s">
        <v>1863</v>
      </c>
      <c r="B104" t="s">
        <v>2007</v>
      </c>
      <c r="C104" t="s">
        <v>2008</v>
      </c>
      <c r="D104" t="s">
        <v>2009</v>
      </c>
      <c r="E104" t="s">
        <v>2012</v>
      </c>
      <c r="F104" t="str">
        <f>VLOOKUP(A104,Base!$A:$F,6,FALSE)</f>
        <v>AGRICULTURA, PECUÁRIA, PRODUÇÃO FLORESTAL, PESCA E AQUICULTURA</v>
      </c>
      <c r="G104" t="str">
        <f>VLOOKUP(B104,Base!$B:$F,5,FALSE)</f>
        <v>PESCA E AQÜICULTURA</v>
      </c>
      <c r="H104" t="str">
        <f>VLOOKUP(C104,Base!$C:$F,4,FALSE)</f>
        <v>Pesca</v>
      </c>
      <c r="I104" t="str">
        <f>VLOOKUP(D104,Base!$D:$F,3,FALSE)</f>
        <v>Pesca em água salgada</v>
      </c>
      <c r="J104" t="str">
        <f>VLOOKUP(E104,Base!$E:$F,2,FALSE)</f>
        <v>Coleta de outros produtos marinhos</v>
      </c>
      <c r="K104" t="s">
        <v>2012</v>
      </c>
      <c r="L104">
        <f>IFERROR(VLOOKUP($K104,Base_Atividades!$E$1:$N$2398,MATCH(BancoAjustado!L$1,Base_Atividades!$E$1:$N$1,0),FALSE),0)</f>
        <v>1</v>
      </c>
      <c r="M104">
        <f>IFERROR(VLOOKUP($K104,Base_Atividades!$E$1:$N$2398,MATCH(BancoAjustado!M$1,Base_Atividades!$E$1:$N$1,0),FALSE),0)</f>
        <v>0</v>
      </c>
      <c r="N104">
        <f>IFERROR(VLOOKUP($K104,Base_Atividades!$E$1:$N$2398,MATCH(BancoAjustado!N$1,Base_Atividades!$E$1:$N$1,0),FALSE),0)</f>
        <v>0</v>
      </c>
    </row>
    <row r="105" spans="1:14" x14ac:dyDescent="0.25">
      <c r="A105" t="s">
        <v>1863</v>
      </c>
      <c r="B105" t="s">
        <v>2007</v>
      </c>
      <c r="C105" t="s">
        <v>2008</v>
      </c>
      <c r="D105" t="s">
        <v>2009</v>
      </c>
      <c r="E105" t="s">
        <v>2013</v>
      </c>
      <c r="F105" t="str">
        <f>VLOOKUP(A105,Base!$A:$F,6,FALSE)</f>
        <v>AGRICULTURA, PECUÁRIA, PRODUÇÃO FLORESTAL, PESCA E AQUICULTURA</v>
      </c>
      <c r="G105" t="str">
        <f>VLOOKUP(B105,Base!$B:$F,5,FALSE)</f>
        <v>PESCA E AQÜICULTURA</v>
      </c>
      <c r="H105" t="str">
        <f>VLOOKUP(C105,Base!$C:$F,4,FALSE)</f>
        <v>Pesca</v>
      </c>
      <c r="I105" t="str">
        <f>VLOOKUP(D105,Base!$D:$F,3,FALSE)</f>
        <v>Pesca em água salgada</v>
      </c>
      <c r="J105" t="str">
        <f>VLOOKUP(E105,Base!$E:$F,2,FALSE)</f>
        <v>Atividades de apoio à pesca em água salgada</v>
      </c>
      <c r="K105" t="s">
        <v>2013</v>
      </c>
      <c r="L105">
        <f>IFERROR(VLOOKUP($K105,Base_Atividades!$E$1:$N$2398,MATCH(BancoAjustado!L$1,Base_Atividades!$E$1:$N$1,0),FALSE),0)</f>
        <v>1</v>
      </c>
      <c r="M105">
        <f>IFERROR(VLOOKUP($K105,Base_Atividades!$E$1:$N$2398,MATCH(BancoAjustado!M$1,Base_Atividades!$E$1:$N$1,0),FALSE),0)</f>
        <v>0</v>
      </c>
      <c r="N105">
        <f>IFERROR(VLOOKUP($K105,Base_Atividades!$E$1:$N$2398,MATCH(BancoAjustado!N$1,Base_Atividades!$E$1:$N$1,0),FALSE),0)</f>
        <v>0</v>
      </c>
    </row>
    <row r="106" spans="1:14" x14ac:dyDescent="0.25">
      <c r="A106" t="s">
        <v>1863</v>
      </c>
      <c r="B106" t="s">
        <v>2007</v>
      </c>
      <c r="C106" t="s">
        <v>2008</v>
      </c>
      <c r="D106" t="s">
        <v>2014</v>
      </c>
      <c r="E106" t="s">
        <v>2015</v>
      </c>
      <c r="F106" t="str">
        <f>VLOOKUP(A106,Base!$A:$F,6,FALSE)</f>
        <v>AGRICULTURA, PECUÁRIA, PRODUÇÃO FLORESTAL, PESCA E AQUICULTURA</v>
      </c>
      <c r="G106" t="str">
        <f>VLOOKUP(B106,Base!$B:$F,5,FALSE)</f>
        <v>PESCA E AQÜICULTURA</v>
      </c>
      <c r="H106" t="str">
        <f>VLOOKUP(C106,Base!$C:$F,4,FALSE)</f>
        <v>Pesca</v>
      </c>
      <c r="I106" t="str">
        <f>VLOOKUP(D106,Base!$D:$F,3,FALSE)</f>
        <v>Pesca em água doce</v>
      </c>
      <c r="J106" t="str">
        <f>VLOOKUP(E106,Base!$E:$F,2,FALSE)</f>
        <v>Pesca de peixes em água doce</v>
      </c>
      <c r="K106" t="s">
        <v>2015</v>
      </c>
      <c r="L106">
        <f>IFERROR(VLOOKUP($K106,Base_Atividades!$E$1:$N$2398,MATCH(BancoAjustado!L$1,Base_Atividades!$E$1:$N$1,0),FALSE),0)</f>
        <v>1</v>
      </c>
      <c r="M106">
        <f>IFERROR(VLOOKUP($K106,Base_Atividades!$E$1:$N$2398,MATCH(BancoAjustado!M$1,Base_Atividades!$E$1:$N$1,0),FALSE),0)</f>
        <v>0</v>
      </c>
      <c r="N106">
        <f>IFERROR(VLOOKUP($K106,Base_Atividades!$E$1:$N$2398,MATCH(BancoAjustado!N$1,Base_Atividades!$E$1:$N$1,0),FALSE),0)</f>
        <v>0</v>
      </c>
    </row>
    <row r="107" spans="1:14" x14ac:dyDescent="0.25">
      <c r="A107" t="s">
        <v>1863</v>
      </c>
      <c r="B107" t="s">
        <v>2007</v>
      </c>
      <c r="C107" t="s">
        <v>2008</v>
      </c>
      <c r="D107" t="s">
        <v>2014</v>
      </c>
      <c r="E107" t="s">
        <v>2016</v>
      </c>
      <c r="F107" t="str">
        <f>VLOOKUP(A107,Base!$A:$F,6,FALSE)</f>
        <v>AGRICULTURA, PECUÁRIA, PRODUÇÃO FLORESTAL, PESCA E AQUICULTURA</v>
      </c>
      <c r="G107" t="str">
        <f>VLOOKUP(B107,Base!$B:$F,5,FALSE)</f>
        <v>PESCA E AQÜICULTURA</v>
      </c>
      <c r="H107" t="str">
        <f>VLOOKUP(C107,Base!$C:$F,4,FALSE)</f>
        <v>Pesca</v>
      </c>
      <c r="I107" t="str">
        <f>VLOOKUP(D107,Base!$D:$F,3,FALSE)</f>
        <v>Pesca em água doce</v>
      </c>
      <c r="J107" t="str">
        <f>VLOOKUP(E107,Base!$E:$F,2,FALSE)</f>
        <v>Pesca de crustáceos e moluscos em água doce</v>
      </c>
      <c r="K107" t="s">
        <v>2016</v>
      </c>
      <c r="L107">
        <f>IFERROR(VLOOKUP($K107,Base_Atividades!$E$1:$N$2398,MATCH(BancoAjustado!L$1,Base_Atividades!$E$1:$N$1,0),FALSE),0)</f>
        <v>1</v>
      </c>
      <c r="M107">
        <f>IFERROR(VLOOKUP($K107,Base_Atividades!$E$1:$N$2398,MATCH(BancoAjustado!M$1,Base_Atividades!$E$1:$N$1,0),FALSE),0)</f>
        <v>0</v>
      </c>
      <c r="N107">
        <f>IFERROR(VLOOKUP($K107,Base_Atividades!$E$1:$N$2398,MATCH(BancoAjustado!N$1,Base_Atividades!$E$1:$N$1,0),FALSE),0)</f>
        <v>0</v>
      </c>
    </row>
    <row r="108" spans="1:14" x14ac:dyDescent="0.25">
      <c r="A108" t="s">
        <v>1863</v>
      </c>
      <c r="B108" t="s">
        <v>2007</v>
      </c>
      <c r="C108" t="s">
        <v>2008</v>
      </c>
      <c r="D108" t="s">
        <v>2014</v>
      </c>
      <c r="E108" t="s">
        <v>2017</v>
      </c>
      <c r="F108" t="str">
        <f>VLOOKUP(A108,Base!$A:$F,6,FALSE)</f>
        <v>AGRICULTURA, PECUÁRIA, PRODUÇÃO FLORESTAL, PESCA E AQUICULTURA</v>
      </c>
      <c r="G108" t="str">
        <f>VLOOKUP(B108,Base!$B:$F,5,FALSE)</f>
        <v>PESCA E AQÜICULTURA</v>
      </c>
      <c r="H108" t="str">
        <f>VLOOKUP(C108,Base!$C:$F,4,FALSE)</f>
        <v>Pesca</v>
      </c>
      <c r="I108" t="str">
        <f>VLOOKUP(D108,Base!$D:$F,3,FALSE)</f>
        <v>Pesca em água doce</v>
      </c>
      <c r="J108" t="str">
        <f>VLOOKUP(E108,Base!$E:$F,2,FALSE)</f>
        <v>Coleta de outros produtos aquáticos de água doce</v>
      </c>
      <c r="K108" t="s">
        <v>2017</v>
      </c>
      <c r="L108">
        <f>IFERROR(VLOOKUP($K108,Base_Atividades!$E$1:$N$2398,MATCH(BancoAjustado!L$1,Base_Atividades!$E$1:$N$1,0),FALSE),0)</f>
        <v>1</v>
      </c>
      <c r="M108">
        <f>IFERROR(VLOOKUP($K108,Base_Atividades!$E$1:$N$2398,MATCH(BancoAjustado!M$1,Base_Atividades!$E$1:$N$1,0),FALSE),0)</f>
        <v>0</v>
      </c>
      <c r="N108">
        <f>IFERROR(VLOOKUP($K108,Base_Atividades!$E$1:$N$2398,MATCH(BancoAjustado!N$1,Base_Atividades!$E$1:$N$1,0),FALSE),0)</f>
        <v>0</v>
      </c>
    </row>
    <row r="109" spans="1:14" x14ac:dyDescent="0.25">
      <c r="A109" t="s">
        <v>1863</v>
      </c>
      <c r="B109" t="s">
        <v>2007</v>
      </c>
      <c r="C109" t="s">
        <v>2008</v>
      </c>
      <c r="D109" t="s">
        <v>2014</v>
      </c>
      <c r="E109" t="s">
        <v>2018</v>
      </c>
      <c r="F109" t="str">
        <f>VLOOKUP(A109,Base!$A:$F,6,FALSE)</f>
        <v>AGRICULTURA, PECUÁRIA, PRODUÇÃO FLORESTAL, PESCA E AQUICULTURA</v>
      </c>
      <c r="G109" t="str">
        <f>VLOOKUP(B109,Base!$B:$F,5,FALSE)</f>
        <v>PESCA E AQÜICULTURA</v>
      </c>
      <c r="H109" t="str">
        <f>VLOOKUP(C109,Base!$C:$F,4,FALSE)</f>
        <v>Pesca</v>
      </c>
      <c r="I109" t="str">
        <f>VLOOKUP(D109,Base!$D:$F,3,FALSE)</f>
        <v>Pesca em água doce</v>
      </c>
      <c r="J109" t="str">
        <f>VLOOKUP(E109,Base!$E:$F,2,FALSE)</f>
        <v>Atividades de apoio à pesca em água doce</v>
      </c>
      <c r="K109" t="s">
        <v>2018</v>
      </c>
      <c r="L109">
        <f>IFERROR(VLOOKUP($K109,Base_Atividades!$E$1:$N$2398,MATCH(BancoAjustado!L$1,Base_Atividades!$E$1:$N$1,0),FALSE),0)</f>
        <v>1</v>
      </c>
      <c r="M109">
        <f>IFERROR(VLOOKUP($K109,Base_Atividades!$E$1:$N$2398,MATCH(BancoAjustado!M$1,Base_Atividades!$E$1:$N$1,0),FALSE),0)</f>
        <v>0</v>
      </c>
      <c r="N109">
        <f>IFERROR(VLOOKUP($K109,Base_Atividades!$E$1:$N$2398,MATCH(BancoAjustado!N$1,Base_Atividades!$E$1:$N$1,0),FALSE),0)</f>
        <v>0</v>
      </c>
    </row>
    <row r="110" spans="1:14" x14ac:dyDescent="0.25">
      <c r="A110" t="s">
        <v>1863</v>
      </c>
      <c r="B110" t="s">
        <v>2007</v>
      </c>
      <c r="C110" t="s">
        <v>2019</v>
      </c>
      <c r="D110" t="s">
        <v>2020</v>
      </c>
      <c r="E110" t="s">
        <v>2021</v>
      </c>
      <c r="F110" t="str">
        <f>VLOOKUP(A110,Base!$A:$F,6,FALSE)</f>
        <v>AGRICULTURA, PECUÁRIA, PRODUÇÃO FLORESTAL, PESCA E AQUICULTURA</v>
      </c>
      <c r="G110" t="str">
        <f>VLOOKUP(B110,Base!$B:$F,5,FALSE)</f>
        <v>PESCA E AQÜICULTURA</v>
      </c>
      <c r="H110" t="str">
        <f>VLOOKUP(C110,Base!$C:$F,4,FALSE)</f>
        <v>Aquicultura</v>
      </c>
      <c r="I110" t="str">
        <f>VLOOKUP(D110,Base!$D:$F,3,FALSE)</f>
        <v>Aquicultura em água salgada e salobra</v>
      </c>
      <c r="J110" t="str">
        <f>VLOOKUP(E110,Base!$E:$F,2,FALSE)</f>
        <v>Criação de peixes em água salgada e salobra</v>
      </c>
      <c r="K110" t="s">
        <v>2021</v>
      </c>
      <c r="L110">
        <f>IFERROR(VLOOKUP($K110,Base_Atividades!$E$1:$N$2398,MATCH(BancoAjustado!L$1,Base_Atividades!$E$1:$N$1,0),FALSE),0)</f>
        <v>1</v>
      </c>
      <c r="M110">
        <f>IFERROR(VLOOKUP($K110,Base_Atividades!$E$1:$N$2398,MATCH(BancoAjustado!M$1,Base_Atividades!$E$1:$N$1,0),FALSE),0)</f>
        <v>0</v>
      </c>
      <c r="N110">
        <f>IFERROR(VLOOKUP($K110,Base_Atividades!$E$1:$N$2398,MATCH(BancoAjustado!N$1,Base_Atividades!$E$1:$N$1,0),FALSE),0)</f>
        <v>0</v>
      </c>
    </row>
    <row r="111" spans="1:14" x14ac:dyDescent="0.25">
      <c r="A111" t="s">
        <v>1863</v>
      </c>
      <c r="B111" t="s">
        <v>2007</v>
      </c>
      <c r="C111" t="s">
        <v>2019</v>
      </c>
      <c r="D111" t="s">
        <v>2020</v>
      </c>
      <c r="E111" t="s">
        <v>2022</v>
      </c>
      <c r="F111" t="str">
        <f>VLOOKUP(A111,Base!$A:$F,6,FALSE)</f>
        <v>AGRICULTURA, PECUÁRIA, PRODUÇÃO FLORESTAL, PESCA E AQUICULTURA</v>
      </c>
      <c r="G111" t="str">
        <f>VLOOKUP(B111,Base!$B:$F,5,FALSE)</f>
        <v>PESCA E AQÜICULTURA</v>
      </c>
      <c r="H111" t="str">
        <f>VLOOKUP(C111,Base!$C:$F,4,FALSE)</f>
        <v>Aquicultura</v>
      </c>
      <c r="I111" t="str">
        <f>VLOOKUP(D111,Base!$D:$F,3,FALSE)</f>
        <v>Aquicultura em água salgada e salobra</v>
      </c>
      <c r="J111" t="str">
        <f>VLOOKUP(E111,Base!$E:$F,2,FALSE)</f>
        <v>Criação de camarões em água salgada e salobra</v>
      </c>
      <c r="K111" t="s">
        <v>2022</v>
      </c>
      <c r="L111">
        <f>IFERROR(VLOOKUP($K111,Base_Atividades!$E$1:$N$2398,MATCH(BancoAjustado!L$1,Base_Atividades!$E$1:$N$1,0),FALSE),0)</f>
        <v>1</v>
      </c>
      <c r="M111">
        <f>IFERROR(VLOOKUP($K111,Base_Atividades!$E$1:$N$2398,MATCH(BancoAjustado!M$1,Base_Atividades!$E$1:$N$1,0),FALSE),0)</f>
        <v>0</v>
      </c>
      <c r="N111">
        <f>IFERROR(VLOOKUP($K111,Base_Atividades!$E$1:$N$2398,MATCH(BancoAjustado!N$1,Base_Atividades!$E$1:$N$1,0),FALSE),0)</f>
        <v>0</v>
      </c>
    </row>
    <row r="112" spans="1:14" x14ac:dyDescent="0.25">
      <c r="A112" t="s">
        <v>1863</v>
      </c>
      <c r="B112" t="s">
        <v>2007</v>
      </c>
      <c r="C112" t="s">
        <v>2019</v>
      </c>
      <c r="D112" t="s">
        <v>2020</v>
      </c>
      <c r="E112" t="s">
        <v>2023</v>
      </c>
      <c r="F112" t="str">
        <f>VLOOKUP(A112,Base!$A:$F,6,FALSE)</f>
        <v>AGRICULTURA, PECUÁRIA, PRODUÇÃO FLORESTAL, PESCA E AQUICULTURA</v>
      </c>
      <c r="G112" t="str">
        <f>VLOOKUP(B112,Base!$B:$F,5,FALSE)</f>
        <v>PESCA E AQÜICULTURA</v>
      </c>
      <c r="H112" t="str">
        <f>VLOOKUP(C112,Base!$C:$F,4,FALSE)</f>
        <v>Aquicultura</v>
      </c>
      <c r="I112" t="str">
        <f>VLOOKUP(D112,Base!$D:$F,3,FALSE)</f>
        <v>Aquicultura em água salgada e salobra</v>
      </c>
      <c r="J112" t="str">
        <f>VLOOKUP(E112,Base!$E:$F,2,FALSE)</f>
        <v>Criação de ostras e mexilhões em água salgada e salobra</v>
      </c>
      <c r="K112" t="s">
        <v>2023</v>
      </c>
      <c r="L112">
        <f>IFERROR(VLOOKUP($K112,Base_Atividades!$E$1:$N$2398,MATCH(BancoAjustado!L$1,Base_Atividades!$E$1:$N$1,0),FALSE),0)</f>
        <v>1</v>
      </c>
      <c r="M112">
        <f>IFERROR(VLOOKUP($K112,Base_Atividades!$E$1:$N$2398,MATCH(BancoAjustado!M$1,Base_Atividades!$E$1:$N$1,0),FALSE),0)</f>
        <v>0</v>
      </c>
      <c r="N112">
        <f>IFERROR(VLOOKUP($K112,Base_Atividades!$E$1:$N$2398,MATCH(BancoAjustado!N$1,Base_Atividades!$E$1:$N$1,0),FALSE),0)</f>
        <v>0</v>
      </c>
    </row>
    <row r="113" spans="1:14" x14ac:dyDescent="0.25">
      <c r="A113" t="s">
        <v>1863</v>
      </c>
      <c r="B113" t="s">
        <v>2007</v>
      </c>
      <c r="C113" t="s">
        <v>2019</v>
      </c>
      <c r="D113" t="s">
        <v>2020</v>
      </c>
      <c r="E113" t="s">
        <v>2024</v>
      </c>
      <c r="F113" t="str">
        <f>VLOOKUP(A113,Base!$A:$F,6,FALSE)</f>
        <v>AGRICULTURA, PECUÁRIA, PRODUÇÃO FLORESTAL, PESCA E AQUICULTURA</v>
      </c>
      <c r="G113" t="str">
        <f>VLOOKUP(B113,Base!$B:$F,5,FALSE)</f>
        <v>PESCA E AQÜICULTURA</v>
      </c>
      <c r="H113" t="str">
        <f>VLOOKUP(C113,Base!$C:$F,4,FALSE)</f>
        <v>Aquicultura</v>
      </c>
      <c r="I113" t="str">
        <f>VLOOKUP(D113,Base!$D:$F,3,FALSE)</f>
        <v>Aquicultura em água salgada e salobra</v>
      </c>
      <c r="J113" t="str">
        <f>VLOOKUP(E113,Base!$E:$F,2,FALSE)</f>
        <v>Criação de peixes ornamentais em água salgada e salobra</v>
      </c>
      <c r="K113" t="s">
        <v>2024</v>
      </c>
      <c r="L113">
        <f>IFERROR(VLOOKUP($K113,Base_Atividades!$E$1:$N$2398,MATCH(BancoAjustado!L$1,Base_Atividades!$E$1:$N$1,0),FALSE),0)</f>
        <v>1</v>
      </c>
      <c r="M113">
        <f>IFERROR(VLOOKUP($K113,Base_Atividades!$E$1:$N$2398,MATCH(BancoAjustado!M$1,Base_Atividades!$E$1:$N$1,0),FALSE),0)</f>
        <v>0</v>
      </c>
      <c r="N113">
        <f>IFERROR(VLOOKUP($K113,Base_Atividades!$E$1:$N$2398,MATCH(BancoAjustado!N$1,Base_Atividades!$E$1:$N$1,0),FALSE),0)</f>
        <v>0</v>
      </c>
    </row>
    <row r="114" spans="1:14" x14ac:dyDescent="0.25">
      <c r="A114" t="s">
        <v>1863</v>
      </c>
      <c r="B114" t="s">
        <v>2007</v>
      </c>
      <c r="C114" t="s">
        <v>2019</v>
      </c>
      <c r="D114" t="s">
        <v>2020</v>
      </c>
      <c r="E114" t="s">
        <v>2025</v>
      </c>
      <c r="F114" t="str">
        <f>VLOOKUP(A114,Base!$A:$F,6,FALSE)</f>
        <v>AGRICULTURA, PECUÁRIA, PRODUÇÃO FLORESTAL, PESCA E AQUICULTURA</v>
      </c>
      <c r="G114" t="str">
        <f>VLOOKUP(B114,Base!$B:$F,5,FALSE)</f>
        <v>PESCA E AQÜICULTURA</v>
      </c>
      <c r="H114" t="str">
        <f>VLOOKUP(C114,Base!$C:$F,4,FALSE)</f>
        <v>Aquicultura</v>
      </c>
      <c r="I114" t="str">
        <f>VLOOKUP(D114,Base!$D:$F,3,FALSE)</f>
        <v>Aquicultura em água salgada e salobra</v>
      </c>
      <c r="J114" t="str">
        <f>VLOOKUP(E114,Base!$E:$F,2,FALSE)</f>
        <v>Atividades de apoio à aquicultura em água salgada e salobra</v>
      </c>
      <c r="K114" t="s">
        <v>2025</v>
      </c>
      <c r="L114">
        <f>IFERROR(VLOOKUP($K114,Base_Atividades!$E$1:$N$2398,MATCH(BancoAjustado!L$1,Base_Atividades!$E$1:$N$1,0),FALSE),0)</f>
        <v>1</v>
      </c>
      <c r="M114">
        <f>IFERROR(VLOOKUP($K114,Base_Atividades!$E$1:$N$2398,MATCH(BancoAjustado!M$1,Base_Atividades!$E$1:$N$1,0),FALSE),0)</f>
        <v>0</v>
      </c>
      <c r="N114">
        <f>IFERROR(VLOOKUP($K114,Base_Atividades!$E$1:$N$2398,MATCH(BancoAjustado!N$1,Base_Atividades!$E$1:$N$1,0),FALSE),0)</f>
        <v>0</v>
      </c>
    </row>
    <row r="115" spans="1:14" x14ac:dyDescent="0.25">
      <c r="A115" t="s">
        <v>1863</v>
      </c>
      <c r="B115" t="s">
        <v>2007</v>
      </c>
      <c r="C115" t="s">
        <v>2019</v>
      </c>
      <c r="D115" t="s">
        <v>2020</v>
      </c>
      <c r="E115" t="s">
        <v>2026</v>
      </c>
      <c r="F115" t="str">
        <f>VLOOKUP(A115,Base!$A:$F,6,FALSE)</f>
        <v>AGRICULTURA, PECUÁRIA, PRODUÇÃO FLORESTAL, PESCA E AQUICULTURA</v>
      </c>
      <c r="G115" t="str">
        <f>VLOOKUP(B115,Base!$B:$F,5,FALSE)</f>
        <v>PESCA E AQÜICULTURA</v>
      </c>
      <c r="H115" t="str">
        <f>VLOOKUP(C115,Base!$C:$F,4,FALSE)</f>
        <v>Aquicultura</v>
      </c>
      <c r="I115" t="str">
        <f>VLOOKUP(D115,Base!$D:$F,3,FALSE)</f>
        <v>Aquicultura em água salgada e salobra</v>
      </c>
      <c r="J115" t="str">
        <f>VLOOKUP(E115,Base!$E:$F,2,FALSE)</f>
        <v>Cultivos e semicultivos da aquicultura em água salgada e salobra não especificados anteriormente</v>
      </c>
      <c r="K115" t="s">
        <v>2026</v>
      </c>
      <c r="L115">
        <f>IFERROR(VLOOKUP($K115,Base_Atividades!$E$1:$N$2398,MATCH(BancoAjustado!L$1,Base_Atividades!$E$1:$N$1,0),FALSE),0)</f>
        <v>1</v>
      </c>
      <c r="M115">
        <f>IFERROR(VLOOKUP($K115,Base_Atividades!$E$1:$N$2398,MATCH(BancoAjustado!M$1,Base_Atividades!$E$1:$N$1,0),FALSE),0)</f>
        <v>0</v>
      </c>
      <c r="N115">
        <f>IFERROR(VLOOKUP($K115,Base_Atividades!$E$1:$N$2398,MATCH(BancoAjustado!N$1,Base_Atividades!$E$1:$N$1,0),FALSE),0)</f>
        <v>0</v>
      </c>
    </row>
    <row r="116" spans="1:14" x14ac:dyDescent="0.25">
      <c r="A116" t="s">
        <v>1863</v>
      </c>
      <c r="B116" t="s">
        <v>2007</v>
      </c>
      <c r="C116" t="s">
        <v>2019</v>
      </c>
      <c r="D116" t="s">
        <v>2027</v>
      </c>
      <c r="E116" t="s">
        <v>2028</v>
      </c>
      <c r="F116" t="str">
        <f>VLOOKUP(A116,Base!$A:$F,6,FALSE)</f>
        <v>AGRICULTURA, PECUÁRIA, PRODUÇÃO FLORESTAL, PESCA E AQUICULTURA</v>
      </c>
      <c r="G116" t="str">
        <f>VLOOKUP(B116,Base!$B:$F,5,FALSE)</f>
        <v>PESCA E AQÜICULTURA</v>
      </c>
      <c r="H116" t="str">
        <f>VLOOKUP(C116,Base!$C:$F,4,FALSE)</f>
        <v>Aquicultura</v>
      </c>
      <c r="I116" t="str">
        <f>VLOOKUP(D116,Base!$D:$F,3,FALSE)</f>
        <v>Aquicultura em água doce</v>
      </c>
      <c r="J116" t="str">
        <f>VLOOKUP(E116,Base!$E:$F,2,FALSE)</f>
        <v>Criação de peixes em água doce</v>
      </c>
      <c r="K116" t="s">
        <v>2028</v>
      </c>
      <c r="L116">
        <f>IFERROR(VLOOKUP($K116,Base_Atividades!$E$1:$N$2398,MATCH(BancoAjustado!L$1,Base_Atividades!$E$1:$N$1,0),FALSE),0)</f>
        <v>1</v>
      </c>
      <c r="M116">
        <f>IFERROR(VLOOKUP($K116,Base_Atividades!$E$1:$N$2398,MATCH(BancoAjustado!M$1,Base_Atividades!$E$1:$N$1,0),FALSE),0)</f>
        <v>0</v>
      </c>
      <c r="N116">
        <f>IFERROR(VLOOKUP($K116,Base_Atividades!$E$1:$N$2398,MATCH(BancoAjustado!N$1,Base_Atividades!$E$1:$N$1,0),FALSE),0)</f>
        <v>0</v>
      </c>
    </row>
    <row r="117" spans="1:14" x14ac:dyDescent="0.25">
      <c r="A117" t="s">
        <v>1863</v>
      </c>
      <c r="B117" t="s">
        <v>2007</v>
      </c>
      <c r="C117" t="s">
        <v>2019</v>
      </c>
      <c r="D117" t="s">
        <v>2027</v>
      </c>
      <c r="E117" t="s">
        <v>2029</v>
      </c>
      <c r="F117" t="str">
        <f>VLOOKUP(A117,Base!$A:$F,6,FALSE)</f>
        <v>AGRICULTURA, PECUÁRIA, PRODUÇÃO FLORESTAL, PESCA E AQUICULTURA</v>
      </c>
      <c r="G117" t="str">
        <f>VLOOKUP(B117,Base!$B:$F,5,FALSE)</f>
        <v>PESCA E AQÜICULTURA</v>
      </c>
      <c r="H117" t="str">
        <f>VLOOKUP(C117,Base!$C:$F,4,FALSE)</f>
        <v>Aquicultura</v>
      </c>
      <c r="I117" t="str">
        <f>VLOOKUP(D117,Base!$D:$F,3,FALSE)</f>
        <v>Aquicultura em água doce</v>
      </c>
      <c r="J117" t="str">
        <f>VLOOKUP(E117,Base!$E:$F,2,FALSE)</f>
        <v>Criação de camarões em água doce</v>
      </c>
      <c r="K117" t="s">
        <v>2029</v>
      </c>
      <c r="L117">
        <f>IFERROR(VLOOKUP($K117,Base_Atividades!$E$1:$N$2398,MATCH(BancoAjustado!L$1,Base_Atividades!$E$1:$N$1,0),FALSE),0)</f>
        <v>1</v>
      </c>
      <c r="M117">
        <f>IFERROR(VLOOKUP($K117,Base_Atividades!$E$1:$N$2398,MATCH(BancoAjustado!M$1,Base_Atividades!$E$1:$N$1,0),FALSE),0)</f>
        <v>0</v>
      </c>
      <c r="N117">
        <f>IFERROR(VLOOKUP($K117,Base_Atividades!$E$1:$N$2398,MATCH(BancoAjustado!N$1,Base_Atividades!$E$1:$N$1,0),FALSE),0)</f>
        <v>0</v>
      </c>
    </row>
    <row r="118" spans="1:14" x14ac:dyDescent="0.25">
      <c r="A118" t="s">
        <v>1863</v>
      </c>
      <c r="B118" t="s">
        <v>2007</v>
      </c>
      <c r="C118" t="s">
        <v>2019</v>
      </c>
      <c r="D118" t="s">
        <v>2027</v>
      </c>
      <c r="E118" t="s">
        <v>2030</v>
      </c>
      <c r="F118" t="str">
        <f>VLOOKUP(A118,Base!$A:$F,6,FALSE)</f>
        <v>AGRICULTURA, PECUÁRIA, PRODUÇÃO FLORESTAL, PESCA E AQUICULTURA</v>
      </c>
      <c r="G118" t="str">
        <f>VLOOKUP(B118,Base!$B:$F,5,FALSE)</f>
        <v>PESCA E AQÜICULTURA</v>
      </c>
      <c r="H118" t="str">
        <f>VLOOKUP(C118,Base!$C:$F,4,FALSE)</f>
        <v>Aquicultura</v>
      </c>
      <c r="I118" t="str">
        <f>VLOOKUP(D118,Base!$D:$F,3,FALSE)</f>
        <v>Aquicultura em água doce</v>
      </c>
      <c r="J118" t="str">
        <f>VLOOKUP(E118,Base!$E:$F,2,FALSE)</f>
        <v>Criação de ostras e mexilhões em água doce</v>
      </c>
      <c r="K118" t="s">
        <v>2030</v>
      </c>
      <c r="L118">
        <f>IFERROR(VLOOKUP($K118,Base_Atividades!$E$1:$N$2398,MATCH(BancoAjustado!L$1,Base_Atividades!$E$1:$N$1,0),FALSE),0)</f>
        <v>1</v>
      </c>
      <c r="M118">
        <f>IFERROR(VLOOKUP($K118,Base_Atividades!$E$1:$N$2398,MATCH(BancoAjustado!M$1,Base_Atividades!$E$1:$N$1,0),FALSE),0)</f>
        <v>0</v>
      </c>
      <c r="N118">
        <f>IFERROR(VLOOKUP($K118,Base_Atividades!$E$1:$N$2398,MATCH(BancoAjustado!N$1,Base_Atividades!$E$1:$N$1,0),FALSE),0)</f>
        <v>0</v>
      </c>
    </row>
    <row r="119" spans="1:14" x14ac:dyDescent="0.25">
      <c r="A119" t="s">
        <v>1863</v>
      </c>
      <c r="B119" t="s">
        <v>2007</v>
      </c>
      <c r="C119" t="s">
        <v>2019</v>
      </c>
      <c r="D119" t="s">
        <v>2027</v>
      </c>
      <c r="E119" t="s">
        <v>2031</v>
      </c>
      <c r="F119" t="str">
        <f>VLOOKUP(A119,Base!$A:$F,6,FALSE)</f>
        <v>AGRICULTURA, PECUÁRIA, PRODUÇÃO FLORESTAL, PESCA E AQUICULTURA</v>
      </c>
      <c r="G119" t="str">
        <f>VLOOKUP(B119,Base!$B:$F,5,FALSE)</f>
        <v>PESCA E AQÜICULTURA</v>
      </c>
      <c r="H119" t="str">
        <f>VLOOKUP(C119,Base!$C:$F,4,FALSE)</f>
        <v>Aquicultura</v>
      </c>
      <c r="I119" t="str">
        <f>VLOOKUP(D119,Base!$D:$F,3,FALSE)</f>
        <v>Aquicultura em água doce</v>
      </c>
      <c r="J119" t="str">
        <f>VLOOKUP(E119,Base!$E:$F,2,FALSE)</f>
        <v>Criação de peixes ornamentais em água doce</v>
      </c>
      <c r="K119" t="s">
        <v>2031</v>
      </c>
      <c r="L119">
        <f>IFERROR(VLOOKUP($K119,Base_Atividades!$E$1:$N$2398,MATCH(BancoAjustado!L$1,Base_Atividades!$E$1:$N$1,0),FALSE),0)</f>
        <v>1</v>
      </c>
      <c r="M119">
        <f>IFERROR(VLOOKUP($K119,Base_Atividades!$E$1:$N$2398,MATCH(BancoAjustado!M$1,Base_Atividades!$E$1:$N$1,0),FALSE),0)</f>
        <v>0</v>
      </c>
      <c r="N119">
        <f>IFERROR(VLOOKUP($K119,Base_Atividades!$E$1:$N$2398,MATCH(BancoAjustado!N$1,Base_Atividades!$E$1:$N$1,0),FALSE),0)</f>
        <v>0</v>
      </c>
    </row>
    <row r="120" spans="1:14" x14ac:dyDescent="0.25">
      <c r="A120" t="s">
        <v>1863</v>
      </c>
      <c r="B120" t="s">
        <v>2007</v>
      </c>
      <c r="C120" t="s">
        <v>2019</v>
      </c>
      <c r="D120" t="s">
        <v>2027</v>
      </c>
      <c r="E120" t="s">
        <v>2032</v>
      </c>
      <c r="F120" t="str">
        <f>VLOOKUP(A120,Base!$A:$F,6,FALSE)</f>
        <v>AGRICULTURA, PECUÁRIA, PRODUÇÃO FLORESTAL, PESCA E AQUICULTURA</v>
      </c>
      <c r="G120" t="str">
        <f>VLOOKUP(B120,Base!$B:$F,5,FALSE)</f>
        <v>PESCA E AQÜICULTURA</v>
      </c>
      <c r="H120" t="str">
        <f>VLOOKUP(C120,Base!$C:$F,4,FALSE)</f>
        <v>Aquicultura</v>
      </c>
      <c r="I120" t="str">
        <f>VLOOKUP(D120,Base!$D:$F,3,FALSE)</f>
        <v>Aquicultura em água doce</v>
      </c>
      <c r="J120" t="str">
        <f>VLOOKUP(E120,Base!$E:$F,2,FALSE)</f>
        <v>Ranicultura</v>
      </c>
      <c r="K120" t="s">
        <v>2032</v>
      </c>
      <c r="L120">
        <f>IFERROR(VLOOKUP($K120,Base_Atividades!$E$1:$N$2398,MATCH(BancoAjustado!L$1,Base_Atividades!$E$1:$N$1,0),FALSE),0)</f>
        <v>1</v>
      </c>
      <c r="M120">
        <f>IFERROR(VLOOKUP($K120,Base_Atividades!$E$1:$N$2398,MATCH(BancoAjustado!M$1,Base_Atividades!$E$1:$N$1,0),FALSE),0)</f>
        <v>0</v>
      </c>
      <c r="N120">
        <f>IFERROR(VLOOKUP($K120,Base_Atividades!$E$1:$N$2398,MATCH(BancoAjustado!N$1,Base_Atividades!$E$1:$N$1,0),FALSE),0)</f>
        <v>0</v>
      </c>
    </row>
    <row r="121" spans="1:14" x14ac:dyDescent="0.25">
      <c r="A121" t="s">
        <v>1863</v>
      </c>
      <c r="B121" t="s">
        <v>2007</v>
      </c>
      <c r="C121" t="s">
        <v>2019</v>
      </c>
      <c r="D121" t="s">
        <v>2027</v>
      </c>
      <c r="E121" t="s">
        <v>2033</v>
      </c>
      <c r="F121" t="str">
        <f>VLOOKUP(A121,Base!$A:$F,6,FALSE)</f>
        <v>AGRICULTURA, PECUÁRIA, PRODUÇÃO FLORESTAL, PESCA E AQUICULTURA</v>
      </c>
      <c r="G121" t="str">
        <f>VLOOKUP(B121,Base!$B:$F,5,FALSE)</f>
        <v>PESCA E AQÜICULTURA</v>
      </c>
      <c r="H121" t="str">
        <f>VLOOKUP(C121,Base!$C:$F,4,FALSE)</f>
        <v>Aquicultura</v>
      </c>
      <c r="I121" t="str">
        <f>VLOOKUP(D121,Base!$D:$F,3,FALSE)</f>
        <v>Aquicultura em água doce</v>
      </c>
      <c r="J121" t="str">
        <f>VLOOKUP(E121,Base!$E:$F,2,FALSE)</f>
        <v>Criação de jacaré</v>
      </c>
      <c r="K121" t="s">
        <v>2033</v>
      </c>
      <c r="L121">
        <f>IFERROR(VLOOKUP($K121,Base_Atividades!$E$1:$N$2398,MATCH(BancoAjustado!L$1,Base_Atividades!$E$1:$N$1,0),FALSE),0)</f>
        <v>1</v>
      </c>
      <c r="M121">
        <f>IFERROR(VLOOKUP($K121,Base_Atividades!$E$1:$N$2398,MATCH(BancoAjustado!M$1,Base_Atividades!$E$1:$N$1,0),FALSE),0)</f>
        <v>0</v>
      </c>
      <c r="N121">
        <f>IFERROR(VLOOKUP($K121,Base_Atividades!$E$1:$N$2398,MATCH(BancoAjustado!N$1,Base_Atividades!$E$1:$N$1,0),FALSE),0)</f>
        <v>0</v>
      </c>
    </row>
    <row r="122" spans="1:14" x14ac:dyDescent="0.25">
      <c r="A122" t="s">
        <v>1863</v>
      </c>
      <c r="B122" t="s">
        <v>2007</v>
      </c>
      <c r="C122" t="s">
        <v>2019</v>
      </c>
      <c r="D122" t="s">
        <v>2027</v>
      </c>
      <c r="E122" t="s">
        <v>2034</v>
      </c>
      <c r="F122" t="str">
        <f>VLOOKUP(A122,Base!$A:$F,6,FALSE)</f>
        <v>AGRICULTURA, PECUÁRIA, PRODUÇÃO FLORESTAL, PESCA E AQUICULTURA</v>
      </c>
      <c r="G122" t="str">
        <f>VLOOKUP(B122,Base!$B:$F,5,FALSE)</f>
        <v>PESCA E AQÜICULTURA</v>
      </c>
      <c r="H122" t="str">
        <f>VLOOKUP(C122,Base!$C:$F,4,FALSE)</f>
        <v>Aquicultura</v>
      </c>
      <c r="I122" t="str">
        <f>VLOOKUP(D122,Base!$D:$F,3,FALSE)</f>
        <v>Aquicultura em água doce</v>
      </c>
      <c r="J122" t="str">
        <f>VLOOKUP(E122,Base!$E:$F,2,FALSE)</f>
        <v>Atividades de apoio à aquicultura em água doce</v>
      </c>
      <c r="K122" t="s">
        <v>2034</v>
      </c>
      <c r="L122">
        <f>IFERROR(VLOOKUP($K122,Base_Atividades!$E$1:$N$2398,MATCH(BancoAjustado!L$1,Base_Atividades!$E$1:$N$1,0),FALSE),0)</f>
        <v>1</v>
      </c>
      <c r="M122">
        <f>IFERROR(VLOOKUP($K122,Base_Atividades!$E$1:$N$2398,MATCH(BancoAjustado!M$1,Base_Atividades!$E$1:$N$1,0),FALSE),0)</f>
        <v>0</v>
      </c>
      <c r="N122">
        <f>IFERROR(VLOOKUP($K122,Base_Atividades!$E$1:$N$2398,MATCH(BancoAjustado!N$1,Base_Atividades!$E$1:$N$1,0),FALSE),0)</f>
        <v>0</v>
      </c>
    </row>
    <row r="123" spans="1:14" x14ac:dyDescent="0.25">
      <c r="A123" t="s">
        <v>1863</v>
      </c>
      <c r="B123" t="s">
        <v>2007</v>
      </c>
      <c r="C123" t="s">
        <v>2019</v>
      </c>
      <c r="D123" t="s">
        <v>2027</v>
      </c>
      <c r="E123" t="s">
        <v>2035</v>
      </c>
      <c r="F123" t="str">
        <f>VLOOKUP(A123,Base!$A:$F,6,FALSE)</f>
        <v>AGRICULTURA, PECUÁRIA, PRODUÇÃO FLORESTAL, PESCA E AQUICULTURA</v>
      </c>
      <c r="G123" t="str">
        <f>VLOOKUP(B123,Base!$B:$F,5,FALSE)</f>
        <v>PESCA E AQÜICULTURA</v>
      </c>
      <c r="H123" t="str">
        <f>VLOOKUP(C123,Base!$C:$F,4,FALSE)</f>
        <v>Aquicultura</v>
      </c>
      <c r="I123" t="str">
        <f>VLOOKUP(D123,Base!$D:$F,3,FALSE)</f>
        <v>Aquicultura em água doce</v>
      </c>
      <c r="J123" t="str">
        <f>VLOOKUP(E123,Base!$E:$F,2,FALSE)</f>
        <v>Cultivos e semicultivos da aquicultura em água doce não especificados anteriormente</v>
      </c>
      <c r="K123" t="s">
        <v>2035</v>
      </c>
      <c r="L123">
        <f>IFERROR(VLOOKUP($K123,Base_Atividades!$E$1:$N$2398,MATCH(BancoAjustado!L$1,Base_Atividades!$E$1:$N$1,0),FALSE),0)</f>
        <v>1</v>
      </c>
      <c r="M123">
        <f>IFERROR(VLOOKUP($K123,Base_Atividades!$E$1:$N$2398,MATCH(BancoAjustado!M$1,Base_Atividades!$E$1:$N$1,0),FALSE),0)</f>
        <v>0</v>
      </c>
      <c r="N123">
        <f>IFERROR(VLOOKUP($K123,Base_Atividades!$E$1:$N$2398,MATCH(BancoAjustado!N$1,Base_Atividades!$E$1:$N$1,0),FALSE),0)</f>
        <v>0</v>
      </c>
    </row>
    <row r="124" spans="1:14" x14ac:dyDescent="0.25">
      <c r="A124" t="s">
        <v>2036</v>
      </c>
      <c r="B124" t="s">
        <v>2037</v>
      </c>
      <c r="C124" t="s">
        <v>2038</v>
      </c>
      <c r="D124" t="s">
        <v>2039</v>
      </c>
      <c r="E124" t="s">
        <v>2040</v>
      </c>
      <c r="F124" t="str">
        <f>VLOOKUP(A124,Base!$A:$F,6,FALSE)</f>
        <v>INDÚSTRIAS EXTRATIVAS</v>
      </c>
      <c r="G124" t="str">
        <f>VLOOKUP(B124,Base!$B:$F,5,FALSE)</f>
        <v>EXTRAÇÃO DE CARVÃO MINERAL</v>
      </c>
      <c r="H124" t="str">
        <f>VLOOKUP(C124,Base!$C:$F,4,FALSE)</f>
        <v>Extração de carvão mineral</v>
      </c>
      <c r="I124" t="str">
        <f>VLOOKUP(D124,Base!$D:$F,3,FALSE)</f>
        <v>Extração de carvão mineral</v>
      </c>
      <c r="J124" t="str">
        <f>VLOOKUP(E124,Base!$E:$F,2,FALSE)</f>
        <v>Extração de carvão mineral</v>
      </c>
      <c r="K124" t="s">
        <v>2040</v>
      </c>
      <c r="L124">
        <f>IFERROR(VLOOKUP($K124,Base_Atividades!$E$1:$N$2398,MATCH(BancoAjustado!L$1,Base_Atividades!$E$1:$N$1,0),FALSE),0)</f>
        <v>0</v>
      </c>
      <c r="M124">
        <f>IFERROR(VLOOKUP($K124,Base_Atividades!$E$1:$N$2398,MATCH(BancoAjustado!M$1,Base_Atividades!$E$1:$N$1,0),FALSE),0)</f>
        <v>0</v>
      </c>
      <c r="N124">
        <f>IFERROR(VLOOKUP($K124,Base_Atividades!$E$1:$N$2398,MATCH(BancoAjustado!N$1,Base_Atividades!$E$1:$N$1,0),FALSE),0)</f>
        <v>1</v>
      </c>
    </row>
    <row r="125" spans="1:14" x14ac:dyDescent="0.25">
      <c r="A125" t="s">
        <v>2036</v>
      </c>
      <c r="B125" t="s">
        <v>2037</v>
      </c>
      <c r="C125" t="s">
        <v>2038</v>
      </c>
      <c r="D125" t="s">
        <v>2039</v>
      </c>
      <c r="E125" t="s">
        <v>2041</v>
      </c>
      <c r="F125" t="str">
        <f>VLOOKUP(A125,Base!$A:$F,6,FALSE)</f>
        <v>INDÚSTRIAS EXTRATIVAS</v>
      </c>
      <c r="G125" t="str">
        <f>VLOOKUP(B125,Base!$B:$F,5,FALSE)</f>
        <v>EXTRAÇÃO DE CARVÃO MINERAL</v>
      </c>
      <c r="H125" t="str">
        <f>VLOOKUP(C125,Base!$C:$F,4,FALSE)</f>
        <v>Extração de carvão mineral</v>
      </c>
      <c r="I125" t="str">
        <f>VLOOKUP(D125,Base!$D:$F,3,FALSE)</f>
        <v>Extração de carvão mineral</v>
      </c>
      <c r="J125" t="str">
        <f>VLOOKUP(E125,Base!$E:$F,2,FALSE)</f>
        <v>Beneficiamento de carvão mineral</v>
      </c>
      <c r="K125" t="s">
        <v>2041</v>
      </c>
      <c r="L125">
        <f>IFERROR(VLOOKUP($K125,Base_Atividades!$E$1:$N$2398,MATCH(BancoAjustado!L$1,Base_Atividades!$E$1:$N$1,0),FALSE),0)</f>
        <v>0</v>
      </c>
      <c r="M125">
        <f>IFERROR(VLOOKUP($K125,Base_Atividades!$E$1:$N$2398,MATCH(BancoAjustado!M$1,Base_Atividades!$E$1:$N$1,0),FALSE),0)</f>
        <v>0</v>
      </c>
      <c r="N125">
        <f>IFERROR(VLOOKUP($K125,Base_Atividades!$E$1:$N$2398,MATCH(BancoAjustado!N$1,Base_Atividades!$E$1:$N$1,0),FALSE),0)</f>
        <v>1</v>
      </c>
    </row>
    <row r="126" spans="1:14" x14ac:dyDescent="0.25">
      <c r="A126" t="s">
        <v>2036</v>
      </c>
      <c r="B126" t="s">
        <v>2042</v>
      </c>
      <c r="C126" t="s">
        <v>2043</v>
      </c>
      <c r="D126" t="s">
        <v>2044</v>
      </c>
      <c r="E126" t="s">
        <v>2045</v>
      </c>
      <c r="F126" t="str">
        <f>VLOOKUP(A126,Base!$A:$F,6,FALSE)</f>
        <v>INDÚSTRIAS EXTRATIVAS</v>
      </c>
      <c r="G126" t="str">
        <f>VLOOKUP(B126,Base!$B:$F,5,FALSE)</f>
        <v>EXTRAÇÃO DE PETRÓLEO E GÁS NATURAL</v>
      </c>
      <c r="H126" t="str">
        <f>VLOOKUP(C126,Base!$C:$F,4,FALSE)</f>
        <v>Extração de petróleo e gás natural</v>
      </c>
      <c r="I126" t="str">
        <f>VLOOKUP(D126,Base!$D:$F,3,FALSE)</f>
        <v>Extração de petróleo e gás natural</v>
      </c>
      <c r="J126" t="str">
        <f>VLOOKUP(E126,Base!$E:$F,2,FALSE)</f>
        <v>Extração de petróleo e gás natural</v>
      </c>
      <c r="K126" t="s">
        <v>2045</v>
      </c>
      <c r="L126">
        <f>IFERROR(VLOOKUP($K126,Base_Atividades!$E$1:$N$2398,MATCH(BancoAjustado!L$1,Base_Atividades!$E$1:$N$1,0),FALSE),0)</f>
        <v>0</v>
      </c>
      <c r="M126">
        <f>IFERROR(VLOOKUP($K126,Base_Atividades!$E$1:$N$2398,MATCH(BancoAjustado!M$1,Base_Atividades!$E$1:$N$1,0),FALSE),0)</f>
        <v>0</v>
      </c>
      <c r="N126">
        <f>IFERROR(VLOOKUP($K126,Base_Atividades!$E$1:$N$2398,MATCH(BancoAjustado!N$1,Base_Atividades!$E$1:$N$1,0),FALSE),0)</f>
        <v>1</v>
      </c>
    </row>
    <row r="127" spans="1:14" x14ac:dyDescent="0.25">
      <c r="A127" t="s">
        <v>2036</v>
      </c>
      <c r="B127" t="s">
        <v>2042</v>
      </c>
      <c r="C127" t="s">
        <v>2043</v>
      </c>
      <c r="D127" t="s">
        <v>2044</v>
      </c>
      <c r="E127" t="s">
        <v>2046</v>
      </c>
      <c r="F127" t="str">
        <f>VLOOKUP(A127,Base!$A:$F,6,FALSE)</f>
        <v>INDÚSTRIAS EXTRATIVAS</v>
      </c>
      <c r="G127" t="str">
        <f>VLOOKUP(B127,Base!$B:$F,5,FALSE)</f>
        <v>EXTRAÇÃO DE PETRÓLEO E GÁS NATURAL</v>
      </c>
      <c r="H127" t="str">
        <f>VLOOKUP(C127,Base!$C:$F,4,FALSE)</f>
        <v>Extração de petróleo e gás natural</v>
      </c>
      <c r="I127" t="str">
        <f>VLOOKUP(D127,Base!$D:$F,3,FALSE)</f>
        <v>Extração de petróleo e gás natural</v>
      </c>
      <c r="J127" t="str">
        <f>VLOOKUP(E127,Base!$E:$F,2,FALSE)</f>
        <v>Extração e beneficiamento de xisto</v>
      </c>
      <c r="K127" t="s">
        <v>2046</v>
      </c>
      <c r="L127">
        <f>IFERROR(VLOOKUP($K127,Base_Atividades!$E$1:$N$2398,MATCH(BancoAjustado!L$1,Base_Atividades!$E$1:$N$1,0),FALSE),0)</f>
        <v>0</v>
      </c>
      <c r="M127">
        <f>IFERROR(VLOOKUP($K127,Base_Atividades!$E$1:$N$2398,MATCH(BancoAjustado!M$1,Base_Atividades!$E$1:$N$1,0),FALSE),0)</f>
        <v>0</v>
      </c>
      <c r="N127">
        <f>IFERROR(VLOOKUP($K127,Base_Atividades!$E$1:$N$2398,MATCH(BancoAjustado!N$1,Base_Atividades!$E$1:$N$1,0),FALSE),0)</f>
        <v>1</v>
      </c>
    </row>
    <row r="128" spans="1:14" x14ac:dyDescent="0.25">
      <c r="A128" t="s">
        <v>2036</v>
      </c>
      <c r="B128" t="s">
        <v>2042</v>
      </c>
      <c r="C128" t="s">
        <v>2043</v>
      </c>
      <c r="D128" t="s">
        <v>2044</v>
      </c>
      <c r="E128" t="s">
        <v>2047</v>
      </c>
      <c r="F128" t="str">
        <f>VLOOKUP(A128,Base!$A:$F,6,FALSE)</f>
        <v>INDÚSTRIAS EXTRATIVAS</v>
      </c>
      <c r="G128" t="str">
        <f>VLOOKUP(B128,Base!$B:$F,5,FALSE)</f>
        <v>EXTRAÇÃO DE PETRÓLEO E GÁS NATURAL</v>
      </c>
      <c r="H128" t="str">
        <f>VLOOKUP(C128,Base!$C:$F,4,FALSE)</f>
        <v>Extração de petróleo e gás natural</v>
      </c>
      <c r="I128" t="str">
        <f>VLOOKUP(D128,Base!$D:$F,3,FALSE)</f>
        <v>Extração de petróleo e gás natural</v>
      </c>
      <c r="J128" t="str">
        <f>VLOOKUP(E128,Base!$E:$F,2,FALSE)</f>
        <v>Extração e beneficiamento de areias betuminosas</v>
      </c>
      <c r="K128" t="s">
        <v>2047</v>
      </c>
      <c r="L128">
        <f>IFERROR(VLOOKUP($K128,Base_Atividades!$E$1:$N$2398,MATCH(BancoAjustado!L$1,Base_Atividades!$E$1:$N$1,0),FALSE),0)</f>
        <v>0</v>
      </c>
      <c r="M128">
        <f>IFERROR(VLOOKUP($K128,Base_Atividades!$E$1:$N$2398,MATCH(BancoAjustado!M$1,Base_Atividades!$E$1:$N$1,0),FALSE),0)</f>
        <v>0</v>
      </c>
      <c r="N128">
        <f>IFERROR(VLOOKUP($K128,Base_Atividades!$E$1:$N$2398,MATCH(BancoAjustado!N$1,Base_Atividades!$E$1:$N$1,0),FALSE),0)</f>
        <v>1</v>
      </c>
    </row>
    <row r="129" spans="1:14" x14ac:dyDescent="0.25">
      <c r="A129" t="s">
        <v>2036</v>
      </c>
      <c r="B129" t="s">
        <v>2048</v>
      </c>
      <c r="C129" t="s">
        <v>2049</v>
      </c>
      <c r="D129" t="s">
        <v>2050</v>
      </c>
      <c r="E129" t="s">
        <v>2051</v>
      </c>
      <c r="F129" t="str">
        <f>VLOOKUP(A129,Base!$A:$F,6,FALSE)</f>
        <v>INDÚSTRIAS EXTRATIVAS</v>
      </c>
      <c r="G129" t="str">
        <f>VLOOKUP(B129,Base!$B:$F,5,FALSE)</f>
        <v>EXTRAÇÃO DE MINERAIS METÁLICOS</v>
      </c>
      <c r="H129" t="str">
        <f>VLOOKUP(C129,Base!$C:$F,4,FALSE)</f>
        <v>Extração de minério de ferro</v>
      </c>
      <c r="I129" t="str">
        <f>VLOOKUP(D129,Base!$D:$F,3,FALSE)</f>
        <v>Extração de minério de ferro</v>
      </c>
      <c r="J129" t="str">
        <f>VLOOKUP(E129,Base!$E:$F,2,FALSE)</f>
        <v>Extração de minério de ferro</v>
      </c>
      <c r="K129" t="s">
        <v>2051</v>
      </c>
      <c r="L129">
        <f>IFERROR(VLOOKUP($K129,Base_Atividades!$E$1:$N$2398,MATCH(BancoAjustado!L$1,Base_Atividades!$E$1:$N$1,0),FALSE),0)</f>
        <v>0</v>
      </c>
      <c r="M129">
        <f>IFERROR(VLOOKUP($K129,Base_Atividades!$E$1:$N$2398,MATCH(BancoAjustado!M$1,Base_Atividades!$E$1:$N$1,0),FALSE),0)</f>
        <v>0</v>
      </c>
      <c r="N129">
        <f>IFERROR(VLOOKUP($K129,Base_Atividades!$E$1:$N$2398,MATCH(BancoAjustado!N$1,Base_Atividades!$E$1:$N$1,0),FALSE),0)</f>
        <v>1</v>
      </c>
    </row>
    <row r="130" spans="1:14" x14ac:dyDescent="0.25">
      <c r="A130" t="s">
        <v>2036</v>
      </c>
      <c r="B130" t="s">
        <v>2048</v>
      </c>
      <c r="C130" t="s">
        <v>2049</v>
      </c>
      <c r="D130" t="s">
        <v>2050</v>
      </c>
      <c r="E130" t="s">
        <v>2052</v>
      </c>
      <c r="F130" t="str">
        <f>VLOOKUP(A130,Base!$A:$F,6,FALSE)</f>
        <v>INDÚSTRIAS EXTRATIVAS</v>
      </c>
      <c r="G130" t="str">
        <f>VLOOKUP(B130,Base!$B:$F,5,FALSE)</f>
        <v>EXTRAÇÃO DE MINERAIS METÁLICOS</v>
      </c>
      <c r="H130" t="str">
        <f>VLOOKUP(C130,Base!$C:$F,4,FALSE)</f>
        <v>Extração de minério de ferro</v>
      </c>
      <c r="I130" t="str">
        <f>VLOOKUP(D130,Base!$D:$F,3,FALSE)</f>
        <v>Extração de minério de ferro</v>
      </c>
      <c r="J130" t="str">
        <f>VLOOKUP(E130,Base!$E:$F,2,FALSE)</f>
        <v>Pelotização, sinterização e outros beneficiamentos de minério de ferro</v>
      </c>
      <c r="K130" t="s">
        <v>2052</v>
      </c>
      <c r="L130">
        <f>IFERROR(VLOOKUP($K130,Base_Atividades!$E$1:$N$2398,MATCH(BancoAjustado!L$1,Base_Atividades!$E$1:$N$1,0),FALSE),0)</f>
        <v>0</v>
      </c>
      <c r="M130">
        <f>IFERROR(VLOOKUP($K130,Base_Atividades!$E$1:$N$2398,MATCH(BancoAjustado!M$1,Base_Atividades!$E$1:$N$1,0),FALSE),0)</f>
        <v>0</v>
      </c>
      <c r="N130">
        <f>IFERROR(VLOOKUP($K130,Base_Atividades!$E$1:$N$2398,MATCH(BancoAjustado!N$1,Base_Atividades!$E$1:$N$1,0),FALSE),0)</f>
        <v>1</v>
      </c>
    </row>
    <row r="131" spans="1:14" x14ac:dyDescent="0.25">
      <c r="A131" t="s">
        <v>2036</v>
      </c>
      <c r="B131" t="s">
        <v>2048</v>
      </c>
      <c r="C131" t="s">
        <v>2053</v>
      </c>
      <c r="D131" t="s">
        <v>2054</v>
      </c>
      <c r="E131" t="s">
        <v>2055</v>
      </c>
      <c r="F131" t="str">
        <f>VLOOKUP(A131,Base!$A:$F,6,FALSE)</f>
        <v>INDÚSTRIAS EXTRATIVAS</v>
      </c>
      <c r="G131" t="str">
        <f>VLOOKUP(B131,Base!$B:$F,5,FALSE)</f>
        <v>EXTRAÇÃO DE MINERAIS METÁLICOS</v>
      </c>
      <c r="H131" t="str">
        <f>VLOOKUP(C131,Base!$C:$F,4,FALSE)</f>
        <v>Extração de minerais metálicos não ferrosos</v>
      </c>
      <c r="I131" t="str">
        <f>VLOOKUP(D131,Base!$D:$F,3,FALSE)</f>
        <v>Extração de minério de alumínio</v>
      </c>
      <c r="J131" t="str">
        <f>VLOOKUP(E131,Base!$E:$F,2,FALSE)</f>
        <v>Extração de minério de alumínio</v>
      </c>
      <c r="K131" t="s">
        <v>2055</v>
      </c>
      <c r="L131">
        <f>IFERROR(VLOOKUP($K131,Base_Atividades!$E$1:$N$2398,MATCH(BancoAjustado!L$1,Base_Atividades!$E$1:$N$1,0),FALSE),0)</f>
        <v>0</v>
      </c>
      <c r="M131">
        <f>IFERROR(VLOOKUP($K131,Base_Atividades!$E$1:$N$2398,MATCH(BancoAjustado!M$1,Base_Atividades!$E$1:$N$1,0),FALSE),0)</f>
        <v>0</v>
      </c>
      <c r="N131">
        <f>IFERROR(VLOOKUP($K131,Base_Atividades!$E$1:$N$2398,MATCH(BancoAjustado!N$1,Base_Atividades!$E$1:$N$1,0),FALSE),0)</f>
        <v>1</v>
      </c>
    </row>
    <row r="132" spans="1:14" x14ac:dyDescent="0.25">
      <c r="A132" t="s">
        <v>2036</v>
      </c>
      <c r="B132" t="s">
        <v>2048</v>
      </c>
      <c r="C132" t="s">
        <v>2053</v>
      </c>
      <c r="D132" t="s">
        <v>2054</v>
      </c>
      <c r="E132" t="s">
        <v>2056</v>
      </c>
      <c r="F132" t="str">
        <f>VLOOKUP(A132,Base!$A:$F,6,FALSE)</f>
        <v>INDÚSTRIAS EXTRATIVAS</v>
      </c>
      <c r="G132" t="str">
        <f>VLOOKUP(B132,Base!$B:$F,5,FALSE)</f>
        <v>EXTRAÇÃO DE MINERAIS METÁLICOS</v>
      </c>
      <c r="H132" t="str">
        <f>VLOOKUP(C132,Base!$C:$F,4,FALSE)</f>
        <v>Extração de minerais metálicos não ferrosos</v>
      </c>
      <c r="I132" t="str">
        <f>VLOOKUP(D132,Base!$D:$F,3,FALSE)</f>
        <v>Extração de minério de alumínio</v>
      </c>
      <c r="J132" t="str">
        <f>VLOOKUP(E132,Base!$E:$F,2,FALSE)</f>
        <v>Beneficiamento de minério de alumínio</v>
      </c>
      <c r="K132" t="s">
        <v>2056</v>
      </c>
      <c r="L132">
        <f>IFERROR(VLOOKUP($K132,Base_Atividades!$E$1:$N$2398,MATCH(BancoAjustado!L$1,Base_Atividades!$E$1:$N$1,0),FALSE),0)</f>
        <v>0</v>
      </c>
      <c r="M132">
        <f>IFERROR(VLOOKUP($K132,Base_Atividades!$E$1:$N$2398,MATCH(BancoAjustado!M$1,Base_Atividades!$E$1:$N$1,0),FALSE),0)</f>
        <v>0</v>
      </c>
      <c r="N132">
        <f>IFERROR(VLOOKUP($K132,Base_Atividades!$E$1:$N$2398,MATCH(BancoAjustado!N$1,Base_Atividades!$E$1:$N$1,0),FALSE),0)</f>
        <v>1</v>
      </c>
    </row>
    <row r="133" spans="1:14" x14ac:dyDescent="0.25">
      <c r="A133" t="s">
        <v>2036</v>
      </c>
      <c r="B133" t="s">
        <v>2048</v>
      </c>
      <c r="C133" t="s">
        <v>2053</v>
      </c>
      <c r="D133" t="s">
        <v>2057</v>
      </c>
      <c r="E133" t="s">
        <v>2058</v>
      </c>
      <c r="F133" t="str">
        <f>VLOOKUP(A133,Base!$A:$F,6,FALSE)</f>
        <v>INDÚSTRIAS EXTRATIVAS</v>
      </c>
      <c r="G133" t="str">
        <f>VLOOKUP(B133,Base!$B:$F,5,FALSE)</f>
        <v>EXTRAÇÃO DE MINERAIS METÁLICOS</v>
      </c>
      <c r="H133" t="str">
        <f>VLOOKUP(C133,Base!$C:$F,4,FALSE)</f>
        <v>Extração de minerais metálicos não ferrosos</v>
      </c>
      <c r="I133" t="str">
        <f>VLOOKUP(D133,Base!$D:$F,3,FALSE)</f>
        <v>Extração de minério de estanho</v>
      </c>
      <c r="J133" t="str">
        <f>VLOOKUP(E133,Base!$E:$F,2,FALSE)</f>
        <v>Extração de minério de estanho</v>
      </c>
      <c r="K133" t="s">
        <v>2058</v>
      </c>
      <c r="L133">
        <f>IFERROR(VLOOKUP($K133,Base_Atividades!$E$1:$N$2398,MATCH(BancoAjustado!L$1,Base_Atividades!$E$1:$N$1,0),FALSE),0)</f>
        <v>0</v>
      </c>
      <c r="M133">
        <f>IFERROR(VLOOKUP($K133,Base_Atividades!$E$1:$N$2398,MATCH(BancoAjustado!M$1,Base_Atividades!$E$1:$N$1,0),FALSE),0)</f>
        <v>0</v>
      </c>
      <c r="N133">
        <f>IFERROR(VLOOKUP($K133,Base_Atividades!$E$1:$N$2398,MATCH(BancoAjustado!N$1,Base_Atividades!$E$1:$N$1,0),FALSE),0)</f>
        <v>1</v>
      </c>
    </row>
    <row r="134" spans="1:14" x14ac:dyDescent="0.25">
      <c r="A134" t="s">
        <v>2036</v>
      </c>
      <c r="B134" t="s">
        <v>2048</v>
      </c>
      <c r="C134" t="s">
        <v>2053</v>
      </c>
      <c r="D134" t="s">
        <v>2057</v>
      </c>
      <c r="E134" t="s">
        <v>2059</v>
      </c>
      <c r="F134" t="str">
        <f>VLOOKUP(A134,Base!$A:$F,6,FALSE)</f>
        <v>INDÚSTRIAS EXTRATIVAS</v>
      </c>
      <c r="G134" t="str">
        <f>VLOOKUP(B134,Base!$B:$F,5,FALSE)</f>
        <v>EXTRAÇÃO DE MINERAIS METÁLICOS</v>
      </c>
      <c r="H134" t="str">
        <f>VLOOKUP(C134,Base!$C:$F,4,FALSE)</f>
        <v>Extração de minerais metálicos não ferrosos</v>
      </c>
      <c r="I134" t="str">
        <f>VLOOKUP(D134,Base!$D:$F,3,FALSE)</f>
        <v>Extração de minério de estanho</v>
      </c>
      <c r="J134" t="str">
        <f>VLOOKUP(E134,Base!$E:$F,2,FALSE)</f>
        <v>Beneficiamento de minério de estanho</v>
      </c>
      <c r="K134" t="s">
        <v>2059</v>
      </c>
      <c r="L134">
        <f>IFERROR(VLOOKUP($K134,Base_Atividades!$E$1:$N$2398,MATCH(BancoAjustado!L$1,Base_Atividades!$E$1:$N$1,0),FALSE),0)</f>
        <v>0</v>
      </c>
      <c r="M134">
        <f>IFERROR(VLOOKUP($K134,Base_Atividades!$E$1:$N$2398,MATCH(BancoAjustado!M$1,Base_Atividades!$E$1:$N$1,0),FALSE),0)</f>
        <v>0</v>
      </c>
      <c r="N134">
        <f>IFERROR(VLOOKUP($K134,Base_Atividades!$E$1:$N$2398,MATCH(BancoAjustado!N$1,Base_Atividades!$E$1:$N$1,0),FALSE),0)</f>
        <v>1</v>
      </c>
    </row>
    <row r="135" spans="1:14" x14ac:dyDescent="0.25">
      <c r="A135" t="s">
        <v>2036</v>
      </c>
      <c r="B135" t="s">
        <v>2048</v>
      </c>
      <c r="C135" t="s">
        <v>2053</v>
      </c>
      <c r="D135" t="s">
        <v>2060</v>
      </c>
      <c r="E135" t="s">
        <v>2061</v>
      </c>
      <c r="F135" t="str">
        <f>VLOOKUP(A135,Base!$A:$F,6,FALSE)</f>
        <v>INDÚSTRIAS EXTRATIVAS</v>
      </c>
      <c r="G135" t="str">
        <f>VLOOKUP(B135,Base!$B:$F,5,FALSE)</f>
        <v>EXTRAÇÃO DE MINERAIS METÁLICOS</v>
      </c>
      <c r="H135" t="str">
        <f>VLOOKUP(C135,Base!$C:$F,4,FALSE)</f>
        <v>Extração de minerais metálicos não ferrosos</v>
      </c>
      <c r="I135" t="str">
        <f>VLOOKUP(D135,Base!$D:$F,3,FALSE)</f>
        <v>Extração de minério de manganês</v>
      </c>
      <c r="J135" t="str">
        <f>VLOOKUP(E135,Base!$E:$F,2,FALSE)</f>
        <v>Extração de minério de manganês</v>
      </c>
      <c r="K135" t="s">
        <v>2061</v>
      </c>
      <c r="L135">
        <f>IFERROR(VLOOKUP($K135,Base_Atividades!$E$1:$N$2398,MATCH(BancoAjustado!L$1,Base_Atividades!$E$1:$N$1,0),FALSE),0)</f>
        <v>0</v>
      </c>
      <c r="M135">
        <f>IFERROR(VLOOKUP($K135,Base_Atividades!$E$1:$N$2398,MATCH(BancoAjustado!M$1,Base_Atividades!$E$1:$N$1,0),FALSE),0)</f>
        <v>0</v>
      </c>
      <c r="N135">
        <f>IFERROR(VLOOKUP($K135,Base_Atividades!$E$1:$N$2398,MATCH(BancoAjustado!N$1,Base_Atividades!$E$1:$N$1,0),FALSE),0)</f>
        <v>1</v>
      </c>
    </row>
    <row r="136" spans="1:14" x14ac:dyDescent="0.25">
      <c r="A136" t="s">
        <v>2036</v>
      </c>
      <c r="B136" t="s">
        <v>2048</v>
      </c>
      <c r="C136" t="s">
        <v>2053</v>
      </c>
      <c r="D136" t="s">
        <v>2060</v>
      </c>
      <c r="E136" t="s">
        <v>2062</v>
      </c>
      <c r="F136" t="str">
        <f>VLOOKUP(A136,Base!$A:$F,6,FALSE)</f>
        <v>INDÚSTRIAS EXTRATIVAS</v>
      </c>
      <c r="G136" t="str">
        <f>VLOOKUP(B136,Base!$B:$F,5,FALSE)</f>
        <v>EXTRAÇÃO DE MINERAIS METÁLICOS</v>
      </c>
      <c r="H136" t="str">
        <f>VLOOKUP(C136,Base!$C:$F,4,FALSE)</f>
        <v>Extração de minerais metálicos não ferrosos</v>
      </c>
      <c r="I136" t="str">
        <f>VLOOKUP(D136,Base!$D:$F,3,FALSE)</f>
        <v>Extração de minério de manganês</v>
      </c>
      <c r="J136" t="str">
        <f>VLOOKUP(E136,Base!$E:$F,2,FALSE)</f>
        <v>Beneficiamento de minério de manganês</v>
      </c>
      <c r="K136" t="s">
        <v>2062</v>
      </c>
      <c r="L136">
        <f>IFERROR(VLOOKUP($K136,Base_Atividades!$E$1:$N$2398,MATCH(BancoAjustado!L$1,Base_Atividades!$E$1:$N$1,0),FALSE),0)</f>
        <v>0</v>
      </c>
      <c r="M136">
        <f>IFERROR(VLOOKUP($K136,Base_Atividades!$E$1:$N$2398,MATCH(BancoAjustado!M$1,Base_Atividades!$E$1:$N$1,0),FALSE),0)</f>
        <v>0</v>
      </c>
      <c r="N136">
        <f>IFERROR(VLOOKUP($K136,Base_Atividades!$E$1:$N$2398,MATCH(BancoAjustado!N$1,Base_Atividades!$E$1:$N$1,0),FALSE),0)</f>
        <v>1</v>
      </c>
    </row>
    <row r="137" spans="1:14" x14ac:dyDescent="0.25">
      <c r="A137" t="s">
        <v>2036</v>
      </c>
      <c r="B137" t="s">
        <v>2048</v>
      </c>
      <c r="C137" t="s">
        <v>2053</v>
      </c>
      <c r="D137" t="s">
        <v>2063</v>
      </c>
      <c r="E137" t="s">
        <v>2064</v>
      </c>
      <c r="F137" t="str">
        <f>VLOOKUP(A137,Base!$A:$F,6,FALSE)</f>
        <v>INDÚSTRIAS EXTRATIVAS</v>
      </c>
      <c r="G137" t="str">
        <f>VLOOKUP(B137,Base!$B:$F,5,FALSE)</f>
        <v>EXTRAÇÃO DE MINERAIS METÁLICOS</v>
      </c>
      <c r="H137" t="str">
        <f>VLOOKUP(C137,Base!$C:$F,4,FALSE)</f>
        <v>Extração de minerais metálicos não ferrosos</v>
      </c>
      <c r="I137" t="str">
        <f>VLOOKUP(D137,Base!$D:$F,3,FALSE)</f>
        <v>Extração de minério de metais preciosos</v>
      </c>
      <c r="J137" t="str">
        <f>VLOOKUP(E137,Base!$E:$F,2,FALSE)</f>
        <v>Extração de minério de metais preciosos</v>
      </c>
      <c r="K137" t="s">
        <v>2064</v>
      </c>
      <c r="L137">
        <f>IFERROR(VLOOKUP($K137,Base_Atividades!$E$1:$N$2398,MATCH(BancoAjustado!L$1,Base_Atividades!$E$1:$N$1,0),FALSE),0)</f>
        <v>0</v>
      </c>
      <c r="M137">
        <f>IFERROR(VLOOKUP($K137,Base_Atividades!$E$1:$N$2398,MATCH(BancoAjustado!M$1,Base_Atividades!$E$1:$N$1,0),FALSE),0)</f>
        <v>0</v>
      </c>
      <c r="N137">
        <f>IFERROR(VLOOKUP($K137,Base_Atividades!$E$1:$N$2398,MATCH(BancoAjustado!N$1,Base_Atividades!$E$1:$N$1,0),FALSE),0)</f>
        <v>1</v>
      </c>
    </row>
    <row r="138" spans="1:14" x14ac:dyDescent="0.25">
      <c r="A138" t="s">
        <v>2036</v>
      </c>
      <c r="B138" t="s">
        <v>2048</v>
      </c>
      <c r="C138" t="s">
        <v>2053</v>
      </c>
      <c r="D138" t="s">
        <v>2063</v>
      </c>
      <c r="E138" t="s">
        <v>2065</v>
      </c>
      <c r="F138" t="str">
        <f>VLOOKUP(A138,Base!$A:$F,6,FALSE)</f>
        <v>INDÚSTRIAS EXTRATIVAS</v>
      </c>
      <c r="G138" t="str">
        <f>VLOOKUP(B138,Base!$B:$F,5,FALSE)</f>
        <v>EXTRAÇÃO DE MINERAIS METÁLICOS</v>
      </c>
      <c r="H138" t="str">
        <f>VLOOKUP(C138,Base!$C:$F,4,FALSE)</f>
        <v>Extração de minerais metálicos não ferrosos</v>
      </c>
      <c r="I138" t="str">
        <f>VLOOKUP(D138,Base!$D:$F,3,FALSE)</f>
        <v>Extração de minério de metais preciosos</v>
      </c>
      <c r="J138" t="str">
        <f>VLOOKUP(E138,Base!$E:$F,2,FALSE)</f>
        <v>Beneficiamento de minério de metais preciosos</v>
      </c>
      <c r="K138" t="s">
        <v>2065</v>
      </c>
      <c r="L138">
        <f>IFERROR(VLOOKUP($K138,Base_Atividades!$E$1:$N$2398,MATCH(BancoAjustado!L$1,Base_Atividades!$E$1:$N$1,0),FALSE),0)</f>
        <v>0</v>
      </c>
      <c r="M138">
        <f>IFERROR(VLOOKUP($K138,Base_Atividades!$E$1:$N$2398,MATCH(BancoAjustado!M$1,Base_Atividades!$E$1:$N$1,0),FALSE),0)</f>
        <v>0</v>
      </c>
      <c r="N138">
        <f>IFERROR(VLOOKUP($K138,Base_Atividades!$E$1:$N$2398,MATCH(BancoAjustado!N$1,Base_Atividades!$E$1:$N$1,0),FALSE),0)</f>
        <v>1</v>
      </c>
    </row>
    <row r="139" spans="1:14" x14ac:dyDescent="0.25">
      <c r="A139" t="s">
        <v>2036</v>
      </c>
      <c r="B139" t="s">
        <v>2048</v>
      </c>
      <c r="C139" t="s">
        <v>2053</v>
      </c>
      <c r="D139" t="s">
        <v>2066</v>
      </c>
      <c r="E139" t="s">
        <v>2067</v>
      </c>
      <c r="F139" t="str">
        <f>VLOOKUP(A139,Base!$A:$F,6,FALSE)</f>
        <v>INDÚSTRIAS EXTRATIVAS</v>
      </c>
      <c r="G139" t="str">
        <f>VLOOKUP(B139,Base!$B:$F,5,FALSE)</f>
        <v>EXTRAÇÃO DE MINERAIS METÁLICOS</v>
      </c>
      <c r="H139" t="str">
        <f>VLOOKUP(C139,Base!$C:$F,4,FALSE)</f>
        <v>Extração de minerais metálicos não ferrosos</v>
      </c>
      <c r="I139" t="str">
        <f>VLOOKUP(D139,Base!$D:$F,3,FALSE)</f>
        <v>Extração de minerais radioativos</v>
      </c>
      <c r="J139" t="str">
        <f>VLOOKUP(E139,Base!$E:$F,2,FALSE)</f>
        <v>Extração de minerais radioativos</v>
      </c>
      <c r="K139" t="s">
        <v>2067</v>
      </c>
      <c r="L139">
        <f>IFERROR(VLOOKUP($K139,Base_Atividades!$E$1:$N$2398,MATCH(BancoAjustado!L$1,Base_Atividades!$E$1:$N$1,0),FALSE),0)</f>
        <v>0</v>
      </c>
      <c r="M139">
        <f>IFERROR(VLOOKUP($K139,Base_Atividades!$E$1:$N$2398,MATCH(BancoAjustado!M$1,Base_Atividades!$E$1:$N$1,0),FALSE),0)</f>
        <v>0</v>
      </c>
      <c r="N139">
        <f>IFERROR(VLOOKUP($K139,Base_Atividades!$E$1:$N$2398,MATCH(BancoAjustado!N$1,Base_Atividades!$E$1:$N$1,0),FALSE),0)</f>
        <v>1</v>
      </c>
    </row>
    <row r="140" spans="1:14" x14ac:dyDescent="0.25">
      <c r="A140" t="s">
        <v>2036</v>
      </c>
      <c r="B140" t="s">
        <v>2048</v>
      </c>
      <c r="C140" t="s">
        <v>2053</v>
      </c>
      <c r="D140" t="s">
        <v>2068</v>
      </c>
      <c r="E140" t="s">
        <v>2069</v>
      </c>
      <c r="F140" t="str">
        <f>VLOOKUP(A140,Base!$A:$F,6,FALSE)</f>
        <v>INDÚSTRIAS EXTRATIVAS</v>
      </c>
      <c r="G140" t="str">
        <f>VLOOKUP(B140,Base!$B:$F,5,FALSE)</f>
        <v>EXTRAÇÃO DE MINERAIS METÁLICOS</v>
      </c>
      <c r="H140" t="str">
        <f>VLOOKUP(C140,Base!$C:$F,4,FALSE)</f>
        <v>Extração de minerais metálicos não ferrosos</v>
      </c>
      <c r="I140" t="str">
        <f>VLOOKUP(D140,Base!$D:$F,3,FALSE)</f>
        <v>Extração de minerais metálicos não ferrosos não especificados anteriormente</v>
      </c>
      <c r="J140" t="str">
        <f>VLOOKUP(E140,Base!$E:$F,2,FALSE)</f>
        <v>Extração de minérios de nióbio e titânio</v>
      </c>
      <c r="K140" t="s">
        <v>2069</v>
      </c>
      <c r="L140">
        <f>IFERROR(VLOOKUP($K140,Base_Atividades!$E$1:$N$2398,MATCH(BancoAjustado!L$1,Base_Atividades!$E$1:$N$1,0),FALSE),0)</f>
        <v>0</v>
      </c>
      <c r="M140">
        <f>IFERROR(VLOOKUP($K140,Base_Atividades!$E$1:$N$2398,MATCH(BancoAjustado!M$1,Base_Atividades!$E$1:$N$1,0),FALSE),0)</f>
        <v>0</v>
      </c>
      <c r="N140">
        <f>IFERROR(VLOOKUP($K140,Base_Atividades!$E$1:$N$2398,MATCH(BancoAjustado!N$1,Base_Atividades!$E$1:$N$1,0),FALSE),0)</f>
        <v>1</v>
      </c>
    </row>
    <row r="141" spans="1:14" x14ac:dyDescent="0.25">
      <c r="A141" t="s">
        <v>2036</v>
      </c>
      <c r="B141" t="s">
        <v>2048</v>
      </c>
      <c r="C141" t="s">
        <v>2053</v>
      </c>
      <c r="D141" t="s">
        <v>2068</v>
      </c>
      <c r="E141" t="s">
        <v>2070</v>
      </c>
      <c r="F141" t="str">
        <f>VLOOKUP(A141,Base!$A:$F,6,FALSE)</f>
        <v>INDÚSTRIAS EXTRATIVAS</v>
      </c>
      <c r="G141" t="str">
        <f>VLOOKUP(B141,Base!$B:$F,5,FALSE)</f>
        <v>EXTRAÇÃO DE MINERAIS METÁLICOS</v>
      </c>
      <c r="H141" t="str">
        <f>VLOOKUP(C141,Base!$C:$F,4,FALSE)</f>
        <v>Extração de minerais metálicos não ferrosos</v>
      </c>
      <c r="I141" t="str">
        <f>VLOOKUP(D141,Base!$D:$F,3,FALSE)</f>
        <v>Extração de minerais metálicos não ferrosos não especificados anteriormente</v>
      </c>
      <c r="J141" t="str">
        <f>VLOOKUP(E141,Base!$E:$F,2,FALSE)</f>
        <v>Extração de minério de tungstênio</v>
      </c>
      <c r="K141" t="s">
        <v>2070</v>
      </c>
      <c r="L141">
        <f>IFERROR(VLOOKUP($K141,Base_Atividades!$E$1:$N$2398,MATCH(BancoAjustado!L$1,Base_Atividades!$E$1:$N$1,0),FALSE),0)</f>
        <v>0</v>
      </c>
      <c r="M141">
        <f>IFERROR(VLOOKUP($K141,Base_Atividades!$E$1:$N$2398,MATCH(BancoAjustado!M$1,Base_Atividades!$E$1:$N$1,0),FALSE),0)</f>
        <v>0</v>
      </c>
      <c r="N141">
        <f>IFERROR(VLOOKUP($K141,Base_Atividades!$E$1:$N$2398,MATCH(BancoAjustado!N$1,Base_Atividades!$E$1:$N$1,0),FALSE),0)</f>
        <v>1</v>
      </c>
    </row>
    <row r="142" spans="1:14" x14ac:dyDescent="0.25">
      <c r="A142" t="s">
        <v>2036</v>
      </c>
      <c r="B142" t="s">
        <v>2048</v>
      </c>
      <c r="C142" t="s">
        <v>2053</v>
      </c>
      <c r="D142" t="s">
        <v>2068</v>
      </c>
      <c r="E142" t="s">
        <v>2071</v>
      </c>
      <c r="F142" t="str">
        <f>VLOOKUP(A142,Base!$A:$F,6,FALSE)</f>
        <v>INDÚSTRIAS EXTRATIVAS</v>
      </c>
      <c r="G142" t="str">
        <f>VLOOKUP(B142,Base!$B:$F,5,FALSE)</f>
        <v>EXTRAÇÃO DE MINERAIS METÁLICOS</v>
      </c>
      <c r="H142" t="str">
        <f>VLOOKUP(C142,Base!$C:$F,4,FALSE)</f>
        <v>Extração de minerais metálicos não ferrosos</v>
      </c>
      <c r="I142" t="str">
        <f>VLOOKUP(D142,Base!$D:$F,3,FALSE)</f>
        <v>Extração de minerais metálicos não ferrosos não especificados anteriormente</v>
      </c>
      <c r="J142" t="str">
        <f>VLOOKUP(E142,Base!$E:$F,2,FALSE)</f>
        <v>Extração de minério de níquel</v>
      </c>
      <c r="K142" t="s">
        <v>2071</v>
      </c>
      <c r="L142">
        <f>IFERROR(VLOOKUP($K142,Base_Atividades!$E$1:$N$2398,MATCH(BancoAjustado!L$1,Base_Atividades!$E$1:$N$1,0),FALSE),0)</f>
        <v>0</v>
      </c>
      <c r="M142">
        <f>IFERROR(VLOOKUP($K142,Base_Atividades!$E$1:$N$2398,MATCH(BancoAjustado!M$1,Base_Atividades!$E$1:$N$1,0),FALSE),0)</f>
        <v>0</v>
      </c>
      <c r="N142">
        <f>IFERROR(VLOOKUP($K142,Base_Atividades!$E$1:$N$2398,MATCH(BancoAjustado!N$1,Base_Atividades!$E$1:$N$1,0),FALSE),0)</f>
        <v>1</v>
      </c>
    </row>
    <row r="143" spans="1:14" x14ac:dyDescent="0.25">
      <c r="A143" t="s">
        <v>2036</v>
      </c>
      <c r="B143" t="s">
        <v>2048</v>
      </c>
      <c r="C143" t="s">
        <v>2053</v>
      </c>
      <c r="D143" t="s">
        <v>2068</v>
      </c>
      <c r="E143" t="s">
        <v>2072</v>
      </c>
      <c r="F143" t="str">
        <f>VLOOKUP(A143,Base!$A:$F,6,FALSE)</f>
        <v>INDÚSTRIAS EXTRATIVAS</v>
      </c>
      <c r="G143" t="str">
        <f>VLOOKUP(B143,Base!$B:$F,5,FALSE)</f>
        <v>EXTRAÇÃO DE MINERAIS METÁLICOS</v>
      </c>
      <c r="H143" t="str">
        <f>VLOOKUP(C143,Base!$C:$F,4,FALSE)</f>
        <v>Extração de minerais metálicos não ferrosos</v>
      </c>
      <c r="I143" t="str">
        <f>VLOOKUP(D143,Base!$D:$F,3,FALSE)</f>
        <v>Extração de minerais metálicos não ferrosos não especificados anteriormente</v>
      </c>
      <c r="J143" t="str">
        <f>VLOOKUP(E143,Base!$E:$F,2,FALSE)</f>
        <v>Extração de minérios de cobre, chumbo, zinco e outros minerais metálicos não ferrosos não especificados anteriormente</v>
      </c>
      <c r="K143" t="s">
        <v>2072</v>
      </c>
      <c r="L143">
        <f>IFERROR(VLOOKUP($K143,Base_Atividades!$E$1:$N$2398,MATCH(BancoAjustado!L$1,Base_Atividades!$E$1:$N$1,0),FALSE),0)</f>
        <v>0</v>
      </c>
      <c r="M143">
        <f>IFERROR(VLOOKUP($K143,Base_Atividades!$E$1:$N$2398,MATCH(BancoAjustado!M$1,Base_Atividades!$E$1:$N$1,0),FALSE),0)</f>
        <v>0</v>
      </c>
      <c r="N143">
        <f>IFERROR(VLOOKUP($K143,Base_Atividades!$E$1:$N$2398,MATCH(BancoAjustado!N$1,Base_Atividades!$E$1:$N$1,0),FALSE),0)</f>
        <v>1</v>
      </c>
    </row>
    <row r="144" spans="1:14" x14ac:dyDescent="0.25">
      <c r="A144" t="s">
        <v>2036</v>
      </c>
      <c r="B144" t="s">
        <v>2048</v>
      </c>
      <c r="C144" t="s">
        <v>2053</v>
      </c>
      <c r="D144" t="s">
        <v>2068</v>
      </c>
      <c r="E144" t="s">
        <v>2073</v>
      </c>
      <c r="F144" t="str">
        <f>VLOOKUP(A144,Base!$A:$F,6,FALSE)</f>
        <v>INDÚSTRIAS EXTRATIVAS</v>
      </c>
      <c r="G144" t="str">
        <f>VLOOKUP(B144,Base!$B:$F,5,FALSE)</f>
        <v>EXTRAÇÃO DE MINERAIS METÁLICOS</v>
      </c>
      <c r="H144" t="str">
        <f>VLOOKUP(C144,Base!$C:$F,4,FALSE)</f>
        <v>Extração de minerais metálicos não ferrosos</v>
      </c>
      <c r="I144" t="str">
        <f>VLOOKUP(D144,Base!$D:$F,3,FALSE)</f>
        <v>Extração de minerais metálicos não ferrosos não especificados anteriormente</v>
      </c>
      <c r="J144" t="str">
        <f>VLOOKUP(E144,Base!$E:$F,2,FALSE)</f>
        <v>Beneficiamento de minérios de cobre, chumbo, zinco e outros minerais metálicos não ferrosos não especificados anteriormente</v>
      </c>
      <c r="K144" t="s">
        <v>2073</v>
      </c>
      <c r="L144">
        <f>IFERROR(VLOOKUP($K144,Base_Atividades!$E$1:$N$2398,MATCH(BancoAjustado!L$1,Base_Atividades!$E$1:$N$1,0),FALSE),0)</f>
        <v>0</v>
      </c>
      <c r="M144">
        <f>IFERROR(VLOOKUP($K144,Base_Atividades!$E$1:$N$2398,MATCH(BancoAjustado!M$1,Base_Atividades!$E$1:$N$1,0),FALSE),0)</f>
        <v>0</v>
      </c>
      <c r="N144">
        <f>IFERROR(VLOOKUP($K144,Base_Atividades!$E$1:$N$2398,MATCH(BancoAjustado!N$1,Base_Atividades!$E$1:$N$1,0),FALSE),0)</f>
        <v>1</v>
      </c>
    </row>
    <row r="145" spans="1:14" x14ac:dyDescent="0.25">
      <c r="A145" t="s">
        <v>2036</v>
      </c>
      <c r="B145" t="s">
        <v>2074</v>
      </c>
      <c r="C145" t="s">
        <v>2075</v>
      </c>
      <c r="D145" t="s">
        <v>2076</v>
      </c>
      <c r="E145" t="s">
        <v>2077</v>
      </c>
      <c r="F145" t="str">
        <f>VLOOKUP(A145,Base!$A:$F,6,FALSE)</f>
        <v>INDÚSTRIAS EXTRATIVAS</v>
      </c>
      <c r="G145" t="str">
        <f>VLOOKUP(B145,Base!$B:$F,5,FALSE)</f>
        <v>EXTRAÇÃO DE MINERAIS NÃO METÁLICOS</v>
      </c>
      <c r="H145" t="str">
        <f>VLOOKUP(C145,Base!$C:$F,4,FALSE)</f>
        <v>Extração de pedra, areia e argila</v>
      </c>
      <c r="I145" t="str">
        <f>VLOOKUP(D145,Base!$D:$F,3,FALSE)</f>
        <v>Extração de pedra, areia e argila</v>
      </c>
      <c r="J145" t="str">
        <f>VLOOKUP(E145,Base!$E:$F,2,FALSE)</f>
        <v>Extração de ardósia e beneficiamento associado</v>
      </c>
      <c r="K145" t="s">
        <v>2077</v>
      </c>
      <c r="L145">
        <f>IFERROR(VLOOKUP($K145,Base_Atividades!$E$1:$N$2398,MATCH(BancoAjustado!L$1,Base_Atividades!$E$1:$N$1,0),FALSE),0)</f>
        <v>0</v>
      </c>
      <c r="M145">
        <f>IFERROR(VLOOKUP($K145,Base_Atividades!$E$1:$N$2398,MATCH(BancoAjustado!M$1,Base_Atividades!$E$1:$N$1,0),FALSE),0)</f>
        <v>0</v>
      </c>
      <c r="N145">
        <f>IFERROR(VLOOKUP($K145,Base_Atividades!$E$1:$N$2398,MATCH(BancoAjustado!N$1,Base_Atividades!$E$1:$N$1,0),FALSE),0)</f>
        <v>1</v>
      </c>
    </row>
    <row r="146" spans="1:14" x14ac:dyDescent="0.25">
      <c r="A146" t="s">
        <v>2036</v>
      </c>
      <c r="B146" t="s">
        <v>2074</v>
      </c>
      <c r="C146" t="s">
        <v>2075</v>
      </c>
      <c r="D146" t="s">
        <v>2076</v>
      </c>
      <c r="E146" t="s">
        <v>2078</v>
      </c>
      <c r="F146" t="str">
        <f>VLOOKUP(A146,Base!$A:$F,6,FALSE)</f>
        <v>INDÚSTRIAS EXTRATIVAS</v>
      </c>
      <c r="G146" t="str">
        <f>VLOOKUP(B146,Base!$B:$F,5,FALSE)</f>
        <v>EXTRAÇÃO DE MINERAIS NÃO METÁLICOS</v>
      </c>
      <c r="H146" t="str">
        <f>VLOOKUP(C146,Base!$C:$F,4,FALSE)</f>
        <v>Extração de pedra, areia e argila</v>
      </c>
      <c r="I146" t="str">
        <f>VLOOKUP(D146,Base!$D:$F,3,FALSE)</f>
        <v>Extração de pedra, areia e argila</v>
      </c>
      <c r="J146" t="str">
        <f>VLOOKUP(E146,Base!$E:$F,2,FALSE)</f>
        <v>Extração de granito e beneficiamento associado</v>
      </c>
      <c r="K146" t="s">
        <v>2078</v>
      </c>
      <c r="L146">
        <f>IFERROR(VLOOKUP($K146,Base_Atividades!$E$1:$N$2398,MATCH(BancoAjustado!L$1,Base_Atividades!$E$1:$N$1,0),FALSE),0)</f>
        <v>0</v>
      </c>
      <c r="M146">
        <f>IFERROR(VLOOKUP($K146,Base_Atividades!$E$1:$N$2398,MATCH(BancoAjustado!M$1,Base_Atividades!$E$1:$N$1,0),FALSE),0)</f>
        <v>0</v>
      </c>
      <c r="N146">
        <f>IFERROR(VLOOKUP($K146,Base_Atividades!$E$1:$N$2398,MATCH(BancoAjustado!N$1,Base_Atividades!$E$1:$N$1,0),FALSE),0)</f>
        <v>1</v>
      </c>
    </row>
    <row r="147" spans="1:14" x14ac:dyDescent="0.25">
      <c r="A147" t="s">
        <v>2036</v>
      </c>
      <c r="B147" t="s">
        <v>2074</v>
      </c>
      <c r="C147" t="s">
        <v>2075</v>
      </c>
      <c r="D147" t="s">
        <v>2076</v>
      </c>
      <c r="E147" t="s">
        <v>2079</v>
      </c>
      <c r="F147" t="str">
        <f>VLOOKUP(A147,Base!$A:$F,6,FALSE)</f>
        <v>INDÚSTRIAS EXTRATIVAS</v>
      </c>
      <c r="G147" t="str">
        <f>VLOOKUP(B147,Base!$B:$F,5,FALSE)</f>
        <v>EXTRAÇÃO DE MINERAIS NÃO METÁLICOS</v>
      </c>
      <c r="H147" t="str">
        <f>VLOOKUP(C147,Base!$C:$F,4,FALSE)</f>
        <v>Extração de pedra, areia e argila</v>
      </c>
      <c r="I147" t="str">
        <f>VLOOKUP(D147,Base!$D:$F,3,FALSE)</f>
        <v>Extração de pedra, areia e argila</v>
      </c>
      <c r="J147" t="str">
        <f>VLOOKUP(E147,Base!$E:$F,2,FALSE)</f>
        <v>Extração de mármore e beneficiamento associado</v>
      </c>
      <c r="K147" t="s">
        <v>2079</v>
      </c>
      <c r="L147">
        <f>IFERROR(VLOOKUP($K147,Base_Atividades!$E$1:$N$2398,MATCH(BancoAjustado!L$1,Base_Atividades!$E$1:$N$1,0),FALSE),0)</f>
        <v>0</v>
      </c>
      <c r="M147">
        <f>IFERROR(VLOOKUP($K147,Base_Atividades!$E$1:$N$2398,MATCH(BancoAjustado!M$1,Base_Atividades!$E$1:$N$1,0),FALSE),0)</f>
        <v>0</v>
      </c>
      <c r="N147">
        <f>IFERROR(VLOOKUP($K147,Base_Atividades!$E$1:$N$2398,MATCH(BancoAjustado!N$1,Base_Atividades!$E$1:$N$1,0),FALSE),0)</f>
        <v>1</v>
      </c>
    </row>
    <row r="148" spans="1:14" x14ac:dyDescent="0.25">
      <c r="A148" t="s">
        <v>2036</v>
      </c>
      <c r="B148" t="s">
        <v>2074</v>
      </c>
      <c r="C148" t="s">
        <v>2075</v>
      </c>
      <c r="D148" t="s">
        <v>2076</v>
      </c>
      <c r="E148" t="s">
        <v>2080</v>
      </c>
      <c r="F148" t="str">
        <f>VLOOKUP(A148,Base!$A:$F,6,FALSE)</f>
        <v>INDÚSTRIAS EXTRATIVAS</v>
      </c>
      <c r="G148" t="str">
        <f>VLOOKUP(B148,Base!$B:$F,5,FALSE)</f>
        <v>EXTRAÇÃO DE MINERAIS NÃO METÁLICOS</v>
      </c>
      <c r="H148" t="str">
        <f>VLOOKUP(C148,Base!$C:$F,4,FALSE)</f>
        <v>Extração de pedra, areia e argila</v>
      </c>
      <c r="I148" t="str">
        <f>VLOOKUP(D148,Base!$D:$F,3,FALSE)</f>
        <v>Extração de pedra, areia e argila</v>
      </c>
      <c r="J148" t="str">
        <f>VLOOKUP(E148,Base!$E:$F,2,FALSE)</f>
        <v>Extração de calcário e dolomita e beneficiamento associado</v>
      </c>
      <c r="K148" t="s">
        <v>2080</v>
      </c>
      <c r="L148">
        <f>IFERROR(VLOOKUP($K148,Base_Atividades!$E$1:$N$2398,MATCH(BancoAjustado!L$1,Base_Atividades!$E$1:$N$1,0),FALSE),0)</f>
        <v>1</v>
      </c>
      <c r="M148">
        <f>IFERROR(VLOOKUP($K148,Base_Atividades!$E$1:$N$2398,MATCH(BancoAjustado!M$1,Base_Atividades!$E$1:$N$1,0),FALSE),0)</f>
        <v>0</v>
      </c>
      <c r="N148">
        <f>IFERROR(VLOOKUP($K148,Base_Atividades!$E$1:$N$2398,MATCH(BancoAjustado!N$1,Base_Atividades!$E$1:$N$1,0),FALSE),0)</f>
        <v>0</v>
      </c>
    </row>
    <row r="149" spans="1:14" x14ac:dyDescent="0.25">
      <c r="A149" t="s">
        <v>2036</v>
      </c>
      <c r="B149" t="s">
        <v>2074</v>
      </c>
      <c r="C149" t="s">
        <v>2075</v>
      </c>
      <c r="D149" t="s">
        <v>2076</v>
      </c>
      <c r="E149" t="s">
        <v>2081</v>
      </c>
      <c r="F149" t="str">
        <f>VLOOKUP(A149,Base!$A:$F,6,FALSE)</f>
        <v>INDÚSTRIAS EXTRATIVAS</v>
      </c>
      <c r="G149" t="str">
        <f>VLOOKUP(B149,Base!$B:$F,5,FALSE)</f>
        <v>EXTRAÇÃO DE MINERAIS NÃO METÁLICOS</v>
      </c>
      <c r="H149" t="str">
        <f>VLOOKUP(C149,Base!$C:$F,4,FALSE)</f>
        <v>Extração de pedra, areia e argila</v>
      </c>
      <c r="I149" t="str">
        <f>VLOOKUP(D149,Base!$D:$F,3,FALSE)</f>
        <v>Extração de pedra, areia e argila</v>
      </c>
      <c r="J149" t="str">
        <f>VLOOKUP(E149,Base!$E:$F,2,FALSE)</f>
        <v>Extração de gesso e caulim</v>
      </c>
      <c r="K149" t="s">
        <v>2081</v>
      </c>
      <c r="L149">
        <f>IFERROR(VLOOKUP($K149,Base_Atividades!$E$1:$N$2398,MATCH(BancoAjustado!L$1,Base_Atividades!$E$1:$N$1,0),FALSE),0)</f>
        <v>1</v>
      </c>
      <c r="M149">
        <f>IFERROR(VLOOKUP($K149,Base_Atividades!$E$1:$N$2398,MATCH(BancoAjustado!M$1,Base_Atividades!$E$1:$N$1,0),FALSE),0)</f>
        <v>0</v>
      </c>
      <c r="N149">
        <f>IFERROR(VLOOKUP($K149,Base_Atividades!$E$1:$N$2398,MATCH(BancoAjustado!N$1,Base_Atividades!$E$1:$N$1,0),FALSE),0)</f>
        <v>0</v>
      </c>
    </row>
    <row r="150" spans="1:14" x14ac:dyDescent="0.25">
      <c r="A150" t="s">
        <v>2036</v>
      </c>
      <c r="B150" t="s">
        <v>2074</v>
      </c>
      <c r="C150" t="s">
        <v>2075</v>
      </c>
      <c r="D150" t="s">
        <v>2076</v>
      </c>
      <c r="E150" t="s">
        <v>2082</v>
      </c>
      <c r="F150" t="str">
        <f>VLOOKUP(A150,Base!$A:$F,6,FALSE)</f>
        <v>INDÚSTRIAS EXTRATIVAS</v>
      </c>
      <c r="G150" t="str">
        <f>VLOOKUP(B150,Base!$B:$F,5,FALSE)</f>
        <v>EXTRAÇÃO DE MINERAIS NÃO METÁLICOS</v>
      </c>
      <c r="H150" t="str">
        <f>VLOOKUP(C150,Base!$C:$F,4,FALSE)</f>
        <v>Extração de pedra, areia e argila</v>
      </c>
      <c r="I150" t="str">
        <f>VLOOKUP(D150,Base!$D:$F,3,FALSE)</f>
        <v>Extração de pedra, areia e argila</v>
      </c>
      <c r="J150" t="str">
        <f>VLOOKUP(E150,Base!$E:$F,2,FALSE)</f>
        <v>Extração de areia, cascalho ou pedregulho e beneficiamento associado</v>
      </c>
      <c r="K150" t="s">
        <v>2082</v>
      </c>
      <c r="L150">
        <f>IFERROR(VLOOKUP($K150,Base_Atividades!$E$1:$N$2398,MATCH(BancoAjustado!L$1,Base_Atividades!$E$1:$N$1,0),FALSE),0)</f>
        <v>0</v>
      </c>
      <c r="M150">
        <f>IFERROR(VLOOKUP($K150,Base_Atividades!$E$1:$N$2398,MATCH(BancoAjustado!M$1,Base_Atividades!$E$1:$N$1,0),FALSE),0)</f>
        <v>0</v>
      </c>
      <c r="N150">
        <f>IFERROR(VLOOKUP($K150,Base_Atividades!$E$1:$N$2398,MATCH(BancoAjustado!N$1,Base_Atividades!$E$1:$N$1,0),FALSE),0)</f>
        <v>1</v>
      </c>
    </row>
    <row r="151" spans="1:14" x14ac:dyDescent="0.25">
      <c r="A151" t="s">
        <v>2036</v>
      </c>
      <c r="B151" t="s">
        <v>2074</v>
      </c>
      <c r="C151" t="s">
        <v>2075</v>
      </c>
      <c r="D151" t="s">
        <v>2076</v>
      </c>
      <c r="E151" t="s">
        <v>2083</v>
      </c>
      <c r="F151" t="str">
        <f>VLOOKUP(A151,Base!$A:$F,6,FALSE)</f>
        <v>INDÚSTRIAS EXTRATIVAS</v>
      </c>
      <c r="G151" t="str">
        <f>VLOOKUP(B151,Base!$B:$F,5,FALSE)</f>
        <v>EXTRAÇÃO DE MINERAIS NÃO METÁLICOS</v>
      </c>
      <c r="H151" t="str">
        <f>VLOOKUP(C151,Base!$C:$F,4,FALSE)</f>
        <v>Extração de pedra, areia e argila</v>
      </c>
      <c r="I151" t="str">
        <f>VLOOKUP(D151,Base!$D:$F,3,FALSE)</f>
        <v>Extração de pedra, areia e argila</v>
      </c>
      <c r="J151" t="str">
        <f>VLOOKUP(E151,Base!$E:$F,2,FALSE)</f>
        <v>Extração de argila e beneficiamento associado</v>
      </c>
      <c r="K151" t="s">
        <v>2083</v>
      </c>
      <c r="L151">
        <f>IFERROR(VLOOKUP($K151,Base_Atividades!$E$1:$N$2398,MATCH(BancoAjustado!L$1,Base_Atividades!$E$1:$N$1,0),FALSE),0)</f>
        <v>0</v>
      </c>
      <c r="M151">
        <f>IFERROR(VLOOKUP($K151,Base_Atividades!$E$1:$N$2398,MATCH(BancoAjustado!M$1,Base_Atividades!$E$1:$N$1,0),FALSE),0)</f>
        <v>0</v>
      </c>
      <c r="N151">
        <f>IFERROR(VLOOKUP($K151,Base_Atividades!$E$1:$N$2398,MATCH(BancoAjustado!N$1,Base_Atividades!$E$1:$N$1,0),FALSE),0)</f>
        <v>1</v>
      </c>
    </row>
    <row r="152" spans="1:14" x14ac:dyDescent="0.25">
      <c r="A152" t="s">
        <v>2036</v>
      </c>
      <c r="B152" t="s">
        <v>2074</v>
      </c>
      <c r="C152" t="s">
        <v>2075</v>
      </c>
      <c r="D152" t="s">
        <v>2076</v>
      </c>
      <c r="E152" t="s">
        <v>2084</v>
      </c>
      <c r="F152" t="str">
        <f>VLOOKUP(A152,Base!$A:$F,6,FALSE)</f>
        <v>INDÚSTRIAS EXTRATIVAS</v>
      </c>
      <c r="G152" t="str">
        <f>VLOOKUP(B152,Base!$B:$F,5,FALSE)</f>
        <v>EXTRAÇÃO DE MINERAIS NÃO METÁLICOS</v>
      </c>
      <c r="H152" t="str">
        <f>VLOOKUP(C152,Base!$C:$F,4,FALSE)</f>
        <v>Extração de pedra, areia e argila</v>
      </c>
      <c r="I152" t="str">
        <f>VLOOKUP(D152,Base!$D:$F,3,FALSE)</f>
        <v>Extração de pedra, areia e argila</v>
      </c>
      <c r="J152" t="str">
        <f>VLOOKUP(E152,Base!$E:$F,2,FALSE)</f>
        <v>Extração de saibro e beneficiamento associado</v>
      </c>
      <c r="K152" t="s">
        <v>2084</v>
      </c>
      <c r="L152">
        <f>IFERROR(VLOOKUP($K152,Base_Atividades!$E$1:$N$2398,MATCH(BancoAjustado!L$1,Base_Atividades!$E$1:$N$1,0),FALSE),0)</f>
        <v>0</v>
      </c>
      <c r="M152">
        <f>IFERROR(VLOOKUP($K152,Base_Atividades!$E$1:$N$2398,MATCH(BancoAjustado!M$1,Base_Atividades!$E$1:$N$1,0),FALSE),0)</f>
        <v>0</v>
      </c>
      <c r="N152">
        <f>IFERROR(VLOOKUP($K152,Base_Atividades!$E$1:$N$2398,MATCH(BancoAjustado!N$1,Base_Atividades!$E$1:$N$1,0),FALSE),0)</f>
        <v>1</v>
      </c>
    </row>
    <row r="153" spans="1:14" x14ac:dyDescent="0.25">
      <c r="A153" t="s">
        <v>2036</v>
      </c>
      <c r="B153" t="s">
        <v>2074</v>
      </c>
      <c r="C153" t="s">
        <v>2075</v>
      </c>
      <c r="D153" t="s">
        <v>2076</v>
      </c>
      <c r="E153" t="s">
        <v>2085</v>
      </c>
      <c r="F153" t="str">
        <f>VLOOKUP(A153,Base!$A:$F,6,FALSE)</f>
        <v>INDÚSTRIAS EXTRATIVAS</v>
      </c>
      <c r="G153" t="str">
        <f>VLOOKUP(B153,Base!$B:$F,5,FALSE)</f>
        <v>EXTRAÇÃO DE MINERAIS NÃO METÁLICOS</v>
      </c>
      <c r="H153" t="str">
        <f>VLOOKUP(C153,Base!$C:$F,4,FALSE)</f>
        <v>Extração de pedra, areia e argila</v>
      </c>
      <c r="I153" t="str">
        <f>VLOOKUP(D153,Base!$D:$F,3,FALSE)</f>
        <v>Extração de pedra, areia e argila</v>
      </c>
      <c r="J153" t="str">
        <f>VLOOKUP(E153,Base!$E:$F,2,FALSE)</f>
        <v>Extração de basalto e beneficiamento associado</v>
      </c>
      <c r="K153" t="s">
        <v>2085</v>
      </c>
      <c r="L153">
        <f>IFERROR(VLOOKUP($K153,Base_Atividades!$E$1:$N$2398,MATCH(BancoAjustado!L$1,Base_Atividades!$E$1:$N$1,0),FALSE),0)</f>
        <v>0</v>
      </c>
      <c r="M153">
        <f>IFERROR(VLOOKUP($K153,Base_Atividades!$E$1:$N$2398,MATCH(BancoAjustado!M$1,Base_Atividades!$E$1:$N$1,0),FALSE),0)</f>
        <v>0</v>
      </c>
      <c r="N153">
        <f>IFERROR(VLOOKUP($K153,Base_Atividades!$E$1:$N$2398,MATCH(BancoAjustado!N$1,Base_Atividades!$E$1:$N$1,0),FALSE),0)</f>
        <v>1</v>
      </c>
    </row>
    <row r="154" spans="1:14" x14ac:dyDescent="0.25">
      <c r="A154" t="s">
        <v>2036</v>
      </c>
      <c r="B154" t="s">
        <v>2074</v>
      </c>
      <c r="C154" t="s">
        <v>2075</v>
      </c>
      <c r="D154" t="s">
        <v>2076</v>
      </c>
      <c r="E154" t="s">
        <v>2086</v>
      </c>
      <c r="F154" t="str">
        <f>VLOOKUP(A154,Base!$A:$F,6,FALSE)</f>
        <v>INDÚSTRIAS EXTRATIVAS</v>
      </c>
      <c r="G154" t="str">
        <f>VLOOKUP(B154,Base!$B:$F,5,FALSE)</f>
        <v>EXTRAÇÃO DE MINERAIS NÃO METÁLICOS</v>
      </c>
      <c r="H154" t="str">
        <f>VLOOKUP(C154,Base!$C:$F,4,FALSE)</f>
        <v>Extração de pedra, areia e argila</v>
      </c>
      <c r="I154" t="str">
        <f>VLOOKUP(D154,Base!$D:$F,3,FALSE)</f>
        <v>Extração de pedra, areia e argila</v>
      </c>
      <c r="J154" t="str">
        <f>VLOOKUP(E154,Base!$E:$F,2,FALSE)</f>
        <v>Beneficiamento de gesso e caulim associado à extração</v>
      </c>
      <c r="K154" t="s">
        <v>2086</v>
      </c>
      <c r="L154">
        <f>IFERROR(VLOOKUP($K154,Base_Atividades!$E$1:$N$2398,MATCH(BancoAjustado!L$1,Base_Atividades!$E$1:$N$1,0),FALSE),0)</f>
        <v>1</v>
      </c>
      <c r="M154">
        <f>IFERROR(VLOOKUP($K154,Base_Atividades!$E$1:$N$2398,MATCH(BancoAjustado!M$1,Base_Atividades!$E$1:$N$1,0),FALSE),0)</f>
        <v>0</v>
      </c>
      <c r="N154">
        <f>IFERROR(VLOOKUP($K154,Base_Atividades!$E$1:$N$2398,MATCH(BancoAjustado!N$1,Base_Atividades!$E$1:$N$1,0),FALSE),0)</f>
        <v>0</v>
      </c>
    </row>
    <row r="155" spans="1:14" x14ac:dyDescent="0.25">
      <c r="A155" t="s">
        <v>2036</v>
      </c>
      <c r="B155" t="s">
        <v>2074</v>
      </c>
      <c r="C155" t="s">
        <v>2075</v>
      </c>
      <c r="D155" t="s">
        <v>2076</v>
      </c>
      <c r="E155" t="s">
        <v>2087</v>
      </c>
      <c r="F155" t="str">
        <f>VLOOKUP(A155,Base!$A:$F,6,FALSE)</f>
        <v>INDÚSTRIAS EXTRATIVAS</v>
      </c>
      <c r="G155" t="str">
        <f>VLOOKUP(B155,Base!$B:$F,5,FALSE)</f>
        <v>EXTRAÇÃO DE MINERAIS NÃO METÁLICOS</v>
      </c>
      <c r="H155" t="str">
        <f>VLOOKUP(C155,Base!$C:$F,4,FALSE)</f>
        <v>Extração de pedra, areia e argila</v>
      </c>
      <c r="I155" t="str">
        <f>VLOOKUP(D155,Base!$D:$F,3,FALSE)</f>
        <v>Extração de pedra, areia e argila</v>
      </c>
      <c r="J155" t="str">
        <f>VLOOKUP(E155,Base!$E:$F,2,FALSE)</f>
        <v>Extração e britamento de pedras e outros materiais para construção e beneficiamento associado</v>
      </c>
      <c r="K155" t="s">
        <v>2087</v>
      </c>
      <c r="L155">
        <f>IFERROR(VLOOKUP($K155,Base_Atividades!$E$1:$N$2398,MATCH(BancoAjustado!L$1,Base_Atividades!$E$1:$N$1,0),FALSE),0)</f>
        <v>0</v>
      </c>
      <c r="M155">
        <f>IFERROR(VLOOKUP($K155,Base_Atividades!$E$1:$N$2398,MATCH(BancoAjustado!M$1,Base_Atividades!$E$1:$N$1,0),FALSE),0)</f>
        <v>0</v>
      </c>
      <c r="N155">
        <f>IFERROR(VLOOKUP($K155,Base_Atividades!$E$1:$N$2398,MATCH(BancoAjustado!N$1,Base_Atividades!$E$1:$N$1,0),FALSE),0)</f>
        <v>1</v>
      </c>
    </row>
    <row r="156" spans="1:14" x14ac:dyDescent="0.25">
      <c r="A156" t="s">
        <v>2036</v>
      </c>
      <c r="B156" t="s">
        <v>2074</v>
      </c>
      <c r="C156" t="s">
        <v>2088</v>
      </c>
      <c r="D156" t="s">
        <v>2089</v>
      </c>
      <c r="E156" t="s">
        <v>2090</v>
      </c>
      <c r="F156" t="str">
        <f>VLOOKUP(A156,Base!$A:$F,6,FALSE)</f>
        <v>INDÚSTRIAS EXTRATIVAS</v>
      </c>
      <c r="G156" t="str">
        <f>VLOOKUP(B156,Base!$B:$F,5,FALSE)</f>
        <v>EXTRAÇÃO DE MINERAIS NÃO METÁLICOS</v>
      </c>
      <c r="H156" t="str">
        <f>VLOOKUP(C156,Base!$C:$F,4,FALSE)</f>
        <v>Extração de outros minerais não metálicos</v>
      </c>
      <c r="I156" t="str">
        <f>VLOOKUP(D156,Base!$D:$F,3,FALSE)</f>
        <v>Extração de minerais para fabricação de adubos, fertilizantes e outros produtos químicos</v>
      </c>
      <c r="J156" t="str">
        <f>VLOOKUP(E156,Base!$E:$F,2,FALSE)</f>
        <v>Extração de minerais para fabricação de adubos, fertilizantes e outros produtos químicos</v>
      </c>
      <c r="K156" t="s">
        <v>2090</v>
      </c>
      <c r="L156">
        <f>IFERROR(VLOOKUP($K156,Base_Atividades!$E$1:$N$2398,MATCH(BancoAjustado!L$1,Base_Atividades!$E$1:$N$1,0),FALSE),0)</f>
        <v>1</v>
      </c>
      <c r="M156">
        <f>IFERROR(VLOOKUP($K156,Base_Atividades!$E$1:$N$2398,MATCH(BancoAjustado!M$1,Base_Atividades!$E$1:$N$1,0),FALSE),0)</f>
        <v>0</v>
      </c>
      <c r="N156">
        <f>IFERROR(VLOOKUP($K156,Base_Atividades!$E$1:$N$2398,MATCH(BancoAjustado!N$1,Base_Atividades!$E$1:$N$1,0),FALSE),0)</f>
        <v>0</v>
      </c>
    </row>
    <row r="157" spans="1:14" x14ac:dyDescent="0.25">
      <c r="A157" t="s">
        <v>2036</v>
      </c>
      <c r="B157" t="s">
        <v>2074</v>
      </c>
      <c r="C157" t="s">
        <v>2088</v>
      </c>
      <c r="D157" t="s">
        <v>2091</v>
      </c>
      <c r="E157" t="s">
        <v>2092</v>
      </c>
      <c r="F157" t="str">
        <f>VLOOKUP(A157,Base!$A:$F,6,FALSE)</f>
        <v>INDÚSTRIAS EXTRATIVAS</v>
      </c>
      <c r="G157" t="str">
        <f>VLOOKUP(B157,Base!$B:$F,5,FALSE)</f>
        <v>EXTRAÇÃO DE MINERAIS NÃO METÁLICOS</v>
      </c>
      <c r="H157" t="str">
        <f>VLOOKUP(C157,Base!$C:$F,4,FALSE)</f>
        <v>Extração de outros minerais não metálicos</v>
      </c>
      <c r="I157" t="str">
        <f>VLOOKUP(D157,Base!$D:$F,3,FALSE)</f>
        <v>Extração e refino de sal marinho e sal-gema</v>
      </c>
      <c r="J157" t="str">
        <f>VLOOKUP(E157,Base!$E:$F,2,FALSE)</f>
        <v>Extração de sal marinho</v>
      </c>
      <c r="K157" t="s">
        <v>2092</v>
      </c>
      <c r="L157">
        <f>IFERROR(VLOOKUP($K157,Base_Atividades!$E$1:$N$2398,MATCH(BancoAjustado!L$1,Base_Atividades!$E$1:$N$1,0),FALSE),0)</f>
        <v>0</v>
      </c>
      <c r="M157">
        <f>IFERROR(VLOOKUP($K157,Base_Atividades!$E$1:$N$2398,MATCH(BancoAjustado!M$1,Base_Atividades!$E$1:$N$1,0),FALSE),0)</f>
        <v>0</v>
      </c>
      <c r="N157">
        <f>IFERROR(VLOOKUP($K157,Base_Atividades!$E$1:$N$2398,MATCH(BancoAjustado!N$1,Base_Atividades!$E$1:$N$1,0),FALSE),0)</f>
        <v>1</v>
      </c>
    </row>
    <row r="158" spans="1:14" x14ac:dyDescent="0.25">
      <c r="A158" t="s">
        <v>2036</v>
      </c>
      <c r="B158" t="s">
        <v>2074</v>
      </c>
      <c r="C158" t="s">
        <v>2088</v>
      </c>
      <c r="D158" t="s">
        <v>2091</v>
      </c>
      <c r="E158" t="s">
        <v>2093</v>
      </c>
      <c r="F158" t="str">
        <f>VLOOKUP(A158,Base!$A:$F,6,FALSE)</f>
        <v>INDÚSTRIAS EXTRATIVAS</v>
      </c>
      <c r="G158" t="str">
        <f>VLOOKUP(B158,Base!$B:$F,5,FALSE)</f>
        <v>EXTRAÇÃO DE MINERAIS NÃO METÁLICOS</v>
      </c>
      <c r="H158" t="str">
        <f>VLOOKUP(C158,Base!$C:$F,4,FALSE)</f>
        <v>Extração de outros minerais não metálicos</v>
      </c>
      <c r="I158" t="str">
        <f>VLOOKUP(D158,Base!$D:$F,3,FALSE)</f>
        <v>Extração e refino de sal marinho e sal-gema</v>
      </c>
      <c r="J158" t="str">
        <f>VLOOKUP(E158,Base!$E:$F,2,FALSE)</f>
        <v>Extração de sal-gema</v>
      </c>
      <c r="K158" t="s">
        <v>2093</v>
      </c>
      <c r="L158">
        <f>IFERROR(VLOOKUP($K158,Base_Atividades!$E$1:$N$2398,MATCH(BancoAjustado!L$1,Base_Atividades!$E$1:$N$1,0),FALSE),0)</f>
        <v>0</v>
      </c>
      <c r="M158">
        <f>IFERROR(VLOOKUP($K158,Base_Atividades!$E$1:$N$2398,MATCH(BancoAjustado!M$1,Base_Atividades!$E$1:$N$1,0),FALSE),0)</f>
        <v>0</v>
      </c>
      <c r="N158">
        <f>IFERROR(VLOOKUP($K158,Base_Atividades!$E$1:$N$2398,MATCH(BancoAjustado!N$1,Base_Atividades!$E$1:$N$1,0),FALSE),0)</f>
        <v>1</v>
      </c>
    </row>
    <row r="159" spans="1:14" x14ac:dyDescent="0.25">
      <c r="A159" t="s">
        <v>2036</v>
      </c>
      <c r="B159" t="s">
        <v>2074</v>
      </c>
      <c r="C159" t="s">
        <v>2088</v>
      </c>
      <c r="D159" t="s">
        <v>2091</v>
      </c>
      <c r="E159" t="s">
        <v>2094</v>
      </c>
      <c r="F159" t="str">
        <f>VLOOKUP(A159,Base!$A:$F,6,FALSE)</f>
        <v>INDÚSTRIAS EXTRATIVAS</v>
      </c>
      <c r="G159" t="str">
        <f>VLOOKUP(B159,Base!$B:$F,5,FALSE)</f>
        <v>EXTRAÇÃO DE MINERAIS NÃO METÁLICOS</v>
      </c>
      <c r="H159" t="str">
        <f>VLOOKUP(C159,Base!$C:$F,4,FALSE)</f>
        <v>Extração de outros minerais não metálicos</v>
      </c>
      <c r="I159" t="str">
        <f>VLOOKUP(D159,Base!$D:$F,3,FALSE)</f>
        <v>Extração e refino de sal marinho e sal-gema</v>
      </c>
      <c r="J159" t="str">
        <f>VLOOKUP(E159,Base!$E:$F,2,FALSE)</f>
        <v>Refino e outros tratamentos do sal</v>
      </c>
      <c r="K159" t="s">
        <v>2094</v>
      </c>
      <c r="L159">
        <f>IFERROR(VLOOKUP($K159,Base_Atividades!$E$1:$N$2398,MATCH(BancoAjustado!L$1,Base_Atividades!$E$1:$N$1,0),FALSE),0)</f>
        <v>0</v>
      </c>
      <c r="M159">
        <f>IFERROR(VLOOKUP($K159,Base_Atividades!$E$1:$N$2398,MATCH(BancoAjustado!M$1,Base_Atividades!$E$1:$N$1,0),FALSE),0)</f>
        <v>0</v>
      </c>
      <c r="N159">
        <f>IFERROR(VLOOKUP($K159,Base_Atividades!$E$1:$N$2398,MATCH(BancoAjustado!N$1,Base_Atividades!$E$1:$N$1,0),FALSE),0)</f>
        <v>1</v>
      </c>
    </row>
    <row r="160" spans="1:14" x14ac:dyDescent="0.25">
      <c r="A160" t="s">
        <v>2036</v>
      </c>
      <c r="B160" t="s">
        <v>2074</v>
      </c>
      <c r="C160" t="s">
        <v>2088</v>
      </c>
      <c r="D160" t="s">
        <v>2095</v>
      </c>
      <c r="E160" t="s">
        <v>2096</v>
      </c>
      <c r="F160" t="str">
        <f>VLOOKUP(A160,Base!$A:$F,6,FALSE)</f>
        <v>INDÚSTRIAS EXTRATIVAS</v>
      </c>
      <c r="G160" t="str">
        <f>VLOOKUP(B160,Base!$B:$F,5,FALSE)</f>
        <v>EXTRAÇÃO DE MINERAIS NÃO METÁLICOS</v>
      </c>
      <c r="H160" t="str">
        <f>VLOOKUP(C160,Base!$C:$F,4,FALSE)</f>
        <v>Extração de outros minerais não metálicos</v>
      </c>
      <c r="I160" t="str">
        <f>VLOOKUP(D160,Base!$D:$F,3,FALSE)</f>
        <v>Extração de gemas (pedras preciosas e semipreciosas)</v>
      </c>
      <c r="J160" t="str">
        <f>VLOOKUP(E160,Base!$E:$F,2,FALSE)</f>
        <v>Extração de gemas (pedras preciosas e semipreciosas)</v>
      </c>
      <c r="K160" t="s">
        <v>2096</v>
      </c>
      <c r="L160">
        <f>IFERROR(VLOOKUP($K160,Base_Atividades!$E$1:$N$2398,MATCH(BancoAjustado!L$1,Base_Atividades!$E$1:$N$1,0),FALSE),0)</f>
        <v>0</v>
      </c>
      <c r="M160">
        <f>IFERROR(VLOOKUP($K160,Base_Atividades!$E$1:$N$2398,MATCH(BancoAjustado!M$1,Base_Atividades!$E$1:$N$1,0),FALSE),0)</f>
        <v>0</v>
      </c>
      <c r="N160">
        <f>IFERROR(VLOOKUP($K160,Base_Atividades!$E$1:$N$2398,MATCH(BancoAjustado!N$1,Base_Atividades!$E$1:$N$1,0),FALSE),0)</f>
        <v>1</v>
      </c>
    </row>
    <row r="161" spans="1:14" x14ac:dyDescent="0.25">
      <c r="A161" t="s">
        <v>2036</v>
      </c>
      <c r="B161" t="s">
        <v>2074</v>
      </c>
      <c r="C161" t="s">
        <v>2088</v>
      </c>
      <c r="D161" t="s">
        <v>2097</v>
      </c>
      <c r="E161" t="s">
        <v>2098</v>
      </c>
      <c r="F161" t="str">
        <f>VLOOKUP(A161,Base!$A:$F,6,FALSE)</f>
        <v>INDÚSTRIAS EXTRATIVAS</v>
      </c>
      <c r="G161" t="str">
        <f>VLOOKUP(B161,Base!$B:$F,5,FALSE)</f>
        <v>EXTRAÇÃO DE MINERAIS NÃO METÁLICOS</v>
      </c>
      <c r="H161" t="str">
        <f>VLOOKUP(C161,Base!$C:$F,4,FALSE)</f>
        <v>Extração de outros minerais não metálicos</v>
      </c>
      <c r="I161" t="str">
        <f>VLOOKUP(D161,Base!$D:$F,3,FALSE)</f>
        <v>Extração de minerais não metálicos não especificados anteriormente</v>
      </c>
      <c r="J161" t="str">
        <f>VLOOKUP(E161,Base!$E:$F,2,FALSE)</f>
        <v>Extração de grafita</v>
      </c>
      <c r="K161" t="s">
        <v>2098</v>
      </c>
      <c r="L161">
        <f>IFERROR(VLOOKUP($K161,Base_Atividades!$E$1:$N$2398,MATCH(BancoAjustado!L$1,Base_Atividades!$E$1:$N$1,0),FALSE),0)</f>
        <v>0</v>
      </c>
      <c r="M161">
        <f>IFERROR(VLOOKUP($K161,Base_Atividades!$E$1:$N$2398,MATCH(BancoAjustado!M$1,Base_Atividades!$E$1:$N$1,0),FALSE),0)</f>
        <v>0</v>
      </c>
      <c r="N161">
        <f>IFERROR(VLOOKUP($K161,Base_Atividades!$E$1:$N$2398,MATCH(BancoAjustado!N$1,Base_Atividades!$E$1:$N$1,0),FALSE),0)</f>
        <v>1</v>
      </c>
    </row>
    <row r="162" spans="1:14" x14ac:dyDescent="0.25">
      <c r="A162" t="s">
        <v>2036</v>
      </c>
      <c r="B162" t="s">
        <v>2074</v>
      </c>
      <c r="C162" t="s">
        <v>2088</v>
      </c>
      <c r="D162" t="s">
        <v>2097</v>
      </c>
      <c r="E162" t="s">
        <v>2099</v>
      </c>
      <c r="F162" t="str">
        <f>VLOOKUP(A162,Base!$A:$F,6,FALSE)</f>
        <v>INDÚSTRIAS EXTRATIVAS</v>
      </c>
      <c r="G162" t="str">
        <f>VLOOKUP(B162,Base!$B:$F,5,FALSE)</f>
        <v>EXTRAÇÃO DE MINERAIS NÃO METÁLICOS</v>
      </c>
      <c r="H162" t="str">
        <f>VLOOKUP(C162,Base!$C:$F,4,FALSE)</f>
        <v>Extração de outros minerais não metálicos</v>
      </c>
      <c r="I162" t="str">
        <f>VLOOKUP(D162,Base!$D:$F,3,FALSE)</f>
        <v>Extração de minerais não metálicos não especificados anteriormente</v>
      </c>
      <c r="J162" t="str">
        <f>VLOOKUP(E162,Base!$E:$F,2,FALSE)</f>
        <v>Extração de quartzo</v>
      </c>
      <c r="K162" t="s">
        <v>2099</v>
      </c>
      <c r="L162">
        <f>IFERROR(VLOOKUP($K162,Base_Atividades!$E$1:$N$2398,MATCH(BancoAjustado!L$1,Base_Atividades!$E$1:$N$1,0),FALSE),0)</f>
        <v>0</v>
      </c>
      <c r="M162">
        <f>IFERROR(VLOOKUP($K162,Base_Atividades!$E$1:$N$2398,MATCH(BancoAjustado!M$1,Base_Atividades!$E$1:$N$1,0),FALSE),0)</f>
        <v>0</v>
      </c>
      <c r="N162">
        <f>IFERROR(VLOOKUP($K162,Base_Atividades!$E$1:$N$2398,MATCH(BancoAjustado!N$1,Base_Atividades!$E$1:$N$1,0),FALSE),0)</f>
        <v>1</v>
      </c>
    </row>
    <row r="163" spans="1:14" x14ac:dyDescent="0.25">
      <c r="A163" t="s">
        <v>2036</v>
      </c>
      <c r="B163" t="s">
        <v>2074</v>
      </c>
      <c r="C163" t="s">
        <v>2088</v>
      </c>
      <c r="D163" t="s">
        <v>2097</v>
      </c>
      <c r="E163" t="s">
        <v>2100</v>
      </c>
      <c r="F163" t="str">
        <f>VLOOKUP(A163,Base!$A:$F,6,FALSE)</f>
        <v>INDÚSTRIAS EXTRATIVAS</v>
      </c>
      <c r="G163" t="str">
        <f>VLOOKUP(B163,Base!$B:$F,5,FALSE)</f>
        <v>EXTRAÇÃO DE MINERAIS NÃO METÁLICOS</v>
      </c>
      <c r="H163" t="str">
        <f>VLOOKUP(C163,Base!$C:$F,4,FALSE)</f>
        <v>Extração de outros minerais não metálicos</v>
      </c>
      <c r="I163" t="str">
        <f>VLOOKUP(D163,Base!$D:$F,3,FALSE)</f>
        <v>Extração de minerais não metálicos não especificados anteriormente</v>
      </c>
      <c r="J163" t="str">
        <f>VLOOKUP(E163,Base!$E:$F,2,FALSE)</f>
        <v>Extração de amianto</v>
      </c>
      <c r="K163" t="s">
        <v>2100</v>
      </c>
      <c r="L163">
        <f>IFERROR(VLOOKUP($K163,Base_Atividades!$E$1:$N$2398,MATCH(BancoAjustado!L$1,Base_Atividades!$E$1:$N$1,0),FALSE),0)</f>
        <v>0</v>
      </c>
      <c r="M163">
        <f>IFERROR(VLOOKUP($K163,Base_Atividades!$E$1:$N$2398,MATCH(BancoAjustado!M$1,Base_Atividades!$E$1:$N$1,0),FALSE),0)</f>
        <v>0</v>
      </c>
      <c r="N163">
        <f>IFERROR(VLOOKUP($K163,Base_Atividades!$E$1:$N$2398,MATCH(BancoAjustado!N$1,Base_Atividades!$E$1:$N$1,0),FALSE),0)</f>
        <v>1</v>
      </c>
    </row>
    <row r="164" spans="1:14" x14ac:dyDescent="0.25">
      <c r="A164" t="s">
        <v>2036</v>
      </c>
      <c r="B164" t="s">
        <v>2074</v>
      </c>
      <c r="C164" t="s">
        <v>2088</v>
      </c>
      <c r="D164" t="s">
        <v>2097</v>
      </c>
      <c r="E164" t="s">
        <v>2101</v>
      </c>
      <c r="F164" t="str">
        <f>VLOOKUP(A164,Base!$A:$F,6,FALSE)</f>
        <v>INDÚSTRIAS EXTRATIVAS</v>
      </c>
      <c r="G164" t="str">
        <f>VLOOKUP(B164,Base!$B:$F,5,FALSE)</f>
        <v>EXTRAÇÃO DE MINERAIS NÃO METÁLICOS</v>
      </c>
      <c r="H164" t="str">
        <f>VLOOKUP(C164,Base!$C:$F,4,FALSE)</f>
        <v>Extração de outros minerais não metálicos</v>
      </c>
      <c r="I164" t="str">
        <f>VLOOKUP(D164,Base!$D:$F,3,FALSE)</f>
        <v>Extração de minerais não metálicos não especificados anteriormente</v>
      </c>
      <c r="J164" t="str">
        <f>VLOOKUP(E164,Base!$E:$F,2,FALSE)</f>
        <v>Extração de outros minerais não metálicos não especificados anteriormente</v>
      </c>
      <c r="K164" t="s">
        <v>2101</v>
      </c>
      <c r="L164">
        <f>IFERROR(VLOOKUP($K164,Base_Atividades!$E$1:$N$2398,MATCH(BancoAjustado!L$1,Base_Atividades!$E$1:$N$1,0),FALSE),0)</f>
        <v>0</v>
      </c>
      <c r="M164">
        <f>IFERROR(VLOOKUP($K164,Base_Atividades!$E$1:$N$2398,MATCH(BancoAjustado!M$1,Base_Atividades!$E$1:$N$1,0),FALSE),0)</f>
        <v>0</v>
      </c>
      <c r="N164">
        <f>IFERROR(VLOOKUP($K164,Base_Atividades!$E$1:$N$2398,MATCH(BancoAjustado!N$1,Base_Atividades!$E$1:$N$1,0),FALSE),0)</f>
        <v>1</v>
      </c>
    </row>
    <row r="165" spans="1:14" x14ac:dyDescent="0.25">
      <c r="A165" t="s">
        <v>2036</v>
      </c>
      <c r="B165" t="s">
        <v>2102</v>
      </c>
      <c r="C165" t="s">
        <v>2103</v>
      </c>
      <c r="D165" t="s">
        <v>2104</v>
      </c>
      <c r="E165" t="s">
        <v>2105</v>
      </c>
      <c r="F165" t="str">
        <f>VLOOKUP(A165,Base!$A:$F,6,FALSE)</f>
        <v>INDÚSTRIAS EXTRATIVAS</v>
      </c>
      <c r="G165" t="str">
        <f>VLOOKUP(B165,Base!$B:$F,5,FALSE)</f>
        <v>ATIVIDADES DE APOIO À EXTRAÇÃO DE MINERAIS</v>
      </c>
      <c r="H165" t="str">
        <f>VLOOKUP(C165,Base!$C:$F,4,FALSE)</f>
        <v>Atividades de apoio à extração de petróleo e gás natural</v>
      </c>
      <c r="I165" t="str">
        <f>VLOOKUP(D165,Base!$D:$F,3,FALSE)</f>
        <v>Atividades de apoio à extração de petróleo e gás natural</v>
      </c>
      <c r="J165" t="str">
        <f>VLOOKUP(E165,Base!$E:$F,2,FALSE)</f>
        <v>Atividades de apoio à extração de petróleo e gás natural</v>
      </c>
      <c r="K165" t="s">
        <v>2105</v>
      </c>
      <c r="L165">
        <f>IFERROR(VLOOKUP($K165,Base_Atividades!$E$1:$N$2398,MATCH(BancoAjustado!L$1,Base_Atividades!$E$1:$N$1,0),FALSE),0)</f>
        <v>0</v>
      </c>
      <c r="M165">
        <f>IFERROR(VLOOKUP($K165,Base_Atividades!$E$1:$N$2398,MATCH(BancoAjustado!M$1,Base_Atividades!$E$1:$N$1,0),FALSE),0)</f>
        <v>0</v>
      </c>
      <c r="N165">
        <f>IFERROR(VLOOKUP($K165,Base_Atividades!$E$1:$N$2398,MATCH(BancoAjustado!N$1,Base_Atividades!$E$1:$N$1,0),FALSE),0)</f>
        <v>1</v>
      </c>
    </row>
    <row r="166" spans="1:14" x14ac:dyDescent="0.25">
      <c r="A166" t="s">
        <v>2036</v>
      </c>
      <c r="B166" t="s">
        <v>2102</v>
      </c>
      <c r="C166" t="s">
        <v>2106</v>
      </c>
      <c r="D166" t="s">
        <v>2107</v>
      </c>
      <c r="E166" t="s">
        <v>2108</v>
      </c>
      <c r="F166" t="str">
        <f>VLOOKUP(A166,Base!$A:$F,6,FALSE)</f>
        <v>INDÚSTRIAS EXTRATIVAS</v>
      </c>
      <c r="G166" t="str">
        <f>VLOOKUP(B166,Base!$B:$F,5,FALSE)</f>
        <v>ATIVIDADES DE APOIO À EXTRAÇÃO DE MINERAIS</v>
      </c>
      <c r="H166" t="str">
        <f>VLOOKUP(C166,Base!$C:$F,4,FALSE)</f>
        <v>Atividades de apoio à extração de minerais, exceto petróleo e gás natural</v>
      </c>
      <c r="I166" t="str">
        <f>VLOOKUP(D166,Base!$D:$F,3,FALSE)</f>
        <v>Atividades de apoio à extração de minerais, exceto petróleo e gás natural</v>
      </c>
      <c r="J166" t="str">
        <f>VLOOKUP(E166,Base!$E:$F,2,FALSE)</f>
        <v>Atividades de apoio à extração de minério de ferro</v>
      </c>
      <c r="K166" t="s">
        <v>2108</v>
      </c>
      <c r="L166">
        <f>IFERROR(VLOOKUP($K166,Base_Atividades!$E$1:$N$2398,MATCH(BancoAjustado!L$1,Base_Atividades!$E$1:$N$1,0),FALSE),0)</f>
        <v>0</v>
      </c>
      <c r="M166">
        <f>IFERROR(VLOOKUP($K166,Base_Atividades!$E$1:$N$2398,MATCH(BancoAjustado!M$1,Base_Atividades!$E$1:$N$1,0),FALSE),0)</f>
        <v>0</v>
      </c>
      <c r="N166">
        <f>IFERROR(VLOOKUP($K166,Base_Atividades!$E$1:$N$2398,MATCH(BancoAjustado!N$1,Base_Atividades!$E$1:$N$1,0),FALSE),0)</f>
        <v>1</v>
      </c>
    </row>
    <row r="167" spans="1:14" x14ac:dyDescent="0.25">
      <c r="A167" t="s">
        <v>2036</v>
      </c>
      <c r="B167" t="s">
        <v>2102</v>
      </c>
      <c r="C167" t="s">
        <v>2106</v>
      </c>
      <c r="D167" t="s">
        <v>2107</v>
      </c>
      <c r="E167" t="s">
        <v>2109</v>
      </c>
      <c r="F167" t="str">
        <f>VLOOKUP(A167,Base!$A:$F,6,FALSE)</f>
        <v>INDÚSTRIAS EXTRATIVAS</v>
      </c>
      <c r="G167" t="str">
        <f>VLOOKUP(B167,Base!$B:$F,5,FALSE)</f>
        <v>ATIVIDADES DE APOIO À EXTRAÇÃO DE MINERAIS</v>
      </c>
      <c r="H167" t="str">
        <f>VLOOKUP(C167,Base!$C:$F,4,FALSE)</f>
        <v>Atividades de apoio à extração de minerais, exceto petróleo e gás natural</v>
      </c>
      <c r="I167" t="str">
        <f>VLOOKUP(D167,Base!$D:$F,3,FALSE)</f>
        <v>Atividades de apoio à extração de minerais, exceto petróleo e gás natural</v>
      </c>
      <c r="J167" t="str">
        <f>VLOOKUP(E167,Base!$E:$F,2,FALSE)</f>
        <v>Atividades de apoio à extração de minerais metálicos não ferrosos</v>
      </c>
      <c r="K167" t="s">
        <v>2109</v>
      </c>
      <c r="L167">
        <f>IFERROR(VLOOKUP($K167,Base_Atividades!$E$1:$N$2398,MATCH(BancoAjustado!L$1,Base_Atividades!$E$1:$N$1,0),FALSE),0)</f>
        <v>0</v>
      </c>
      <c r="M167">
        <f>IFERROR(VLOOKUP($K167,Base_Atividades!$E$1:$N$2398,MATCH(BancoAjustado!M$1,Base_Atividades!$E$1:$N$1,0),FALSE),0)</f>
        <v>0</v>
      </c>
      <c r="N167">
        <f>IFERROR(VLOOKUP($K167,Base_Atividades!$E$1:$N$2398,MATCH(BancoAjustado!N$1,Base_Atividades!$E$1:$N$1,0),FALSE),0)</f>
        <v>1</v>
      </c>
    </row>
    <row r="168" spans="1:14" x14ac:dyDescent="0.25">
      <c r="A168" t="s">
        <v>2036</v>
      </c>
      <c r="B168" t="s">
        <v>2102</v>
      </c>
      <c r="C168" t="s">
        <v>2106</v>
      </c>
      <c r="D168" t="s">
        <v>2107</v>
      </c>
      <c r="E168" t="s">
        <v>2110</v>
      </c>
      <c r="F168" t="str">
        <f>VLOOKUP(A168,Base!$A:$F,6,FALSE)</f>
        <v>INDÚSTRIAS EXTRATIVAS</v>
      </c>
      <c r="G168" t="str">
        <f>VLOOKUP(B168,Base!$B:$F,5,FALSE)</f>
        <v>ATIVIDADES DE APOIO À EXTRAÇÃO DE MINERAIS</v>
      </c>
      <c r="H168" t="str">
        <f>VLOOKUP(C168,Base!$C:$F,4,FALSE)</f>
        <v>Atividades de apoio à extração de minerais, exceto petróleo e gás natural</v>
      </c>
      <c r="I168" t="str">
        <f>VLOOKUP(D168,Base!$D:$F,3,FALSE)</f>
        <v>Atividades de apoio à extração de minerais, exceto petróleo e gás natural</v>
      </c>
      <c r="J168" t="str">
        <f>VLOOKUP(E168,Base!$E:$F,2,FALSE)</f>
        <v>Atividades de apoio à extração de minerais não metálicos</v>
      </c>
      <c r="K168" t="s">
        <v>2110</v>
      </c>
      <c r="L168">
        <f>IFERROR(VLOOKUP($K168,Base_Atividades!$E$1:$N$2398,MATCH(BancoAjustado!L$1,Base_Atividades!$E$1:$N$1,0),FALSE),0)</f>
        <v>0</v>
      </c>
      <c r="M168">
        <f>IFERROR(VLOOKUP($K168,Base_Atividades!$E$1:$N$2398,MATCH(BancoAjustado!M$1,Base_Atividades!$E$1:$N$1,0),FALSE),0)</f>
        <v>0</v>
      </c>
      <c r="N168">
        <f>IFERROR(VLOOKUP($K168,Base_Atividades!$E$1:$N$2398,MATCH(BancoAjustado!N$1,Base_Atividades!$E$1:$N$1,0),FALSE),0)</f>
        <v>1</v>
      </c>
    </row>
    <row r="169" spans="1:14" x14ac:dyDescent="0.25">
      <c r="A169" t="s">
        <v>2111</v>
      </c>
      <c r="B169" t="s">
        <v>2112</v>
      </c>
      <c r="C169" t="s">
        <v>2113</v>
      </c>
      <c r="D169" t="s">
        <v>2114</v>
      </c>
      <c r="E169" t="s">
        <v>2115</v>
      </c>
      <c r="F169" t="str">
        <f>VLOOKUP(A169,Base!$A:$F,6,FALSE)</f>
        <v>INDÚSTRIAS DE TRANSFORMAÇÃO</v>
      </c>
      <c r="G169" t="str">
        <f>VLOOKUP(B169,Base!$B:$F,5,FALSE)</f>
        <v>FABRICAÇÃO DE PRODUTOS ALIMENTÍCIOS</v>
      </c>
      <c r="H169" t="str">
        <f>VLOOKUP(C169,Base!$C:$F,4,FALSE)</f>
        <v>Abate e fabricação de produtos de carne</v>
      </c>
      <c r="I169" t="str">
        <f>VLOOKUP(D169,Base!$D:$F,3,FALSE)</f>
        <v>Abate de reses, exceto suínos</v>
      </c>
      <c r="J169" t="str">
        <f>VLOOKUP(E169,Base!$E:$F,2,FALSE)</f>
        <v>Frigorífico - abate de bovinos</v>
      </c>
      <c r="K169" t="s">
        <v>2115</v>
      </c>
      <c r="L169">
        <f>IFERROR(VLOOKUP($K169,Base_Atividades!$E$1:$N$2398,MATCH(BancoAjustado!L$1,Base_Atividades!$E$1:$N$1,0),FALSE),0)</f>
        <v>0</v>
      </c>
      <c r="M169">
        <f>IFERROR(VLOOKUP($K169,Base_Atividades!$E$1:$N$2398,MATCH(BancoAjustado!M$1,Base_Atividades!$E$1:$N$1,0),FALSE),0)</f>
        <v>0</v>
      </c>
      <c r="N169">
        <f>IFERROR(VLOOKUP($K169,Base_Atividades!$E$1:$N$2398,MATCH(BancoAjustado!N$1,Base_Atividades!$E$1:$N$1,0),FALSE),0)</f>
        <v>0</v>
      </c>
    </row>
    <row r="170" spans="1:14" x14ac:dyDescent="0.25">
      <c r="A170" t="s">
        <v>2111</v>
      </c>
      <c r="B170" t="s">
        <v>2112</v>
      </c>
      <c r="C170" t="s">
        <v>2113</v>
      </c>
      <c r="D170" t="s">
        <v>2114</v>
      </c>
      <c r="E170" t="s">
        <v>2116</v>
      </c>
      <c r="F170" t="str">
        <f>VLOOKUP(A170,Base!$A:$F,6,FALSE)</f>
        <v>INDÚSTRIAS DE TRANSFORMAÇÃO</v>
      </c>
      <c r="G170" t="str">
        <f>VLOOKUP(B170,Base!$B:$F,5,FALSE)</f>
        <v>FABRICAÇÃO DE PRODUTOS ALIMENTÍCIOS</v>
      </c>
      <c r="H170" t="str">
        <f>VLOOKUP(C170,Base!$C:$F,4,FALSE)</f>
        <v>Abate e fabricação de produtos de carne</v>
      </c>
      <c r="I170" t="str">
        <f>VLOOKUP(D170,Base!$D:$F,3,FALSE)</f>
        <v>Abate de reses, exceto suínos</v>
      </c>
      <c r="J170" t="str">
        <f>VLOOKUP(E170,Base!$E:$F,2,FALSE)</f>
        <v>Frigorífico - abate de equinos</v>
      </c>
      <c r="K170" t="s">
        <v>2116</v>
      </c>
      <c r="L170">
        <f>IFERROR(VLOOKUP($K170,Base_Atividades!$E$1:$N$2398,MATCH(BancoAjustado!L$1,Base_Atividades!$E$1:$N$1,0),FALSE),0)</f>
        <v>0</v>
      </c>
      <c r="M170">
        <f>IFERROR(VLOOKUP($K170,Base_Atividades!$E$1:$N$2398,MATCH(BancoAjustado!M$1,Base_Atividades!$E$1:$N$1,0),FALSE),0)</f>
        <v>0</v>
      </c>
      <c r="N170">
        <f>IFERROR(VLOOKUP($K170,Base_Atividades!$E$1:$N$2398,MATCH(BancoAjustado!N$1,Base_Atividades!$E$1:$N$1,0),FALSE),0)</f>
        <v>0</v>
      </c>
    </row>
    <row r="171" spans="1:14" x14ac:dyDescent="0.25">
      <c r="A171" t="s">
        <v>2111</v>
      </c>
      <c r="B171" t="s">
        <v>2112</v>
      </c>
      <c r="C171" t="s">
        <v>2113</v>
      </c>
      <c r="D171" t="s">
        <v>2114</v>
      </c>
      <c r="E171" t="s">
        <v>2117</v>
      </c>
      <c r="F171" t="str">
        <f>VLOOKUP(A171,Base!$A:$F,6,FALSE)</f>
        <v>INDÚSTRIAS DE TRANSFORMAÇÃO</v>
      </c>
      <c r="G171" t="str">
        <f>VLOOKUP(B171,Base!$B:$F,5,FALSE)</f>
        <v>FABRICAÇÃO DE PRODUTOS ALIMENTÍCIOS</v>
      </c>
      <c r="H171" t="str">
        <f>VLOOKUP(C171,Base!$C:$F,4,FALSE)</f>
        <v>Abate e fabricação de produtos de carne</v>
      </c>
      <c r="I171" t="str">
        <f>VLOOKUP(D171,Base!$D:$F,3,FALSE)</f>
        <v>Abate de reses, exceto suínos</v>
      </c>
      <c r="J171" t="str">
        <f>VLOOKUP(E171,Base!$E:$F,2,FALSE)</f>
        <v>Frigorífico - abate de ovinos e caprinos</v>
      </c>
      <c r="K171" t="s">
        <v>2117</v>
      </c>
      <c r="L171">
        <f>IFERROR(VLOOKUP($K171,Base_Atividades!$E$1:$N$2398,MATCH(BancoAjustado!L$1,Base_Atividades!$E$1:$N$1,0),FALSE),0)</f>
        <v>1</v>
      </c>
      <c r="M171">
        <f>IFERROR(VLOOKUP($K171,Base_Atividades!$E$1:$N$2398,MATCH(BancoAjustado!M$1,Base_Atividades!$E$1:$N$1,0),FALSE),0)</f>
        <v>0</v>
      </c>
      <c r="N171">
        <f>IFERROR(VLOOKUP($K171,Base_Atividades!$E$1:$N$2398,MATCH(BancoAjustado!N$1,Base_Atividades!$E$1:$N$1,0),FALSE),0)</f>
        <v>0</v>
      </c>
    </row>
    <row r="172" spans="1:14" x14ac:dyDescent="0.25">
      <c r="A172" t="s">
        <v>2111</v>
      </c>
      <c r="B172" t="s">
        <v>2112</v>
      </c>
      <c r="C172" t="s">
        <v>2113</v>
      </c>
      <c r="D172" t="s">
        <v>2114</v>
      </c>
      <c r="E172" t="s">
        <v>2118</v>
      </c>
      <c r="F172" t="str">
        <f>VLOOKUP(A172,Base!$A:$F,6,FALSE)</f>
        <v>INDÚSTRIAS DE TRANSFORMAÇÃO</v>
      </c>
      <c r="G172" t="str">
        <f>VLOOKUP(B172,Base!$B:$F,5,FALSE)</f>
        <v>FABRICAÇÃO DE PRODUTOS ALIMENTÍCIOS</v>
      </c>
      <c r="H172" t="str">
        <f>VLOOKUP(C172,Base!$C:$F,4,FALSE)</f>
        <v>Abate e fabricação de produtos de carne</v>
      </c>
      <c r="I172" t="str">
        <f>VLOOKUP(D172,Base!$D:$F,3,FALSE)</f>
        <v>Abate de reses, exceto suínos</v>
      </c>
      <c r="J172" t="str">
        <f>VLOOKUP(E172,Base!$E:$F,2,FALSE)</f>
        <v>Frigorífico - abate de bufalinos</v>
      </c>
      <c r="K172" t="s">
        <v>2118</v>
      </c>
      <c r="L172">
        <f>IFERROR(VLOOKUP($K172,Base_Atividades!$E$1:$N$2398,MATCH(BancoAjustado!L$1,Base_Atividades!$E$1:$N$1,0),FALSE),0)</f>
        <v>0</v>
      </c>
      <c r="M172">
        <f>IFERROR(VLOOKUP($K172,Base_Atividades!$E$1:$N$2398,MATCH(BancoAjustado!M$1,Base_Atividades!$E$1:$N$1,0),FALSE),0)</f>
        <v>0</v>
      </c>
      <c r="N172">
        <f>IFERROR(VLOOKUP($K172,Base_Atividades!$E$1:$N$2398,MATCH(BancoAjustado!N$1,Base_Atividades!$E$1:$N$1,0),FALSE),0)</f>
        <v>0</v>
      </c>
    </row>
    <row r="173" spans="1:14" x14ac:dyDescent="0.25">
      <c r="A173" t="s">
        <v>2111</v>
      </c>
      <c r="B173" t="s">
        <v>2112</v>
      </c>
      <c r="C173" t="s">
        <v>2113</v>
      </c>
      <c r="D173" t="s">
        <v>2114</v>
      </c>
      <c r="E173" t="s">
        <v>2119</v>
      </c>
      <c r="F173" t="str">
        <f>VLOOKUP(A173,Base!$A:$F,6,FALSE)</f>
        <v>INDÚSTRIAS DE TRANSFORMAÇÃO</v>
      </c>
      <c r="G173" t="str">
        <f>VLOOKUP(B173,Base!$B:$F,5,FALSE)</f>
        <v>FABRICAÇÃO DE PRODUTOS ALIMENTÍCIOS</v>
      </c>
      <c r="H173" t="str">
        <f>VLOOKUP(C173,Base!$C:$F,4,FALSE)</f>
        <v>Abate e fabricação de produtos de carne</v>
      </c>
      <c r="I173" t="str">
        <f>VLOOKUP(D173,Base!$D:$F,3,FALSE)</f>
        <v>Abate de reses, exceto suínos</v>
      </c>
      <c r="J173" t="str">
        <f>VLOOKUP(E173,Base!$E:$F,2,FALSE)</f>
        <v>Matadouro - abate de reses sob contrato, exceto abate de suínos</v>
      </c>
      <c r="K173" t="s">
        <v>2119</v>
      </c>
      <c r="L173">
        <f>IFERROR(VLOOKUP($K173,Base_Atividades!$E$1:$N$2398,MATCH(BancoAjustado!L$1,Base_Atividades!$E$1:$N$1,0),FALSE),0)</f>
        <v>1</v>
      </c>
      <c r="M173">
        <f>IFERROR(VLOOKUP($K173,Base_Atividades!$E$1:$N$2398,MATCH(BancoAjustado!M$1,Base_Atividades!$E$1:$N$1,0),FALSE),0)</f>
        <v>0</v>
      </c>
      <c r="N173">
        <f>IFERROR(VLOOKUP($K173,Base_Atividades!$E$1:$N$2398,MATCH(BancoAjustado!N$1,Base_Atividades!$E$1:$N$1,0),FALSE),0)</f>
        <v>0</v>
      </c>
    </row>
    <row r="174" spans="1:14" x14ac:dyDescent="0.25">
      <c r="A174" t="s">
        <v>2111</v>
      </c>
      <c r="B174" t="s">
        <v>2112</v>
      </c>
      <c r="C174" t="s">
        <v>2113</v>
      </c>
      <c r="D174" t="s">
        <v>2120</v>
      </c>
      <c r="E174" t="s">
        <v>2121</v>
      </c>
      <c r="F174" t="str">
        <f>VLOOKUP(A174,Base!$A:$F,6,FALSE)</f>
        <v>INDÚSTRIAS DE TRANSFORMAÇÃO</v>
      </c>
      <c r="G174" t="str">
        <f>VLOOKUP(B174,Base!$B:$F,5,FALSE)</f>
        <v>FABRICAÇÃO DE PRODUTOS ALIMENTÍCIOS</v>
      </c>
      <c r="H174" t="str">
        <f>VLOOKUP(C174,Base!$C:$F,4,FALSE)</f>
        <v>Abate e fabricação de produtos de carne</v>
      </c>
      <c r="I174" t="str">
        <f>VLOOKUP(D174,Base!$D:$F,3,FALSE)</f>
        <v>Abate de suínos, aves e outros pequenos animais</v>
      </c>
      <c r="J174" t="str">
        <f>VLOOKUP(E174,Base!$E:$F,2,FALSE)</f>
        <v>Abate de aves</v>
      </c>
      <c r="K174" t="s">
        <v>2121</v>
      </c>
      <c r="L174">
        <f>IFERROR(VLOOKUP($K174,Base_Atividades!$E$1:$N$2398,MATCH(BancoAjustado!L$1,Base_Atividades!$E$1:$N$1,0),FALSE),0)</f>
        <v>1</v>
      </c>
      <c r="M174">
        <f>IFERROR(VLOOKUP($K174,Base_Atividades!$E$1:$N$2398,MATCH(BancoAjustado!M$1,Base_Atividades!$E$1:$N$1,0),FALSE),0)</f>
        <v>0</v>
      </c>
      <c r="N174">
        <f>IFERROR(VLOOKUP($K174,Base_Atividades!$E$1:$N$2398,MATCH(BancoAjustado!N$1,Base_Atividades!$E$1:$N$1,0),FALSE),0)</f>
        <v>0</v>
      </c>
    </row>
    <row r="175" spans="1:14" x14ac:dyDescent="0.25">
      <c r="A175" t="s">
        <v>2111</v>
      </c>
      <c r="B175" t="s">
        <v>2112</v>
      </c>
      <c r="C175" t="s">
        <v>2113</v>
      </c>
      <c r="D175" t="s">
        <v>2120</v>
      </c>
      <c r="E175" t="s">
        <v>2122</v>
      </c>
      <c r="F175" t="str">
        <f>VLOOKUP(A175,Base!$A:$F,6,FALSE)</f>
        <v>INDÚSTRIAS DE TRANSFORMAÇÃO</v>
      </c>
      <c r="G175" t="str">
        <f>VLOOKUP(B175,Base!$B:$F,5,FALSE)</f>
        <v>FABRICAÇÃO DE PRODUTOS ALIMENTÍCIOS</v>
      </c>
      <c r="H175" t="str">
        <f>VLOOKUP(C175,Base!$C:$F,4,FALSE)</f>
        <v>Abate e fabricação de produtos de carne</v>
      </c>
      <c r="I175" t="str">
        <f>VLOOKUP(D175,Base!$D:$F,3,FALSE)</f>
        <v>Abate de suínos, aves e outros pequenos animais</v>
      </c>
      <c r="J175" t="str">
        <f>VLOOKUP(E175,Base!$E:$F,2,FALSE)</f>
        <v>Abate de pequenos animais</v>
      </c>
      <c r="K175" t="s">
        <v>2122</v>
      </c>
      <c r="L175">
        <f>IFERROR(VLOOKUP($K175,Base_Atividades!$E$1:$N$2398,MATCH(BancoAjustado!L$1,Base_Atividades!$E$1:$N$1,0),FALSE),0)</f>
        <v>1</v>
      </c>
      <c r="M175">
        <f>IFERROR(VLOOKUP($K175,Base_Atividades!$E$1:$N$2398,MATCH(BancoAjustado!M$1,Base_Atividades!$E$1:$N$1,0),FALSE),0)</f>
        <v>0</v>
      </c>
      <c r="N175">
        <f>IFERROR(VLOOKUP($K175,Base_Atividades!$E$1:$N$2398,MATCH(BancoAjustado!N$1,Base_Atividades!$E$1:$N$1,0),FALSE),0)</f>
        <v>0</v>
      </c>
    </row>
    <row r="176" spans="1:14" x14ac:dyDescent="0.25">
      <c r="A176" t="s">
        <v>2111</v>
      </c>
      <c r="B176" t="s">
        <v>2112</v>
      </c>
      <c r="C176" t="s">
        <v>2113</v>
      </c>
      <c r="D176" t="s">
        <v>2120</v>
      </c>
      <c r="E176" t="s">
        <v>2123</v>
      </c>
      <c r="F176" t="str">
        <f>VLOOKUP(A176,Base!$A:$F,6,FALSE)</f>
        <v>INDÚSTRIAS DE TRANSFORMAÇÃO</v>
      </c>
      <c r="G176" t="str">
        <f>VLOOKUP(B176,Base!$B:$F,5,FALSE)</f>
        <v>FABRICAÇÃO DE PRODUTOS ALIMENTÍCIOS</v>
      </c>
      <c r="H176" t="str">
        <f>VLOOKUP(C176,Base!$C:$F,4,FALSE)</f>
        <v>Abate e fabricação de produtos de carne</v>
      </c>
      <c r="I176" t="str">
        <f>VLOOKUP(D176,Base!$D:$F,3,FALSE)</f>
        <v>Abate de suínos, aves e outros pequenos animais</v>
      </c>
      <c r="J176" t="str">
        <f>VLOOKUP(E176,Base!$E:$F,2,FALSE)</f>
        <v>Frigorífico - abate de suínos</v>
      </c>
      <c r="K176" t="s">
        <v>2123</v>
      </c>
      <c r="L176">
        <f>IFERROR(VLOOKUP($K176,Base_Atividades!$E$1:$N$2398,MATCH(BancoAjustado!L$1,Base_Atividades!$E$1:$N$1,0),FALSE),0)</f>
        <v>1</v>
      </c>
      <c r="M176">
        <f>IFERROR(VLOOKUP($K176,Base_Atividades!$E$1:$N$2398,MATCH(BancoAjustado!M$1,Base_Atividades!$E$1:$N$1,0),FALSE),0)</f>
        <v>0</v>
      </c>
      <c r="N176">
        <f>IFERROR(VLOOKUP($K176,Base_Atividades!$E$1:$N$2398,MATCH(BancoAjustado!N$1,Base_Atividades!$E$1:$N$1,0),FALSE),0)</f>
        <v>0</v>
      </c>
    </row>
    <row r="177" spans="1:14" x14ac:dyDescent="0.25">
      <c r="A177" t="s">
        <v>2111</v>
      </c>
      <c r="B177" t="s">
        <v>2112</v>
      </c>
      <c r="C177" t="s">
        <v>2113</v>
      </c>
      <c r="D177" t="s">
        <v>2120</v>
      </c>
      <c r="E177" t="s">
        <v>2124</v>
      </c>
      <c r="F177" t="str">
        <f>VLOOKUP(A177,Base!$A:$F,6,FALSE)</f>
        <v>INDÚSTRIAS DE TRANSFORMAÇÃO</v>
      </c>
      <c r="G177" t="str">
        <f>VLOOKUP(B177,Base!$B:$F,5,FALSE)</f>
        <v>FABRICAÇÃO DE PRODUTOS ALIMENTÍCIOS</v>
      </c>
      <c r="H177" t="str">
        <f>VLOOKUP(C177,Base!$C:$F,4,FALSE)</f>
        <v>Abate e fabricação de produtos de carne</v>
      </c>
      <c r="I177" t="str">
        <f>VLOOKUP(D177,Base!$D:$F,3,FALSE)</f>
        <v>Abate de suínos, aves e outros pequenos animais</v>
      </c>
      <c r="J177" t="str">
        <f>VLOOKUP(E177,Base!$E:$F,2,FALSE)</f>
        <v>Matadouro - abate de suínos sob contrato</v>
      </c>
      <c r="K177" t="s">
        <v>2124</v>
      </c>
      <c r="L177">
        <f>IFERROR(VLOOKUP($K177,Base_Atividades!$E$1:$N$2398,MATCH(BancoAjustado!L$1,Base_Atividades!$E$1:$N$1,0),FALSE),0)</f>
        <v>1</v>
      </c>
      <c r="M177">
        <f>IFERROR(VLOOKUP($K177,Base_Atividades!$E$1:$N$2398,MATCH(BancoAjustado!M$1,Base_Atividades!$E$1:$N$1,0),FALSE),0)</f>
        <v>0</v>
      </c>
      <c r="N177">
        <f>IFERROR(VLOOKUP($K177,Base_Atividades!$E$1:$N$2398,MATCH(BancoAjustado!N$1,Base_Atividades!$E$1:$N$1,0),FALSE),0)</f>
        <v>0</v>
      </c>
    </row>
    <row r="178" spans="1:14" x14ac:dyDescent="0.25">
      <c r="A178" t="s">
        <v>2111</v>
      </c>
      <c r="B178" t="s">
        <v>2112</v>
      </c>
      <c r="C178" t="s">
        <v>2113</v>
      </c>
      <c r="D178" t="s">
        <v>2125</v>
      </c>
      <c r="E178" t="s">
        <v>2126</v>
      </c>
      <c r="F178" t="str">
        <f>VLOOKUP(A178,Base!$A:$F,6,FALSE)</f>
        <v>INDÚSTRIAS DE TRANSFORMAÇÃO</v>
      </c>
      <c r="G178" t="str">
        <f>VLOOKUP(B178,Base!$B:$F,5,FALSE)</f>
        <v>FABRICAÇÃO DE PRODUTOS ALIMENTÍCIOS</v>
      </c>
      <c r="H178" t="str">
        <f>VLOOKUP(C178,Base!$C:$F,4,FALSE)</f>
        <v>Abate e fabricação de produtos de carne</v>
      </c>
      <c r="I178" t="str">
        <f>VLOOKUP(D178,Base!$D:$F,3,FALSE)</f>
        <v>Fabricação de produtos de carne</v>
      </c>
      <c r="J178" t="str">
        <f>VLOOKUP(E178,Base!$E:$F,2,FALSE)</f>
        <v>Fabricação de produtos de carne</v>
      </c>
      <c r="K178" t="s">
        <v>2126</v>
      </c>
      <c r="L178">
        <f>IFERROR(VLOOKUP($K178,Base_Atividades!$E$1:$N$2398,MATCH(BancoAjustado!L$1,Base_Atividades!$E$1:$N$1,0),FALSE),0)</f>
        <v>1</v>
      </c>
      <c r="M178">
        <f>IFERROR(VLOOKUP($K178,Base_Atividades!$E$1:$N$2398,MATCH(BancoAjustado!M$1,Base_Atividades!$E$1:$N$1,0),FALSE),0)</f>
        <v>0</v>
      </c>
      <c r="N178">
        <f>IFERROR(VLOOKUP($K178,Base_Atividades!$E$1:$N$2398,MATCH(BancoAjustado!N$1,Base_Atividades!$E$1:$N$1,0),FALSE),0)</f>
        <v>0</v>
      </c>
    </row>
    <row r="179" spans="1:14" x14ac:dyDescent="0.25">
      <c r="A179" t="s">
        <v>2111</v>
      </c>
      <c r="B179" t="s">
        <v>2112</v>
      </c>
      <c r="C179" t="s">
        <v>2113</v>
      </c>
      <c r="D179" t="s">
        <v>2125</v>
      </c>
      <c r="E179" t="s">
        <v>2127</v>
      </c>
      <c r="F179" t="str">
        <f>VLOOKUP(A179,Base!$A:$F,6,FALSE)</f>
        <v>INDÚSTRIAS DE TRANSFORMAÇÃO</v>
      </c>
      <c r="G179" t="str">
        <f>VLOOKUP(B179,Base!$B:$F,5,FALSE)</f>
        <v>FABRICAÇÃO DE PRODUTOS ALIMENTÍCIOS</v>
      </c>
      <c r="H179" t="str">
        <f>VLOOKUP(C179,Base!$C:$F,4,FALSE)</f>
        <v>Abate e fabricação de produtos de carne</v>
      </c>
      <c r="I179" t="str">
        <f>VLOOKUP(D179,Base!$D:$F,3,FALSE)</f>
        <v>Fabricação de produtos de carne</v>
      </c>
      <c r="J179" t="str">
        <f>VLOOKUP(E179,Base!$E:$F,2,FALSE)</f>
        <v>Preparação de subprodutos do abate</v>
      </c>
      <c r="K179" t="s">
        <v>2127</v>
      </c>
      <c r="L179">
        <f>IFERROR(VLOOKUP($K179,Base_Atividades!$E$1:$N$2398,MATCH(BancoAjustado!L$1,Base_Atividades!$E$1:$N$1,0),FALSE),0)</f>
        <v>1</v>
      </c>
      <c r="M179">
        <f>IFERROR(VLOOKUP($K179,Base_Atividades!$E$1:$N$2398,MATCH(BancoAjustado!M$1,Base_Atividades!$E$1:$N$1,0),FALSE),0)</f>
        <v>0</v>
      </c>
      <c r="N179">
        <f>IFERROR(VLOOKUP($K179,Base_Atividades!$E$1:$N$2398,MATCH(BancoAjustado!N$1,Base_Atividades!$E$1:$N$1,0),FALSE),0)</f>
        <v>0</v>
      </c>
    </row>
    <row r="180" spans="1:14" x14ac:dyDescent="0.25">
      <c r="A180" t="s">
        <v>2111</v>
      </c>
      <c r="B180" t="s">
        <v>2112</v>
      </c>
      <c r="C180" t="s">
        <v>2128</v>
      </c>
      <c r="D180" t="s">
        <v>2129</v>
      </c>
      <c r="E180" t="s">
        <v>2130</v>
      </c>
      <c r="F180" t="str">
        <f>VLOOKUP(A180,Base!$A:$F,6,FALSE)</f>
        <v>INDÚSTRIAS DE TRANSFORMAÇÃO</v>
      </c>
      <c r="G180" t="str">
        <f>VLOOKUP(B180,Base!$B:$F,5,FALSE)</f>
        <v>FABRICAÇÃO DE PRODUTOS ALIMENTÍCIOS</v>
      </c>
      <c r="H180" t="str">
        <f>VLOOKUP(C180,Base!$C:$F,4,FALSE)</f>
        <v>Preservação do pescado e fabricação de produtos do pescado</v>
      </c>
      <c r="I180" t="str">
        <f>VLOOKUP(D180,Base!$D:$F,3,FALSE)</f>
        <v>Preservação do pescado e fabricação de produtos do pescado</v>
      </c>
      <c r="J180" t="str">
        <f>VLOOKUP(E180,Base!$E:$F,2,FALSE)</f>
        <v>Preservação de peixes, crustáceos e moluscos</v>
      </c>
      <c r="K180" t="s">
        <v>2130</v>
      </c>
      <c r="L180">
        <f>IFERROR(VLOOKUP($K180,Base_Atividades!$E$1:$N$2398,MATCH(BancoAjustado!L$1,Base_Atividades!$E$1:$N$1,0),FALSE),0)</f>
        <v>1</v>
      </c>
      <c r="M180">
        <f>IFERROR(VLOOKUP($K180,Base_Atividades!$E$1:$N$2398,MATCH(BancoAjustado!M$1,Base_Atividades!$E$1:$N$1,0),FALSE),0)</f>
        <v>0</v>
      </c>
      <c r="N180">
        <f>IFERROR(VLOOKUP($K180,Base_Atividades!$E$1:$N$2398,MATCH(BancoAjustado!N$1,Base_Atividades!$E$1:$N$1,0),FALSE),0)</f>
        <v>0</v>
      </c>
    </row>
    <row r="181" spans="1:14" x14ac:dyDescent="0.25">
      <c r="A181" t="s">
        <v>2111</v>
      </c>
      <c r="B181" t="s">
        <v>2112</v>
      </c>
      <c r="C181" t="s">
        <v>2128</v>
      </c>
      <c r="D181" t="s">
        <v>2129</v>
      </c>
      <c r="E181" t="s">
        <v>2131</v>
      </c>
      <c r="F181" t="str">
        <f>VLOOKUP(A181,Base!$A:$F,6,FALSE)</f>
        <v>INDÚSTRIAS DE TRANSFORMAÇÃO</v>
      </c>
      <c r="G181" t="str">
        <f>VLOOKUP(B181,Base!$B:$F,5,FALSE)</f>
        <v>FABRICAÇÃO DE PRODUTOS ALIMENTÍCIOS</v>
      </c>
      <c r="H181" t="str">
        <f>VLOOKUP(C181,Base!$C:$F,4,FALSE)</f>
        <v>Preservação do pescado e fabricação de produtos do pescado</v>
      </c>
      <c r="I181" t="str">
        <f>VLOOKUP(D181,Base!$D:$F,3,FALSE)</f>
        <v>Preservação do pescado e fabricação de produtos do pescado</v>
      </c>
      <c r="J181" t="str">
        <f>VLOOKUP(E181,Base!$E:$F,2,FALSE)</f>
        <v>Fabricação de conservas de peixes, crustáceos e moluscos</v>
      </c>
      <c r="K181" t="s">
        <v>2131</v>
      </c>
      <c r="L181">
        <f>IFERROR(VLOOKUP($K181,Base_Atividades!$E$1:$N$2398,MATCH(BancoAjustado!L$1,Base_Atividades!$E$1:$N$1,0),FALSE),0)</f>
        <v>1</v>
      </c>
      <c r="M181">
        <f>IFERROR(VLOOKUP($K181,Base_Atividades!$E$1:$N$2398,MATCH(BancoAjustado!M$1,Base_Atividades!$E$1:$N$1,0),FALSE),0)</f>
        <v>0</v>
      </c>
      <c r="N181">
        <f>IFERROR(VLOOKUP($K181,Base_Atividades!$E$1:$N$2398,MATCH(BancoAjustado!N$1,Base_Atividades!$E$1:$N$1,0),FALSE),0)</f>
        <v>0</v>
      </c>
    </row>
    <row r="182" spans="1:14" x14ac:dyDescent="0.25">
      <c r="A182" t="s">
        <v>2111</v>
      </c>
      <c r="B182" t="s">
        <v>2112</v>
      </c>
      <c r="C182" t="s">
        <v>2132</v>
      </c>
      <c r="D182" t="s">
        <v>2133</v>
      </c>
      <c r="E182" t="s">
        <v>2134</v>
      </c>
      <c r="F182" t="str">
        <f>VLOOKUP(A182,Base!$A:$F,6,FALSE)</f>
        <v>INDÚSTRIAS DE TRANSFORMAÇÃO</v>
      </c>
      <c r="G182" t="str">
        <f>VLOOKUP(B182,Base!$B:$F,5,FALSE)</f>
        <v>FABRICAÇÃO DE PRODUTOS ALIMENTÍCIOS</v>
      </c>
      <c r="H182" t="str">
        <f>VLOOKUP(C182,Base!$C:$F,4,FALSE)</f>
        <v>Fabricação de conservas de frutas, legumes e outros vegetais</v>
      </c>
      <c r="I182" t="str">
        <f>VLOOKUP(D182,Base!$D:$F,3,FALSE)</f>
        <v>Fabricação de conservas de frutas</v>
      </c>
      <c r="J182" t="str">
        <f>VLOOKUP(E182,Base!$E:$F,2,FALSE)</f>
        <v>Fabricação de conservas de frutas</v>
      </c>
      <c r="K182" t="s">
        <v>2134</v>
      </c>
      <c r="L182">
        <f>IFERROR(VLOOKUP($K182,Base_Atividades!$E$1:$N$2398,MATCH(BancoAjustado!L$1,Base_Atividades!$E$1:$N$1,0),FALSE),0)</f>
        <v>1</v>
      </c>
      <c r="M182">
        <f>IFERROR(VLOOKUP($K182,Base_Atividades!$E$1:$N$2398,MATCH(BancoAjustado!M$1,Base_Atividades!$E$1:$N$1,0),FALSE),0)</f>
        <v>0</v>
      </c>
      <c r="N182">
        <f>IFERROR(VLOOKUP($K182,Base_Atividades!$E$1:$N$2398,MATCH(BancoAjustado!N$1,Base_Atividades!$E$1:$N$1,0),FALSE),0)</f>
        <v>0</v>
      </c>
    </row>
    <row r="183" spans="1:14" x14ac:dyDescent="0.25">
      <c r="A183" t="s">
        <v>2111</v>
      </c>
      <c r="B183" t="s">
        <v>2112</v>
      </c>
      <c r="C183" t="s">
        <v>2132</v>
      </c>
      <c r="D183" t="s">
        <v>2135</v>
      </c>
      <c r="E183" t="s">
        <v>2136</v>
      </c>
      <c r="F183" t="str">
        <f>VLOOKUP(A183,Base!$A:$F,6,FALSE)</f>
        <v>INDÚSTRIAS DE TRANSFORMAÇÃO</v>
      </c>
      <c r="G183" t="str">
        <f>VLOOKUP(B183,Base!$B:$F,5,FALSE)</f>
        <v>FABRICAÇÃO DE PRODUTOS ALIMENTÍCIOS</v>
      </c>
      <c r="H183" t="str">
        <f>VLOOKUP(C183,Base!$C:$F,4,FALSE)</f>
        <v>Fabricação de conservas de frutas, legumes e outros vegetais</v>
      </c>
      <c r="I183" t="str">
        <f>VLOOKUP(D183,Base!$D:$F,3,FALSE)</f>
        <v>Fabricação de conservas de legumes e outros vegetais</v>
      </c>
      <c r="J183" t="str">
        <f>VLOOKUP(E183,Base!$E:$F,2,FALSE)</f>
        <v>Fabricação de conservas de palmito</v>
      </c>
      <c r="K183" t="s">
        <v>2136</v>
      </c>
      <c r="L183">
        <f>IFERROR(VLOOKUP($K183,Base_Atividades!$E$1:$N$2398,MATCH(BancoAjustado!L$1,Base_Atividades!$E$1:$N$1,0),FALSE),0)</f>
        <v>1</v>
      </c>
      <c r="M183">
        <f>IFERROR(VLOOKUP($K183,Base_Atividades!$E$1:$N$2398,MATCH(BancoAjustado!M$1,Base_Atividades!$E$1:$N$1,0),FALSE),0)</f>
        <v>0</v>
      </c>
      <c r="N183">
        <f>IFERROR(VLOOKUP($K183,Base_Atividades!$E$1:$N$2398,MATCH(BancoAjustado!N$1,Base_Atividades!$E$1:$N$1,0),FALSE),0)</f>
        <v>0</v>
      </c>
    </row>
    <row r="184" spans="1:14" x14ac:dyDescent="0.25">
      <c r="A184" t="s">
        <v>2111</v>
      </c>
      <c r="B184" t="s">
        <v>2112</v>
      </c>
      <c r="C184" t="s">
        <v>2132</v>
      </c>
      <c r="D184" t="s">
        <v>2135</v>
      </c>
      <c r="E184" t="s">
        <v>2137</v>
      </c>
      <c r="F184" t="str">
        <f>VLOOKUP(A184,Base!$A:$F,6,FALSE)</f>
        <v>INDÚSTRIAS DE TRANSFORMAÇÃO</v>
      </c>
      <c r="G184" t="str">
        <f>VLOOKUP(B184,Base!$B:$F,5,FALSE)</f>
        <v>FABRICAÇÃO DE PRODUTOS ALIMENTÍCIOS</v>
      </c>
      <c r="H184" t="str">
        <f>VLOOKUP(C184,Base!$C:$F,4,FALSE)</f>
        <v>Fabricação de conservas de frutas, legumes e outros vegetais</v>
      </c>
      <c r="I184" t="str">
        <f>VLOOKUP(D184,Base!$D:$F,3,FALSE)</f>
        <v>Fabricação de conservas de legumes e outros vegetais</v>
      </c>
      <c r="J184" t="str">
        <f>VLOOKUP(E184,Base!$E:$F,2,FALSE)</f>
        <v>Fabricação de conservas de legumes e outros vegetais, exceto palmito</v>
      </c>
      <c r="K184" t="s">
        <v>2137</v>
      </c>
      <c r="L184">
        <f>IFERROR(VLOOKUP($K184,Base_Atividades!$E$1:$N$2398,MATCH(BancoAjustado!L$1,Base_Atividades!$E$1:$N$1,0),FALSE),0)</f>
        <v>1</v>
      </c>
      <c r="M184">
        <f>IFERROR(VLOOKUP($K184,Base_Atividades!$E$1:$N$2398,MATCH(BancoAjustado!M$1,Base_Atividades!$E$1:$N$1,0),FALSE),0)</f>
        <v>0</v>
      </c>
      <c r="N184">
        <f>IFERROR(VLOOKUP($K184,Base_Atividades!$E$1:$N$2398,MATCH(BancoAjustado!N$1,Base_Atividades!$E$1:$N$1,0),FALSE),0)</f>
        <v>0</v>
      </c>
    </row>
    <row r="185" spans="1:14" x14ac:dyDescent="0.25">
      <c r="A185" t="s">
        <v>2111</v>
      </c>
      <c r="B185" t="s">
        <v>2112</v>
      </c>
      <c r="C185" t="s">
        <v>2132</v>
      </c>
      <c r="D185" t="s">
        <v>2138</v>
      </c>
      <c r="E185" t="s">
        <v>2139</v>
      </c>
      <c r="F185" t="str">
        <f>VLOOKUP(A185,Base!$A:$F,6,FALSE)</f>
        <v>INDÚSTRIAS DE TRANSFORMAÇÃO</v>
      </c>
      <c r="G185" t="str">
        <f>VLOOKUP(B185,Base!$B:$F,5,FALSE)</f>
        <v>FABRICAÇÃO DE PRODUTOS ALIMENTÍCIOS</v>
      </c>
      <c r="H185" t="str">
        <f>VLOOKUP(C185,Base!$C:$F,4,FALSE)</f>
        <v>Fabricação de conservas de frutas, legumes e outros vegetais</v>
      </c>
      <c r="I185" t="str">
        <f>VLOOKUP(D185,Base!$D:$F,3,FALSE)</f>
        <v>Fabricação de sucos de frutas, hortaliças e legumes</v>
      </c>
      <c r="J185" t="str">
        <f>VLOOKUP(E185,Base!$E:$F,2,FALSE)</f>
        <v>Fabricação de sucos concentrados de frutas, hortaliças e legumes</v>
      </c>
      <c r="K185" t="s">
        <v>2139</v>
      </c>
      <c r="L185">
        <f>IFERROR(VLOOKUP($K185,Base_Atividades!$E$1:$N$2398,MATCH(BancoAjustado!L$1,Base_Atividades!$E$1:$N$1,0),FALSE),0)</f>
        <v>1</v>
      </c>
      <c r="M185">
        <f>IFERROR(VLOOKUP($K185,Base_Atividades!$E$1:$N$2398,MATCH(BancoAjustado!M$1,Base_Atividades!$E$1:$N$1,0),FALSE),0)</f>
        <v>0</v>
      </c>
      <c r="N185">
        <f>IFERROR(VLOOKUP($K185,Base_Atividades!$E$1:$N$2398,MATCH(BancoAjustado!N$1,Base_Atividades!$E$1:$N$1,0),FALSE),0)</f>
        <v>0</v>
      </c>
    </row>
    <row r="186" spans="1:14" x14ac:dyDescent="0.25">
      <c r="A186" t="s">
        <v>2111</v>
      </c>
      <c r="B186" t="s">
        <v>2112</v>
      </c>
      <c r="C186" t="s">
        <v>2132</v>
      </c>
      <c r="D186" t="s">
        <v>2138</v>
      </c>
      <c r="E186" t="s">
        <v>2140</v>
      </c>
      <c r="F186" t="str">
        <f>VLOOKUP(A186,Base!$A:$F,6,FALSE)</f>
        <v>INDÚSTRIAS DE TRANSFORMAÇÃO</v>
      </c>
      <c r="G186" t="str">
        <f>VLOOKUP(B186,Base!$B:$F,5,FALSE)</f>
        <v>FABRICAÇÃO DE PRODUTOS ALIMENTÍCIOS</v>
      </c>
      <c r="H186" t="str">
        <f>VLOOKUP(C186,Base!$C:$F,4,FALSE)</f>
        <v>Fabricação de conservas de frutas, legumes e outros vegetais</v>
      </c>
      <c r="I186" t="str">
        <f>VLOOKUP(D186,Base!$D:$F,3,FALSE)</f>
        <v>Fabricação de sucos de frutas, hortaliças e legumes</v>
      </c>
      <c r="J186" t="str">
        <f>VLOOKUP(E186,Base!$E:$F,2,FALSE)</f>
        <v>Fabricação de sucos de frutas, hortaliças e legumes, exceto concentrados</v>
      </c>
      <c r="K186" t="s">
        <v>2140</v>
      </c>
      <c r="L186">
        <f>IFERROR(VLOOKUP($K186,Base_Atividades!$E$1:$N$2398,MATCH(BancoAjustado!L$1,Base_Atividades!$E$1:$N$1,0),FALSE),0)</f>
        <v>1</v>
      </c>
      <c r="M186">
        <f>IFERROR(VLOOKUP($K186,Base_Atividades!$E$1:$N$2398,MATCH(BancoAjustado!M$1,Base_Atividades!$E$1:$N$1,0),FALSE),0)</f>
        <v>0</v>
      </c>
      <c r="N186">
        <f>IFERROR(VLOOKUP($K186,Base_Atividades!$E$1:$N$2398,MATCH(BancoAjustado!N$1,Base_Atividades!$E$1:$N$1,0),FALSE),0)</f>
        <v>0</v>
      </c>
    </row>
    <row r="187" spans="1:14" x14ac:dyDescent="0.25">
      <c r="A187" t="s">
        <v>2111</v>
      </c>
      <c r="B187" t="s">
        <v>2112</v>
      </c>
      <c r="C187" t="s">
        <v>2141</v>
      </c>
      <c r="D187" t="s">
        <v>2142</v>
      </c>
      <c r="E187" t="s">
        <v>2143</v>
      </c>
      <c r="F187" t="str">
        <f>VLOOKUP(A187,Base!$A:$F,6,FALSE)</f>
        <v>INDÚSTRIAS DE TRANSFORMAÇÃO</v>
      </c>
      <c r="G187" t="str">
        <f>VLOOKUP(B187,Base!$B:$F,5,FALSE)</f>
        <v>FABRICAÇÃO DE PRODUTOS ALIMENTÍCIOS</v>
      </c>
      <c r="H187" t="str">
        <f>VLOOKUP(C187,Base!$C:$F,4,FALSE)</f>
        <v>Fabricação de óleos e gorduras vegetais e animais</v>
      </c>
      <c r="I187" t="str">
        <f>VLOOKUP(D187,Base!$D:$F,3,FALSE)</f>
        <v>Fabricação de óleos vegetais em bruto, exceto óleo de milho</v>
      </c>
      <c r="J187" t="str">
        <f>VLOOKUP(E187,Base!$E:$F,2,FALSE)</f>
        <v>Fabricação de óleos vegetais em bruto, exceto óleo de milho</v>
      </c>
      <c r="K187" t="s">
        <v>2143</v>
      </c>
      <c r="L187">
        <f>IFERROR(VLOOKUP($K187,Base_Atividades!$E$1:$N$2398,MATCH(BancoAjustado!L$1,Base_Atividades!$E$1:$N$1,0),FALSE),0)</f>
        <v>1</v>
      </c>
      <c r="M187">
        <f>IFERROR(VLOOKUP($K187,Base_Atividades!$E$1:$N$2398,MATCH(BancoAjustado!M$1,Base_Atividades!$E$1:$N$1,0),FALSE),0)</f>
        <v>0</v>
      </c>
      <c r="N187">
        <f>IFERROR(VLOOKUP($K187,Base_Atividades!$E$1:$N$2398,MATCH(BancoAjustado!N$1,Base_Atividades!$E$1:$N$1,0),FALSE),0)</f>
        <v>0</v>
      </c>
    </row>
    <row r="188" spans="1:14" x14ac:dyDescent="0.25">
      <c r="A188" t="s">
        <v>2111</v>
      </c>
      <c r="B188" t="s">
        <v>2112</v>
      </c>
      <c r="C188" t="s">
        <v>2141</v>
      </c>
      <c r="D188" t="s">
        <v>2144</v>
      </c>
      <c r="E188" t="s">
        <v>2145</v>
      </c>
      <c r="F188" t="str">
        <f>VLOOKUP(A188,Base!$A:$F,6,FALSE)</f>
        <v>INDÚSTRIAS DE TRANSFORMAÇÃO</v>
      </c>
      <c r="G188" t="str">
        <f>VLOOKUP(B188,Base!$B:$F,5,FALSE)</f>
        <v>FABRICAÇÃO DE PRODUTOS ALIMENTÍCIOS</v>
      </c>
      <c r="H188" t="str">
        <f>VLOOKUP(C188,Base!$C:$F,4,FALSE)</f>
        <v>Fabricação de óleos e gorduras vegetais e animais</v>
      </c>
      <c r="I188" t="str">
        <f>VLOOKUP(D188,Base!$D:$F,3,FALSE)</f>
        <v>Fabricação de óleos vegetais refinados, exceto óleo de milho</v>
      </c>
      <c r="J188" t="str">
        <f>VLOOKUP(E188,Base!$E:$F,2,FALSE)</f>
        <v>Fabricação de óleos vegetais refinados, exceto óleo de milho</v>
      </c>
      <c r="K188" t="s">
        <v>2145</v>
      </c>
      <c r="L188">
        <f>IFERROR(VLOOKUP($K188,Base_Atividades!$E$1:$N$2398,MATCH(BancoAjustado!L$1,Base_Atividades!$E$1:$N$1,0),FALSE),0)</f>
        <v>1</v>
      </c>
      <c r="M188">
        <f>IFERROR(VLOOKUP($K188,Base_Atividades!$E$1:$N$2398,MATCH(BancoAjustado!M$1,Base_Atividades!$E$1:$N$1,0),FALSE),0)</f>
        <v>0</v>
      </c>
      <c r="N188">
        <f>IFERROR(VLOOKUP($K188,Base_Atividades!$E$1:$N$2398,MATCH(BancoAjustado!N$1,Base_Atividades!$E$1:$N$1,0),FALSE),0)</f>
        <v>0</v>
      </c>
    </row>
    <row r="189" spans="1:14" x14ac:dyDescent="0.25">
      <c r="A189" t="s">
        <v>2111</v>
      </c>
      <c r="B189" t="s">
        <v>2112</v>
      </c>
      <c r="C189" t="s">
        <v>2141</v>
      </c>
      <c r="D189" t="s">
        <v>2146</v>
      </c>
      <c r="E189" t="s">
        <v>2147</v>
      </c>
      <c r="F189" t="str">
        <f>VLOOKUP(A189,Base!$A:$F,6,FALSE)</f>
        <v>INDÚSTRIAS DE TRANSFORMAÇÃO</v>
      </c>
      <c r="G189" t="str">
        <f>VLOOKUP(B189,Base!$B:$F,5,FALSE)</f>
        <v>FABRICAÇÃO DE PRODUTOS ALIMENTÍCIOS</v>
      </c>
      <c r="H189" t="str">
        <f>VLOOKUP(C189,Base!$C:$F,4,FALSE)</f>
        <v>Fabricação de óleos e gorduras vegetais e animais</v>
      </c>
      <c r="I189" t="str">
        <f>VLOOKUP(D189,Base!$D:$F,3,FALSE)</f>
        <v>Fabricação de margarina e outras gorduras vegetais e de óleos não comestíveis de animais</v>
      </c>
      <c r="J189" t="str">
        <f>VLOOKUP(E189,Base!$E:$F,2,FALSE)</f>
        <v>Fabricação de margarina e outras gorduras vegetais e de óleos não comestíveis de animais</v>
      </c>
      <c r="K189" t="s">
        <v>2147</v>
      </c>
      <c r="L189">
        <f>IFERROR(VLOOKUP($K189,Base_Atividades!$E$1:$N$2398,MATCH(BancoAjustado!L$1,Base_Atividades!$E$1:$N$1,0),FALSE),0)</f>
        <v>1</v>
      </c>
      <c r="M189">
        <f>IFERROR(VLOOKUP($K189,Base_Atividades!$E$1:$N$2398,MATCH(BancoAjustado!M$1,Base_Atividades!$E$1:$N$1,0),FALSE),0)</f>
        <v>0</v>
      </c>
      <c r="N189">
        <f>IFERROR(VLOOKUP($K189,Base_Atividades!$E$1:$N$2398,MATCH(BancoAjustado!N$1,Base_Atividades!$E$1:$N$1,0),FALSE),0)</f>
        <v>0</v>
      </c>
    </row>
    <row r="190" spans="1:14" x14ac:dyDescent="0.25">
      <c r="A190" t="s">
        <v>2111</v>
      </c>
      <c r="B190" t="s">
        <v>2112</v>
      </c>
      <c r="C190" t="s">
        <v>2148</v>
      </c>
      <c r="D190" t="s">
        <v>2149</v>
      </c>
      <c r="E190" t="s">
        <v>2150</v>
      </c>
      <c r="F190" t="str">
        <f>VLOOKUP(A190,Base!$A:$F,6,FALSE)</f>
        <v>INDÚSTRIAS DE TRANSFORMAÇÃO</v>
      </c>
      <c r="G190" t="str">
        <f>VLOOKUP(B190,Base!$B:$F,5,FALSE)</f>
        <v>FABRICAÇÃO DE PRODUTOS ALIMENTÍCIOS</v>
      </c>
      <c r="H190" t="str">
        <f>VLOOKUP(C190,Base!$C:$F,4,FALSE)</f>
        <v>Laticínios</v>
      </c>
      <c r="I190" t="str">
        <f>VLOOKUP(D190,Base!$D:$F,3,FALSE)</f>
        <v>Preparação do leite</v>
      </c>
      <c r="J190" t="str">
        <f>VLOOKUP(E190,Base!$E:$F,2,FALSE)</f>
        <v>Preparação do leite</v>
      </c>
      <c r="K190" t="s">
        <v>2150</v>
      </c>
      <c r="L190">
        <f>IFERROR(VLOOKUP($K190,Base_Atividades!$E$1:$N$2398,MATCH(BancoAjustado!L$1,Base_Atividades!$E$1:$N$1,0),FALSE),0)</f>
        <v>1</v>
      </c>
      <c r="M190">
        <f>IFERROR(VLOOKUP($K190,Base_Atividades!$E$1:$N$2398,MATCH(BancoAjustado!M$1,Base_Atividades!$E$1:$N$1,0),FALSE),0)</f>
        <v>0</v>
      </c>
      <c r="N190">
        <f>IFERROR(VLOOKUP($K190,Base_Atividades!$E$1:$N$2398,MATCH(BancoAjustado!N$1,Base_Atividades!$E$1:$N$1,0),FALSE),0)</f>
        <v>0</v>
      </c>
    </row>
    <row r="191" spans="1:14" x14ac:dyDescent="0.25">
      <c r="A191" t="s">
        <v>2111</v>
      </c>
      <c r="B191" t="s">
        <v>2112</v>
      </c>
      <c r="C191" t="s">
        <v>2148</v>
      </c>
      <c r="D191" t="s">
        <v>2151</v>
      </c>
      <c r="E191" t="s">
        <v>2152</v>
      </c>
      <c r="F191" t="str">
        <f>VLOOKUP(A191,Base!$A:$F,6,FALSE)</f>
        <v>INDÚSTRIAS DE TRANSFORMAÇÃO</v>
      </c>
      <c r="G191" t="str">
        <f>VLOOKUP(B191,Base!$B:$F,5,FALSE)</f>
        <v>FABRICAÇÃO DE PRODUTOS ALIMENTÍCIOS</v>
      </c>
      <c r="H191" t="str">
        <f>VLOOKUP(C191,Base!$C:$F,4,FALSE)</f>
        <v>Laticínios</v>
      </c>
      <c r="I191" t="str">
        <f>VLOOKUP(D191,Base!$D:$F,3,FALSE)</f>
        <v>Fabricação de laticínios</v>
      </c>
      <c r="J191" t="str">
        <f>VLOOKUP(E191,Base!$E:$F,2,FALSE)</f>
        <v>Fabricação de laticínios</v>
      </c>
      <c r="K191" t="s">
        <v>2152</v>
      </c>
      <c r="L191">
        <f>IFERROR(VLOOKUP($K191,Base_Atividades!$E$1:$N$2398,MATCH(BancoAjustado!L$1,Base_Atividades!$E$1:$N$1,0),FALSE),0)</f>
        <v>1</v>
      </c>
      <c r="M191">
        <f>IFERROR(VLOOKUP($K191,Base_Atividades!$E$1:$N$2398,MATCH(BancoAjustado!M$1,Base_Atividades!$E$1:$N$1,0),FALSE),0)</f>
        <v>0</v>
      </c>
      <c r="N191">
        <f>IFERROR(VLOOKUP($K191,Base_Atividades!$E$1:$N$2398,MATCH(BancoAjustado!N$1,Base_Atividades!$E$1:$N$1,0),FALSE),0)</f>
        <v>0</v>
      </c>
    </row>
    <row r="192" spans="1:14" x14ac:dyDescent="0.25">
      <c r="A192" t="s">
        <v>2111</v>
      </c>
      <c r="B192" t="s">
        <v>2112</v>
      </c>
      <c r="C192" t="s">
        <v>2148</v>
      </c>
      <c r="D192" t="s">
        <v>2153</v>
      </c>
      <c r="E192" t="s">
        <v>2154</v>
      </c>
      <c r="F192" t="str">
        <f>VLOOKUP(A192,Base!$A:$F,6,FALSE)</f>
        <v>INDÚSTRIAS DE TRANSFORMAÇÃO</v>
      </c>
      <c r="G192" t="str">
        <f>VLOOKUP(B192,Base!$B:$F,5,FALSE)</f>
        <v>FABRICAÇÃO DE PRODUTOS ALIMENTÍCIOS</v>
      </c>
      <c r="H192" t="str">
        <f>VLOOKUP(C192,Base!$C:$F,4,FALSE)</f>
        <v>Laticínios</v>
      </c>
      <c r="I192" t="str">
        <f>VLOOKUP(D192,Base!$D:$F,3,FALSE)</f>
        <v>Fabricação de sorvetes e outros gelados comestíveis</v>
      </c>
      <c r="J192" t="str">
        <f>VLOOKUP(E192,Base!$E:$F,2,FALSE)</f>
        <v>Fabricação de sorvetes e outros gelados comestíveis</v>
      </c>
      <c r="K192" t="s">
        <v>2154</v>
      </c>
      <c r="L192">
        <f>IFERROR(VLOOKUP($K192,Base_Atividades!$E$1:$N$2398,MATCH(BancoAjustado!L$1,Base_Atividades!$E$1:$N$1,0),FALSE),0)</f>
        <v>1</v>
      </c>
      <c r="M192">
        <f>IFERROR(VLOOKUP($K192,Base_Atividades!$E$1:$N$2398,MATCH(BancoAjustado!M$1,Base_Atividades!$E$1:$N$1,0),FALSE),0)</f>
        <v>0</v>
      </c>
      <c r="N192">
        <f>IFERROR(VLOOKUP($K192,Base_Atividades!$E$1:$N$2398,MATCH(BancoAjustado!N$1,Base_Atividades!$E$1:$N$1,0),FALSE),0)</f>
        <v>0</v>
      </c>
    </row>
    <row r="193" spans="1:14" x14ac:dyDescent="0.25">
      <c r="A193" t="s">
        <v>2111</v>
      </c>
      <c r="B193" t="s">
        <v>2112</v>
      </c>
      <c r="C193" t="s">
        <v>2155</v>
      </c>
      <c r="D193" t="s">
        <v>2156</v>
      </c>
      <c r="E193" t="s">
        <v>2157</v>
      </c>
      <c r="F193" t="str">
        <f>VLOOKUP(A193,Base!$A:$F,6,FALSE)</f>
        <v>INDÚSTRIAS DE TRANSFORMAÇÃO</v>
      </c>
      <c r="G193" t="str">
        <f>VLOOKUP(B193,Base!$B:$F,5,FALSE)</f>
        <v>FABRICAÇÃO DE PRODUTOS ALIMENTÍCIOS</v>
      </c>
      <c r="H193" t="str">
        <f>VLOOKUP(C193,Base!$C:$F,4,FALSE)</f>
        <v>Moagem, fabricação de produtos amiláceos e de alimentos para animais</v>
      </c>
      <c r="I193" t="str">
        <f>VLOOKUP(D193,Base!$D:$F,3,FALSE)</f>
        <v>Beneficiamento de arroz e fabricação de produtos do arroz</v>
      </c>
      <c r="J193" t="str">
        <f>VLOOKUP(E193,Base!$E:$F,2,FALSE)</f>
        <v>Beneficiamento de arroz</v>
      </c>
      <c r="K193" t="s">
        <v>2157</v>
      </c>
      <c r="L193">
        <f>IFERROR(VLOOKUP($K193,Base_Atividades!$E$1:$N$2398,MATCH(BancoAjustado!L$1,Base_Atividades!$E$1:$N$1,0),FALSE),0)</f>
        <v>1</v>
      </c>
      <c r="M193">
        <f>IFERROR(VLOOKUP($K193,Base_Atividades!$E$1:$N$2398,MATCH(BancoAjustado!M$1,Base_Atividades!$E$1:$N$1,0),FALSE),0)</f>
        <v>0</v>
      </c>
      <c r="N193">
        <f>IFERROR(VLOOKUP($K193,Base_Atividades!$E$1:$N$2398,MATCH(BancoAjustado!N$1,Base_Atividades!$E$1:$N$1,0),FALSE),0)</f>
        <v>0</v>
      </c>
    </row>
    <row r="194" spans="1:14" x14ac:dyDescent="0.25">
      <c r="A194" t="s">
        <v>2111</v>
      </c>
      <c r="B194" t="s">
        <v>2112</v>
      </c>
      <c r="C194" t="s">
        <v>2155</v>
      </c>
      <c r="D194" t="s">
        <v>2156</v>
      </c>
      <c r="E194" t="s">
        <v>2158</v>
      </c>
      <c r="F194" t="str">
        <f>VLOOKUP(A194,Base!$A:$F,6,FALSE)</f>
        <v>INDÚSTRIAS DE TRANSFORMAÇÃO</v>
      </c>
      <c r="G194" t="str">
        <f>VLOOKUP(B194,Base!$B:$F,5,FALSE)</f>
        <v>FABRICAÇÃO DE PRODUTOS ALIMENTÍCIOS</v>
      </c>
      <c r="H194" t="str">
        <f>VLOOKUP(C194,Base!$C:$F,4,FALSE)</f>
        <v>Moagem, fabricação de produtos amiláceos e de alimentos para animais</v>
      </c>
      <c r="I194" t="str">
        <f>VLOOKUP(D194,Base!$D:$F,3,FALSE)</f>
        <v>Beneficiamento de arroz e fabricação de produtos do arroz</v>
      </c>
      <c r="J194" t="str">
        <f>VLOOKUP(E194,Base!$E:$F,2,FALSE)</f>
        <v>Fabricação de produtos do arroz</v>
      </c>
      <c r="K194" t="s">
        <v>2158</v>
      </c>
      <c r="L194">
        <f>IFERROR(VLOOKUP($K194,Base_Atividades!$E$1:$N$2398,MATCH(BancoAjustado!L$1,Base_Atividades!$E$1:$N$1,0),FALSE),0)</f>
        <v>1</v>
      </c>
      <c r="M194">
        <f>IFERROR(VLOOKUP($K194,Base_Atividades!$E$1:$N$2398,MATCH(BancoAjustado!M$1,Base_Atividades!$E$1:$N$1,0),FALSE),0)</f>
        <v>0</v>
      </c>
      <c r="N194">
        <f>IFERROR(VLOOKUP($K194,Base_Atividades!$E$1:$N$2398,MATCH(BancoAjustado!N$1,Base_Atividades!$E$1:$N$1,0),FALSE),0)</f>
        <v>0</v>
      </c>
    </row>
    <row r="195" spans="1:14" x14ac:dyDescent="0.25">
      <c r="A195" t="s">
        <v>2111</v>
      </c>
      <c r="B195" t="s">
        <v>2112</v>
      </c>
      <c r="C195" t="s">
        <v>2155</v>
      </c>
      <c r="D195" t="s">
        <v>2159</v>
      </c>
      <c r="E195" t="s">
        <v>2160</v>
      </c>
      <c r="F195" t="str">
        <f>VLOOKUP(A195,Base!$A:$F,6,FALSE)</f>
        <v>INDÚSTRIAS DE TRANSFORMAÇÃO</v>
      </c>
      <c r="G195" t="str">
        <f>VLOOKUP(B195,Base!$B:$F,5,FALSE)</f>
        <v>FABRICAÇÃO DE PRODUTOS ALIMENTÍCIOS</v>
      </c>
      <c r="H195" t="str">
        <f>VLOOKUP(C195,Base!$C:$F,4,FALSE)</f>
        <v>Moagem, fabricação de produtos amiláceos e de alimentos para animais</v>
      </c>
      <c r="I195" t="str">
        <f>VLOOKUP(D195,Base!$D:$F,3,FALSE)</f>
        <v>Moagem de trigo e fabricação de derivados</v>
      </c>
      <c r="J195" t="str">
        <f>VLOOKUP(E195,Base!$E:$F,2,FALSE)</f>
        <v>Moagem de trigo e fabricação de derivados</v>
      </c>
      <c r="K195" t="s">
        <v>2160</v>
      </c>
      <c r="L195">
        <f>IFERROR(VLOOKUP($K195,Base_Atividades!$E$1:$N$2398,MATCH(BancoAjustado!L$1,Base_Atividades!$E$1:$N$1,0),FALSE),0)</f>
        <v>1</v>
      </c>
      <c r="M195">
        <f>IFERROR(VLOOKUP($K195,Base_Atividades!$E$1:$N$2398,MATCH(BancoAjustado!M$1,Base_Atividades!$E$1:$N$1,0),FALSE),0)</f>
        <v>0</v>
      </c>
      <c r="N195">
        <f>IFERROR(VLOOKUP($K195,Base_Atividades!$E$1:$N$2398,MATCH(BancoAjustado!N$1,Base_Atividades!$E$1:$N$1,0),FALSE),0)</f>
        <v>0</v>
      </c>
    </row>
    <row r="196" spans="1:14" x14ac:dyDescent="0.25">
      <c r="A196" t="s">
        <v>2111</v>
      </c>
      <c r="B196" t="s">
        <v>2112</v>
      </c>
      <c r="C196" t="s">
        <v>2155</v>
      </c>
      <c r="D196" t="s">
        <v>2161</v>
      </c>
      <c r="E196" t="s">
        <v>2162</v>
      </c>
      <c r="F196" t="str">
        <f>VLOOKUP(A196,Base!$A:$F,6,FALSE)</f>
        <v>INDÚSTRIAS DE TRANSFORMAÇÃO</v>
      </c>
      <c r="G196" t="str">
        <f>VLOOKUP(B196,Base!$B:$F,5,FALSE)</f>
        <v>FABRICAÇÃO DE PRODUTOS ALIMENTÍCIOS</v>
      </c>
      <c r="H196" t="str">
        <f>VLOOKUP(C196,Base!$C:$F,4,FALSE)</f>
        <v>Moagem, fabricação de produtos amiláceos e de alimentos para animais</v>
      </c>
      <c r="I196" t="str">
        <f>VLOOKUP(D196,Base!$D:$F,3,FALSE)</f>
        <v>Fabricação de farinha de mandioca e derivados</v>
      </c>
      <c r="J196" t="str">
        <f>VLOOKUP(E196,Base!$E:$F,2,FALSE)</f>
        <v>Fabricação de farinha de mandioca e derivados</v>
      </c>
      <c r="K196" t="s">
        <v>2162</v>
      </c>
      <c r="L196">
        <f>IFERROR(VLOOKUP($K196,Base_Atividades!$E$1:$N$2398,MATCH(BancoAjustado!L$1,Base_Atividades!$E$1:$N$1,0),FALSE),0)</f>
        <v>1</v>
      </c>
      <c r="M196">
        <f>IFERROR(VLOOKUP($K196,Base_Atividades!$E$1:$N$2398,MATCH(BancoAjustado!M$1,Base_Atividades!$E$1:$N$1,0),FALSE),0)</f>
        <v>0</v>
      </c>
      <c r="N196">
        <f>IFERROR(VLOOKUP($K196,Base_Atividades!$E$1:$N$2398,MATCH(BancoAjustado!N$1,Base_Atividades!$E$1:$N$1,0),FALSE),0)</f>
        <v>0</v>
      </c>
    </row>
    <row r="197" spans="1:14" x14ac:dyDescent="0.25">
      <c r="A197" t="s">
        <v>2111</v>
      </c>
      <c r="B197" t="s">
        <v>2112</v>
      </c>
      <c r="C197" t="s">
        <v>2155</v>
      </c>
      <c r="D197" t="s">
        <v>2163</v>
      </c>
      <c r="E197" t="s">
        <v>2164</v>
      </c>
      <c r="F197" t="str">
        <f>VLOOKUP(A197,Base!$A:$F,6,FALSE)</f>
        <v>INDÚSTRIAS DE TRANSFORMAÇÃO</v>
      </c>
      <c r="G197" t="str">
        <f>VLOOKUP(B197,Base!$B:$F,5,FALSE)</f>
        <v>FABRICAÇÃO DE PRODUTOS ALIMENTÍCIOS</v>
      </c>
      <c r="H197" t="str">
        <f>VLOOKUP(C197,Base!$C:$F,4,FALSE)</f>
        <v>Moagem, fabricação de produtos amiláceos e de alimentos para animais</v>
      </c>
      <c r="I197" t="str">
        <f>VLOOKUP(D197,Base!$D:$F,3,FALSE)</f>
        <v>Fabricação de farinha de milho e derivados, exceto óleos de milho</v>
      </c>
      <c r="J197" t="str">
        <f>VLOOKUP(E197,Base!$E:$F,2,FALSE)</f>
        <v>Fabricação de farinha de milho e derivados, exceto óleos de milho</v>
      </c>
      <c r="K197" t="s">
        <v>2164</v>
      </c>
      <c r="L197">
        <f>IFERROR(VLOOKUP($K197,Base_Atividades!$E$1:$N$2398,MATCH(BancoAjustado!L$1,Base_Atividades!$E$1:$N$1,0),FALSE),0)</f>
        <v>1</v>
      </c>
      <c r="M197">
        <f>IFERROR(VLOOKUP($K197,Base_Atividades!$E$1:$N$2398,MATCH(BancoAjustado!M$1,Base_Atividades!$E$1:$N$1,0),FALSE),0)</f>
        <v>0</v>
      </c>
      <c r="N197">
        <f>IFERROR(VLOOKUP($K197,Base_Atividades!$E$1:$N$2398,MATCH(BancoAjustado!N$1,Base_Atividades!$E$1:$N$1,0),FALSE),0)</f>
        <v>0</v>
      </c>
    </row>
    <row r="198" spans="1:14" x14ac:dyDescent="0.25">
      <c r="A198" t="s">
        <v>2111</v>
      </c>
      <c r="B198" t="s">
        <v>2112</v>
      </c>
      <c r="C198" t="s">
        <v>2155</v>
      </c>
      <c r="D198" t="s">
        <v>2165</v>
      </c>
      <c r="E198" t="s">
        <v>2166</v>
      </c>
      <c r="F198" t="str">
        <f>VLOOKUP(A198,Base!$A:$F,6,FALSE)</f>
        <v>INDÚSTRIAS DE TRANSFORMAÇÃO</v>
      </c>
      <c r="G198" t="str">
        <f>VLOOKUP(B198,Base!$B:$F,5,FALSE)</f>
        <v>FABRICAÇÃO DE PRODUTOS ALIMENTÍCIOS</v>
      </c>
      <c r="H198" t="str">
        <f>VLOOKUP(C198,Base!$C:$F,4,FALSE)</f>
        <v>Moagem, fabricação de produtos amiláceos e de alimentos para animais</v>
      </c>
      <c r="I198" t="str">
        <f>VLOOKUP(D198,Base!$D:$F,3,FALSE)</f>
        <v>Fabricação de amidos e féculas de vegetais e de óleos de milho</v>
      </c>
      <c r="J198" t="str">
        <f>VLOOKUP(E198,Base!$E:$F,2,FALSE)</f>
        <v>Fabricação de amidos e féculas de vegetais</v>
      </c>
      <c r="K198" t="s">
        <v>2166</v>
      </c>
      <c r="L198">
        <f>IFERROR(VLOOKUP($K198,Base_Atividades!$E$1:$N$2398,MATCH(BancoAjustado!L$1,Base_Atividades!$E$1:$N$1,0),FALSE),0)</f>
        <v>1</v>
      </c>
      <c r="M198">
        <f>IFERROR(VLOOKUP($K198,Base_Atividades!$E$1:$N$2398,MATCH(BancoAjustado!M$1,Base_Atividades!$E$1:$N$1,0),FALSE),0)</f>
        <v>0</v>
      </c>
      <c r="N198">
        <f>IFERROR(VLOOKUP($K198,Base_Atividades!$E$1:$N$2398,MATCH(BancoAjustado!N$1,Base_Atividades!$E$1:$N$1,0),FALSE),0)</f>
        <v>0</v>
      </c>
    </row>
    <row r="199" spans="1:14" x14ac:dyDescent="0.25">
      <c r="A199" t="s">
        <v>2111</v>
      </c>
      <c r="B199" t="s">
        <v>2112</v>
      </c>
      <c r="C199" t="s">
        <v>2155</v>
      </c>
      <c r="D199" t="s">
        <v>2165</v>
      </c>
      <c r="E199" t="s">
        <v>2167</v>
      </c>
      <c r="F199" t="str">
        <f>VLOOKUP(A199,Base!$A:$F,6,FALSE)</f>
        <v>INDÚSTRIAS DE TRANSFORMAÇÃO</v>
      </c>
      <c r="G199" t="str">
        <f>VLOOKUP(B199,Base!$B:$F,5,FALSE)</f>
        <v>FABRICAÇÃO DE PRODUTOS ALIMENTÍCIOS</v>
      </c>
      <c r="H199" t="str">
        <f>VLOOKUP(C199,Base!$C:$F,4,FALSE)</f>
        <v>Moagem, fabricação de produtos amiláceos e de alimentos para animais</v>
      </c>
      <c r="I199" t="str">
        <f>VLOOKUP(D199,Base!$D:$F,3,FALSE)</f>
        <v>Fabricação de amidos e féculas de vegetais e de óleos de milho</v>
      </c>
      <c r="J199" t="str">
        <f>VLOOKUP(E199,Base!$E:$F,2,FALSE)</f>
        <v>Fabricação de óleo de milho em bruto</v>
      </c>
      <c r="K199" t="s">
        <v>2167</v>
      </c>
      <c r="L199">
        <f>IFERROR(VLOOKUP($K199,Base_Atividades!$E$1:$N$2398,MATCH(BancoAjustado!L$1,Base_Atividades!$E$1:$N$1,0),FALSE),0)</f>
        <v>1</v>
      </c>
      <c r="M199">
        <f>IFERROR(VLOOKUP($K199,Base_Atividades!$E$1:$N$2398,MATCH(BancoAjustado!M$1,Base_Atividades!$E$1:$N$1,0),FALSE),0)</f>
        <v>0</v>
      </c>
      <c r="N199">
        <f>IFERROR(VLOOKUP($K199,Base_Atividades!$E$1:$N$2398,MATCH(BancoAjustado!N$1,Base_Atividades!$E$1:$N$1,0),FALSE),0)</f>
        <v>0</v>
      </c>
    </row>
    <row r="200" spans="1:14" x14ac:dyDescent="0.25">
      <c r="A200" t="s">
        <v>2111</v>
      </c>
      <c r="B200" t="s">
        <v>2112</v>
      </c>
      <c r="C200" t="s">
        <v>2155</v>
      </c>
      <c r="D200" t="s">
        <v>2165</v>
      </c>
      <c r="E200" t="s">
        <v>2168</v>
      </c>
      <c r="F200" t="str">
        <f>VLOOKUP(A200,Base!$A:$F,6,FALSE)</f>
        <v>INDÚSTRIAS DE TRANSFORMAÇÃO</v>
      </c>
      <c r="G200" t="str">
        <f>VLOOKUP(B200,Base!$B:$F,5,FALSE)</f>
        <v>FABRICAÇÃO DE PRODUTOS ALIMENTÍCIOS</v>
      </c>
      <c r="H200" t="str">
        <f>VLOOKUP(C200,Base!$C:$F,4,FALSE)</f>
        <v>Moagem, fabricação de produtos amiláceos e de alimentos para animais</v>
      </c>
      <c r="I200" t="str">
        <f>VLOOKUP(D200,Base!$D:$F,3,FALSE)</f>
        <v>Fabricação de amidos e féculas de vegetais e de óleos de milho</v>
      </c>
      <c r="J200" t="str">
        <f>VLOOKUP(E200,Base!$E:$F,2,FALSE)</f>
        <v>Fabricação de óleo de milho refinado</v>
      </c>
      <c r="K200" t="s">
        <v>2168</v>
      </c>
      <c r="L200">
        <f>IFERROR(VLOOKUP($K200,Base_Atividades!$E$1:$N$2398,MATCH(BancoAjustado!L$1,Base_Atividades!$E$1:$N$1,0),FALSE),0)</f>
        <v>1</v>
      </c>
      <c r="M200">
        <f>IFERROR(VLOOKUP($K200,Base_Atividades!$E$1:$N$2398,MATCH(BancoAjustado!M$1,Base_Atividades!$E$1:$N$1,0),FALSE),0)</f>
        <v>0</v>
      </c>
      <c r="N200">
        <f>IFERROR(VLOOKUP($K200,Base_Atividades!$E$1:$N$2398,MATCH(BancoAjustado!N$1,Base_Atividades!$E$1:$N$1,0),FALSE),0)</f>
        <v>0</v>
      </c>
    </row>
    <row r="201" spans="1:14" x14ac:dyDescent="0.25">
      <c r="A201" t="s">
        <v>2111</v>
      </c>
      <c r="B201" t="s">
        <v>2112</v>
      </c>
      <c r="C201" t="s">
        <v>2155</v>
      </c>
      <c r="D201" t="s">
        <v>2169</v>
      </c>
      <c r="E201" t="s">
        <v>2170</v>
      </c>
      <c r="F201" t="str">
        <f>VLOOKUP(A201,Base!$A:$F,6,FALSE)</f>
        <v>INDÚSTRIAS DE TRANSFORMAÇÃO</v>
      </c>
      <c r="G201" t="str">
        <f>VLOOKUP(B201,Base!$B:$F,5,FALSE)</f>
        <v>FABRICAÇÃO DE PRODUTOS ALIMENTÍCIOS</v>
      </c>
      <c r="H201" t="str">
        <f>VLOOKUP(C201,Base!$C:$F,4,FALSE)</f>
        <v>Moagem, fabricação de produtos amiláceos e de alimentos para animais</v>
      </c>
      <c r="I201" t="str">
        <f>VLOOKUP(D201,Base!$D:$F,3,FALSE)</f>
        <v>Fabricação de alimentos para animais</v>
      </c>
      <c r="J201" t="str">
        <f>VLOOKUP(E201,Base!$E:$F,2,FALSE)</f>
        <v>Fabricação de alimentos para animais</v>
      </c>
      <c r="K201" t="s">
        <v>2170</v>
      </c>
      <c r="L201">
        <f>IFERROR(VLOOKUP($K201,Base_Atividades!$E$1:$N$2398,MATCH(BancoAjustado!L$1,Base_Atividades!$E$1:$N$1,0),FALSE),0)</f>
        <v>1</v>
      </c>
      <c r="M201">
        <f>IFERROR(VLOOKUP($K201,Base_Atividades!$E$1:$N$2398,MATCH(BancoAjustado!M$1,Base_Atividades!$E$1:$N$1,0),FALSE),0)</f>
        <v>0</v>
      </c>
      <c r="N201">
        <f>IFERROR(VLOOKUP($K201,Base_Atividades!$E$1:$N$2398,MATCH(BancoAjustado!N$1,Base_Atividades!$E$1:$N$1,0),FALSE),0)</f>
        <v>0</v>
      </c>
    </row>
    <row r="202" spans="1:14" x14ac:dyDescent="0.25">
      <c r="A202" t="s">
        <v>2111</v>
      </c>
      <c r="B202" t="s">
        <v>2112</v>
      </c>
      <c r="C202" t="s">
        <v>2155</v>
      </c>
      <c r="D202" t="s">
        <v>2171</v>
      </c>
      <c r="E202" t="s">
        <v>2172</v>
      </c>
      <c r="F202" t="str">
        <f>VLOOKUP(A202,Base!$A:$F,6,FALSE)</f>
        <v>INDÚSTRIAS DE TRANSFORMAÇÃO</v>
      </c>
      <c r="G202" t="str">
        <f>VLOOKUP(B202,Base!$B:$F,5,FALSE)</f>
        <v>FABRICAÇÃO DE PRODUTOS ALIMENTÍCIOS</v>
      </c>
      <c r="H202" t="str">
        <f>VLOOKUP(C202,Base!$C:$F,4,FALSE)</f>
        <v>Moagem, fabricação de produtos amiláceos e de alimentos para animais</v>
      </c>
      <c r="I202" t="str">
        <f>VLOOKUP(D202,Base!$D:$F,3,FALSE)</f>
        <v>Moagem e fabricação de produtos de origem vegetal não especificados anteriormente</v>
      </c>
      <c r="J202" t="str">
        <f>VLOOKUP(E202,Base!$E:$F,2,FALSE)</f>
        <v>Moagem e fabricação de produtos de origem vegetal não especificados anteriormente</v>
      </c>
      <c r="K202" t="s">
        <v>2172</v>
      </c>
      <c r="L202">
        <f>IFERROR(VLOOKUP($K202,Base_Atividades!$E$1:$N$2398,MATCH(BancoAjustado!L$1,Base_Atividades!$E$1:$N$1,0),FALSE),0)</f>
        <v>1</v>
      </c>
      <c r="M202">
        <f>IFERROR(VLOOKUP($K202,Base_Atividades!$E$1:$N$2398,MATCH(BancoAjustado!M$1,Base_Atividades!$E$1:$N$1,0),FALSE),0)</f>
        <v>0</v>
      </c>
      <c r="N202">
        <f>IFERROR(VLOOKUP($K202,Base_Atividades!$E$1:$N$2398,MATCH(BancoAjustado!N$1,Base_Atividades!$E$1:$N$1,0),FALSE),0)</f>
        <v>0</v>
      </c>
    </row>
    <row r="203" spans="1:14" x14ac:dyDescent="0.25">
      <c r="A203" t="s">
        <v>2111</v>
      </c>
      <c r="B203" t="s">
        <v>2112</v>
      </c>
      <c r="C203" t="s">
        <v>2173</v>
      </c>
      <c r="D203" t="s">
        <v>2174</v>
      </c>
      <c r="E203" t="s">
        <v>2175</v>
      </c>
      <c r="F203" t="str">
        <f>VLOOKUP(A203,Base!$A:$F,6,FALSE)</f>
        <v>INDÚSTRIAS DE TRANSFORMAÇÃO</v>
      </c>
      <c r="G203" t="str">
        <f>VLOOKUP(B203,Base!$B:$F,5,FALSE)</f>
        <v>FABRICAÇÃO DE PRODUTOS ALIMENTÍCIOS</v>
      </c>
      <c r="H203" t="str">
        <f>VLOOKUP(C203,Base!$C:$F,4,FALSE)</f>
        <v>Fabricação e refino de açúcar</v>
      </c>
      <c r="I203" t="str">
        <f>VLOOKUP(D203,Base!$D:$F,3,FALSE)</f>
        <v>Fabricação de açúcar em bruto</v>
      </c>
      <c r="J203" t="str">
        <f>VLOOKUP(E203,Base!$E:$F,2,FALSE)</f>
        <v>Fabricação de açúcar em bruto</v>
      </c>
      <c r="K203" t="s">
        <v>2175</v>
      </c>
      <c r="L203">
        <f>IFERROR(VLOOKUP($K203,Base_Atividades!$E$1:$N$2398,MATCH(BancoAjustado!L$1,Base_Atividades!$E$1:$N$1,0),FALSE),0)</f>
        <v>0</v>
      </c>
      <c r="M203">
        <f>IFERROR(VLOOKUP($K203,Base_Atividades!$E$1:$N$2398,MATCH(BancoAjustado!M$1,Base_Atividades!$E$1:$N$1,0),FALSE),0)</f>
        <v>0</v>
      </c>
      <c r="N203">
        <f>IFERROR(VLOOKUP($K203,Base_Atividades!$E$1:$N$2398,MATCH(BancoAjustado!N$1,Base_Atividades!$E$1:$N$1,0),FALSE),0)</f>
        <v>0</v>
      </c>
    </row>
    <row r="204" spans="1:14" x14ac:dyDescent="0.25">
      <c r="A204" t="s">
        <v>2111</v>
      </c>
      <c r="B204" t="s">
        <v>2112</v>
      </c>
      <c r="C204" t="s">
        <v>2173</v>
      </c>
      <c r="D204" t="s">
        <v>2176</v>
      </c>
      <c r="E204" t="s">
        <v>2177</v>
      </c>
      <c r="F204" t="str">
        <f>VLOOKUP(A204,Base!$A:$F,6,FALSE)</f>
        <v>INDÚSTRIAS DE TRANSFORMAÇÃO</v>
      </c>
      <c r="G204" t="str">
        <f>VLOOKUP(B204,Base!$B:$F,5,FALSE)</f>
        <v>FABRICAÇÃO DE PRODUTOS ALIMENTÍCIOS</v>
      </c>
      <c r="H204" t="str">
        <f>VLOOKUP(C204,Base!$C:$F,4,FALSE)</f>
        <v>Fabricação e refino de açúcar</v>
      </c>
      <c r="I204" t="str">
        <f>VLOOKUP(D204,Base!$D:$F,3,FALSE)</f>
        <v>Fabricação de açúcar refinado</v>
      </c>
      <c r="J204" t="str">
        <f>VLOOKUP(E204,Base!$E:$F,2,FALSE)</f>
        <v>Fabricação de açúcar de cana refinado</v>
      </c>
      <c r="K204" t="s">
        <v>2177</v>
      </c>
      <c r="L204">
        <f>IFERROR(VLOOKUP($K204,Base_Atividades!$E$1:$N$2398,MATCH(BancoAjustado!L$1,Base_Atividades!$E$1:$N$1,0),FALSE),0)</f>
        <v>0</v>
      </c>
      <c r="M204">
        <f>IFERROR(VLOOKUP($K204,Base_Atividades!$E$1:$N$2398,MATCH(BancoAjustado!M$1,Base_Atividades!$E$1:$N$1,0),FALSE),0)</f>
        <v>0</v>
      </c>
      <c r="N204">
        <f>IFERROR(VLOOKUP($K204,Base_Atividades!$E$1:$N$2398,MATCH(BancoAjustado!N$1,Base_Atividades!$E$1:$N$1,0),FALSE),0)</f>
        <v>0</v>
      </c>
    </row>
    <row r="205" spans="1:14" x14ac:dyDescent="0.25">
      <c r="A205" t="s">
        <v>2111</v>
      </c>
      <c r="B205" t="s">
        <v>2112</v>
      </c>
      <c r="C205" t="s">
        <v>2173</v>
      </c>
      <c r="D205" t="s">
        <v>2176</v>
      </c>
      <c r="E205" t="s">
        <v>2178</v>
      </c>
      <c r="F205" t="str">
        <f>VLOOKUP(A205,Base!$A:$F,6,FALSE)</f>
        <v>INDÚSTRIAS DE TRANSFORMAÇÃO</v>
      </c>
      <c r="G205" t="str">
        <f>VLOOKUP(B205,Base!$B:$F,5,FALSE)</f>
        <v>FABRICAÇÃO DE PRODUTOS ALIMENTÍCIOS</v>
      </c>
      <c r="H205" t="str">
        <f>VLOOKUP(C205,Base!$C:$F,4,FALSE)</f>
        <v>Fabricação e refino de açúcar</v>
      </c>
      <c r="I205" t="str">
        <f>VLOOKUP(D205,Base!$D:$F,3,FALSE)</f>
        <v>Fabricação de açúcar refinado</v>
      </c>
      <c r="J205" t="str">
        <f>VLOOKUP(E205,Base!$E:$F,2,FALSE)</f>
        <v>Fabricação de açúcar de cereais (dextrose) e de beterraba</v>
      </c>
      <c r="K205" t="s">
        <v>2178</v>
      </c>
      <c r="L205">
        <f>IFERROR(VLOOKUP($K205,Base_Atividades!$E$1:$N$2398,MATCH(BancoAjustado!L$1,Base_Atividades!$E$1:$N$1,0),FALSE),0)</f>
        <v>0</v>
      </c>
      <c r="M205">
        <f>IFERROR(VLOOKUP($K205,Base_Atividades!$E$1:$N$2398,MATCH(BancoAjustado!M$1,Base_Atividades!$E$1:$N$1,0),FALSE),0)</f>
        <v>0</v>
      </c>
      <c r="N205">
        <f>IFERROR(VLOOKUP($K205,Base_Atividades!$E$1:$N$2398,MATCH(BancoAjustado!N$1,Base_Atividades!$E$1:$N$1,0),FALSE),0)</f>
        <v>0</v>
      </c>
    </row>
    <row r="206" spans="1:14" x14ac:dyDescent="0.25">
      <c r="A206" t="s">
        <v>2111</v>
      </c>
      <c r="B206" t="s">
        <v>2112</v>
      </c>
      <c r="C206" t="s">
        <v>2179</v>
      </c>
      <c r="D206" t="s">
        <v>2180</v>
      </c>
      <c r="E206" t="s">
        <v>2181</v>
      </c>
      <c r="F206" t="str">
        <f>VLOOKUP(A206,Base!$A:$F,6,FALSE)</f>
        <v>INDÚSTRIAS DE TRANSFORMAÇÃO</v>
      </c>
      <c r="G206" t="str">
        <f>VLOOKUP(B206,Base!$B:$F,5,FALSE)</f>
        <v>FABRICAÇÃO DE PRODUTOS ALIMENTÍCIOS</v>
      </c>
      <c r="H206" t="str">
        <f>VLOOKUP(C206,Base!$C:$F,4,FALSE)</f>
        <v>Torrefação e moagem de café</v>
      </c>
      <c r="I206" t="str">
        <f>VLOOKUP(D206,Base!$D:$F,3,FALSE)</f>
        <v>Torrefação e moagem de café</v>
      </c>
      <c r="J206" t="str">
        <f>VLOOKUP(E206,Base!$E:$F,2,FALSE)</f>
        <v>Beneficiamento de café</v>
      </c>
      <c r="K206" t="s">
        <v>2181</v>
      </c>
      <c r="L206">
        <f>IFERROR(VLOOKUP($K206,Base_Atividades!$E$1:$N$2398,MATCH(BancoAjustado!L$1,Base_Atividades!$E$1:$N$1,0),FALSE),0)</f>
        <v>1</v>
      </c>
      <c r="M206">
        <f>IFERROR(VLOOKUP($K206,Base_Atividades!$E$1:$N$2398,MATCH(BancoAjustado!M$1,Base_Atividades!$E$1:$N$1,0),FALSE),0)</f>
        <v>0</v>
      </c>
      <c r="N206">
        <f>IFERROR(VLOOKUP($K206,Base_Atividades!$E$1:$N$2398,MATCH(BancoAjustado!N$1,Base_Atividades!$E$1:$N$1,0),FALSE),0)</f>
        <v>0</v>
      </c>
    </row>
    <row r="207" spans="1:14" x14ac:dyDescent="0.25">
      <c r="A207" t="s">
        <v>2111</v>
      </c>
      <c r="B207" t="s">
        <v>2112</v>
      </c>
      <c r="C207" t="s">
        <v>2179</v>
      </c>
      <c r="D207" t="s">
        <v>2180</v>
      </c>
      <c r="E207" t="s">
        <v>2182</v>
      </c>
      <c r="F207" t="str">
        <f>VLOOKUP(A207,Base!$A:$F,6,FALSE)</f>
        <v>INDÚSTRIAS DE TRANSFORMAÇÃO</v>
      </c>
      <c r="G207" t="str">
        <f>VLOOKUP(B207,Base!$B:$F,5,FALSE)</f>
        <v>FABRICAÇÃO DE PRODUTOS ALIMENTÍCIOS</v>
      </c>
      <c r="H207" t="str">
        <f>VLOOKUP(C207,Base!$C:$F,4,FALSE)</f>
        <v>Torrefação e moagem de café</v>
      </c>
      <c r="I207" t="str">
        <f>VLOOKUP(D207,Base!$D:$F,3,FALSE)</f>
        <v>Torrefação e moagem de café</v>
      </c>
      <c r="J207" t="str">
        <f>VLOOKUP(E207,Base!$E:$F,2,FALSE)</f>
        <v>Torrefação e moagem de café</v>
      </c>
      <c r="K207" t="s">
        <v>2182</v>
      </c>
      <c r="L207">
        <f>IFERROR(VLOOKUP($K207,Base_Atividades!$E$1:$N$2398,MATCH(BancoAjustado!L$1,Base_Atividades!$E$1:$N$1,0),FALSE),0)</f>
        <v>1</v>
      </c>
      <c r="M207">
        <f>IFERROR(VLOOKUP($K207,Base_Atividades!$E$1:$N$2398,MATCH(BancoAjustado!M$1,Base_Atividades!$E$1:$N$1,0),FALSE),0)</f>
        <v>0</v>
      </c>
      <c r="N207">
        <f>IFERROR(VLOOKUP($K207,Base_Atividades!$E$1:$N$2398,MATCH(BancoAjustado!N$1,Base_Atividades!$E$1:$N$1,0),FALSE),0)</f>
        <v>0</v>
      </c>
    </row>
    <row r="208" spans="1:14" x14ac:dyDescent="0.25">
      <c r="A208" t="s">
        <v>2111</v>
      </c>
      <c r="B208" t="s">
        <v>2112</v>
      </c>
      <c r="C208" t="s">
        <v>2179</v>
      </c>
      <c r="D208" t="s">
        <v>2183</v>
      </c>
      <c r="E208" t="s">
        <v>2184</v>
      </c>
      <c r="F208" t="str">
        <f>VLOOKUP(A208,Base!$A:$F,6,FALSE)</f>
        <v>INDÚSTRIAS DE TRANSFORMAÇÃO</v>
      </c>
      <c r="G208" t="str">
        <f>VLOOKUP(B208,Base!$B:$F,5,FALSE)</f>
        <v>FABRICAÇÃO DE PRODUTOS ALIMENTÍCIOS</v>
      </c>
      <c r="H208" t="str">
        <f>VLOOKUP(C208,Base!$C:$F,4,FALSE)</f>
        <v>Torrefação e moagem de café</v>
      </c>
      <c r="I208" t="str">
        <f>VLOOKUP(D208,Base!$D:$F,3,FALSE)</f>
        <v>Fabricação de produtos à base de café</v>
      </c>
      <c r="J208" t="str">
        <f>VLOOKUP(E208,Base!$E:$F,2,FALSE)</f>
        <v>Fabricação de produtos à base de café</v>
      </c>
      <c r="K208" t="s">
        <v>2184</v>
      </c>
      <c r="L208">
        <f>IFERROR(VLOOKUP($K208,Base_Atividades!$E$1:$N$2398,MATCH(BancoAjustado!L$1,Base_Atividades!$E$1:$N$1,0),FALSE),0)</f>
        <v>1</v>
      </c>
      <c r="M208">
        <f>IFERROR(VLOOKUP($K208,Base_Atividades!$E$1:$N$2398,MATCH(BancoAjustado!M$1,Base_Atividades!$E$1:$N$1,0),FALSE),0)</f>
        <v>0</v>
      </c>
      <c r="N208">
        <f>IFERROR(VLOOKUP($K208,Base_Atividades!$E$1:$N$2398,MATCH(BancoAjustado!N$1,Base_Atividades!$E$1:$N$1,0),FALSE),0)</f>
        <v>0</v>
      </c>
    </row>
    <row r="209" spans="1:14" x14ac:dyDescent="0.25">
      <c r="A209" t="s">
        <v>2111</v>
      </c>
      <c r="B209" t="s">
        <v>2112</v>
      </c>
      <c r="C209" t="s">
        <v>2185</v>
      </c>
      <c r="D209" t="s">
        <v>2186</v>
      </c>
      <c r="E209" t="s">
        <v>2187</v>
      </c>
      <c r="F209" t="str">
        <f>VLOOKUP(A209,Base!$A:$F,6,FALSE)</f>
        <v>INDÚSTRIAS DE TRANSFORMAÇÃO</v>
      </c>
      <c r="G209" t="str">
        <f>VLOOKUP(B209,Base!$B:$F,5,FALSE)</f>
        <v>FABRICAÇÃO DE PRODUTOS ALIMENTÍCIOS</v>
      </c>
      <c r="H209" t="str">
        <f>VLOOKUP(C209,Base!$C:$F,4,FALSE)</f>
        <v>Fabricação de outros produtos alimentícios</v>
      </c>
      <c r="I209" t="str">
        <f>VLOOKUP(D209,Base!$D:$F,3,FALSE)</f>
        <v>Fabricação de produtos de panificação</v>
      </c>
      <c r="J209" t="str">
        <f>VLOOKUP(E209,Base!$E:$F,2,FALSE)</f>
        <v>Fabricação de produtos de panificação industrial</v>
      </c>
      <c r="K209" t="s">
        <v>2187</v>
      </c>
      <c r="L209">
        <f>IFERROR(VLOOKUP($K209,Base_Atividades!$E$1:$N$2398,MATCH(BancoAjustado!L$1,Base_Atividades!$E$1:$N$1,0),FALSE),0)</f>
        <v>1</v>
      </c>
      <c r="M209">
        <f>IFERROR(VLOOKUP($K209,Base_Atividades!$E$1:$N$2398,MATCH(BancoAjustado!M$1,Base_Atividades!$E$1:$N$1,0),FALSE),0)</f>
        <v>0</v>
      </c>
      <c r="N209">
        <f>IFERROR(VLOOKUP($K209,Base_Atividades!$E$1:$N$2398,MATCH(BancoAjustado!N$1,Base_Atividades!$E$1:$N$1,0),FALSE),0)</f>
        <v>0</v>
      </c>
    </row>
    <row r="210" spans="1:14" x14ac:dyDescent="0.25">
      <c r="A210" t="s">
        <v>2111</v>
      </c>
      <c r="B210" t="s">
        <v>2112</v>
      </c>
      <c r="C210" t="s">
        <v>2185</v>
      </c>
      <c r="D210" t="s">
        <v>2186</v>
      </c>
      <c r="E210" t="s">
        <v>2188</v>
      </c>
      <c r="F210" t="str">
        <f>VLOOKUP(A210,Base!$A:$F,6,FALSE)</f>
        <v>INDÚSTRIAS DE TRANSFORMAÇÃO</v>
      </c>
      <c r="G210" t="str">
        <f>VLOOKUP(B210,Base!$B:$F,5,FALSE)</f>
        <v>FABRICAÇÃO DE PRODUTOS ALIMENTÍCIOS</v>
      </c>
      <c r="H210" t="str">
        <f>VLOOKUP(C210,Base!$C:$F,4,FALSE)</f>
        <v>Fabricação de outros produtos alimentícios</v>
      </c>
      <c r="I210" t="str">
        <f>VLOOKUP(D210,Base!$D:$F,3,FALSE)</f>
        <v>Fabricação de produtos de panificação</v>
      </c>
      <c r="J210" t="str">
        <f>VLOOKUP(E210,Base!$E:$F,2,FALSE)</f>
        <v>Fabricação de produtos de padaria e confeitaria com predominância de produção própria</v>
      </c>
      <c r="K210" t="s">
        <v>2188</v>
      </c>
      <c r="L210">
        <f>IFERROR(VLOOKUP($K210,Base_Atividades!$E$1:$N$2398,MATCH(BancoAjustado!L$1,Base_Atividades!$E$1:$N$1,0),FALSE),0)</f>
        <v>1</v>
      </c>
      <c r="M210">
        <f>IFERROR(VLOOKUP($K210,Base_Atividades!$E$1:$N$2398,MATCH(BancoAjustado!M$1,Base_Atividades!$E$1:$N$1,0),FALSE),0)</f>
        <v>0</v>
      </c>
      <c r="N210">
        <f>IFERROR(VLOOKUP($K210,Base_Atividades!$E$1:$N$2398,MATCH(BancoAjustado!N$1,Base_Atividades!$E$1:$N$1,0),FALSE),0)</f>
        <v>0</v>
      </c>
    </row>
    <row r="211" spans="1:14" x14ac:dyDescent="0.25">
      <c r="A211" t="s">
        <v>2111</v>
      </c>
      <c r="B211" t="s">
        <v>2112</v>
      </c>
      <c r="C211" t="s">
        <v>2185</v>
      </c>
      <c r="D211" t="s">
        <v>2189</v>
      </c>
      <c r="E211" t="s">
        <v>2190</v>
      </c>
      <c r="F211" t="str">
        <f>VLOOKUP(A211,Base!$A:$F,6,FALSE)</f>
        <v>INDÚSTRIAS DE TRANSFORMAÇÃO</v>
      </c>
      <c r="G211" t="str">
        <f>VLOOKUP(B211,Base!$B:$F,5,FALSE)</f>
        <v>FABRICAÇÃO DE PRODUTOS ALIMENTÍCIOS</v>
      </c>
      <c r="H211" t="str">
        <f>VLOOKUP(C211,Base!$C:$F,4,FALSE)</f>
        <v>Fabricação de outros produtos alimentícios</v>
      </c>
      <c r="I211" t="str">
        <f>VLOOKUP(D211,Base!$D:$F,3,FALSE)</f>
        <v>Fabricação de biscoitos e bolachas</v>
      </c>
      <c r="J211" t="str">
        <f>VLOOKUP(E211,Base!$E:$F,2,FALSE)</f>
        <v>Fabricação de biscoitos e bolachas</v>
      </c>
      <c r="K211" t="s">
        <v>2190</v>
      </c>
      <c r="L211">
        <f>IFERROR(VLOOKUP($K211,Base_Atividades!$E$1:$N$2398,MATCH(BancoAjustado!L$1,Base_Atividades!$E$1:$N$1,0),FALSE),0)</f>
        <v>1</v>
      </c>
      <c r="M211">
        <f>IFERROR(VLOOKUP($K211,Base_Atividades!$E$1:$N$2398,MATCH(BancoAjustado!M$1,Base_Atividades!$E$1:$N$1,0),FALSE),0)</f>
        <v>0</v>
      </c>
      <c r="N211">
        <f>IFERROR(VLOOKUP($K211,Base_Atividades!$E$1:$N$2398,MATCH(BancoAjustado!N$1,Base_Atividades!$E$1:$N$1,0),FALSE),0)</f>
        <v>0</v>
      </c>
    </row>
    <row r="212" spans="1:14" x14ac:dyDescent="0.25">
      <c r="A212" t="s">
        <v>2111</v>
      </c>
      <c r="B212" t="s">
        <v>2112</v>
      </c>
      <c r="C212" t="s">
        <v>2185</v>
      </c>
      <c r="D212" t="s">
        <v>2191</v>
      </c>
      <c r="E212" t="s">
        <v>2192</v>
      </c>
      <c r="F212" t="str">
        <f>VLOOKUP(A212,Base!$A:$F,6,FALSE)</f>
        <v>INDÚSTRIAS DE TRANSFORMAÇÃO</v>
      </c>
      <c r="G212" t="str">
        <f>VLOOKUP(B212,Base!$B:$F,5,FALSE)</f>
        <v>FABRICAÇÃO DE PRODUTOS ALIMENTÍCIOS</v>
      </c>
      <c r="H212" t="str">
        <f>VLOOKUP(C212,Base!$C:$F,4,FALSE)</f>
        <v>Fabricação de outros produtos alimentícios</v>
      </c>
      <c r="I212" t="str">
        <f>VLOOKUP(D212,Base!$D:$F,3,FALSE)</f>
        <v>Fabricação de produtos derivados do cacau, de chocolates e confeitos</v>
      </c>
      <c r="J212" t="str">
        <f>VLOOKUP(E212,Base!$E:$F,2,FALSE)</f>
        <v>Fabricação de produtos derivados do cacau e de chocolates</v>
      </c>
      <c r="K212" t="s">
        <v>2192</v>
      </c>
      <c r="L212">
        <f>IFERROR(VLOOKUP($K212,Base_Atividades!$E$1:$N$2398,MATCH(BancoAjustado!L$1,Base_Atividades!$E$1:$N$1,0),FALSE),0)</f>
        <v>1</v>
      </c>
      <c r="M212">
        <f>IFERROR(VLOOKUP($K212,Base_Atividades!$E$1:$N$2398,MATCH(BancoAjustado!M$1,Base_Atividades!$E$1:$N$1,0),FALSE),0)</f>
        <v>0</v>
      </c>
      <c r="N212">
        <f>IFERROR(VLOOKUP($K212,Base_Atividades!$E$1:$N$2398,MATCH(BancoAjustado!N$1,Base_Atividades!$E$1:$N$1,0),FALSE),0)</f>
        <v>0</v>
      </c>
    </row>
    <row r="213" spans="1:14" x14ac:dyDescent="0.25">
      <c r="A213" t="s">
        <v>2111</v>
      </c>
      <c r="B213" t="s">
        <v>2112</v>
      </c>
      <c r="C213" t="s">
        <v>2185</v>
      </c>
      <c r="D213" t="s">
        <v>2191</v>
      </c>
      <c r="E213" t="s">
        <v>2193</v>
      </c>
      <c r="F213" t="str">
        <f>VLOOKUP(A213,Base!$A:$F,6,FALSE)</f>
        <v>INDÚSTRIAS DE TRANSFORMAÇÃO</v>
      </c>
      <c r="G213" t="str">
        <f>VLOOKUP(B213,Base!$B:$F,5,FALSE)</f>
        <v>FABRICAÇÃO DE PRODUTOS ALIMENTÍCIOS</v>
      </c>
      <c r="H213" t="str">
        <f>VLOOKUP(C213,Base!$C:$F,4,FALSE)</f>
        <v>Fabricação de outros produtos alimentícios</v>
      </c>
      <c r="I213" t="str">
        <f>VLOOKUP(D213,Base!$D:$F,3,FALSE)</f>
        <v>Fabricação de produtos derivados do cacau, de chocolates e confeitos</v>
      </c>
      <c r="J213" t="str">
        <f>VLOOKUP(E213,Base!$E:$F,2,FALSE)</f>
        <v>Fabricação de frutas cristalizadas, balas e semelhantes</v>
      </c>
      <c r="K213" t="s">
        <v>2193</v>
      </c>
      <c r="L213">
        <f>IFERROR(VLOOKUP($K213,Base_Atividades!$E$1:$N$2398,MATCH(BancoAjustado!L$1,Base_Atividades!$E$1:$N$1,0),FALSE),0)</f>
        <v>1</v>
      </c>
      <c r="M213">
        <f>IFERROR(VLOOKUP($K213,Base_Atividades!$E$1:$N$2398,MATCH(BancoAjustado!M$1,Base_Atividades!$E$1:$N$1,0),FALSE),0)</f>
        <v>0</v>
      </c>
      <c r="N213">
        <f>IFERROR(VLOOKUP($K213,Base_Atividades!$E$1:$N$2398,MATCH(BancoAjustado!N$1,Base_Atividades!$E$1:$N$1,0),FALSE),0)</f>
        <v>0</v>
      </c>
    </row>
    <row r="214" spans="1:14" x14ac:dyDescent="0.25">
      <c r="A214" t="s">
        <v>2111</v>
      </c>
      <c r="B214" t="s">
        <v>2112</v>
      </c>
      <c r="C214" t="s">
        <v>2185</v>
      </c>
      <c r="D214" t="s">
        <v>2194</v>
      </c>
      <c r="E214" t="s">
        <v>2195</v>
      </c>
      <c r="F214" t="str">
        <f>VLOOKUP(A214,Base!$A:$F,6,FALSE)</f>
        <v>INDÚSTRIAS DE TRANSFORMAÇÃO</v>
      </c>
      <c r="G214" t="str">
        <f>VLOOKUP(B214,Base!$B:$F,5,FALSE)</f>
        <v>FABRICAÇÃO DE PRODUTOS ALIMENTÍCIOS</v>
      </c>
      <c r="H214" t="str">
        <f>VLOOKUP(C214,Base!$C:$F,4,FALSE)</f>
        <v>Fabricação de outros produtos alimentícios</v>
      </c>
      <c r="I214" t="str">
        <f>VLOOKUP(D214,Base!$D:$F,3,FALSE)</f>
        <v>Fabricação de massas alimentícias</v>
      </c>
      <c r="J214" t="str">
        <f>VLOOKUP(E214,Base!$E:$F,2,FALSE)</f>
        <v>Fabricação de massas alimentícias</v>
      </c>
      <c r="K214" t="s">
        <v>2195</v>
      </c>
      <c r="L214">
        <f>IFERROR(VLOOKUP($K214,Base_Atividades!$E$1:$N$2398,MATCH(BancoAjustado!L$1,Base_Atividades!$E$1:$N$1,0),FALSE),0)</f>
        <v>1</v>
      </c>
      <c r="M214">
        <f>IFERROR(VLOOKUP($K214,Base_Atividades!$E$1:$N$2398,MATCH(BancoAjustado!M$1,Base_Atividades!$E$1:$N$1,0),FALSE),0)</f>
        <v>0</v>
      </c>
      <c r="N214">
        <f>IFERROR(VLOOKUP($K214,Base_Atividades!$E$1:$N$2398,MATCH(BancoAjustado!N$1,Base_Atividades!$E$1:$N$1,0),FALSE),0)</f>
        <v>0</v>
      </c>
    </row>
    <row r="215" spans="1:14" x14ac:dyDescent="0.25">
      <c r="A215" t="s">
        <v>2111</v>
      </c>
      <c r="B215" t="s">
        <v>2112</v>
      </c>
      <c r="C215" t="s">
        <v>2185</v>
      </c>
      <c r="D215" t="s">
        <v>2196</v>
      </c>
      <c r="E215" t="s">
        <v>2197</v>
      </c>
      <c r="F215" t="str">
        <f>VLOOKUP(A215,Base!$A:$F,6,FALSE)</f>
        <v>INDÚSTRIAS DE TRANSFORMAÇÃO</v>
      </c>
      <c r="G215" t="str">
        <f>VLOOKUP(B215,Base!$B:$F,5,FALSE)</f>
        <v>FABRICAÇÃO DE PRODUTOS ALIMENTÍCIOS</v>
      </c>
      <c r="H215" t="str">
        <f>VLOOKUP(C215,Base!$C:$F,4,FALSE)</f>
        <v>Fabricação de outros produtos alimentícios</v>
      </c>
      <c r="I215" t="str">
        <f>VLOOKUP(D215,Base!$D:$F,3,FALSE)</f>
        <v>Fabricação de especiarias, molhos, temperos e condimentos</v>
      </c>
      <c r="J215" t="str">
        <f>VLOOKUP(E215,Base!$E:$F,2,FALSE)</f>
        <v>Fabricação de especiarias, molhos, temperos e condimentos</v>
      </c>
      <c r="K215" t="s">
        <v>2197</v>
      </c>
      <c r="L215">
        <f>IFERROR(VLOOKUP($K215,Base_Atividades!$E$1:$N$2398,MATCH(BancoAjustado!L$1,Base_Atividades!$E$1:$N$1,0),FALSE),0)</f>
        <v>1</v>
      </c>
      <c r="M215">
        <f>IFERROR(VLOOKUP($K215,Base_Atividades!$E$1:$N$2398,MATCH(BancoAjustado!M$1,Base_Atividades!$E$1:$N$1,0),FALSE),0)</f>
        <v>0</v>
      </c>
      <c r="N215">
        <f>IFERROR(VLOOKUP($K215,Base_Atividades!$E$1:$N$2398,MATCH(BancoAjustado!N$1,Base_Atividades!$E$1:$N$1,0),FALSE),0)</f>
        <v>0</v>
      </c>
    </row>
    <row r="216" spans="1:14" x14ac:dyDescent="0.25">
      <c r="A216" t="s">
        <v>2111</v>
      </c>
      <c r="B216" t="s">
        <v>2112</v>
      </c>
      <c r="C216" t="s">
        <v>2185</v>
      </c>
      <c r="D216" t="s">
        <v>2198</v>
      </c>
      <c r="E216" t="s">
        <v>2199</v>
      </c>
      <c r="F216" t="str">
        <f>VLOOKUP(A216,Base!$A:$F,6,FALSE)</f>
        <v>INDÚSTRIAS DE TRANSFORMAÇÃO</v>
      </c>
      <c r="G216" t="str">
        <f>VLOOKUP(B216,Base!$B:$F,5,FALSE)</f>
        <v>FABRICAÇÃO DE PRODUTOS ALIMENTÍCIOS</v>
      </c>
      <c r="H216" t="str">
        <f>VLOOKUP(C216,Base!$C:$F,4,FALSE)</f>
        <v>Fabricação de outros produtos alimentícios</v>
      </c>
      <c r="I216" t="str">
        <f>VLOOKUP(D216,Base!$D:$F,3,FALSE)</f>
        <v>Fabricação de alimentos e pratos prontos</v>
      </c>
      <c r="J216" t="str">
        <f>VLOOKUP(E216,Base!$E:$F,2,FALSE)</f>
        <v>Fabricação de alimentos e pratos prontos</v>
      </c>
      <c r="K216" t="s">
        <v>2199</v>
      </c>
      <c r="L216">
        <f>IFERROR(VLOOKUP($K216,Base_Atividades!$E$1:$N$2398,MATCH(BancoAjustado!L$1,Base_Atividades!$E$1:$N$1,0),FALSE),0)</f>
        <v>1</v>
      </c>
      <c r="M216">
        <f>IFERROR(VLOOKUP($K216,Base_Atividades!$E$1:$N$2398,MATCH(BancoAjustado!M$1,Base_Atividades!$E$1:$N$1,0),FALSE),0)</f>
        <v>0</v>
      </c>
      <c r="N216">
        <f>IFERROR(VLOOKUP($K216,Base_Atividades!$E$1:$N$2398,MATCH(BancoAjustado!N$1,Base_Atividades!$E$1:$N$1,0),FALSE),0)</f>
        <v>0</v>
      </c>
    </row>
    <row r="217" spans="1:14" x14ac:dyDescent="0.25">
      <c r="A217" t="s">
        <v>2111</v>
      </c>
      <c r="B217" t="s">
        <v>2112</v>
      </c>
      <c r="C217" t="s">
        <v>2185</v>
      </c>
      <c r="D217" t="s">
        <v>2200</v>
      </c>
      <c r="E217" t="s">
        <v>2201</v>
      </c>
      <c r="F217" t="str">
        <f>VLOOKUP(A217,Base!$A:$F,6,FALSE)</f>
        <v>INDÚSTRIAS DE TRANSFORMAÇÃO</v>
      </c>
      <c r="G217" t="str">
        <f>VLOOKUP(B217,Base!$B:$F,5,FALSE)</f>
        <v>FABRICAÇÃO DE PRODUTOS ALIMENTÍCIOS</v>
      </c>
      <c r="H217" t="str">
        <f>VLOOKUP(C217,Base!$C:$F,4,FALSE)</f>
        <v>Fabricação de outros produtos alimentícios</v>
      </c>
      <c r="I217" t="str">
        <f>VLOOKUP(D217,Base!$D:$F,3,FALSE)</f>
        <v>Fabricação de produtos alimentícios não especificados anteriormente</v>
      </c>
      <c r="J217" t="str">
        <f>VLOOKUP(E217,Base!$E:$F,2,FALSE)</f>
        <v>Fabricação de vinagres</v>
      </c>
      <c r="K217" t="s">
        <v>2201</v>
      </c>
      <c r="L217">
        <f>IFERROR(VLOOKUP($K217,Base_Atividades!$E$1:$N$2398,MATCH(BancoAjustado!L$1,Base_Atividades!$E$1:$N$1,0),FALSE),0)</f>
        <v>1</v>
      </c>
      <c r="M217">
        <f>IFERROR(VLOOKUP($K217,Base_Atividades!$E$1:$N$2398,MATCH(BancoAjustado!M$1,Base_Atividades!$E$1:$N$1,0),FALSE),0)</f>
        <v>0</v>
      </c>
      <c r="N217">
        <f>IFERROR(VLOOKUP($K217,Base_Atividades!$E$1:$N$2398,MATCH(BancoAjustado!N$1,Base_Atividades!$E$1:$N$1,0),FALSE),0)</f>
        <v>0</v>
      </c>
    </row>
    <row r="218" spans="1:14" x14ac:dyDescent="0.25">
      <c r="A218" t="s">
        <v>2111</v>
      </c>
      <c r="B218" t="s">
        <v>2112</v>
      </c>
      <c r="C218" t="s">
        <v>2185</v>
      </c>
      <c r="D218" t="s">
        <v>2200</v>
      </c>
      <c r="E218" t="s">
        <v>2202</v>
      </c>
      <c r="F218" t="str">
        <f>VLOOKUP(A218,Base!$A:$F,6,FALSE)</f>
        <v>INDÚSTRIAS DE TRANSFORMAÇÃO</v>
      </c>
      <c r="G218" t="str">
        <f>VLOOKUP(B218,Base!$B:$F,5,FALSE)</f>
        <v>FABRICAÇÃO DE PRODUTOS ALIMENTÍCIOS</v>
      </c>
      <c r="H218" t="str">
        <f>VLOOKUP(C218,Base!$C:$F,4,FALSE)</f>
        <v>Fabricação de outros produtos alimentícios</v>
      </c>
      <c r="I218" t="str">
        <f>VLOOKUP(D218,Base!$D:$F,3,FALSE)</f>
        <v>Fabricação de produtos alimentícios não especificados anteriormente</v>
      </c>
      <c r="J218" t="str">
        <f>VLOOKUP(E218,Base!$E:$F,2,FALSE)</f>
        <v>Fabricação de pós-alimentícios</v>
      </c>
      <c r="K218" t="s">
        <v>2202</v>
      </c>
      <c r="L218">
        <f>IFERROR(VLOOKUP($K218,Base_Atividades!$E$1:$N$2398,MATCH(BancoAjustado!L$1,Base_Atividades!$E$1:$N$1,0),FALSE),0)</f>
        <v>1</v>
      </c>
      <c r="M218">
        <f>IFERROR(VLOOKUP($K218,Base_Atividades!$E$1:$N$2398,MATCH(BancoAjustado!M$1,Base_Atividades!$E$1:$N$1,0),FALSE),0)</f>
        <v>0</v>
      </c>
      <c r="N218">
        <f>IFERROR(VLOOKUP($K218,Base_Atividades!$E$1:$N$2398,MATCH(BancoAjustado!N$1,Base_Atividades!$E$1:$N$1,0),FALSE),0)</f>
        <v>0</v>
      </c>
    </row>
    <row r="219" spans="1:14" x14ac:dyDescent="0.25">
      <c r="A219" t="s">
        <v>2111</v>
      </c>
      <c r="B219" t="s">
        <v>2112</v>
      </c>
      <c r="C219" t="s">
        <v>2185</v>
      </c>
      <c r="D219" t="s">
        <v>2200</v>
      </c>
      <c r="E219" t="s">
        <v>2203</v>
      </c>
      <c r="F219" t="str">
        <f>VLOOKUP(A219,Base!$A:$F,6,FALSE)</f>
        <v>INDÚSTRIAS DE TRANSFORMAÇÃO</v>
      </c>
      <c r="G219" t="str">
        <f>VLOOKUP(B219,Base!$B:$F,5,FALSE)</f>
        <v>FABRICAÇÃO DE PRODUTOS ALIMENTÍCIOS</v>
      </c>
      <c r="H219" t="str">
        <f>VLOOKUP(C219,Base!$C:$F,4,FALSE)</f>
        <v>Fabricação de outros produtos alimentícios</v>
      </c>
      <c r="I219" t="str">
        <f>VLOOKUP(D219,Base!$D:$F,3,FALSE)</f>
        <v>Fabricação de produtos alimentícios não especificados anteriormente</v>
      </c>
      <c r="J219" t="str">
        <f>VLOOKUP(E219,Base!$E:$F,2,FALSE)</f>
        <v>Fabricação de fermentos e leveduras</v>
      </c>
      <c r="K219" t="s">
        <v>2203</v>
      </c>
      <c r="L219">
        <f>IFERROR(VLOOKUP($K219,Base_Atividades!$E$1:$N$2398,MATCH(BancoAjustado!L$1,Base_Atividades!$E$1:$N$1,0),FALSE),0)</f>
        <v>1</v>
      </c>
      <c r="M219">
        <f>IFERROR(VLOOKUP($K219,Base_Atividades!$E$1:$N$2398,MATCH(BancoAjustado!M$1,Base_Atividades!$E$1:$N$1,0),FALSE),0)</f>
        <v>0</v>
      </c>
      <c r="N219">
        <f>IFERROR(VLOOKUP($K219,Base_Atividades!$E$1:$N$2398,MATCH(BancoAjustado!N$1,Base_Atividades!$E$1:$N$1,0),FALSE),0)</f>
        <v>0</v>
      </c>
    </row>
    <row r="220" spans="1:14" x14ac:dyDescent="0.25">
      <c r="A220" t="s">
        <v>2111</v>
      </c>
      <c r="B220" t="s">
        <v>2112</v>
      </c>
      <c r="C220" t="s">
        <v>2185</v>
      </c>
      <c r="D220" t="s">
        <v>2200</v>
      </c>
      <c r="E220" t="s">
        <v>2204</v>
      </c>
      <c r="F220" t="str">
        <f>VLOOKUP(A220,Base!$A:$F,6,FALSE)</f>
        <v>INDÚSTRIAS DE TRANSFORMAÇÃO</v>
      </c>
      <c r="G220" t="str">
        <f>VLOOKUP(B220,Base!$B:$F,5,FALSE)</f>
        <v>FABRICAÇÃO DE PRODUTOS ALIMENTÍCIOS</v>
      </c>
      <c r="H220" t="str">
        <f>VLOOKUP(C220,Base!$C:$F,4,FALSE)</f>
        <v>Fabricação de outros produtos alimentícios</v>
      </c>
      <c r="I220" t="str">
        <f>VLOOKUP(D220,Base!$D:$F,3,FALSE)</f>
        <v>Fabricação de produtos alimentícios não especificados anteriormente</v>
      </c>
      <c r="J220" t="str">
        <f>VLOOKUP(E220,Base!$E:$F,2,FALSE)</f>
        <v>Fabricação de gelo comum</v>
      </c>
      <c r="K220" t="s">
        <v>2204</v>
      </c>
      <c r="L220">
        <f>IFERROR(VLOOKUP($K220,Base_Atividades!$E$1:$N$2398,MATCH(BancoAjustado!L$1,Base_Atividades!$E$1:$N$1,0),FALSE),0)</f>
        <v>1</v>
      </c>
      <c r="M220">
        <f>IFERROR(VLOOKUP($K220,Base_Atividades!$E$1:$N$2398,MATCH(BancoAjustado!M$1,Base_Atividades!$E$1:$N$1,0),FALSE),0)</f>
        <v>0</v>
      </c>
      <c r="N220">
        <f>IFERROR(VLOOKUP($K220,Base_Atividades!$E$1:$N$2398,MATCH(BancoAjustado!N$1,Base_Atividades!$E$1:$N$1,0),FALSE),0)</f>
        <v>0</v>
      </c>
    </row>
    <row r="221" spans="1:14" x14ac:dyDescent="0.25">
      <c r="A221" t="s">
        <v>2111</v>
      </c>
      <c r="B221" t="s">
        <v>2112</v>
      </c>
      <c r="C221" t="s">
        <v>2185</v>
      </c>
      <c r="D221" t="s">
        <v>2200</v>
      </c>
      <c r="E221" t="s">
        <v>2205</v>
      </c>
      <c r="F221" t="str">
        <f>VLOOKUP(A221,Base!$A:$F,6,FALSE)</f>
        <v>INDÚSTRIAS DE TRANSFORMAÇÃO</v>
      </c>
      <c r="G221" t="str">
        <f>VLOOKUP(B221,Base!$B:$F,5,FALSE)</f>
        <v>FABRICAÇÃO DE PRODUTOS ALIMENTÍCIOS</v>
      </c>
      <c r="H221" t="str">
        <f>VLOOKUP(C221,Base!$C:$F,4,FALSE)</f>
        <v>Fabricação de outros produtos alimentícios</v>
      </c>
      <c r="I221" t="str">
        <f>VLOOKUP(D221,Base!$D:$F,3,FALSE)</f>
        <v>Fabricação de produtos alimentícios não especificados anteriormente</v>
      </c>
      <c r="J221" t="str">
        <f>VLOOKUP(E221,Base!$E:$F,2,FALSE)</f>
        <v>Fabricação de produtos para infusão (chá, mate, etc.)</v>
      </c>
      <c r="K221" t="s">
        <v>2205</v>
      </c>
      <c r="L221">
        <f>IFERROR(VLOOKUP($K221,Base_Atividades!$E$1:$N$2398,MATCH(BancoAjustado!L$1,Base_Atividades!$E$1:$N$1,0),FALSE),0)</f>
        <v>1</v>
      </c>
      <c r="M221">
        <f>IFERROR(VLOOKUP($K221,Base_Atividades!$E$1:$N$2398,MATCH(BancoAjustado!M$1,Base_Atividades!$E$1:$N$1,0),FALSE),0)</f>
        <v>0</v>
      </c>
      <c r="N221">
        <f>IFERROR(VLOOKUP($K221,Base_Atividades!$E$1:$N$2398,MATCH(BancoAjustado!N$1,Base_Atividades!$E$1:$N$1,0),FALSE),0)</f>
        <v>0</v>
      </c>
    </row>
    <row r="222" spans="1:14" x14ac:dyDescent="0.25">
      <c r="A222" t="s">
        <v>2111</v>
      </c>
      <c r="B222" t="s">
        <v>2112</v>
      </c>
      <c r="C222" t="s">
        <v>2185</v>
      </c>
      <c r="D222" t="s">
        <v>2200</v>
      </c>
      <c r="E222" t="s">
        <v>2206</v>
      </c>
      <c r="F222" t="str">
        <f>VLOOKUP(A222,Base!$A:$F,6,FALSE)</f>
        <v>INDÚSTRIAS DE TRANSFORMAÇÃO</v>
      </c>
      <c r="G222" t="str">
        <f>VLOOKUP(B222,Base!$B:$F,5,FALSE)</f>
        <v>FABRICAÇÃO DE PRODUTOS ALIMENTÍCIOS</v>
      </c>
      <c r="H222" t="str">
        <f>VLOOKUP(C222,Base!$C:$F,4,FALSE)</f>
        <v>Fabricação de outros produtos alimentícios</v>
      </c>
      <c r="I222" t="str">
        <f>VLOOKUP(D222,Base!$D:$F,3,FALSE)</f>
        <v>Fabricação de produtos alimentícios não especificados anteriormente</v>
      </c>
      <c r="J222" t="str">
        <f>VLOOKUP(E222,Base!$E:$F,2,FALSE)</f>
        <v>Fabricação de adoçantes naturais e artificiais</v>
      </c>
      <c r="K222" t="s">
        <v>2206</v>
      </c>
      <c r="L222">
        <f>IFERROR(VLOOKUP($K222,Base_Atividades!$E$1:$N$2398,MATCH(BancoAjustado!L$1,Base_Atividades!$E$1:$N$1,0),FALSE),0)</f>
        <v>1</v>
      </c>
      <c r="M222">
        <f>IFERROR(VLOOKUP($K222,Base_Atividades!$E$1:$N$2398,MATCH(BancoAjustado!M$1,Base_Atividades!$E$1:$N$1,0),FALSE),0)</f>
        <v>0</v>
      </c>
      <c r="N222">
        <f>IFERROR(VLOOKUP($K222,Base_Atividades!$E$1:$N$2398,MATCH(BancoAjustado!N$1,Base_Atividades!$E$1:$N$1,0),FALSE),0)</f>
        <v>0</v>
      </c>
    </row>
    <row r="223" spans="1:14" x14ac:dyDescent="0.25">
      <c r="A223" t="s">
        <v>2111</v>
      </c>
      <c r="B223" t="s">
        <v>2112</v>
      </c>
      <c r="C223" t="s">
        <v>2185</v>
      </c>
      <c r="D223" t="s">
        <v>2200</v>
      </c>
      <c r="E223" t="s">
        <v>2207</v>
      </c>
      <c r="F223" t="str">
        <f>VLOOKUP(A223,Base!$A:$F,6,FALSE)</f>
        <v>INDÚSTRIAS DE TRANSFORMAÇÃO</v>
      </c>
      <c r="G223" t="str">
        <f>VLOOKUP(B223,Base!$B:$F,5,FALSE)</f>
        <v>FABRICAÇÃO DE PRODUTOS ALIMENTÍCIOS</v>
      </c>
      <c r="H223" t="str">
        <f>VLOOKUP(C223,Base!$C:$F,4,FALSE)</f>
        <v>Fabricação de outros produtos alimentícios</v>
      </c>
      <c r="I223" t="str">
        <f>VLOOKUP(D223,Base!$D:$F,3,FALSE)</f>
        <v>Fabricação de produtos alimentícios não especificados anteriormente</v>
      </c>
      <c r="J223" t="str">
        <f>VLOOKUP(E223,Base!$E:$F,2,FALSE)</f>
        <v>Fabricação de alimentos dietéticos e complementos alimentares</v>
      </c>
      <c r="K223" t="s">
        <v>2207</v>
      </c>
      <c r="L223">
        <f>IFERROR(VLOOKUP($K223,Base_Atividades!$E$1:$N$2398,MATCH(BancoAjustado!L$1,Base_Atividades!$E$1:$N$1,0),FALSE),0)</f>
        <v>1</v>
      </c>
      <c r="M223">
        <f>IFERROR(VLOOKUP($K223,Base_Atividades!$E$1:$N$2398,MATCH(BancoAjustado!M$1,Base_Atividades!$E$1:$N$1,0),FALSE),0)</f>
        <v>0</v>
      </c>
      <c r="N223">
        <f>IFERROR(VLOOKUP($K223,Base_Atividades!$E$1:$N$2398,MATCH(BancoAjustado!N$1,Base_Atividades!$E$1:$N$1,0),FALSE),0)</f>
        <v>0</v>
      </c>
    </row>
    <row r="224" spans="1:14" x14ac:dyDescent="0.25">
      <c r="A224" t="s">
        <v>2111</v>
      </c>
      <c r="B224" t="s">
        <v>2112</v>
      </c>
      <c r="C224" t="s">
        <v>2185</v>
      </c>
      <c r="D224" t="s">
        <v>2200</v>
      </c>
      <c r="E224" t="s">
        <v>2208</v>
      </c>
      <c r="F224" t="str">
        <f>VLOOKUP(A224,Base!$A:$F,6,FALSE)</f>
        <v>INDÚSTRIAS DE TRANSFORMAÇÃO</v>
      </c>
      <c r="G224" t="str">
        <f>VLOOKUP(B224,Base!$B:$F,5,FALSE)</f>
        <v>FABRICAÇÃO DE PRODUTOS ALIMENTÍCIOS</v>
      </c>
      <c r="H224" t="str">
        <f>VLOOKUP(C224,Base!$C:$F,4,FALSE)</f>
        <v>Fabricação de outros produtos alimentícios</v>
      </c>
      <c r="I224" t="str">
        <f>VLOOKUP(D224,Base!$D:$F,3,FALSE)</f>
        <v>Fabricação de produtos alimentícios não especificados anteriormente</v>
      </c>
      <c r="J224" t="str">
        <f>VLOOKUP(E224,Base!$E:$F,2,FALSE)</f>
        <v>Fabricação de outros produtos alimentícios não especificados anteriormente</v>
      </c>
      <c r="K224" t="s">
        <v>2208</v>
      </c>
      <c r="L224">
        <f>IFERROR(VLOOKUP($K224,Base_Atividades!$E$1:$N$2398,MATCH(BancoAjustado!L$1,Base_Atividades!$E$1:$N$1,0),FALSE),0)</f>
        <v>1</v>
      </c>
      <c r="M224">
        <f>IFERROR(VLOOKUP($K224,Base_Atividades!$E$1:$N$2398,MATCH(BancoAjustado!M$1,Base_Atividades!$E$1:$N$1,0),FALSE),0)</f>
        <v>0</v>
      </c>
      <c r="N224">
        <f>IFERROR(VLOOKUP($K224,Base_Atividades!$E$1:$N$2398,MATCH(BancoAjustado!N$1,Base_Atividades!$E$1:$N$1,0),FALSE),0)</f>
        <v>0</v>
      </c>
    </row>
    <row r="225" spans="1:14" x14ac:dyDescent="0.25">
      <c r="A225" t="s">
        <v>2111</v>
      </c>
      <c r="B225" t="s">
        <v>2209</v>
      </c>
      <c r="C225" t="s">
        <v>2210</v>
      </c>
      <c r="D225" t="s">
        <v>2211</v>
      </c>
      <c r="E225" t="s">
        <v>2212</v>
      </c>
      <c r="F225" t="str">
        <f>VLOOKUP(A225,Base!$A:$F,6,FALSE)</f>
        <v>INDÚSTRIAS DE TRANSFORMAÇÃO</v>
      </c>
      <c r="G225" t="str">
        <f>VLOOKUP(B225,Base!$B:$F,5,FALSE)</f>
        <v>FABRICAÇÃO DE BEBIDAS</v>
      </c>
      <c r="H225" t="str">
        <f>VLOOKUP(C225,Base!$C:$F,4,FALSE)</f>
        <v>Fabricação de bebidas alcoólicas</v>
      </c>
      <c r="I225" t="str">
        <f>VLOOKUP(D225,Base!$D:$F,3,FALSE)</f>
        <v>Fabricação de aguardentes e outras bebidas destiladas</v>
      </c>
      <c r="J225" t="str">
        <f>VLOOKUP(E225,Base!$E:$F,2,FALSE)</f>
        <v>Fabricação de aguardente de cana-de-açúcar</v>
      </c>
      <c r="K225" t="s">
        <v>2212</v>
      </c>
      <c r="L225">
        <f>IFERROR(VLOOKUP($K225,Base_Atividades!$E$1:$N$2398,MATCH(BancoAjustado!L$1,Base_Atividades!$E$1:$N$1,0),FALSE),0)</f>
        <v>0</v>
      </c>
      <c r="M225">
        <f>IFERROR(VLOOKUP($K225,Base_Atividades!$E$1:$N$2398,MATCH(BancoAjustado!M$1,Base_Atividades!$E$1:$N$1,0),FALSE),0)</f>
        <v>0</v>
      </c>
      <c r="N225">
        <f>IFERROR(VLOOKUP($K225,Base_Atividades!$E$1:$N$2398,MATCH(BancoAjustado!N$1,Base_Atividades!$E$1:$N$1,0),FALSE),0)</f>
        <v>0</v>
      </c>
    </row>
    <row r="226" spans="1:14" x14ac:dyDescent="0.25">
      <c r="A226" t="s">
        <v>2111</v>
      </c>
      <c r="B226" t="s">
        <v>2209</v>
      </c>
      <c r="C226" t="s">
        <v>2210</v>
      </c>
      <c r="D226" t="s">
        <v>2211</v>
      </c>
      <c r="E226" t="s">
        <v>2213</v>
      </c>
      <c r="F226" t="str">
        <f>VLOOKUP(A226,Base!$A:$F,6,FALSE)</f>
        <v>INDÚSTRIAS DE TRANSFORMAÇÃO</v>
      </c>
      <c r="G226" t="str">
        <f>VLOOKUP(B226,Base!$B:$F,5,FALSE)</f>
        <v>FABRICAÇÃO DE BEBIDAS</v>
      </c>
      <c r="H226" t="str">
        <f>VLOOKUP(C226,Base!$C:$F,4,FALSE)</f>
        <v>Fabricação de bebidas alcoólicas</v>
      </c>
      <c r="I226" t="str">
        <f>VLOOKUP(D226,Base!$D:$F,3,FALSE)</f>
        <v>Fabricação de aguardentes e outras bebidas destiladas</v>
      </c>
      <c r="J226" t="str">
        <f>VLOOKUP(E226,Base!$E:$F,2,FALSE)</f>
        <v>Fabricação de outras aguardentes e bebidas destiladas</v>
      </c>
      <c r="K226" t="s">
        <v>2213</v>
      </c>
      <c r="L226">
        <f>IFERROR(VLOOKUP($K226,Base_Atividades!$E$1:$N$2398,MATCH(BancoAjustado!L$1,Base_Atividades!$E$1:$N$1,0),FALSE),0)</f>
        <v>0</v>
      </c>
      <c r="M226">
        <f>IFERROR(VLOOKUP($K226,Base_Atividades!$E$1:$N$2398,MATCH(BancoAjustado!M$1,Base_Atividades!$E$1:$N$1,0),FALSE),0)</f>
        <v>0</v>
      </c>
      <c r="N226">
        <f>IFERROR(VLOOKUP($K226,Base_Atividades!$E$1:$N$2398,MATCH(BancoAjustado!N$1,Base_Atividades!$E$1:$N$1,0),FALSE),0)</f>
        <v>0</v>
      </c>
    </row>
    <row r="227" spans="1:14" x14ac:dyDescent="0.25">
      <c r="A227" t="s">
        <v>2111</v>
      </c>
      <c r="B227" t="s">
        <v>2209</v>
      </c>
      <c r="C227" t="s">
        <v>2210</v>
      </c>
      <c r="D227" t="s">
        <v>2214</v>
      </c>
      <c r="E227" t="s">
        <v>2215</v>
      </c>
      <c r="F227" t="str">
        <f>VLOOKUP(A227,Base!$A:$F,6,FALSE)</f>
        <v>INDÚSTRIAS DE TRANSFORMAÇÃO</v>
      </c>
      <c r="G227" t="str">
        <f>VLOOKUP(B227,Base!$B:$F,5,FALSE)</f>
        <v>FABRICAÇÃO DE BEBIDAS</v>
      </c>
      <c r="H227" t="str">
        <f>VLOOKUP(C227,Base!$C:$F,4,FALSE)</f>
        <v>Fabricação de bebidas alcoólicas</v>
      </c>
      <c r="I227" t="str">
        <f>VLOOKUP(D227,Base!$D:$F,3,FALSE)</f>
        <v>Fabricação de vinho</v>
      </c>
      <c r="J227" t="str">
        <f>VLOOKUP(E227,Base!$E:$F,2,FALSE)</f>
        <v>Fabricação de vinho</v>
      </c>
      <c r="K227" t="s">
        <v>2215</v>
      </c>
      <c r="L227">
        <f>IFERROR(VLOOKUP($K227,Base_Atividades!$E$1:$N$2398,MATCH(BancoAjustado!L$1,Base_Atividades!$E$1:$N$1,0),FALSE),0)</f>
        <v>1</v>
      </c>
      <c r="M227">
        <f>IFERROR(VLOOKUP($K227,Base_Atividades!$E$1:$N$2398,MATCH(BancoAjustado!M$1,Base_Atividades!$E$1:$N$1,0),FALSE),0)</f>
        <v>0</v>
      </c>
      <c r="N227">
        <f>IFERROR(VLOOKUP($K227,Base_Atividades!$E$1:$N$2398,MATCH(BancoAjustado!N$1,Base_Atividades!$E$1:$N$1,0),FALSE),0)</f>
        <v>0</v>
      </c>
    </row>
    <row r="228" spans="1:14" x14ac:dyDescent="0.25">
      <c r="A228" t="s">
        <v>2111</v>
      </c>
      <c r="B228" t="s">
        <v>2209</v>
      </c>
      <c r="C228" t="s">
        <v>2210</v>
      </c>
      <c r="D228" t="s">
        <v>2216</v>
      </c>
      <c r="E228" t="s">
        <v>2217</v>
      </c>
      <c r="F228" t="str">
        <f>VLOOKUP(A228,Base!$A:$F,6,FALSE)</f>
        <v>INDÚSTRIAS DE TRANSFORMAÇÃO</v>
      </c>
      <c r="G228" t="str">
        <f>VLOOKUP(B228,Base!$B:$F,5,FALSE)</f>
        <v>FABRICAÇÃO DE BEBIDAS</v>
      </c>
      <c r="H228" t="str">
        <f>VLOOKUP(C228,Base!$C:$F,4,FALSE)</f>
        <v>Fabricação de bebidas alcoólicas</v>
      </c>
      <c r="I228" t="str">
        <f>VLOOKUP(D228,Base!$D:$F,3,FALSE)</f>
        <v>Fabricação de malte, cervejas e chopes</v>
      </c>
      <c r="J228" t="str">
        <f>VLOOKUP(E228,Base!$E:$F,2,FALSE)</f>
        <v>Fabricação de malte, inclusive malte uísque</v>
      </c>
      <c r="K228" t="s">
        <v>2217</v>
      </c>
      <c r="L228">
        <f>IFERROR(VLOOKUP($K228,Base_Atividades!$E$1:$N$2398,MATCH(BancoAjustado!L$1,Base_Atividades!$E$1:$N$1,0),FALSE),0)</f>
        <v>0</v>
      </c>
      <c r="M228">
        <f>IFERROR(VLOOKUP($K228,Base_Atividades!$E$1:$N$2398,MATCH(BancoAjustado!M$1,Base_Atividades!$E$1:$N$1,0),FALSE),0)</f>
        <v>0</v>
      </c>
      <c r="N228">
        <f>IFERROR(VLOOKUP($K228,Base_Atividades!$E$1:$N$2398,MATCH(BancoAjustado!N$1,Base_Atividades!$E$1:$N$1,0),FALSE),0)</f>
        <v>0</v>
      </c>
    </row>
    <row r="229" spans="1:14" x14ac:dyDescent="0.25">
      <c r="A229" t="s">
        <v>2111</v>
      </c>
      <c r="B229" t="s">
        <v>2209</v>
      </c>
      <c r="C229" t="s">
        <v>2210</v>
      </c>
      <c r="D229" t="s">
        <v>2216</v>
      </c>
      <c r="E229" t="s">
        <v>2218</v>
      </c>
      <c r="F229" t="str">
        <f>VLOOKUP(A229,Base!$A:$F,6,FALSE)</f>
        <v>INDÚSTRIAS DE TRANSFORMAÇÃO</v>
      </c>
      <c r="G229" t="str">
        <f>VLOOKUP(B229,Base!$B:$F,5,FALSE)</f>
        <v>FABRICAÇÃO DE BEBIDAS</v>
      </c>
      <c r="H229" t="str">
        <f>VLOOKUP(C229,Base!$C:$F,4,FALSE)</f>
        <v>Fabricação de bebidas alcoólicas</v>
      </c>
      <c r="I229" t="str">
        <f>VLOOKUP(D229,Base!$D:$F,3,FALSE)</f>
        <v>Fabricação de malte, cervejas e chopes</v>
      </c>
      <c r="J229" t="str">
        <f>VLOOKUP(E229,Base!$E:$F,2,FALSE)</f>
        <v>Fabricação de cervejas e chopes</v>
      </c>
      <c r="K229" t="s">
        <v>2218</v>
      </c>
      <c r="L229">
        <f>IFERROR(VLOOKUP($K229,Base_Atividades!$E$1:$N$2398,MATCH(BancoAjustado!L$1,Base_Atividades!$E$1:$N$1,0),FALSE),0)</f>
        <v>0</v>
      </c>
      <c r="M229">
        <f>IFERROR(VLOOKUP($K229,Base_Atividades!$E$1:$N$2398,MATCH(BancoAjustado!M$1,Base_Atividades!$E$1:$N$1,0),FALSE),0)</f>
        <v>0</v>
      </c>
      <c r="N229">
        <f>IFERROR(VLOOKUP($K229,Base_Atividades!$E$1:$N$2398,MATCH(BancoAjustado!N$1,Base_Atividades!$E$1:$N$1,0),FALSE),0)</f>
        <v>0</v>
      </c>
    </row>
    <row r="230" spans="1:14" x14ac:dyDescent="0.25">
      <c r="A230" t="s">
        <v>2111</v>
      </c>
      <c r="B230" t="s">
        <v>2209</v>
      </c>
      <c r="C230" t="s">
        <v>2219</v>
      </c>
      <c r="D230" t="s">
        <v>2220</v>
      </c>
      <c r="E230" t="s">
        <v>2221</v>
      </c>
      <c r="F230" t="str">
        <f>VLOOKUP(A230,Base!$A:$F,6,FALSE)</f>
        <v>INDÚSTRIAS DE TRANSFORMAÇÃO</v>
      </c>
      <c r="G230" t="str">
        <f>VLOOKUP(B230,Base!$B:$F,5,FALSE)</f>
        <v>FABRICAÇÃO DE BEBIDAS</v>
      </c>
      <c r="H230" t="str">
        <f>VLOOKUP(C230,Base!$C:$F,4,FALSE)</f>
        <v>Fabricação de bebidas não alcoólicas</v>
      </c>
      <c r="I230" t="str">
        <f>VLOOKUP(D230,Base!$D:$F,3,FALSE)</f>
        <v>Fabricação de águas envasadas</v>
      </c>
      <c r="J230" t="str">
        <f>VLOOKUP(E230,Base!$E:$F,2,FALSE)</f>
        <v>Fabricação de águas envasadas</v>
      </c>
      <c r="K230" t="s">
        <v>2221</v>
      </c>
      <c r="L230">
        <f>IFERROR(VLOOKUP($K230,Base_Atividades!$E$1:$N$2398,MATCH(BancoAjustado!L$1,Base_Atividades!$E$1:$N$1,0),FALSE),0)</f>
        <v>0</v>
      </c>
      <c r="M230">
        <f>IFERROR(VLOOKUP($K230,Base_Atividades!$E$1:$N$2398,MATCH(BancoAjustado!M$1,Base_Atividades!$E$1:$N$1,0),FALSE),0)</f>
        <v>0</v>
      </c>
      <c r="N230">
        <f>IFERROR(VLOOKUP($K230,Base_Atividades!$E$1:$N$2398,MATCH(BancoAjustado!N$1,Base_Atividades!$E$1:$N$1,0),FALSE),0)</f>
        <v>0</v>
      </c>
    </row>
    <row r="231" spans="1:14" x14ac:dyDescent="0.25">
      <c r="A231" t="s">
        <v>2111</v>
      </c>
      <c r="B231" t="s">
        <v>2209</v>
      </c>
      <c r="C231" t="s">
        <v>2219</v>
      </c>
      <c r="D231" t="s">
        <v>2222</v>
      </c>
      <c r="E231" t="s">
        <v>2223</v>
      </c>
      <c r="F231" t="str">
        <f>VLOOKUP(A231,Base!$A:$F,6,FALSE)</f>
        <v>INDÚSTRIAS DE TRANSFORMAÇÃO</v>
      </c>
      <c r="G231" t="str">
        <f>VLOOKUP(B231,Base!$B:$F,5,FALSE)</f>
        <v>FABRICAÇÃO DE BEBIDAS</v>
      </c>
      <c r="H231" t="str">
        <f>VLOOKUP(C231,Base!$C:$F,4,FALSE)</f>
        <v>Fabricação de bebidas não alcoólicas</v>
      </c>
      <c r="I231" t="str">
        <f>VLOOKUP(D231,Base!$D:$F,3,FALSE)</f>
        <v>Fabricação de refrigerantes e de outras bebidas não alcoólicas</v>
      </c>
      <c r="J231" t="str">
        <f>VLOOKUP(E231,Base!$E:$F,2,FALSE)</f>
        <v>Fabricação de refrigerantes</v>
      </c>
      <c r="K231" t="s">
        <v>2223</v>
      </c>
      <c r="L231">
        <f>IFERROR(VLOOKUP($K231,Base_Atividades!$E$1:$N$2398,MATCH(BancoAjustado!L$1,Base_Atividades!$E$1:$N$1,0),FALSE),0)</f>
        <v>0</v>
      </c>
      <c r="M231">
        <f>IFERROR(VLOOKUP($K231,Base_Atividades!$E$1:$N$2398,MATCH(BancoAjustado!M$1,Base_Atividades!$E$1:$N$1,0),FALSE),0)</f>
        <v>0</v>
      </c>
      <c r="N231">
        <f>IFERROR(VLOOKUP($K231,Base_Atividades!$E$1:$N$2398,MATCH(BancoAjustado!N$1,Base_Atividades!$E$1:$N$1,0),FALSE),0)</f>
        <v>0</v>
      </c>
    </row>
    <row r="232" spans="1:14" x14ac:dyDescent="0.25">
      <c r="A232" t="s">
        <v>2111</v>
      </c>
      <c r="B232" t="s">
        <v>2209</v>
      </c>
      <c r="C232" t="s">
        <v>2219</v>
      </c>
      <c r="D232" t="s">
        <v>2222</v>
      </c>
      <c r="E232" t="s">
        <v>2224</v>
      </c>
      <c r="F232" t="str">
        <f>VLOOKUP(A232,Base!$A:$F,6,FALSE)</f>
        <v>INDÚSTRIAS DE TRANSFORMAÇÃO</v>
      </c>
      <c r="G232" t="str">
        <f>VLOOKUP(B232,Base!$B:$F,5,FALSE)</f>
        <v>FABRICAÇÃO DE BEBIDAS</v>
      </c>
      <c r="H232" t="str">
        <f>VLOOKUP(C232,Base!$C:$F,4,FALSE)</f>
        <v>Fabricação de bebidas não alcoólicas</v>
      </c>
      <c r="I232" t="str">
        <f>VLOOKUP(D232,Base!$D:$F,3,FALSE)</f>
        <v>Fabricação de refrigerantes e de outras bebidas não alcoólicas</v>
      </c>
      <c r="J232" t="str">
        <f>VLOOKUP(E232,Base!$E:$F,2,FALSE)</f>
        <v>Fabricação de chá mate e outros chás prontos para consumo</v>
      </c>
      <c r="K232" t="s">
        <v>2224</v>
      </c>
      <c r="L232">
        <f>IFERROR(VLOOKUP($K232,Base_Atividades!$E$1:$N$2398,MATCH(BancoAjustado!L$1,Base_Atividades!$E$1:$N$1,0),FALSE),0)</f>
        <v>0</v>
      </c>
      <c r="M232">
        <f>IFERROR(VLOOKUP($K232,Base_Atividades!$E$1:$N$2398,MATCH(BancoAjustado!M$1,Base_Atividades!$E$1:$N$1,0),FALSE),0)</f>
        <v>0</v>
      </c>
      <c r="N232">
        <f>IFERROR(VLOOKUP($K232,Base_Atividades!$E$1:$N$2398,MATCH(BancoAjustado!N$1,Base_Atividades!$E$1:$N$1,0),FALSE),0)</f>
        <v>0</v>
      </c>
    </row>
    <row r="233" spans="1:14" x14ac:dyDescent="0.25">
      <c r="A233" t="s">
        <v>2111</v>
      </c>
      <c r="B233" t="s">
        <v>2209</v>
      </c>
      <c r="C233" t="s">
        <v>2219</v>
      </c>
      <c r="D233" t="s">
        <v>2222</v>
      </c>
      <c r="E233" t="s">
        <v>2225</v>
      </c>
      <c r="F233" t="str">
        <f>VLOOKUP(A233,Base!$A:$F,6,FALSE)</f>
        <v>INDÚSTRIAS DE TRANSFORMAÇÃO</v>
      </c>
      <c r="G233" t="str">
        <f>VLOOKUP(B233,Base!$B:$F,5,FALSE)</f>
        <v>FABRICAÇÃO DE BEBIDAS</v>
      </c>
      <c r="H233" t="str">
        <f>VLOOKUP(C233,Base!$C:$F,4,FALSE)</f>
        <v>Fabricação de bebidas não alcoólicas</v>
      </c>
      <c r="I233" t="str">
        <f>VLOOKUP(D233,Base!$D:$F,3,FALSE)</f>
        <v>Fabricação de refrigerantes e de outras bebidas não alcoólicas</v>
      </c>
      <c r="J233" t="str">
        <f>VLOOKUP(E233,Base!$E:$F,2,FALSE)</f>
        <v>Fabricação de refrescos, xaropes e pós para refrescos, exceto refrescos de frutas</v>
      </c>
      <c r="K233" t="s">
        <v>2225</v>
      </c>
      <c r="L233">
        <f>IFERROR(VLOOKUP($K233,Base_Atividades!$E$1:$N$2398,MATCH(BancoAjustado!L$1,Base_Atividades!$E$1:$N$1,0),FALSE),0)</f>
        <v>0</v>
      </c>
      <c r="M233">
        <f>IFERROR(VLOOKUP($K233,Base_Atividades!$E$1:$N$2398,MATCH(BancoAjustado!M$1,Base_Atividades!$E$1:$N$1,0),FALSE),0)</f>
        <v>0</v>
      </c>
      <c r="N233">
        <f>IFERROR(VLOOKUP($K233,Base_Atividades!$E$1:$N$2398,MATCH(BancoAjustado!N$1,Base_Atividades!$E$1:$N$1,0),FALSE),0)</f>
        <v>0</v>
      </c>
    </row>
    <row r="234" spans="1:14" x14ac:dyDescent="0.25">
      <c r="A234" t="s">
        <v>2111</v>
      </c>
      <c r="B234" t="s">
        <v>2209</v>
      </c>
      <c r="C234" t="s">
        <v>2219</v>
      </c>
      <c r="D234" t="s">
        <v>2222</v>
      </c>
      <c r="E234" t="s">
        <v>2226</v>
      </c>
      <c r="F234" t="str">
        <f>VLOOKUP(A234,Base!$A:$F,6,FALSE)</f>
        <v>INDÚSTRIAS DE TRANSFORMAÇÃO</v>
      </c>
      <c r="G234" t="str">
        <f>VLOOKUP(B234,Base!$B:$F,5,FALSE)</f>
        <v>FABRICAÇÃO DE BEBIDAS</v>
      </c>
      <c r="H234" t="str">
        <f>VLOOKUP(C234,Base!$C:$F,4,FALSE)</f>
        <v>Fabricação de bebidas não alcoólicas</v>
      </c>
      <c r="I234" t="str">
        <f>VLOOKUP(D234,Base!$D:$F,3,FALSE)</f>
        <v>Fabricação de refrigerantes e de outras bebidas não alcoólicas</v>
      </c>
      <c r="J234" t="str">
        <f>VLOOKUP(E234,Base!$E:$F,2,FALSE)</f>
        <v>Fabricação de bebidas isotônicas</v>
      </c>
      <c r="K234" t="s">
        <v>2226</v>
      </c>
      <c r="L234">
        <f>IFERROR(VLOOKUP($K234,Base_Atividades!$E$1:$N$2398,MATCH(BancoAjustado!L$1,Base_Atividades!$E$1:$N$1,0),FALSE),0)</f>
        <v>0</v>
      </c>
      <c r="M234">
        <f>IFERROR(VLOOKUP($K234,Base_Atividades!$E$1:$N$2398,MATCH(BancoAjustado!M$1,Base_Atividades!$E$1:$N$1,0),FALSE),0)</f>
        <v>0</v>
      </c>
      <c r="N234">
        <f>IFERROR(VLOOKUP($K234,Base_Atividades!$E$1:$N$2398,MATCH(BancoAjustado!N$1,Base_Atividades!$E$1:$N$1,0),FALSE),0)</f>
        <v>0</v>
      </c>
    </row>
    <row r="235" spans="1:14" x14ac:dyDescent="0.25">
      <c r="A235" t="s">
        <v>2111</v>
      </c>
      <c r="B235" t="s">
        <v>2209</v>
      </c>
      <c r="C235" t="s">
        <v>2219</v>
      </c>
      <c r="D235" t="s">
        <v>2222</v>
      </c>
      <c r="E235" t="s">
        <v>2227</v>
      </c>
      <c r="F235" t="str">
        <f>VLOOKUP(A235,Base!$A:$F,6,FALSE)</f>
        <v>INDÚSTRIAS DE TRANSFORMAÇÃO</v>
      </c>
      <c r="G235" t="str">
        <f>VLOOKUP(B235,Base!$B:$F,5,FALSE)</f>
        <v>FABRICAÇÃO DE BEBIDAS</v>
      </c>
      <c r="H235" t="str">
        <f>VLOOKUP(C235,Base!$C:$F,4,FALSE)</f>
        <v>Fabricação de bebidas não alcoólicas</v>
      </c>
      <c r="I235" t="str">
        <f>VLOOKUP(D235,Base!$D:$F,3,FALSE)</f>
        <v>Fabricação de refrigerantes e de outras bebidas não alcoólicas</v>
      </c>
      <c r="J235" t="str">
        <f>VLOOKUP(E235,Base!$E:$F,2,FALSE)</f>
        <v>Fabricação de outras bebidas não alcoólicas não especificadas anteriormente</v>
      </c>
      <c r="K235" t="s">
        <v>2227</v>
      </c>
      <c r="L235">
        <f>IFERROR(VLOOKUP($K235,Base_Atividades!$E$1:$N$2398,MATCH(BancoAjustado!L$1,Base_Atividades!$E$1:$N$1,0),FALSE),0)</f>
        <v>0</v>
      </c>
      <c r="M235">
        <f>IFERROR(VLOOKUP($K235,Base_Atividades!$E$1:$N$2398,MATCH(BancoAjustado!M$1,Base_Atividades!$E$1:$N$1,0),FALSE),0)</f>
        <v>0</v>
      </c>
      <c r="N235">
        <f>IFERROR(VLOOKUP($K235,Base_Atividades!$E$1:$N$2398,MATCH(BancoAjustado!N$1,Base_Atividades!$E$1:$N$1,0),FALSE),0)</f>
        <v>0</v>
      </c>
    </row>
    <row r="236" spans="1:14" x14ac:dyDescent="0.25">
      <c r="A236" t="s">
        <v>2111</v>
      </c>
      <c r="B236" t="s">
        <v>2228</v>
      </c>
      <c r="C236" t="s">
        <v>2229</v>
      </c>
      <c r="D236" t="s">
        <v>2230</v>
      </c>
      <c r="E236" t="s">
        <v>2231</v>
      </c>
      <c r="F236" t="str">
        <f>VLOOKUP(A236,Base!$A:$F,6,FALSE)</f>
        <v>INDÚSTRIAS DE TRANSFORMAÇÃO</v>
      </c>
      <c r="G236" t="str">
        <f>VLOOKUP(B236,Base!$B:$F,5,FALSE)</f>
        <v>FABRICAÇÃO DE PRODUTOS DO FUMO</v>
      </c>
      <c r="H236" t="str">
        <f>VLOOKUP(C236,Base!$C:$F,4,FALSE)</f>
        <v>Processamento industrial do fumo</v>
      </c>
      <c r="I236" t="str">
        <f>VLOOKUP(D236,Base!$D:$F,3,FALSE)</f>
        <v>Processamento industrial do fumo</v>
      </c>
      <c r="J236" t="str">
        <f>VLOOKUP(E236,Base!$E:$F,2,FALSE)</f>
        <v>Processamento industrial do fumo</v>
      </c>
      <c r="K236" t="s">
        <v>2231</v>
      </c>
      <c r="L236">
        <f>IFERROR(VLOOKUP($K236,Base_Atividades!$E$1:$N$2398,MATCH(BancoAjustado!L$1,Base_Atividades!$E$1:$N$1,0),FALSE),0)</f>
        <v>0</v>
      </c>
      <c r="M236">
        <f>IFERROR(VLOOKUP($K236,Base_Atividades!$E$1:$N$2398,MATCH(BancoAjustado!M$1,Base_Atividades!$E$1:$N$1,0),FALSE),0)</f>
        <v>0</v>
      </c>
      <c r="N236">
        <f>IFERROR(VLOOKUP($K236,Base_Atividades!$E$1:$N$2398,MATCH(BancoAjustado!N$1,Base_Atividades!$E$1:$N$1,0),FALSE),0)</f>
        <v>0</v>
      </c>
    </row>
    <row r="237" spans="1:14" x14ac:dyDescent="0.25">
      <c r="A237" t="s">
        <v>2111</v>
      </c>
      <c r="B237" t="s">
        <v>2228</v>
      </c>
      <c r="C237" t="s">
        <v>2232</v>
      </c>
      <c r="D237" t="s">
        <v>2233</v>
      </c>
      <c r="E237" t="s">
        <v>2234</v>
      </c>
      <c r="F237" t="str">
        <f>VLOOKUP(A237,Base!$A:$F,6,FALSE)</f>
        <v>INDÚSTRIAS DE TRANSFORMAÇÃO</v>
      </c>
      <c r="G237" t="str">
        <f>VLOOKUP(B237,Base!$B:$F,5,FALSE)</f>
        <v>FABRICAÇÃO DE PRODUTOS DO FUMO</v>
      </c>
      <c r="H237" t="str">
        <f>VLOOKUP(C237,Base!$C:$F,4,FALSE)</f>
        <v>Fabricação de produtos do fumo</v>
      </c>
      <c r="I237" t="str">
        <f>VLOOKUP(D237,Base!$D:$F,3,FALSE)</f>
        <v>Fabricação de produtos do fumo</v>
      </c>
      <c r="J237" t="str">
        <f>VLOOKUP(E237,Base!$E:$F,2,FALSE)</f>
        <v>Fabricação de cigarros</v>
      </c>
      <c r="K237" t="s">
        <v>2234</v>
      </c>
      <c r="L237">
        <f>IFERROR(VLOOKUP($K237,Base_Atividades!$E$1:$N$2398,MATCH(BancoAjustado!L$1,Base_Atividades!$E$1:$N$1,0),FALSE),0)</f>
        <v>0</v>
      </c>
      <c r="M237">
        <f>IFERROR(VLOOKUP($K237,Base_Atividades!$E$1:$N$2398,MATCH(BancoAjustado!M$1,Base_Atividades!$E$1:$N$1,0),FALSE),0)</f>
        <v>0</v>
      </c>
      <c r="N237">
        <f>IFERROR(VLOOKUP($K237,Base_Atividades!$E$1:$N$2398,MATCH(BancoAjustado!N$1,Base_Atividades!$E$1:$N$1,0),FALSE),0)</f>
        <v>0</v>
      </c>
    </row>
    <row r="238" spans="1:14" x14ac:dyDescent="0.25">
      <c r="A238" t="s">
        <v>2111</v>
      </c>
      <c r="B238" t="s">
        <v>2228</v>
      </c>
      <c r="C238" t="s">
        <v>2232</v>
      </c>
      <c r="D238" t="s">
        <v>2233</v>
      </c>
      <c r="E238" t="s">
        <v>2235</v>
      </c>
      <c r="F238" t="str">
        <f>VLOOKUP(A238,Base!$A:$F,6,FALSE)</f>
        <v>INDÚSTRIAS DE TRANSFORMAÇÃO</v>
      </c>
      <c r="G238" t="str">
        <f>VLOOKUP(B238,Base!$B:$F,5,FALSE)</f>
        <v>FABRICAÇÃO DE PRODUTOS DO FUMO</v>
      </c>
      <c r="H238" t="str">
        <f>VLOOKUP(C238,Base!$C:$F,4,FALSE)</f>
        <v>Fabricação de produtos do fumo</v>
      </c>
      <c r="I238" t="str">
        <f>VLOOKUP(D238,Base!$D:$F,3,FALSE)</f>
        <v>Fabricação de produtos do fumo</v>
      </c>
      <c r="J238" t="str">
        <f>VLOOKUP(E238,Base!$E:$F,2,FALSE)</f>
        <v>Fabricação de cigarrilhas e charutos</v>
      </c>
      <c r="K238" t="s">
        <v>2235</v>
      </c>
      <c r="L238">
        <f>IFERROR(VLOOKUP($K238,Base_Atividades!$E$1:$N$2398,MATCH(BancoAjustado!L$1,Base_Atividades!$E$1:$N$1,0),FALSE),0)</f>
        <v>0</v>
      </c>
      <c r="M238">
        <f>IFERROR(VLOOKUP($K238,Base_Atividades!$E$1:$N$2398,MATCH(BancoAjustado!M$1,Base_Atividades!$E$1:$N$1,0),FALSE),0)</f>
        <v>0</v>
      </c>
      <c r="N238">
        <f>IFERROR(VLOOKUP($K238,Base_Atividades!$E$1:$N$2398,MATCH(BancoAjustado!N$1,Base_Atividades!$E$1:$N$1,0),FALSE),0)</f>
        <v>0</v>
      </c>
    </row>
    <row r="239" spans="1:14" x14ac:dyDescent="0.25">
      <c r="A239" t="s">
        <v>2111</v>
      </c>
      <c r="B239" t="s">
        <v>2228</v>
      </c>
      <c r="C239" t="s">
        <v>2232</v>
      </c>
      <c r="D239" t="s">
        <v>2233</v>
      </c>
      <c r="E239" t="s">
        <v>2236</v>
      </c>
      <c r="F239" t="str">
        <f>VLOOKUP(A239,Base!$A:$F,6,FALSE)</f>
        <v>INDÚSTRIAS DE TRANSFORMAÇÃO</v>
      </c>
      <c r="G239" t="str">
        <f>VLOOKUP(B239,Base!$B:$F,5,FALSE)</f>
        <v>FABRICAÇÃO DE PRODUTOS DO FUMO</v>
      </c>
      <c r="H239" t="str">
        <f>VLOOKUP(C239,Base!$C:$F,4,FALSE)</f>
        <v>Fabricação de produtos do fumo</v>
      </c>
      <c r="I239" t="str">
        <f>VLOOKUP(D239,Base!$D:$F,3,FALSE)</f>
        <v>Fabricação de produtos do fumo</v>
      </c>
      <c r="J239" t="str">
        <f>VLOOKUP(E239,Base!$E:$F,2,FALSE)</f>
        <v>Fabricação de filtros para cigarros</v>
      </c>
      <c r="K239" t="s">
        <v>2236</v>
      </c>
      <c r="L239">
        <f>IFERROR(VLOOKUP($K239,Base_Atividades!$E$1:$N$2398,MATCH(BancoAjustado!L$1,Base_Atividades!$E$1:$N$1,0),FALSE),0)</f>
        <v>0</v>
      </c>
      <c r="M239">
        <f>IFERROR(VLOOKUP($K239,Base_Atividades!$E$1:$N$2398,MATCH(BancoAjustado!M$1,Base_Atividades!$E$1:$N$1,0),FALSE),0)</f>
        <v>0</v>
      </c>
      <c r="N239">
        <f>IFERROR(VLOOKUP($K239,Base_Atividades!$E$1:$N$2398,MATCH(BancoAjustado!N$1,Base_Atividades!$E$1:$N$1,0),FALSE),0)</f>
        <v>0</v>
      </c>
    </row>
    <row r="240" spans="1:14" x14ac:dyDescent="0.25">
      <c r="A240" t="s">
        <v>2111</v>
      </c>
      <c r="B240" t="s">
        <v>2228</v>
      </c>
      <c r="C240" t="s">
        <v>2232</v>
      </c>
      <c r="D240" t="s">
        <v>2233</v>
      </c>
      <c r="E240" t="s">
        <v>2237</v>
      </c>
      <c r="F240" t="str">
        <f>VLOOKUP(A240,Base!$A:$F,6,FALSE)</f>
        <v>INDÚSTRIAS DE TRANSFORMAÇÃO</v>
      </c>
      <c r="G240" t="str">
        <f>VLOOKUP(B240,Base!$B:$F,5,FALSE)</f>
        <v>FABRICAÇÃO DE PRODUTOS DO FUMO</v>
      </c>
      <c r="H240" t="str">
        <f>VLOOKUP(C240,Base!$C:$F,4,FALSE)</f>
        <v>Fabricação de produtos do fumo</v>
      </c>
      <c r="I240" t="str">
        <f>VLOOKUP(D240,Base!$D:$F,3,FALSE)</f>
        <v>Fabricação de produtos do fumo</v>
      </c>
      <c r="J240" t="str">
        <f>VLOOKUP(E240,Base!$E:$F,2,FALSE)</f>
        <v>Fabricação de outros produtos do fumo, exceto cigarros, cigarrilhas e charutos</v>
      </c>
      <c r="K240" t="s">
        <v>2237</v>
      </c>
      <c r="L240">
        <f>IFERROR(VLOOKUP($K240,Base_Atividades!$E$1:$N$2398,MATCH(BancoAjustado!L$1,Base_Atividades!$E$1:$N$1,0),FALSE),0)</f>
        <v>0</v>
      </c>
      <c r="M240">
        <f>IFERROR(VLOOKUP($K240,Base_Atividades!$E$1:$N$2398,MATCH(BancoAjustado!M$1,Base_Atividades!$E$1:$N$1,0),FALSE),0)</f>
        <v>0</v>
      </c>
      <c r="N240">
        <f>IFERROR(VLOOKUP($K240,Base_Atividades!$E$1:$N$2398,MATCH(BancoAjustado!N$1,Base_Atividades!$E$1:$N$1,0),FALSE),0)</f>
        <v>0</v>
      </c>
    </row>
    <row r="241" spans="1:14" x14ac:dyDescent="0.25">
      <c r="A241" t="s">
        <v>2111</v>
      </c>
      <c r="B241" t="s">
        <v>2238</v>
      </c>
      <c r="C241" t="s">
        <v>2239</v>
      </c>
      <c r="D241" t="s">
        <v>2240</v>
      </c>
      <c r="E241" t="s">
        <v>2241</v>
      </c>
      <c r="F241" t="str">
        <f>VLOOKUP(A241,Base!$A:$F,6,FALSE)</f>
        <v>INDÚSTRIAS DE TRANSFORMAÇÃO</v>
      </c>
      <c r="G241" t="str">
        <f>VLOOKUP(B241,Base!$B:$F,5,FALSE)</f>
        <v>FABRICAÇÃO DE PRODUTOS TÊXTEIS</v>
      </c>
      <c r="H241" t="str">
        <f>VLOOKUP(C241,Base!$C:$F,4,FALSE)</f>
        <v>Preparação e fiação de fibras têxteis</v>
      </c>
      <c r="I241" t="str">
        <f>VLOOKUP(D241,Base!$D:$F,3,FALSE)</f>
        <v>Preparação e fiação de fibras de algodão</v>
      </c>
      <c r="J241" t="str">
        <f>VLOOKUP(E241,Base!$E:$F,2,FALSE)</f>
        <v>Preparação e fiação de fibras de algodão</v>
      </c>
      <c r="K241" t="s">
        <v>2241</v>
      </c>
      <c r="L241">
        <f>IFERROR(VLOOKUP($K241,Base_Atividades!$E$1:$N$2398,MATCH(BancoAjustado!L$1,Base_Atividades!$E$1:$N$1,0),FALSE),0)</f>
        <v>1</v>
      </c>
      <c r="M241">
        <f>IFERROR(VLOOKUP($K241,Base_Atividades!$E$1:$N$2398,MATCH(BancoAjustado!M$1,Base_Atividades!$E$1:$N$1,0),FALSE),0)</f>
        <v>0</v>
      </c>
      <c r="N241">
        <f>IFERROR(VLOOKUP($K241,Base_Atividades!$E$1:$N$2398,MATCH(BancoAjustado!N$1,Base_Atividades!$E$1:$N$1,0),FALSE),0)</f>
        <v>0</v>
      </c>
    </row>
    <row r="242" spans="1:14" x14ac:dyDescent="0.25">
      <c r="A242" t="s">
        <v>2111</v>
      </c>
      <c r="B242" t="s">
        <v>2238</v>
      </c>
      <c r="C242" t="s">
        <v>2239</v>
      </c>
      <c r="D242" t="s">
        <v>2242</v>
      </c>
      <c r="E242" t="s">
        <v>2243</v>
      </c>
      <c r="F242" t="str">
        <f>VLOOKUP(A242,Base!$A:$F,6,FALSE)</f>
        <v>INDÚSTRIAS DE TRANSFORMAÇÃO</v>
      </c>
      <c r="G242" t="str">
        <f>VLOOKUP(B242,Base!$B:$F,5,FALSE)</f>
        <v>FABRICAÇÃO DE PRODUTOS TÊXTEIS</v>
      </c>
      <c r="H242" t="str">
        <f>VLOOKUP(C242,Base!$C:$F,4,FALSE)</f>
        <v>Preparação e fiação de fibras têxteis</v>
      </c>
      <c r="I242" t="str">
        <f>VLOOKUP(D242,Base!$D:$F,3,FALSE)</f>
        <v>Preparação e fiação de fibras têxteis naturais, exceto algodão</v>
      </c>
      <c r="J242" t="str">
        <f>VLOOKUP(E242,Base!$E:$F,2,FALSE)</f>
        <v>Preparação e fiação de fibras têxteis naturais, exceto algodão</v>
      </c>
      <c r="K242" t="s">
        <v>2243</v>
      </c>
      <c r="L242">
        <f>IFERROR(VLOOKUP($K242,Base_Atividades!$E$1:$N$2398,MATCH(BancoAjustado!L$1,Base_Atividades!$E$1:$N$1,0),FALSE),0)</f>
        <v>1</v>
      </c>
      <c r="M242">
        <f>IFERROR(VLOOKUP($K242,Base_Atividades!$E$1:$N$2398,MATCH(BancoAjustado!M$1,Base_Atividades!$E$1:$N$1,0),FALSE),0)</f>
        <v>0</v>
      </c>
      <c r="N242">
        <f>IFERROR(VLOOKUP($K242,Base_Atividades!$E$1:$N$2398,MATCH(BancoAjustado!N$1,Base_Atividades!$E$1:$N$1,0),FALSE),0)</f>
        <v>0</v>
      </c>
    </row>
    <row r="243" spans="1:14" x14ac:dyDescent="0.25">
      <c r="A243" t="s">
        <v>2111</v>
      </c>
      <c r="B243" t="s">
        <v>2238</v>
      </c>
      <c r="C243" t="s">
        <v>2239</v>
      </c>
      <c r="D243" t="s">
        <v>2244</v>
      </c>
      <c r="E243" t="s">
        <v>2245</v>
      </c>
      <c r="F243" t="str">
        <f>VLOOKUP(A243,Base!$A:$F,6,FALSE)</f>
        <v>INDÚSTRIAS DE TRANSFORMAÇÃO</v>
      </c>
      <c r="G243" t="str">
        <f>VLOOKUP(B243,Base!$B:$F,5,FALSE)</f>
        <v>FABRICAÇÃO DE PRODUTOS TÊXTEIS</v>
      </c>
      <c r="H243" t="str">
        <f>VLOOKUP(C243,Base!$C:$F,4,FALSE)</f>
        <v>Preparação e fiação de fibras têxteis</v>
      </c>
      <c r="I243" t="str">
        <f>VLOOKUP(D243,Base!$D:$F,3,FALSE)</f>
        <v>Fiação de fibras artificiais e sintéticas</v>
      </c>
      <c r="J243" t="str">
        <f>VLOOKUP(E243,Base!$E:$F,2,FALSE)</f>
        <v>Fiação de fibras artificiais e sintéticas</v>
      </c>
      <c r="K243" t="s">
        <v>2245</v>
      </c>
      <c r="L243">
        <f>IFERROR(VLOOKUP($K243,Base_Atividades!$E$1:$N$2398,MATCH(BancoAjustado!L$1,Base_Atividades!$E$1:$N$1,0),FALSE),0)</f>
        <v>1</v>
      </c>
      <c r="M243">
        <f>IFERROR(VLOOKUP($K243,Base_Atividades!$E$1:$N$2398,MATCH(BancoAjustado!M$1,Base_Atividades!$E$1:$N$1,0),FALSE),0)</f>
        <v>0</v>
      </c>
      <c r="N243">
        <f>IFERROR(VLOOKUP($K243,Base_Atividades!$E$1:$N$2398,MATCH(BancoAjustado!N$1,Base_Atividades!$E$1:$N$1,0),FALSE),0)</f>
        <v>0</v>
      </c>
    </row>
    <row r="244" spans="1:14" x14ac:dyDescent="0.25">
      <c r="A244" t="s">
        <v>2111</v>
      </c>
      <c r="B244" t="s">
        <v>2238</v>
      </c>
      <c r="C244" t="s">
        <v>2239</v>
      </c>
      <c r="D244" t="s">
        <v>2246</v>
      </c>
      <c r="E244" t="s">
        <v>2247</v>
      </c>
      <c r="F244" t="str">
        <f>VLOOKUP(A244,Base!$A:$F,6,FALSE)</f>
        <v>INDÚSTRIAS DE TRANSFORMAÇÃO</v>
      </c>
      <c r="G244" t="str">
        <f>VLOOKUP(B244,Base!$B:$F,5,FALSE)</f>
        <v>FABRICAÇÃO DE PRODUTOS TÊXTEIS</v>
      </c>
      <c r="H244" t="str">
        <f>VLOOKUP(C244,Base!$C:$F,4,FALSE)</f>
        <v>Preparação e fiação de fibras têxteis</v>
      </c>
      <c r="I244" t="str">
        <f>VLOOKUP(D244,Base!$D:$F,3,FALSE)</f>
        <v>Fabricação de linhas para costurar e bordar</v>
      </c>
      <c r="J244" t="str">
        <f>VLOOKUP(E244,Base!$E:$F,2,FALSE)</f>
        <v>Fabricação de linhas para costurar e bordar</v>
      </c>
      <c r="K244" t="s">
        <v>2247</v>
      </c>
      <c r="L244">
        <f>IFERROR(VLOOKUP($K244,Base_Atividades!$E$1:$N$2398,MATCH(BancoAjustado!L$1,Base_Atividades!$E$1:$N$1,0),FALSE),0)</f>
        <v>1</v>
      </c>
      <c r="M244">
        <f>IFERROR(VLOOKUP($K244,Base_Atividades!$E$1:$N$2398,MATCH(BancoAjustado!M$1,Base_Atividades!$E$1:$N$1,0),FALSE),0)</f>
        <v>0</v>
      </c>
      <c r="N244">
        <f>IFERROR(VLOOKUP($K244,Base_Atividades!$E$1:$N$2398,MATCH(BancoAjustado!N$1,Base_Atividades!$E$1:$N$1,0),FALSE),0)</f>
        <v>0</v>
      </c>
    </row>
    <row r="245" spans="1:14" x14ac:dyDescent="0.25">
      <c r="A245" t="s">
        <v>2111</v>
      </c>
      <c r="B245" t="s">
        <v>2238</v>
      </c>
      <c r="C245" t="s">
        <v>2248</v>
      </c>
      <c r="D245" t="s">
        <v>2249</v>
      </c>
      <c r="E245" t="s">
        <v>2250</v>
      </c>
      <c r="F245" t="str">
        <f>VLOOKUP(A245,Base!$A:$F,6,FALSE)</f>
        <v>INDÚSTRIAS DE TRANSFORMAÇÃO</v>
      </c>
      <c r="G245" t="str">
        <f>VLOOKUP(B245,Base!$B:$F,5,FALSE)</f>
        <v>FABRICAÇÃO DE PRODUTOS TÊXTEIS</v>
      </c>
      <c r="H245" t="str">
        <f>VLOOKUP(C245,Base!$C:$F,4,FALSE)</f>
        <v>Tecelagem, exceto malha</v>
      </c>
      <c r="I245" t="str">
        <f>VLOOKUP(D245,Base!$D:$F,3,FALSE)</f>
        <v>Tecelagem de fios de algodão</v>
      </c>
      <c r="J245" t="str">
        <f>VLOOKUP(E245,Base!$E:$F,2,FALSE)</f>
        <v>Tecelagem de fios de algodão</v>
      </c>
      <c r="K245" t="s">
        <v>2250</v>
      </c>
      <c r="L245">
        <f>IFERROR(VLOOKUP($K245,Base_Atividades!$E$1:$N$2398,MATCH(BancoAjustado!L$1,Base_Atividades!$E$1:$N$1,0),FALSE),0)</f>
        <v>1</v>
      </c>
      <c r="M245">
        <f>IFERROR(VLOOKUP($K245,Base_Atividades!$E$1:$N$2398,MATCH(BancoAjustado!M$1,Base_Atividades!$E$1:$N$1,0),FALSE),0)</f>
        <v>0</v>
      </c>
      <c r="N245">
        <f>IFERROR(VLOOKUP($K245,Base_Atividades!$E$1:$N$2398,MATCH(BancoAjustado!N$1,Base_Atividades!$E$1:$N$1,0),FALSE),0)</f>
        <v>0</v>
      </c>
    </row>
    <row r="246" spans="1:14" x14ac:dyDescent="0.25">
      <c r="A246" t="s">
        <v>2111</v>
      </c>
      <c r="B246" t="s">
        <v>2238</v>
      </c>
      <c r="C246" t="s">
        <v>2248</v>
      </c>
      <c r="D246" t="s">
        <v>2251</v>
      </c>
      <c r="E246" t="s">
        <v>2252</v>
      </c>
      <c r="F246" t="str">
        <f>VLOOKUP(A246,Base!$A:$F,6,FALSE)</f>
        <v>INDÚSTRIAS DE TRANSFORMAÇÃO</v>
      </c>
      <c r="G246" t="str">
        <f>VLOOKUP(B246,Base!$B:$F,5,FALSE)</f>
        <v>FABRICAÇÃO DE PRODUTOS TÊXTEIS</v>
      </c>
      <c r="H246" t="str">
        <f>VLOOKUP(C246,Base!$C:$F,4,FALSE)</f>
        <v>Tecelagem, exceto malha</v>
      </c>
      <c r="I246" t="str">
        <f>VLOOKUP(D246,Base!$D:$F,3,FALSE)</f>
        <v>Tecelagem de fios de fibras têxteis naturais, exceto algodão</v>
      </c>
      <c r="J246" t="str">
        <f>VLOOKUP(E246,Base!$E:$F,2,FALSE)</f>
        <v>Tecelagem de fios de fibras têxteis naturais, exceto algodão</v>
      </c>
      <c r="K246" t="s">
        <v>2252</v>
      </c>
      <c r="L246">
        <f>IFERROR(VLOOKUP($K246,Base_Atividades!$E$1:$N$2398,MATCH(BancoAjustado!L$1,Base_Atividades!$E$1:$N$1,0),FALSE),0)</f>
        <v>1</v>
      </c>
      <c r="M246">
        <f>IFERROR(VLOOKUP($K246,Base_Atividades!$E$1:$N$2398,MATCH(BancoAjustado!M$1,Base_Atividades!$E$1:$N$1,0),FALSE),0)</f>
        <v>0</v>
      </c>
      <c r="N246">
        <f>IFERROR(VLOOKUP($K246,Base_Atividades!$E$1:$N$2398,MATCH(BancoAjustado!N$1,Base_Atividades!$E$1:$N$1,0),FALSE),0)</f>
        <v>0</v>
      </c>
    </row>
    <row r="247" spans="1:14" x14ac:dyDescent="0.25">
      <c r="A247" t="s">
        <v>2111</v>
      </c>
      <c r="B247" t="s">
        <v>2238</v>
      </c>
      <c r="C247" t="s">
        <v>2248</v>
      </c>
      <c r="D247" t="s">
        <v>2253</v>
      </c>
      <c r="E247" t="s">
        <v>2254</v>
      </c>
      <c r="F247" t="str">
        <f>VLOOKUP(A247,Base!$A:$F,6,FALSE)</f>
        <v>INDÚSTRIAS DE TRANSFORMAÇÃO</v>
      </c>
      <c r="G247" t="str">
        <f>VLOOKUP(B247,Base!$B:$F,5,FALSE)</f>
        <v>FABRICAÇÃO DE PRODUTOS TÊXTEIS</v>
      </c>
      <c r="H247" t="str">
        <f>VLOOKUP(C247,Base!$C:$F,4,FALSE)</f>
        <v>Tecelagem, exceto malha</v>
      </c>
      <c r="I247" t="str">
        <f>VLOOKUP(D247,Base!$D:$F,3,FALSE)</f>
        <v>Tecelagem de fios de fibras artificiais e sintéticas</v>
      </c>
      <c r="J247" t="str">
        <f>VLOOKUP(E247,Base!$E:$F,2,FALSE)</f>
        <v>Tecelagem de fios de fibras artificiais e sintéticas</v>
      </c>
      <c r="K247" t="s">
        <v>2254</v>
      </c>
      <c r="L247">
        <f>IFERROR(VLOOKUP($K247,Base_Atividades!$E$1:$N$2398,MATCH(BancoAjustado!L$1,Base_Atividades!$E$1:$N$1,0),FALSE),0)</f>
        <v>1</v>
      </c>
      <c r="M247">
        <f>IFERROR(VLOOKUP($K247,Base_Atividades!$E$1:$N$2398,MATCH(BancoAjustado!M$1,Base_Atividades!$E$1:$N$1,0),FALSE),0)</f>
        <v>0</v>
      </c>
      <c r="N247">
        <f>IFERROR(VLOOKUP($K247,Base_Atividades!$E$1:$N$2398,MATCH(BancoAjustado!N$1,Base_Atividades!$E$1:$N$1,0),FALSE),0)</f>
        <v>0</v>
      </c>
    </row>
    <row r="248" spans="1:14" x14ac:dyDescent="0.25">
      <c r="A248" t="s">
        <v>2111</v>
      </c>
      <c r="B248" t="s">
        <v>2238</v>
      </c>
      <c r="C248" t="s">
        <v>2255</v>
      </c>
      <c r="D248" t="s">
        <v>2256</v>
      </c>
      <c r="E248" t="s">
        <v>2257</v>
      </c>
      <c r="F248" t="str">
        <f>VLOOKUP(A248,Base!$A:$F,6,FALSE)</f>
        <v>INDÚSTRIAS DE TRANSFORMAÇÃO</v>
      </c>
      <c r="G248" t="str">
        <f>VLOOKUP(B248,Base!$B:$F,5,FALSE)</f>
        <v>FABRICAÇÃO DE PRODUTOS TÊXTEIS</v>
      </c>
      <c r="H248" t="str">
        <f>VLOOKUP(C248,Base!$C:$F,4,FALSE)</f>
        <v>Fabricação de tecidos de malha</v>
      </c>
      <c r="I248" t="str">
        <f>VLOOKUP(D248,Base!$D:$F,3,FALSE)</f>
        <v>Fabricação de tecidos de malha</v>
      </c>
      <c r="J248" t="str">
        <f>VLOOKUP(E248,Base!$E:$F,2,FALSE)</f>
        <v>Fabricação de tecidos de malha</v>
      </c>
      <c r="K248" t="s">
        <v>2257</v>
      </c>
      <c r="L248">
        <f>IFERROR(VLOOKUP($K248,Base_Atividades!$E$1:$N$2398,MATCH(BancoAjustado!L$1,Base_Atividades!$E$1:$N$1,0),FALSE),0)</f>
        <v>1</v>
      </c>
      <c r="M248">
        <f>IFERROR(VLOOKUP($K248,Base_Atividades!$E$1:$N$2398,MATCH(BancoAjustado!M$1,Base_Atividades!$E$1:$N$1,0),FALSE),0)</f>
        <v>0</v>
      </c>
      <c r="N248">
        <f>IFERROR(VLOOKUP($K248,Base_Atividades!$E$1:$N$2398,MATCH(BancoAjustado!N$1,Base_Atividades!$E$1:$N$1,0),FALSE),0)</f>
        <v>0</v>
      </c>
    </row>
    <row r="249" spans="1:14" x14ac:dyDescent="0.25">
      <c r="A249" t="s">
        <v>2111</v>
      </c>
      <c r="B249" t="s">
        <v>2238</v>
      </c>
      <c r="C249" t="s">
        <v>2258</v>
      </c>
      <c r="D249" t="s">
        <v>2259</v>
      </c>
      <c r="E249" t="s">
        <v>2260</v>
      </c>
      <c r="F249" t="str">
        <f>VLOOKUP(A249,Base!$A:$F,6,FALSE)</f>
        <v>INDÚSTRIAS DE TRANSFORMAÇÃO</v>
      </c>
      <c r="G249" t="str">
        <f>VLOOKUP(B249,Base!$B:$F,5,FALSE)</f>
        <v>FABRICAÇÃO DE PRODUTOS TÊXTEIS</v>
      </c>
      <c r="H249" t="str">
        <f>VLOOKUP(C249,Base!$C:$F,4,FALSE)</f>
        <v>Acabamentos em fios, tecidos e artefatos têxteis</v>
      </c>
      <c r="I249" t="str">
        <f>VLOOKUP(D249,Base!$D:$F,3,FALSE)</f>
        <v>Acabamentos em fios, tecidos e artefatos têxteis</v>
      </c>
      <c r="J249" t="str">
        <f>VLOOKUP(E249,Base!$E:$F,2,FALSE)</f>
        <v>Estamparia e texturização em fios, tecidos, artefatos têxteis e peças do vestuário</v>
      </c>
      <c r="K249" t="s">
        <v>2260</v>
      </c>
      <c r="L249">
        <f>IFERROR(VLOOKUP($K249,Base_Atividades!$E$1:$N$2398,MATCH(BancoAjustado!L$1,Base_Atividades!$E$1:$N$1,0),FALSE),0)</f>
        <v>1</v>
      </c>
      <c r="M249">
        <f>IFERROR(VLOOKUP($K249,Base_Atividades!$E$1:$N$2398,MATCH(BancoAjustado!M$1,Base_Atividades!$E$1:$N$1,0),FALSE),0)</f>
        <v>0</v>
      </c>
      <c r="N249">
        <f>IFERROR(VLOOKUP($K249,Base_Atividades!$E$1:$N$2398,MATCH(BancoAjustado!N$1,Base_Atividades!$E$1:$N$1,0),FALSE),0)</f>
        <v>0</v>
      </c>
    </row>
    <row r="250" spans="1:14" x14ac:dyDescent="0.25">
      <c r="A250" t="s">
        <v>2111</v>
      </c>
      <c r="B250" t="s">
        <v>2238</v>
      </c>
      <c r="C250" t="s">
        <v>2258</v>
      </c>
      <c r="D250" t="s">
        <v>2259</v>
      </c>
      <c r="E250" t="s">
        <v>2261</v>
      </c>
      <c r="F250" t="str">
        <f>VLOOKUP(A250,Base!$A:$F,6,FALSE)</f>
        <v>INDÚSTRIAS DE TRANSFORMAÇÃO</v>
      </c>
      <c r="G250" t="str">
        <f>VLOOKUP(B250,Base!$B:$F,5,FALSE)</f>
        <v>FABRICAÇÃO DE PRODUTOS TÊXTEIS</v>
      </c>
      <c r="H250" t="str">
        <f>VLOOKUP(C250,Base!$C:$F,4,FALSE)</f>
        <v>Acabamentos em fios, tecidos e artefatos têxteis</v>
      </c>
      <c r="I250" t="str">
        <f>VLOOKUP(D250,Base!$D:$F,3,FALSE)</f>
        <v>Acabamentos em fios, tecidos e artefatos têxteis</v>
      </c>
      <c r="J250" t="str">
        <f>VLOOKUP(E250,Base!$E:$F,2,FALSE)</f>
        <v>Alvejamento, tingimento e torção em fios, tecidos, artefatos têxteis e peças do vestuário</v>
      </c>
      <c r="K250" t="s">
        <v>2261</v>
      </c>
      <c r="L250">
        <f>IFERROR(VLOOKUP($K250,Base_Atividades!$E$1:$N$2398,MATCH(BancoAjustado!L$1,Base_Atividades!$E$1:$N$1,0),FALSE),0)</f>
        <v>1</v>
      </c>
      <c r="M250">
        <f>IFERROR(VLOOKUP($K250,Base_Atividades!$E$1:$N$2398,MATCH(BancoAjustado!M$1,Base_Atividades!$E$1:$N$1,0),FALSE),0)</f>
        <v>0</v>
      </c>
      <c r="N250">
        <f>IFERROR(VLOOKUP($K250,Base_Atividades!$E$1:$N$2398,MATCH(BancoAjustado!N$1,Base_Atividades!$E$1:$N$1,0),FALSE),0)</f>
        <v>0</v>
      </c>
    </row>
    <row r="251" spans="1:14" x14ac:dyDescent="0.25">
      <c r="A251" t="s">
        <v>2111</v>
      </c>
      <c r="B251" t="s">
        <v>2238</v>
      </c>
      <c r="C251" t="s">
        <v>2258</v>
      </c>
      <c r="D251" t="s">
        <v>2259</v>
      </c>
      <c r="E251" t="s">
        <v>2262</v>
      </c>
      <c r="F251" t="str">
        <f>VLOOKUP(A251,Base!$A:$F,6,FALSE)</f>
        <v>INDÚSTRIAS DE TRANSFORMAÇÃO</v>
      </c>
      <c r="G251" t="str">
        <f>VLOOKUP(B251,Base!$B:$F,5,FALSE)</f>
        <v>FABRICAÇÃO DE PRODUTOS TÊXTEIS</v>
      </c>
      <c r="H251" t="str">
        <f>VLOOKUP(C251,Base!$C:$F,4,FALSE)</f>
        <v>Acabamentos em fios, tecidos e artefatos têxteis</v>
      </c>
      <c r="I251" t="str">
        <f>VLOOKUP(D251,Base!$D:$F,3,FALSE)</f>
        <v>Acabamentos em fios, tecidos e artefatos têxteis</v>
      </c>
      <c r="J251" t="str">
        <f>VLOOKUP(E251,Base!$E:$F,2,FALSE)</f>
        <v>Outros serviços de acabamento em fios, tecidos, artefatos têxteis e peças do vestuário</v>
      </c>
      <c r="K251" t="s">
        <v>2262</v>
      </c>
      <c r="L251">
        <f>IFERROR(VLOOKUP($K251,Base_Atividades!$E$1:$N$2398,MATCH(BancoAjustado!L$1,Base_Atividades!$E$1:$N$1,0),FALSE),0)</f>
        <v>1</v>
      </c>
      <c r="M251">
        <f>IFERROR(VLOOKUP($K251,Base_Atividades!$E$1:$N$2398,MATCH(BancoAjustado!M$1,Base_Atividades!$E$1:$N$1,0),FALSE),0)</f>
        <v>0</v>
      </c>
      <c r="N251">
        <f>IFERROR(VLOOKUP($K251,Base_Atividades!$E$1:$N$2398,MATCH(BancoAjustado!N$1,Base_Atividades!$E$1:$N$1,0),FALSE),0)</f>
        <v>0</v>
      </c>
    </row>
    <row r="252" spans="1:14" x14ac:dyDescent="0.25">
      <c r="A252" t="s">
        <v>2111</v>
      </c>
      <c r="B252" t="s">
        <v>2238</v>
      </c>
      <c r="C252" t="s">
        <v>2263</v>
      </c>
      <c r="D252" t="s">
        <v>2264</v>
      </c>
      <c r="E252" t="s">
        <v>2265</v>
      </c>
      <c r="F252" t="str">
        <f>VLOOKUP(A252,Base!$A:$F,6,FALSE)</f>
        <v>INDÚSTRIAS DE TRANSFORMAÇÃO</v>
      </c>
      <c r="G252" t="str">
        <f>VLOOKUP(B252,Base!$B:$F,5,FALSE)</f>
        <v>FABRICAÇÃO DE PRODUTOS TÊXTEIS</v>
      </c>
      <c r="H252" t="str">
        <f>VLOOKUP(C252,Base!$C:$F,4,FALSE)</f>
        <v>Fabricação de artefatos têxteis, exceto vestuário</v>
      </c>
      <c r="I252" t="str">
        <f>VLOOKUP(D252,Base!$D:$F,3,FALSE)</f>
        <v>Fabricação de artefatos têxteis para uso doméstico</v>
      </c>
      <c r="J252" t="str">
        <f>VLOOKUP(E252,Base!$E:$F,2,FALSE)</f>
        <v>Fabricação de artefatos têxteis para uso doméstico</v>
      </c>
      <c r="K252" t="s">
        <v>2265</v>
      </c>
      <c r="L252">
        <f>IFERROR(VLOOKUP($K252,Base_Atividades!$E$1:$N$2398,MATCH(BancoAjustado!L$1,Base_Atividades!$E$1:$N$1,0),FALSE),0)</f>
        <v>1</v>
      </c>
      <c r="M252">
        <f>IFERROR(VLOOKUP($K252,Base_Atividades!$E$1:$N$2398,MATCH(BancoAjustado!M$1,Base_Atividades!$E$1:$N$1,0),FALSE),0)</f>
        <v>0</v>
      </c>
      <c r="N252">
        <f>IFERROR(VLOOKUP($K252,Base_Atividades!$E$1:$N$2398,MATCH(BancoAjustado!N$1,Base_Atividades!$E$1:$N$1,0),FALSE),0)</f>
        <v>0</v>
      </c>
    </row>
    <row r="253" spans="1:14" x14ac:dyDescent="0.25">
      <c r="A253" t="s">
        <v>2111</v>
      </c>
      <c r="B253" t="s">
        <v>2238</v>
      </c>
      <c r="C253" t="s">
        <v>2263</v>
      </c>
      <c r="D253" t="s">
        <v>2266</v>
      </c>
      <c r="E253" t="s">
        <v>2267</v>
      </c>
      <c r="F253" t="str">
        <f>VLOOKUP(A253,Base!$A:$F,6,FALSE)</f>
        <v>INDÚSTRIAS DE TRANSFORMAÇÃO</v>
      </c>
      <c r="G253" t="str">
        <f>VLOOKUP(B253,Base!$B:$F,5,FALSE)</f>
        <v>FABRICAÇÃO DE PRODUTOS TÊXTEIS</v>
      </c>
      <c r="H253" t="str">
        <f>VLOOKUP(C253,Base!$C:$F,4,FALSE)</f>
        <v>Fabricação de artefatos têxteis, exceto vestuário</v>
      </c>
      <c r="I253" t="str">
        <f>VLOOKUP(D253,Base!$D:$F,3,FALSE)</f>
        <v>Fabricação de artefatos de tapeçaria</v>
      </c>
      <c r="J253" t="str">
        <f>VLOOKUP(E253,Base!$E:$F,2,FALSE)</f>
        <v>Fabricação de artefatos de tapeçaria</v>
      </c>
      <c r="K253" t="s">
        <v>2267</v>
      </c>
      <c r="L253">
        <f>IFERROR(VLOOKUP($K253,Base_Atividades!$E$1:$N$2398,MATCH(BancoAjustado!L$1,Base_Atividades!$E$1:$N$1,0),FALSE),0)</f>
        <v>1</v>
      </c>
      <c r="M253">
        <f>IFERROR(VLOOKUP($K253,Base_Atividades!$E$1:$N$2398,MATCH(BancoAjustado!M$1,Base_Atividades!$E$1:$N$1,0),FALSE),0)</f>
        <v>0</v>
      </c>
      <c r="N253">
        <f>IFERROR(VLOOKUP($K253,Base_Atividades!$E$1:$N$2398,MATCH(BancoAjustado!N$1,Base_Atividades!$E$1:$N$1,0),FALSE),0)</f>
        <v>0</v>
      </c>
    </row>
    <row r="254" spans="1:14" x14ac:dyDescent="0.25">
      <c r="A254" t="s">
        <v>2111</v>
      </c>
      <c r="B254" t="s">
        <v>2238</v>
      </c>
      <c r="C254" t="s">
        <v>2263</v>
      </c>
      <c r="D254" t="s">
        <v>2268</v>
      </c>
      <c r="E254" t="s">
        <v>2269</v>
      </c>
      <c r="F254" t="str">
        <f>VLOOKUP(A254,Base!$A:$F,6,FALSE)</f>
        <v>INDÚSTRIAS DE TRANSFORMAÇÃO</v>
      </c>
      <c r="G254" t="str">
        <f>VLOOKUP(B254,Base!$B:$F,5,FALSE)</f>
        <v>FABRICAÇÃO DE PRODUTOS TÊXTEIS</v>
      </c>
      <c r="H254" t="str">
        <f>VLOOKUP(C254,Base!$C:$F,4,FALSE)</f>
        <v>Fabricação de artefatos têxteis, exceto vestuário</v>
      </c>
      <c r="I254" t="str">
        <f>VLOOKUP(D254,Base!$D:$F,3,FALSE)</f>
        <v>Fabricação de artefatos de cordoaria</v>
      </c>
      <c r="J254" t="str">
        <f>VLOOKUP(E254,Base!$E:$F,2,FALSE)</f>
        <v>Fabricação de artefatos de cordoaria</v>
      </c>
      <c r="K254" t="s">
        <v>2269</v>
      </c>
      <c r="L254">
        <f>IFERROR(VLOOKUP($K254,Base_Atividades!$E$1:$N$2398,MATCH(BancoAjustado!L$1,Base_Atividades!$E$1:$N$1,0),FALSE),0)</f>
        <v>1</v>
      </c>
      <c r="M254">
        <f>IFERROR(VLOOKUP($K254,Base_Atividades!$E$1:$N$2398,MATCH(BancoAjustado!M$1,Base_Atividades!$E$1:$N$1,0),FALSE),0)</f>
        <v>0</v>
      </c>
      <c r="N254">
        <f>IFERROR(VLOOKUP($K254,Base_Atividades!$E$1:$N$2398,MATCH(BancoAjustado!N$1,Base_Atividades!$E$1:$N$1,0),FALSE),0)</f>
        <v>0</v>
      </c>
    </row>
    <row r="255" spans="1:14" x14ac:dyDescent="0.25">
      <c r="A255" t="s">
        <v>2111</v>
      </c>
      <c r="B255" t="s">
        <v>2238</v>
      </c>
      <c r="C255" t="s">
        <v>2263</v>
      </c>
      <c r="D255" t="s">
        <v>2270</v>
      </c>
      <c r="E255" t="s">
        <v>2271</v>
      </c>
      <c r="F255" t="str">
        <f>VLOOKUP(A255,Base!$A:$F,6,FALSE)</f>
        <v>INDÚSTRIAS DE TRANSFORMAÇÃO</v>
      </c>
      <c r="G255" t="str">
        <f>VLOOKUP(B255,Base!$B:$F,5,FALSE)</f>
        <v>FABRICAÇÃO DE PRODUTOS TÊXTEIS</v>
      </c>
      <c r="H255" t="str">
        <f>VLOOKUP(C255,Base!$C:$F,4,FALSE)</f>
        <v>Fabricação de artefatos têxteis, exceto vestuário</v>
      </c>
      <c r="I255" t="str">
        <f>VLOOKUP(D255,Base!$D:$F,3,FALSE)</f>
        <v>Fabricação de tecidos especiais, inclusive artefatos</v>
      </c>
      <c r="J255" t="str">
        <f>VLOOKUP(E255,Base!$E:$F,2,FALSE)</f>
        <v>Fabricação de tecidos especiais, inclusive artefatos</v>
      </c>
      <c r="K255" t="s">
        <v>2271</v>
      </c>
      <c r="L255">
        <f>IFERROR(VLOOKUP($K255,Base_Atividades!$E$1:$N$2398,MATCH(BancoAjustado!L$1,Base_Atividades!$E$1:$N$1,0),FALSE),0)</f>
        <v>1</v>
      </c>
      <c r="M255">
        <f>IFERROR(VLOOKUP($K255,Base_Atividades!$E$1:$N$2398,MATCH(BancoAjustado!M$1,Base_Atividades!$E$1:$N$1,0),FALSE),0)</f>
        <v>0</v>
      </c>
      <c r="N255">
        <f>IFERROR(VLOOKUP($K255,Base_Atividades!$E$1:$N$2398,MATCH(BancoAjustado!N$1,Base_Atividades!$E$1:$N$1,0),FALSE),0)</f>
        <v>0</v>
      </c>
    </row>
    <row r="256" spans="1:14" x14ac:dyDescent="0.25">
      <c r="A256" t="s">
        <v>2111</v>
      </c>
      <c r="B256" t="s">
        <v>2238</v>
      </c>
      <c r="C256" t="s">
        <v>2263</v>
      </c>
      <c r="D256" t="s">
        <v>2272</v>
      </c>
      <c r="E256" t="s">
        <v>2273</v>
      </c>
      <c r="F256" t="str">
        <f>VLOOKUP(A256,Base!$A:$F,6,FALSE)</f>
        <v>INDÚSTRIAS DE TRANSFORMAÇÃO</v>
      </c>
      <c r="G256" t="str">
        <f>VLOOKUP(B256,Base!$B:$F,5,FALSE)</f>
        <v>FABRICAÇÃO DE PRODUTOS TÊXTEIS</v>
      </c>
      <c r="H256" t="str">
        <f>VLOOKUP(C256,Base!$C:$F,4,FALSE)</f>
        <v>Fabricação de artefatos têxteis, exceto vestuário</v>
      </c>
      <c r="I256" t="str">
        <f>VLOOKUP(D256,Base!$D:$F,3,FALSE)</f>
        <v>Fabricação de outros produtos têxteis não especificados anteriormente</v>
      </c>
      <c r="J256" t="str">
        <f>VLOOKUP(E256,Base!$E:$F,2,FALSE)</f>
        <v>Fabricação de outros produtos têxteis não especificados anteriormente</v>
      </c>
      <c r="K256" t="s">
        <v>2273</v>
      </c>
      <c r="L256">
        <f>IFERROR(VLOOKUP($K256,Base_Atividades!$E$1:$N$2398,MATCH(BancoAjustado!L$1,Base_Atividades!$E$1:$N$1,0),FALSE),0)</f>
        <v>1</v>
      </c>
      <c r="M256">
        <f>IFERROR(VLOOKUP($K256,Base_Atividades!$E$1:$N$2398,MATCH(BancoAjustado!M$1,Base_Atividades!$E$1:$N$1,0),FALSE),0)</f>
        <v>0</v>
      </c>
      <c r="N256">
        <f>IFERROR(VLOOKUP($K256,Base_Atividades!$E$1:$N$2398,MATCH(BancoAjustado!N$1,Base_Atividades!$E$1:$N$1,0),FALSE),0)</f>
        <v>0</v>
      </c>
    </row>
    <row r="257" spans="1:14" x14ac:dyDescent="0.25">
      <c r="A257" t="s">
        <v>2111</v>
      </c>
      <c r="B257" t="s">
        <v>2274</v>
      </c>
      <c r="C257" t="s">
        <v>2275</v>
      </c>
      <c r="D257" t="s">
        <v>2276</v>
      </c>
      <c r="E257" t="s">
        <v>2277</v>
      </c>
      <c r="F257" t="str">
        <f>VLOOKUP(A257,Base!$A:$F,6,FALSE)</f>
        <v>INDÚSTRIAS DE TRANSFORMAÇÃO</v>
      </c>
      <c r="G257" t="str">
        <f>VLOOKUP(B257,Base!$B:$F,5,FALSE)</f>
        <v>CONFECÇÃO DE ARTIGOS DO VESTUÁRIO E ACESSÓRIOS</v>
      </c>
      <c r="H257" t="str">
        <f>VLOOKUP(C257,Base!$C:$F,4,FALSE)</f>
        <v>Confecção de artigos do vestuário e acessórios</v>
      </c>
      <c r="I257" t="str">
        <f>VLOOKUP(D257,Base!$D:$F,3,FALSE)</f>
        <v>Confecção de roupas íntimas</v>
      </c>
      <c r="J257" t="str">
        <f>VLOOKUP(E257,Base!$E:$F,2,FALSE)</f>
        <v>Confecção de roupas íntimas</v>
      </c>
      <c r="K257" t="s">
        <v>2277</v>
      </c>
      <c r="L257">
        <f>IFERROR(VLOOKUP($K257,Base_Atividades!$E$1:$N$2398,MATCH(BancoAjustado!L$1,Base_Atividades!$E$1:$N$1,0),FALSE),0)</f>
        <v>1</v>
      </c>
      <c r="M257">
        <f>IFERROR(VLOOKUP($K257,Base_Atividades!$E$1:$N$2398,MATCH(BancoAjustado!M$1,Base_Atividades!$E$1:$N$1,0),FALSE),0)</f>
        <v>0</v>
      </c>
      <c r="N257">
        <f>IFERROR(VLOOKUP($K257,Base_Atividades!$E$1:$N$2398,MATCH(BancoAjustado!N$1,Base_Atividades!$E$1:$N$1,0),FALSE),0)</f>
        <v>0</v>
      </c>
    </row>
    <row r="258" spans="1:14" x14ac:dyDescent="0.25">
      <c r="A258" t="s">
        <v>2111</v>
      </c>
      <c r="B258" t="s">
        <v>2274</v>
      </c>
      <c r="C258" t="s">
        <v>2275</v>
      </c>
      <c r="D258" t="s">
        <v>2276</v>
      </c>
      <c r="E258" t="s">
        <v>2278</v>
      </c>
      <c r="F258" t="str">
        <f>VLOOKUP(A258,Base!$A:$F,6,FALSE)</f>
        <v>INDÚSTRIAS DE TRANSFORMAÇÃO</v>
      </c>
      <c r="G258" t="str">
        <f>VLOOKUP(B258,Base!$B:$F,5,FALSE)</f>
        <v>CONFECÇÃO DE ARTIGOS DO VESTUÁRIO E ACESSÓRIOS</v>
      </c>
      <c r="H258" t="str">
        <f>VLOOKUP(C258,Base!$C:$F,4,FALSE)</f>
        <v>Confecção de artigos do vestuário e acessórios</v>
      </c>
      <c r="I258" t="str">
        <f>VLOOKUP(D258,Base!$D:$F,3,FALSE)</f>
        <v>Confecção de roupas íntimas</v>
      </c>
      <c r="J258" t="str">
        <f>VLOOKUP(E258,Base!$E:$F,2,FALSE)</f>
        <v>Facção de roupas íntimas</v>
      </c>
      <c r="K258" t="s">
        <v>2278</v>
      </c>
      <c r="L258">
        <f>IFERROR(VLOOKUP($K258,Base_Atividades!$E$1:$N$2398,MATCH(BancoAjustado!L$1,Base_Atividades!$E$1:$N$1,0),FALSE),0)</f>
        <v>1</v>
      </c>
      <c r="M258">
        <f>IFERROR(VLOOKUP($K258,Base_Atividades!$E$1:$N$2398,MATCH(BancoAjustado!M$1,Base_Atividades!$E$1:$N$1,0),FALSE),0)</f>
        <v>0</v>
      </c>
      <c r="N258">
        <f>IFERROR(VLOOKUP($K258,Base_Atividades!$E$1:$N$2398,MATCH(BancoAjustado!N$1,Base_Atividades!$E$1:$N$1,0),FALSE),0)</f>
        <v>0</v>
      </c>
    </row>
    <row r="259" spans="1:14" x14ac:dyDescent="0.25">
      <c r="A259" t="s">
        <v>2111</v>
      </c>
      <c r="B259" t="s">
        <v>2274</v>
      </c>
      <c r="C259" t="s">
        <v>2275</v>
      </c>
      <c r="D259" t="s">
        <v>2279</v>
      </c>
      <c r="E259" t="s">
        <v>2280</v>
      </c>
      <c r="F259" t="str">
        <f>VLOOKUP(A259,Base!$A:$F,6,FALSE)</f>
        <v>INDÚSTRIAS DE TRANSFORMAÇÃO</v>
      </c>
      <c r="G259" t="str">
        <f>VLOOKUP(B259,Base!$B:$F,5,FALSE)</f>
        <v>CONFECÇÃO DE ARTIGOS DO VESTUÁRIO E ACESSÓRIOS</v>
      </c>
      <c r="H259" t="str">
        <f>VLOOKUP(C259,Base!$C:$F,4,FALSE)</f>
        <v>Confecção de artigos do vestuário e acessórios</v>
      </c>
      <c r="I259" t="str">
        <f>VLOOKUP(D259,Base!$D:$F,3,FALSE)</f>
        <v>Confecção de peças do vestuário, exceto roupas íntimas</v>
      </c>
      <c r="J259" t="str">
        <f>VLOOKUP(E259,Base!$E:$F,2,FALSE)</f>
        <v>Confecção de peças do vestuário, exceto roupas íntimas e as confeccionadas sob medida</v>
      </c>
      <c r="K259" t="s">
        <v>2280</v>
      </c>
      <c r="L259">
        <f>IFERROR(VLOOKUP($K259,Base_Atividades!$E$1:$N$2398,MATCH(BancoAjustado!L$1,Base_Atividades!$E$1:$N$1,0),FALSE),0)</f>
        <v>1</v>
      </c>
      <c r="M259">
        <f>IFERROR(VLOOKUP($K259,Base_Atividades!$E$1:$N$2398,MATCH(BancoAjustado!M$1,Base_Atividades!$E$1:$N$1,0),FALSE),0)</f>
        <v>0</v>
      </c>
      <c r="N259">
        <f>IFERROR(VLOOKUP($K259,Base_Atividades!$E$1:$N$2398,MATCH(BancoAjustado!N$1,Base_Atividades!$E$1:$N$1,0),FALSE),0)</f>
        <v>0</v>
      </c>
    </row>
    <row r="260" spans="1:14" x14ac:dyDescent="0.25">
      <c r="A260" t="s">
        <v>2111</v>
      </c>
      <c r="B260" t="s">
        <v>2274</v>
      </c>
      <c r="C260" t="s">
        <v>2275</v>
      </c>
      <c r="D260" t="s">
        <v>2279</v>
      </c>
      <c r="E260" t="s">
        <v>2281</v>
      </c>
      <c r="F260" t="str">
        <f>VLOOKUP(A260,Base!$A:$F,6,FALSE)</f>
        <v>INDÚSTRIAS DE TRANSFORMAÇÃO</v>
      </c>
      <c r="G260" t="str">
        <f>VLOOKUP(B260,Base!$B:$F,5,FALSE)</f>
        <v>CONFECÇÃO DE ARTIGOS DO VESTUÁRIO E ACESSÓRIOS</v>
      </c>
      <c r="H260" t="str">
        <f>VLOOKUP(C260,Base!$C:$F,4,FALSE)</f>
        <v>Confecção de artigos do vestuário e acessórios</v>
      </c>
      <c r="I260" t="str">
        <f>VLOOKUP(D260,Base!$D:$F,3,FALSE)</f>
        <v>Confecção de peças do vestuário, exceto roupas íntimas</v>
      </c>
      <c r="J260" t="str">
        <f>VLOOKUP(E260,Base!$E:$F,2,FALSE)</f>
        <v>Confecção, sob medida, de peças do vestuário, exceto roupas íntimas</v>
      </c>
      <c r="K260" t="s">
        <v>2281</v>
      </c>
      <c r="L260">
        <f>IFERROR(VLOOKUP($K260,Base_Atividades!$E$1:$N$2398,MATCH(BancoAjustado!L$1,Base_Atividades!$E$1:$N$1,0),FALSE),0)</f>
        <v>1</v>
      </c>
      <c r="M260">
        <f>IFERROR(VLOOKUP($K260,Base_Atividades!$E$1:$N$2398,MATCH(BancoAjustado!M$1,Base_Atividades!$E$1:$N$1,0),FALSE),0)</f>
        <v>0</v>
      </c>
      <c r="N260">
        <f>IFERROR(VLOOKUP($K260,Base_Atividades!$E$1:$N$2398,MATCH(BancoAjustado!N$1,Base_Atividades!$E$1:$N$1,0),FALSE),0)</f>
        <v>0</v>
      </c>
    </row>
    <row r="261" spans="1:14" x14ac:dyDescent="0.25">
      <c r="A261" t="s">
        <v>2111</v>
      </c>
      <c r="B261" t="s">
        <v>2274</v>
      </c>
      <c r="C261" t="s">
        <v>2275</v>
      </c>
      <c r="D261" t="s">
        <v>2279</v>
      </c>
      <c r="E261" t="s">
        <v>2282</v>
      </c>
      <c r="F261" t="str">
        <f>VLOOKUP(A261,Base!$A:$F,6,FALSE)</f>
        <v>INDÚSTRIAS DE TRANSFORMAÇÃO</v>
      </c>
      <c r="G261" t="str">
        <f>VLOOKUP(B261,Base!$B:$F,5,FALSE)</f>
        <v>CONFECÇÃO DE ARTIGOS DO VESTUÁRIO E ACESSÓRIOS</v>
      </c>
      <c r="H261" t="str">
        <f>VLOOKUP(C261,Base!$C:$F,4,FALSE)</f>
        <v>Confecção de artigos do vestuário e acessórios</v>
      </c>
      <c r="I261" t="str">
        <f>VLOOKUP(D261,Base!$D:$F,3,FALSE)</f>
        <v>Confecção de peças do vestuário, exceto roupas íntimas</v>
      </c>
      <c r="J261" t="str">
        <f>VLOOKUP(E261,Base!$E:$F,2,FALSE)</f>
        <v>Facção de peças do vestuário, exceto roupas íntimas</v>
      </c>
      <c r="K261" t="s">
        <v>2282</v>
      </c>
      <c r="L261">
        <f>IFERROR(VLOOKUP($K261,Base_Atividades!$E$1:$N$2398,MATCH(BancoAjustado!L$1,Base_Atividades!$E$1:$N$1,0),FALSE),0)</f>
        <v>1</v>
      </c>
      <c r="M261">
        <f>IFERROR(VLOOKUP($K261,Base_Atividades!$E$1:$N$2398,MATCH(BancoAjustado!M$1,Base_Atividades!$E$1:$N$1,0),FALSE),0)</f>
        <v>0</v>
      </c>
      <c r="N261">
        <f>IFERROR(VLOOKUP($K261,Base_Atividades!$E$1:$N$2398,MATCH(BancoAjustado!N$1,Base_Atividades!$E$1:$N$1,0),FALSE),0)</f>
        <v>0</v>
      </c>
    </row>
    <row r="262" spans="1:14" x14ac:dyDescent="0.25">
      <c r="A262" t="s">
        <v>2111</v>
      </c>
      <c r="B262" t="s">
        <v>2274</v>
      </c>
      <c r="C262" t="s">
        <v>2275</v>
      </c>
      <c r="D262" t="s">
        <v>2283</v>
      </c>
      <c r="E262" t="s">
        <v>2284</v>
      </c>
      <c r="F262" t="str">
        <f>VLOOKUP(A262,Base!$A:$F,6,FALSE)</f>
        <v>INDÚSTRIAS DE TRANSFORMAÇÃO</v>
      </c>
      <c r="G262" t="str">
        <f>VLOOKUP(B262,Base!$B:$F,5,FALSE)</f>
        <v>CONFECÇÃO DE ARTIGOS DO VESTUÁRIO E ACESSÓRIOS</v>
      </c>
      <c r="H262" t="str">
        <f>VLOOKUP(C262,Base!$C:$F,4,FALSE)</f>
        <v>Confecção de artigos do vestuário e acessórios</v>
      </c>
      <c r="I262" t="str">
        <f>VLOOKUP(D262,Base!$D:$F,3,FALSE)</f>
        <v>Confecção de roupas profissionais</v>
      </c>
      <c r="J262" t="str">
        <f>VLOOKUP(E262,Base!$E:$F,2,FALSE)</f>
        <v>Confecção de roupas profissionais, exceto sob medida</v>
      </c>
      <c r="K262" t="s">
        <v>2284</v>
      </c>
      <c r="L262">
        <f>IFERROR(VLOOKUP($K262,Base_Atividades!$E$1:$N$2398,MATCH(BancoAjustado!L$1,Base_Atividades!$E$1:$N$1,0),FALSE),0)</f>
        <v>1</v>
      </c>
      <c r="M262">
        <f>IFERROR(VLOOKUP($K262,Base_Atividades!$E$1:$N$2398,MATCH(BancoAjustado!M$1,Base_Atividades!$E$1:$N$1,0),FALSE),0)</f>
        <v>0</v>
      </c>
      <c r="N262">
        <f>IFERROR(VLOOKUP($K262,Base_Atividades!$E$1:$N$2398,MATCH(BancoAjustado!N$1,Base_Atividades!$E$1:$N$1,0),FALSE),0)</f>
        <v>0</v>
      </c>
    </row>
    <row r="263" spans="1:14" x14ac:dyDescent="0.25">
      <c r="A263" t="s">
        <v>2111</v>
      </c>
      <c r="B263" t="s">
        <v>2274</v>
      </c>
      <c r="C263" t="s">
        <v>2275</v>
      </c>
      <c r="D263" t="s">
        <v>2283</v>
      </c>
      <c r="E263" t="s">
        <v>2285</v>
      </c>
      <c r="F263" t="str">
        <f>VLOOKUP(A263,Base!$A:$F,6,FALSE)</f>
        <v>INDÚSTRIAS DE TRANSFORMAÇÃO</v>
      </c>
      <c r="G263" t="str">
        <f>VLOOKUP(B263,Base!$B:$F,5,FALSE)</f>
        <v>CONFECÇÃO DE ARTIGOS DO VESTUÁRIO E ACESSÓRIOS</v>
      </c>
      <c r="H263" t="str">
        <f>VLOOKUP(C263,Base!$C:$F,4,FALSE)</f>
        <v>Confecção de artigos do vestuário e acessórios</v>
      </c>
      <c r="I263" t="str">
        <f>VLOOKUP(D263,Base!$D:$F,3,FALSE)</f>
        <v>Confecção de roupas profissionais</v>
      </c>
      <c r="J263" t="str">
        <f>VLOOKUP(E263,Base!$E:$F,2,FALSE)</f>
        <v>Confecção, sob medida, de roupas profissionais</v>
      </c>
      <c r="K263" t="s">
        <v>2285</v>
      </c>
      <c r="L263">
        <f>IFERROR(VLOOKUP($K263,Base_Atividades!$E$1:$N$2398,MATCH(BancoAjustado!L$1,Base_Atividades!$E$1:$N$1,0),FALSE),0)</f>
        <v>1</v>
      </c>
      <c r="M263">
        <f>IFERROR(VLOOKUP($K263,Base_Atividades!$E$1:$N$2398,MATCH(BancoAjustado!M$1,Base_Atividades!$E$1:$N$1,0),FALSE),0)</f>
        <v>0</v>
      </c>
      <c r="N263">
        <f>IFERROR(VLOOKUP($K263,Base_Atividades!$E$1:$N$2398,MATCH(BancoAjustado!N$1,Base_Atividades!$E$1:$N$1,0),FALSE),0)</f>
        <v>0</v>
      </c>
    </row>
    <row r="264" spans="1:14" x14ac:dyDescent="0.25">
      <c r="A264" t="s">
        <v>2111</v>
      </c>
      <c r="B264" t="s">
        <v>2274</v>
      </c>
      <c r="C264" t="s">
        <v>2275</v>
      </c>
      <c r="D264" t="s">
        <v>2283</v>
      </c>
      <c r="E264" t="s">
        <v>2286</v>
      </c>
      <c r="F264" t="str">
        <f>VLOOKUP(A264,Base!$A:$F,6,FALSE)</f>
        <v>INDÚSTRIAS DE TRANSFORMAÇÃO</v>
      </c>
      <c r="G264" t="str">
        <f>VLOOKUP(B264,Base!$B:$F,5,FALSE)</f>
        <v>CONFECÇÃO DE ARTIGOS DO VESTUÁRIO E ACESSÓRIOS</v>
      </c>
      <c r="H264" t="str">
        <f>VLOOKUP(C264,Base!$C:$F,4,FALSE)</f>
        <v>Confecção de artigos do vestuário e acessórios</v>
      </c>
      <c r="I264" t="str">
        <f>VLOOKUP(D264,Base!$D:$F,3,FALSE)</f>
        <v>Confecção de roupas profissionais</v>
      </c>
      <c r="J264" t="str">
        <f>VLOOKUP(E264,Base!$E:$F,2,FALSE)</f>
        <v>Facção de roupas profissionais</v>
      </c>
      <c r="K264" t="s">
        <v>2286</v>
      </c>
      <c r="L264">
        <f>IFERROR(VLOOKUP($K264,Base_Atividades!$E$1:$N$2398,MATCH(BancoAjustado!L$1,Base_Atividades!$E$1:$N$1,0),FALSE),0)</f>
        <v>1</v>
      </c>
      <c r="M264">
        <f>IFERROR(VLOOKUP($K264,Base_Atividades!$E$1:$N$2398,MATCH(BancoAjustado!M$1,Base_Atividades!$E$1:$N$1,0),FALSE),0)</f>
        <v>0</v>
      </c>
      <c r="N264">
        <f>IFERROR(VLOOKUP($K264,Base_Atividades!$E$1:$N$2398,MATCH(BancoAjustado!N$1,Base_Atividades!$E$1:$N$1,0),FALSE),0)</f>
        <v>0</v>
      </c>
    </row>
    <row r="265" spans="1:14" x14ac:dyDescent="0.25">
      <c r="A265" t="s">
        <v>2111</v>
      </c>
      <c r="B265" t="s">
        <v>2274</v>
      </c>
      <c r="C265" t="s">
        <v>2275</v>
      </c>
      <c r="D265" t="s">
        <v>2287</v>
      </c>
      <c r="E265" t="s">
        <v>2288</v>
      </c>
      <c r="F265" t="str">
        <f>VLOOKUP(A265,Base!$A:$F,6,FALSE)</f>
        <v>INDÚSTRIAS DE TRANSFORMAÇÃO</v>
      </c>
      <c r="G265" t="str">
        <f>VLOOKUP(B265,Base!$B:$F,5,FALSE)</f>
        <v>CONFECÇÃO DE ARTIGOS DO VESTUÁRIO E ACESSÓRIOS</v>
      </c>
      <c r="H265" t="str">
        <f>VLOOKUP(C265,Base!$C:$F,4,FALSE)</f>
        <v>Confecção de artigos do vestuário e acessórios</v>
      </c>
      <c r="I265" t="str">
        <f>VLOOKUP(D265,Base!$D:$F,3,FALSE)</f>
        <v>Fabricação de acessórios do vestuário, exceto para segurança e proteção</v>
      </c>
      <c r="J265" t="str">
        <f>VLOOKUP(E265,Base!$E:$F,2,FALSE)</f>
        <v>Fabricação de acessórios do vestuário, exceto para segurança e proteção</v>
      </c>
      <c r="K265" t="s">
        <v>2288</v>
      </c>
      <c r="L265">
        <f>IFERROR(VLOOKUP($K265,Base_Atividades!$E$1:$N$2398,MATCH(BancoAjustado!L$1,Base_Atividades!$E$1:$N$1,0),FALSE),0)</f>
        <v>1</v>
      </c>
      <c r="M265">
        <f>IFERROR(VLOOKUP($K265,Base_Atividades!$E$1:$N$2398,MATCH(BancoAjustado!M$1,Base_Atividades!$E$1:$N$1,0),FALSE),0)</f>
        <v>0</v>
      </c>
      <c r="N265">
        <f>IFERROR(VLOOKUP($K265,Base_Atividades!$E$1:$N$2398,MATCH(BancoAjustado!N$1,Base_Atividades!$E$1:$N$1,0),FALSE),0)</f>
        <v>0</v>
      </c>
    </row>
    <row r="266" spans="1:14" x14ac:dyDescent="0.25">
      <c r="A266" t="s">
        <v>2111</v>
      </c>
      <c r="B266" t="s">
        <v>2274</v>
      </c>
      <c r="C266" t="s">
        <v>2289</v>
      </c>
      <c r="D266" t="s">
        <v>2290</v>
      </c>
      <c r="E266" t="s">
        <v>2291</v>
      </c>
      <c r="F266" t="str">
        <f>VLOOKUP(A266,Base!$A:$F,6,FALSE)</f>
        <v>INDÚSTRIAS DE TRANSFORMAÇÃO</v>
      </c>
      <c r="G266" t="str">
        <f>VLOOKUP(B266,Base!$B:$F,5,FALSE)</f>
        <v>CONFECÇÃO DE ARTIGOS DO VESTUÁRIO E ACESSÓRIOS</v>
      </c>
      <c r="H266" t="str">
        <f>VLOOKUP(C266,Base!$C:$F,4,FALSE)</f>
        <v>Fabricação de artigos de malharia e tricotagem</v>
      </c>
      <c r="I266" t="str">
        <f>VLOOKUP(D266,Base!$D:$F,3,FALSE)</f>
        <v>Fabricação de meias</v>
      </c>
      <c r="J266" t="str">
        <f>VLOOKUP(E266,Base!$E:$F,2,FALSE)</f>
        <v>Fabricação de meias</v>
      </c>
      <c r="K266" t="s">
        <v>2291</v>
      </c>
      <c r="L266">
        <f>IFERROR(VLOOKUP($K266,Base_Atividades!$E$1:$N$2398,MATCH(BancoAjustado!L$1,Base_Atividades!$E$1:$N$1,0),FALSE),0)</f>
        <v>1</v>
      </c>
      <c r="M266">
        <f>IFERROR(VLOOKUP($K266,Base_Atividades!$E$1:$N$2398,MATCH(BancoAjustado!M$1,Base_Atividades!$E$1:$N$1,0),FALSE),0)</f>
        <v>0</v>
      </c>
      <c r="N266">
        <f>IFERROR(VLOOKUP($K266,Base_Atividades!$E$1:$N$2398,MATCH(BancoAjustado!N$1,Base_Atividades!$E$1:$N$1,0),FALSE),0)</f>
        <v>0</v>
      </c>
    </row>
    <row r="267" spans="1:14" x14ac:dyDescent="0.25">
      <c r="A267" t="s">
        <v>2111</v>
      </c>
      <c r="B267" t="s">
        <v>2274</v>
      </c>
      <c r="C267" t="s">
        <v>2289</v>
      </c>
      <c r="D267" t="s">
        <v>2292</v>
      </c>
      <c r="E267" t="s">
        <v>2293</v>
      </c>
      <c r="F267" t="str">
        <f>VLOOKUP(A267,Base!$A:$F,6,FALSE)</f>
        <v>INDÚSTRIAS DE TRANSFORMAÇÃO</v>
      </c>
      <c r="G267" t="str">
        <f>VLOOKUP(B267,Base!$B:$F,5,FALSE)</f>
        <v>CONFECÇÃO DE ARTIGOS DO VESTUÁRIO E ACESSÓRIOS</v>
      </c>
      <c r="H267" t="str">
        <f>VLOOKUP(C267,Base!$C:$F,4,FALSE)</f>
        <v>Fabricação de artigos de malharia e tricotagem</v>
      </c>
      <c r="I267" t="str">
        <f>VLOOKUP(D267,Base!$D:$F,3,FALSE)</f>
        <v>Fabricação de artigos do vestuário, produzidos em malharias e tricotagens, exceto meias</v>
      </c>
      <c r="J267" t="str">
        <f>VLOOKUP(E267,Base!$E:$F,2,FALSE)</f>
        <v>Fabricação de artigos do vestuário, produzidos em malharias e tricotagens, exceto meias</v>
      </c>
      <c r="K267" t="s">
        <v>2293</v>
      </c>
      <c r="L267">
        <f>IFERROR(VLOOKUP($K267,Base_Atividades!$E$1:$N$2398,MATCH(BancoAjustado!L$1,Base_Atividades!$E$1:$N$1,0),FALSE),0)</f>
        <v>1</v>
      </c>
      <c r="M267">
        <f>IFERROR(VLOOKUP($K267,Base_Atividades!$E$1:$N$2398,MATCH(BancoAjustado!M$1,Base_Atividades!$E$1:$N$1,0),FALSE),0)</f>
        <v>0</v>
      </c>
      <c r="N267">
        <f>IFERROR(VLOOKUP($K267,Base_Atividades!$E$1:$N$2398,MATCH(BancoAjustado!N$1,Base_Atividades!$E$1:$N$1,0),FALSE),0)</f>
        <v>0</v>
      </c>
    </row>
    <row r="268" spans="1:14" x14ac:dyDescent="0.25">
      <c r="A268" t="s">
        <v>2111</v>
      </c>
      <c r="B268" t="s">
        <v>2294</v>
      </c>
      <c r="C268" t="s">
        <v>2295</v>
      </c>
      <c r="D268" t="s">
        <v>2296</v>
      </c>
      <c r="E268" t="s">
        <v>2297</v>
      </c>
      <c r="F268" t="str">
        <f>VLOOKUP(A268,Base!$A:$F,6,FALSE)</f>
        <v>INDÚSTRIAS DE TRANSFORMAÇÃO</v>
      </c>
      <c r="G268" t="str">
        <f>VLOOKUP(B268,Base!$B:$F,5,FALSE)</f>
        <v>PREPARAÇÃO DE COUROS E FABRICAÇÃO DE ARTEFATOS DE COURO, ARTIGOS PARA VIAGEM E CALÇADOS</v>
      </c>
      <c r="H268" t="str">
        <f>VLOOKUP(C268,Base!$C:$F,4,FALSE)</f>
        <v>Curtimento e outras preparações de couro</v>
      </c>
      <c r="I268" t="str">
        <f>VLOOKUP(D268,Base!$D:$F,3,FALSE)</f>
        <v>Curtimento e outras preparações de couro</v>
      </c>
      <c r="J268" t="str">
        <f>VLOOKUP(E268,Base!$E:$F,2,FALSE)</f>
        <v>Curtimento e outras preparações de couro</v>
      </c>
      <c r="K268" t="s">
        <v>2297</v>
      </c>
      <c r="L268">
        <f>IFERROR(VLOOKUP($K268,Base_Atividades!$E$1:$N$2398,MATCH(BancoAjustado!L$1,Base_Atividades!$E$1:$N$1,0),FALSE),0)</f>
        <v>1</v>
      </c>
      <c r="M268">
        <f>IFERROR(VLOOKUP($K268,Base_Atividades!$E$1:$N$2398,MATCH(BancoAjustado!M$1,Base_Atividades!$E$1:$N$1,0),FALSE),0)</f>
        <v>0</v>
      </c>
      <c r="N268">
        <f>IFERROR(VLOOKUP($K268,Base_Atividades!$E$1:$N$2398,MATCH(BancoAjustado!N$1,Base_Atividades!$E$1:$N$1,0),FALSE),0)</f>
        <v>0</v>
      </c>
    </row>
    <row r="269" spans="1:14" x14ac:dyDescent="0.25">
      <c r="A269" t="s">
        <v>2111</v>
      </c>
      <c r="B269" t="s">
        <v>2294</v>
      </c>
      <c r="C269" t="s">
        <v>2298</v>
      </c>
      <c r="D269" t="s">
        <v>2299</v>
      </c>
      <c r="E269" t="s">
        <v>2300</v>
      </c>
      <c r="F269" t="str">
        <f>VLOOKUP(A269,Base!$A:$F,6,FALSE)</f>
        <v>INDÚSTRIAS DE TRANSFORMAÇÃO</v>
      </c>
      <c r="G269" t="str">
        <f>VLOOKUP(B269,Base!$B:$F,5,FALSE)</f>
        <v>PREPARAÇÃO DE COUROS E FABRICAÇÃO DE ARTEFATOS DE COURO, ARTIGOS PARA VIAGEM E CALÇADOS</v>
      </c>
      <c r="H269" t="str">
        <f>VLOOKUP(C269,Base!$C:$F,4,FALSE)</f>
        <v>Fabricação de artigos para viagem e de artefatos diversos de couro</v>
      </c>
      <c r="I269" t="str">
        <f>VLOOKUP(D269,Base!$D:$F,3,FALSE)</f>
        <v>Fabricação de artigos para viagem, bolsas e semelhantes de qualquer material</v>
      </c>
      <c r="J269" t="str">
        <f>VLOOKUP(E269,Base!$E:$F,2,FALSE)</f>
        <v>Fabricação de artigos para viagem, bolsas e semelhantes de qualquer material</v>
      </c>
      <c r="K269" t="s">
        <v>2300</v>
      </c>
      <c r="L269">
        <f>IFERROR(VLOOKUP($K269,Base_Atividades!$E$1:$N$2398,MATCH(BancoAjustado!L$1,Base_Atividades!$E$1:$N$1,0),FALSE),0)</f>
        <v>1</v>
      </c>
      <c r="M269">
        <f>IFERROR(VLOOKUP($K269,Base_Atividades!$E$1:$N$2398,MATCH(BancoAjustado!M$1,Base_Atividades!$E$1:$N$1,0),FALSE),0)</f>
        <v>0</v>
      </c>
      <c r="N269">
        <f>IFERROR(VLOOKUP($K269,Base_Atividades!$E$1:$N$2398,MATCH(BancoAjustado!N$1,Base_Atividades!$E$1:$N$1,0),FALSE),0)</f>
        <v>0</v>
      </c>
    </row>
    <row r="270" spans="1:14" x14ac:dyDescent="0.25">
      <c r="A270" t="s">
        <v>2111</v>
      </c>
      <c r="B270" t="s">
        <v>2294</v>
      </c>
      <c r="C270" t="s">
        <v>2298</v>
      </c>
      <c r="D270" t="s">
        <v>2301</v>
      </c>
      <c r="E270" t="s">
        <v>2302</v>
      </c>
      <c r="F270" t="str">
        <f>VLOOKUP(A270,Base!$A:$F,6,FALSE)</f>
        <v>INDÚSTRIAS DE TRANSFORMAÇÃO</v>
      </c>
      <c r="G270" t="str">
        <f>VLOOKUP(B270,Base!$B:$F,5,FALSE)</f>
        <v>PREPARAÇÃO DE COUROS E FABRICAÇÃO DE ARTEFATOS DE COURO, ARTIGOS PARA VIAGEM E CALÇADOS</v>
      </c>
      <c r="H270" t="str">
        <f>VLOOKUP(C270,Base!$C:$F,4,FALSE)</f>
        <v>Fabricação de artigos para viagem e de artefatos diversos de couro</v>
      </c>
      <c r="I270" t="str">
        <f>VLOOKUP(D270,Base!$D:$F,3,FALSE)</f>
        <v>Fabricação de artefatos de couro não especificados anteriormente</v>
      </c>
      <c r="J270" t="str">
        <f>VLOOKUP(E270,Base!$E:$F,2,FALSE)</f>
        <v>Fabricação de artefatos de couro não especificados anteriormente</v>
      </c>
      <c r="K270" t="s">
        <v>2302</v>
      </c>
      <c r="L270">
        <f>IFERROR(VLOOKUP($K270,Base_Atividades!$E$1:$N$2398,MATCH(BancoAjustado!L$1,Base_Atividades!$E$1:$N$1,0),FALSE),0)</f>
        <v>1</v>
      </c>
      <c r="M270">
        <f>IFERROR(VLOOKUP($K270,Base_Atividades!$E$1:$N$2398,MATCH(BancoAjustado!M$1,Base_Atividades!$E$1:$N$1,0),FALSE),0)</f>
        <v>0</v>
      </c>
      <c r="N270">
        <f>IFERROR(VLOOKUP($K270,Base_Atividades!$E$1:$N$2398,MATCH(BancoAjustado!N$1,Base_Atividades!$E$1:$N$1,0),FALSE),0)</f>
        <v>0</v>
      </c>
    </row>
    <row r="271" spans="1:14" x14ac:dyDescent="0.25">
      <c r="A271" t="s">
        <v>2111</v>
      </c>
      <c r="B271" t="s">
        <v>2294</v>
      </c>
      <c r="C271" t="s">
        <v>2303</v>
      </c>
      <c r="D271" t="s">
        <v>2304</v>
      </c>
      <c r="E271" t="s">
        <v>2305</v>
      </c>
      <c r="F271" t="str">
        <f>VLOOKUP(A271,Base!$A:$F,6,FALSE)</f>
        <v>INDÚSTRIAS DE TRANSFORMAÇÃO</v>
      </c>
      <c r="G271" t="str">
        <f>VLOOKUP(B271,Base!$B:$F,5,FALSE)</f>
        <v>PREPARAÇÃO DE COUROS E FABRICAÇÃO DE ARTEFATOS DE COURO, ARTIGOS PARA VIAGEM E CALÇADOS</v>
      </c>
      <c r="H271" t="str">
        <f>VLOOKUP(C271,Base!$C:$F,4,FALSE)</f>
        <v>Fabricação de calçados</v>
      </c>
      <c r="I271" t="str">
        <f>VLOOKUP(D271,Base!$D:$F,3,FALSE)</f>
        <v>Fabricação de calçados de couro</v>
      </c>
      <c r="J271" t="str">
        <f>VLOOKUP(E271,Base!$E:$F,2,FALSE)</f>
        <v>Fabricação de calçados de couro</v>
      </c>
      <c r="K271" t="s">
        <v>2305</v>
      </c>
      <c r="L271">
        <f>IFERROR(VLOOKUP($K271,Base_Atividades!$E$1:$N$2398,MATCH(BancoAjustado!L$1,Base_Atividades!$E$1:$N$1,0),FALSE),0)</f>
        <v>1</v>
      </c>
      <c r="M271">
        <f>IFERROR(VLOOKUP($K271,Base_Atividades!$E$1:$N$2398,MATCH(BancoAjustado!M$1,Base_Atividades!$E$1:$N$1,0),FALSE),0)</f>
        <v>0</v>
      </c>
      <c r="N271">
        <f>IFERROR(VLOOKUP($K271,Base_Atividades!$E$1:$N$2398,MATCH(BancoAjustado!N$1,Base_Atividades!$E$1:$N$1,0),FALSE),0)</f>
        <v>0</v>
      </c>
    </row>
    <row r="272" spans="1:14" x14ac:dyDescent="0.25">
      <c r="A272" t="s">
        <v>2111</v>
      </c>
      <c r="B272" t="s">
        <v>2294</v>
      </c>
      <c r="C272" t="s">
        <v>2303</v>
      </c>
      <c r="D272" t="s">
        <v>2304</v>
      </c>
      <c r="E272" t="s">
        <v>2306</v>
      </c>
      <c r="F272" t="str">
        <f>VLOOKUP(A272,Base!$A:$F,6,FALSE)</f>
        <v>INDÚSTRIAS DE TRANSFORMAÇÃO</v>
      </c>
      <c r="G272" t="str">
        <f>VLOOKUP(B272,Base!$B:$F,5,FALSE)</f>
        <v>PREPARAÇÃO DE COUROS E FABRICAÇÃO DE ARTEFATOS DE COURO, ARTIGOS PARA VIAGEM E CALÇADOS</v>
      </c>
      <c r="H272" t="str">
        <f>VLOOKUP(C272,Base!$C:$F,4,FALSE)</f>
        <v>Fabricação de calçados</v>
      </c>
      <c r="I272" t="str">
        <f>VLOOKUP(D272,Base!$D:$F,3,FALSE)</f>
        <v>Fabricação de calçados de couro</v>
      </c>
      <c r="J272" t="str">
        <f>VLOOKUP(E272,Base!$E:$F,2,FALSE)</f>
        <v>Acabamento de calçados de couro sob contrato</v>
      </c>
      <c r="K272" t="s">
        <v>2306</v>
      </c>
      <c r="L272">
        <f>IFERROR(VLOOKUP($K272,Base_Atividades!$E$1:$N$2398,MATCH(BancoAjustado!L$1,Base_Atividades!$E$1:$N$1,0),FALSE),0)</f>
        <v>1</v>
      </c>
      <c r="M272">
        <f>IFERROR(VLOOKUP($K272,Base_Atividades!$E$1:$N$2398,MATCH(BancoAjustado!M$1,Base_Atividades!$E$1:$N$1,0),FALSE),0)</f>
        <v>0</v>
      </c>
      <c r="N272">
        <f>IFERROR(VLOOKUP($K272,Base_Atividades!$E$1:$N$2398,MATCH(BancoAjustado!N$1,Base_Atividades!$E$1:$N$1,0),FALSE),0)</f>
        <v>0</v>
      </c>
    </row>
    <row r="273" spans="1:14" x14ac:dyDescent="0.25">
      <c r="A273" t="s">
        <v>2111</v>
      </c>
      <c r="B273" t="s">
        <v>2294</v>
      </c>
      <c r="C273" t="s">
        <v>2303</v>
      </c>
      <c r="D273" t="s">
        <v>2307</v>
      </c>
      <c r="E273" t="s">
        <v>2308</v>
      </c>
      <c r="F273" t="str">
        <f>VLOOKUP(A273,Base!$A:$F,6,FALSE)</f>
        <v>INDÚSTRIAS DE TRANSFORMAÇÃO</v>
      </c>
      <c r="G273" t="str">
        <f>VLOOKUP(B273,Base!$B:$F,5,FALSE)</f>
        <v>PREPARAÇÃO DE COUROS E FABRICAÇÃO DE ARTEFATOS DE COURO, ARTIGOS PARA VIAGEM E CALÇADOS</v>
      </c>
      <c r="H273" t="str">
        <f>VLOOKUP(C273,Base!$C:$F,4,FALSE)</f>
        <v>Fabricação de calçados</v>
      </c>
      <c r="I273" t="str">
        <f>VLOOKUP(D273,Base!$D:$F,3,FALSE)</f>
        <v>Fabricação de tênis de qualquer material</v>
      </c>
      <c r="J273" t="str">
        <f>VLOOKUP(E273,Base!$E:$F,2,FALSE)</f>
        <v>Fabricação de tênis de qualquer material</v>
      </c>
      <c r="K273" t="s">
        <v>2308</v>
      </c>
      <c r="L273">
        <f>IFERROR(VLOOKUP($K273,Base_Atividades!$E$1:$N$2398,MATCH(BancoAjustado!L$1,Base_Atividades!$E$1:$N$1,0),FALSE),0)</f>
        <v>1</v>
      </c>
      <c r="M273">
        <f>IFERROR(VLOOKUP($K273,Base_Atividades!$E$1:$N$2398,MATCH(BancoAjustado!M$1,Base_Atividades!$E$1:$N$1,0),FALSE),0)</f>
        <v>0</v>
      </c>
      <c r="N273">
        <f>IFERROR(VLOOKUP($K273,Base_Atividades!$E$1:$N$2398,MATCH(BancoAjustado!N$1,Base_Atividades!$E$1:$N$1,0),FALSE),0)</f>
        <v>0</v>
      </c>
    </row>
    <row r="274" spans="1:14" x14ac:dyDescent="0.25">
      <c r="A274" t="s">
        <v>2111</v>
      </c>
      <c r="B274" t="s">
        <v>2294</v>
      </c>
      <c r="C274" t="s">
        <v>2303</v>
      </c>
      <c r="D274" t="s">
        <v>2309</v>
      </c>
      <c r="E274" t="s">
        <v>2310</v>
      </c>
      <c r="F274" t="str">
        <f>VLOOKUP(A274,Base!$A:$F,6,FALSE)</f>
        <v>INDÚSTRIAS DE TRANSFORMAÇÃO</v>
      </c>
      <c r="G274" t="str">
        <f>VLOOKUP(B274,Base!$B:$F,5,FALSE)</f>
        <v>PREPARAÇÃO DE COUROS E FABRICAÇÃO DE ARTEFATOS DE COURO, ARTIGOS PARA VIAGEM E CALÇADOS</v>
      </c>
      <c r="H274" t="str">
        <f>VLOOKUP(C274,Base!$C:$F,4,FALSE)</f>
        <v>Fabricação de calçados</v>
      </c>
      <c r="I274" t="str">
        <f>VLOOKUP(D274,Base!$D:$F,3,FALSE)</f>
        <v>Fabricação de calçados de material sintético</v>
      </c>
      <c r="J274" t="str">
        <f>VLOOKUP(E274,Base!$E:$F,2,FALSE)</f>
        <v>Fabricação de calçados de material sintético</v>
      </c>
      <c r="K274" t="s">
        <v>2310</v>
      </c>
      <c r="L274">
        <f>IFERROR(VLOOKUP($K274,Base_Atividades!$E$1:$N$2398,MATCH(BancoAjustado!L$1,Base_Atividades!$E$1:$N$1,0),FALSE),0)</f>
        <v>1</v>
      </c>
      <c r="M274">
        <f>IFERROR(VLOOKUP($K274,Base_Atividades!$E$1:$N$2398,MATCH(BancoAjustado!M$1,Base_Atividades!$E$1:$N$1,0),FALSE),0)</f>
        <v>0</v>
      </c>
      <c r="N274">
        <f>IFERROR(VLOOKUP($K274,Base_Atividades!$E$1:$N$2398,MATCH(BancoAjustado!N$1,Base_Atividades!$E$1:$N$1,0),FALSE),0)</f>
        <v>0</v>
      </c>
    </row>
    <row r="275" spans="1:14" x14ac:dyDescent="0.25">
      <c r="A275" t="s">
        <v>2111</v>
      </c>
      <c r="B275" t="s">
        <v>2294</v>
      </c>
      <c r="C275" t="s">
        <v>2303</v>
      </c>
      <c r="D275" t="s">
        <v>2311</v>
      </c>
      <c r="E275" t="s">
        <v>2312</v>
      </c>
      <c r="F275" t="str">
        <f>VLOOKUP(A275,Base!$A:$F,6,FALSE)</f>
        <v>INDÚSTRIAS DE TRANSFORMAÇÃO</v>
      </c>
      <c r="G275" t="str">
        <f>VLOOKUP(B275,Base!$B:$F,5,FALSE)</f>
        <v>PREPARAÇÃO DE COUROS E FABRICAÇÃO DE ARTEFATOS DE COURO, ARTIGOS PARA VIAGEM E CALÇADOS</v>
      </c>
      <c r="H275" t="str">
        <f>VLOOKUP(C275,Base!$C:$F,4,FALSE)</f>
        <v>Fabricação de calçados</v>
      </c>
      <c r="I275" t="str">
        <f>VLOOKUP(D275,Base!$D:$F,3,FALSE)</f>
        <v>Fabricação de calçados de materiais não especificados anteriormente</v>
      </c>
      <c r="J275" t="str">
        <f>VLOOKUP(E275,Base!$E:$F,2,FALSE)</f>
        <v>Fabricação de calçados de materiais não especificados
anteriormente</v>
      </c>
      <c r="K275" t="s">
        <v>2312</v>
      </c>
      <c r="L275">
        <f>IFERROR(VLOOKUP($K275,Base_Atividades!$E$1:$N$2398,MATCH(BancoAjustado!L$1,Base_Atividades!$E$1:$N$1,0),FALSE),0)</f>
        <v>1</v>
      </c>
      <c r="M275">
        <f>IFERROR(VLOOKUP($K275,Base_Atividades!$E$1:$N$2398,MATCH(BancoAjustado!M$1,Base_Atividades!$E$1:$N$1,0),FALSE),0)</f>
        <v>0</v>
      </c>
      <c r="N275">
        <f>IFERROR(VLOOKUP($K275,Base_Atividades!$E$1:$N$2398,MATCH(BancoAjustado!N$1,Base_Atividades!$E$1:$N$1,0),FALSE),0)</f>
        <v>0</v>
      </c>
    </row>
    <row r="276" spans="1:14" x14ac:dyDescent="0.25">
      <c r="A276" t="s">
        <v>2111</v>
      </c>
      <c r="B276" t="s">
        <v>2294</v>
      </c>
      <c r="C276" t="s">
        <v>2313</v>
      </c>
      <c r="D276" t="s">
        <v>2314</v>
      </c>
      <c r="E276" t="s">
        <v>2315</v>
      </c>
      <c r="F276" t="str">
        <f>VLOOKUP(A276,Base!$A:$F,6,FALSE)</f>
        <v>INDÚSTRIAS DE TRANSFORMAÇÃO</v>
      </c>
      <c r="G276" t="str">
        <f>VLOOKUP(B276,Base!$B:$F,5,FALSE)</f>
        <v>PREPARAÇÃO DE COUROS E FABRICAÇÃO DE ARTEFATOS DE COURO, ARTIGOS PARA VIAGEM E CALÇADOS</v>
      </c>
      <c r="H276" t="str">
        <f>VLOOKUP(C276,Base!$C:$F,4,FALSE)</f>
        <v>Fabricação de partes para calçados, de qualquer material</v>
      </c>
      <c r="I276" t="str">
        <f>VLOOKUP(D276,Base!$D:$F,3,FALSE)</f>
        <v>Fabricação de partes para calçados, de qualquer material</v>
      </c>
      <c r="J276" t="str">
        <f>VLOOKUP(E276,Base!$E:$F,2,FALSE)</f>
        <v>Fabricação de partes para calçados, de qualquer material</v>
      </c>
      <c r="K276" t="s">
        <v>2315</v>
      </c>
      <c r="L276">
        <f>IFERROR(VLOOKUP($K276,Base_Atividades!$E$1:$N$2398,MATCH(BancoAjustado!L$1,Base_Atividades!$E$1:$N$1,0),FALSE),0)</f>
        <v>1</v>
      </c>
      <c r="M276">
        <f>IFERROR(VLOOKUP($K276,Base_Atividades!$E$1:$N$2398,MATCH(BancoAjustado!M$1,Base_Atividades!$E$1:$N$1,0),FALSE),0)</f>
        <v>0</v>
      </c>
      <c r="N276">
        <f>IFERROR(VLOOKUP($K276,Base_Atividades!$E$1:$N$2398,MATCH(BancoAjustado!N$1,Base_Atividades!$E$1:$N$1,0),FALSE),0)</f>
        <v>0</v>
      </c>
    </row>
    <row r="277" spans="1:14" x14ac:dyDescent="0.25">
      <c r="A277" t="s">
        <v>2111</v>
      </c>
      <c r="B277" t="s">
        <v>2316</v>
      </c>
      <c r="C277" t="s">
        <v>2317</v>
      </c>
      <c r="D277" t="s">
        <v>2318</v>
      </c>
      <c r="E277" t="s">
        <v>2319</v>
      </c>
      <c r="F277" t="str">
        <f>VLOOKUP(A277,Base!$A:$F,6,FALSE)</f>
        <v>INDÚSTRIAS DE TRANSFORMAÇÃO</v>
      </c>
      <c r="G277" t="str">
        <f>VLOOKUP(B277,Base!$B:$F,5,FALSE)</f>
        <v>FABRICAÇÃO DE PRODUTOS DE MADEIRA</v>
      </c>
      <c r="H277" t="str">
        <f>VLOOKUP(C277,Base!$C:$F,4,FALSE)</f>
        <v>Desdobramento de madeira</v>
      </c>
      <c r="I277" t="str">
        <f>VLOOKUP(D277,Base!$D:$F,3,FALSE)</f>
        <v>Desdobramento de madeira</v>
      </c>
      <c r="J277" t="str">
        <f>VLOOKUP(E277,Base!$E:$F,2,FALSE)</f>
        <v>Serrarias com desdobramento de madeira em bruto</v>
      </c>
      <c r="K277" t="s">
        <v>2319</v>
      </c>
      <c r="L277">
        <f>IFERROR(VLOOKUP($K277,Base_Atividades!$E$1:$N$2398,MATCH(BancoAjustado!L$1,Base_Atividades!$E$1:$N$1,0),FALSE),0)</f>
        <v>0</v>
      </c>
      <c r="M277">
        <f>IFERROR(VLOOKUP($K277,Base_Atividades!$E$1:$N$2398,MATCH(BancoAjustado!M$1,Base_Atividades!$E$1:$N$1,0),FALSE),0)</f>
        <v>0</v>
      </c>
      <c r="N277">
        <f>IFERROR(VLOOKUP($K277,Base_Atividades!$E$1:$N$2398,MATCH(BancoAjustado!N$1,Base_Atividades!$E$1:$N$1,0),FALSE),0)</f>
        <v>0</v>
      </c>
    </row>
    <row r="278" spans="1:14" x14ac:dyDescent="0.25">
      <c r="A278" t="s">
        <v>2111</v>
      </c>
      <c r="B278" t="s">
        <v>2316</v>
      </c>
      <c r="C278" t="s">
        <v>2317</v>
      </c>
      <c r="D278" t="s">
        <v>2318</v>
      </c>
      <c r="E278" t="s">
        <v>2320</v>
      </c>
      <c r="F278" t="str">
        <f>VLOOKUP(A278,Base!$A:$F,6,FALSE)</f>
        <v>INDÚSTRIAS DE TRANSFORMAÇÃO</v>
      </c>
      <c r="G278" t="str">
        <f>VLOOKUP(B278,Base!$B:$F,5,FALSE)</f>
        <v>FABRICAÇÃO DE PRODUTOS DE MADEIRA</v>
      </c>
      <c r="H278" t="str">
        <f>VLOOKUP(C278,Base!$C:$F,4,FALSE)</f>
        <v>Desdobramento de madeira</v>
      </c>
      <c r="I278" t="str">
        <f>VLOOKUP(D278,Base!$D:$F,3,FALSE)</f>
        <v>Desdobramento de madeira</v>
      </c>
      <c r="J278" t="str">
        <f>VLOOKUP(E278,Base!$E:$F,2,FALSE)</f>
        <v>Serrarias sem desdobramento de madeira em bruto - Resseragem</v>
      </c>
      <c r="K278" t="s">
        <v>2320</v>
      </c>
      <c r="L278">
        <f>IFERROR(VLOOKUP($K278,Base_Atividades!$E$1:$N$2398,MATCH(BancoAjustado!L$1,Base_Atividades!$E$1:$N$1,0),FALSE),0)</f>
        <v>0</v>
      </c>
      <c r="M278">
        <f>IFERROR(VLOOKUP($K278,Base_Atividades!$E$1:$N$2398,MATCH(BancoAjustado!M$1,Base_Atividades!$E$1:$N$1,0),FALSE),0)</f>
        <v>0</v>
      </c>
      <c r="N278">
        <f>IFERROR(VLOOKUP($K278,Base_Atividades!$E$1:$N$2398,MATCH(BancoAjustado!N$1,Base_Atividades!$E$1:$N$1,0),FALSE),0)</f>
        <v>0</v>
      </c>
    </row>
    <row r="279" spans="1:14" x14ac:dyDescent="0.25">
      <c r="A279" t="s">
        <v>2111</v>
      </c>
      <c r="B279" t="s">
        <v>2316</v>
      </c>
      <c r="C279" t="s">
        <v>2317</v>
      </c>
      <c r="D279" t="s">
        <v>2318</v>
      </c>
      <c r="E279" t="s">
        <v>2321</v>
      </c>
      <c r="F279" t="str">
        <f>VLOOKUP(A279,Base!$A:$F,6,FALSE)</f>
        <v>INDÚSTRIAS DE TRANSFORMAÇÃO</v>
      </c>
      <c r="G279" t="str">
        <f>VLOOKUP(B279,Base!$B:$F,5,FALSE)</f>
        <v>FABRICAÇÃO DE PRODUTOS DE MADEIRA</v>
      </c>
      <c r="H279" t="str">
        <f>VLOOKUP(C279,Base!$C:$F,4,FALSE)</f>
        <v>Desdobramento de madeira</v>
      </c>
      <c r="I279" t="str">
        <f>VLOOKUP(D279,Base!$D:$F,3,FALSE)</f>
        <v>Desdobramento de madeira</v>
      </c>
      <c r="J279" t="str">
        <f>VLOOKUP(E279,Base!$E:$F,2,FALSE)</f>
        <v>Serviço de tratamento de madeira realizado sob contrato</v>
      </c>
      <c r="K279" t="s">
        <v>2321</v>
      </c>
      <c r="L279">
        <f>IFERROR(VLOOKUP($K279,Base_Atividades!$E$1:$N$2398,MATCH(BancoAjustado!L$1,Base_Atividades!$E$1:$N$1,0),FALSE),0)</f>
        <v>0</v>
      </c>
      <c r="M279">
        <f>IFERROR(VLOOKUP($K279,Base_Atividades!$E$1:$N$2398,MATCH(BancoAjustado!M$1,Base_Atividades!$E$1:$N$1,0),FALSE),0)</f>
        <v>0</v>
      </c>
      <c r="N279">
        <f>IFERROR(VLOOKUP($K279,Base_Atividades!$E$1:$N$2398,MATCH(BancoAjustado!N$1,Base_Atividades!$E$1:$N$1,0),FALSE),0)</f>
        <v>0</v>
      </c>
    </row>
    <row r="280" spans="1:14" x14ac:dyDescent="0.25">
      <c r="A280" t="s">
        <v>2111</v>
      </c>
      <c r="B280" t="s">
        <v>2316</v>
      </c>
      <c r="C280" t="s">
        <v>2322</v>
      </c>
      <c r="D280" t="s">
        <v>2323</v>
      </c>
      <c r="E280" t="s">
        <v>2324</v>
      </c>
      <c r="F280" t="str">
        <f>VLOOKUP(A280,Base!$A:$F,6,FALSE)</f>
        <v>INDÚSTRIAS DE TRANSFORMAÇÃO</v>
      </c>
      <c r="G280" t="str">
        <f>VLOOKUP(B280,Base!$B:$F,5,FALSE)</f>
        <v>FABRICAÇÃO DE PRODUTOS DE MADEIRA</v>
      </c>
      <c r="H280" t="str">
        <f>VLOOKUP(C280,Base!$C:$F,4,FALSE)</f>
        <v>Fabricação de produtos de madeira, cortiça e material trançado, exceto móveis</v>
      </c>
      <c r="I280" t="str">
        <f>VLOOKUP(D280,Base!$D:$F,3,FALSE)</f>
        <v>Fabricação de madeira laminada e de chapas de madeira compensada, prensada e aglomerada</v>
      </c>
      <c r="J280" t="str">
        <f>VLOOKUP(E280,Base!$E:$F,2,FALSE)</f>
        <v>Fabricação de madeira laminada e de chapas de madeira compensada, prensada e aglomerada</v>
      </c>
      <c r="K280" t="s">
        <v>2324</v>
      </c>
      <c r="L280">
        <f>IFERROR(VLOOKUP($K280,Base_Atividades!$E$1:$N$2398,MATCH(BancoAjustado!L$1,Base_Atividades!$E$1:$N$1,0),FALSE),0)</f>
        <v>0</v>
      </c>
      <c r="M280">
        <f>IFERROR(VLOOKUP($K280,Base_Atividades!$E$1:$N$2398,MATCH(BancoAjustado!M$1,Base_Atividades!$E$1:$N$1,0),FALSE),0)</f>
        <v>0</v>
      </c>
      <c r="N280">
        <f>IFERROR(VLOOKUP($K280,Base_Atividades!$E$1:$N$2398,MATCH(BancoAjustado!N$1,Base_Atividades!$E$1:$N$1,0),FALSE),0)</f>
        <v>0</v>
      </c>
    </row>
    <row r="281" spans="1:14" x14ac:dyDescent="0.25">
      <c r="A281" t="s">
        <v>2111</v>
      </c>
      <c r="B281" t="s">
        <v>2316</v>
      </c>
      <c r="C281" t="s">
        <v>2322</v>
      </c>
      <c r="D281" t="s">
        <v>2325</v>
      </c>
      <c r="E281" t="s">
        <v>2326</v>
      </c>
      <c r="F281" t="str">
        <f>VLOOKUP(A281,Base!$A:$F,6,FALSE)</f>
        <v>INDÚSTRIAS DE TRANSFORMAÇÃO</v>
      </c>
      <c r="G281" t="str">
        <f>VLOOKUP(B281,Base!$B:$F,5,FALSE)</f>
        <v>FABRICAÇÃO DE PRODUTOS DE MADEIRA</v>
      </c>
      <c r="H281" t="str">
        <f>VLOOKUP(C281,Base!$C:$F,4,FALSE)</f>
        <v>Fabricação de produtos de madeira, cortiça e material trançado, exceto móveis</v>
      </c>
      <c r="I281" t="str">
        <f>VLOOKUP(D281,Base!$D:$F,3,FALSE)</f>
        <v>Fabricação de estruturas de madeira e de artigos de carpintaria para construção</v>
      </c>
      <c r="J281" t="str">
        <f>VLOOKUP(E281,Base!$E:$F,2,FALSE)</f>
        <v>Fabricação de casas de madeira pré-fabricadas</v>
      </c>
      <c r="K281" t="s">
        <v>2326</v>
      </c>
      <c r="L281">
        <f>IFERROR(VLOOKUP($K281,Base_Atividades!$E$1:$N$2398,MATCH(BancoAjustado!L$1,Base_Atividades!$E$1:$N$1,0),FALSE),0)</f>
        <v>1</v>
      </c>
      <c r="M281">
        <f>IFERROR(VLOOKUP($K281,Base_Atividades!$E$1:$N$2398,MATCH(BancoAjustado!M$1,Base_Atividades!$E$1:$N$1,0),FALSE),0)</f>
        <v>0</v>
      </c>
      <c r="N281">
        <f>IFERROR(VLOOKUP($K281,Base_Atividades!$E$1:$N$2398,MATCH(BancoAjustado!N$1,Base_Atividades!$E$1:$N$1,0),FALSE),0)</f>
        <v>0</v>
      </c>
    </row>
    <row r="282" spans="1:14" x14ac:dyDescent="0.25">
      <c r="A282" t="s">
        <v>2111</v>
      </c>
      <c r="B282" t="s">
        <v>2316</v>
      </c>
      <c r="C282" t="s">
        <v>2322</v>
      </c>
      <c r="D282" t="s">
        <v>2325</v>
      </c>
      <c r="E282" t="s">
        <v>2327</v>
      </c>
      <c r="F282" t="str">
        <f>VLOOKUP(A282,Base!$A:$F,6,FALSE)</f>
        <v>INDÚSTRIAS DE TRANSFORMAÇÃO</v>
      </c>
      <c r="G282" t="str">
        <f>VLOOKUP(B282,Base!$B:$F,5,FALSE)</f>
        <v>FABRICAÇÃO DE PRODUTOS DE MADEIRA</v>
      </c>
      <c r="H282" t="str">
        <f>VLOOKUP(C282,Base!$C:$F,4,FALSE)</f>
        <v>Fabricação de produtos de madeira, cortiça e material trançado, exceto móveis</v>
      </c>
      <c r="I282" t="str">
        <f>VLOOKUP(D282,Base!$D:$F,3,FALSE)</f>
        <v>Fabricação de estruturas de madeira e de artigos de carpintaria para construção</v>
      </c>
      <c r="J282" t="str">
        <f>VLOOKUP(E282,Base!$E:$F,2,FALSE)</f>
        <v>Fabricação de esquadrias de madeira e de peças de madeira para instalações industriais e comerciais</v>
      </c>
      <c r="K282" t="s">
        <v>2327</v>
      </c>
      <c r="L282">
        <f>IFERROR(VLOOKUP($K282,Base_Atividades!$E$1:$N$2398,MATCH(BancoAjustado!L$1,Base_Atividades!$E$1:$N$1,0),FALSE),0)</f>
        <v>1</v>
      </c>
      <c r="M282">
        <f>IFERROR(VLOOKUP($K282,Base_Atividades!$E$1:$N$2398,MATCH(BancoAjustado!M$1,Base_Atividades!$E$1:$N$1,0),FALSE),0)</f>
        <v>0</v>
      </c>
      <c r="N282">
        <f>IFERROR(VLOOKUP($K282,Base_Atividades!$E$1:$N$2398,MATCH(BancoAjustado!N$1,Base_Atividades!$E$1:$N$1,0),FALSE),0)</f>
        <v>0</v>
      </c>
    </row>
    <row r="283" spans="1:14" x14ac:dyDescent="0.25">
      <c r="A283" t="s">
        <v>2111</v>
      </c>
      <c r="B283" t="s">
        <v>2316</v>
      </c>
      <c r="C283" t="s">
        <v>2322</v>
      </c>
      <c r="D283" t="s">
        <v>2325</v>
      </c>
      <c r="E283" t="s">
        <v>2328</v>
      </c>
      <c r="F283" t="str">
        <f>VLOOKUP(A283,Base!$A:$F,6,FALSE)</f>
        <v>INDÚSTRIAS DE TRANSFORMAÇÃO</v>
      </c>
      <c r="G283" t="str">
        <f>VLOOKUP(B283,Base!$B:$F,5,FALSE)</f>
        <v>FABRICAÇÃO DE PRODUTOS DE MADEIRA</v>
      </c>
      <c r="H283" t="str">
        <f>VLOOKUP(C283,Base!$C:$F,4,FALSE)</f>
        <v>Fabricação de produtos de madeira, cortiça e material trançado, exceto móveis</v>
      </c>
      <c r="I283" t="str">
        <f>VLOOKUP(D283,Base!$D:$F,3,FALSE)</f>
        <v>Fabricação de estruturas de madeira e de artigos de carpintaria para construção</v>
      </c>
      <c r="J283" t="str">
        <f>VLOOKUP(E283,Base!$E:$F,2,FALSE)</f>
        <v>Fabricação de outros artigos de carpintaria para construção</v>
      </c>
      <c r="K283" t="s">
        <v>2328</v>
      </c>
      <c r="L283">
        <f>IFERROR(VLOOKUP($K283,Base_Atividades!$E$1:$N$2398,MATCH(BancoAjustado!L$1,Base_Atividades!$E$1:$N$1,0),FALSE),0)</f>
        <v>1</v>
      </c>
      <c r="M283">
        <f>IFERROR(VLOOKUP($K283,Base_Atividades!$E$1:$N$2398,MATCH(BancoAjustado!M$1,Base_Atividades!$E$1:$N$1,0),FALSE),0)</f>
        <v>0</v>
      </c>
      <c r="N283">
        <f>IFERROR(VLOOKUP($K283,Base_Atividades!$E$1:$N$2398,MATCH(BancoAjustado!N$1,Base_Atividades!$E$1:$N$1,0),FALSE),0)</f>
        <v>0</v>
      </c>
    </row>
    <row r="284" spans="1:14" x14ac:dyDescent="0.25">
      <c r="A284" t="s">
        <v>2111</v>
      </c>
      <c r="B284" t="s">
        <v>2316</v>
      </c>
      <c r="C284" t="s">
        <v>2322</v>
      </c>
      <c r="D284" t="s">
        <v>2329</v>
      </c>
      <c r="E284" t="s">
        <v>2330</v>
      </c>
      <c r="F284" t="str">
        <f>VLOOKUP(A284,Base!$A:$F,6,FALSE)</f>
        <v>INDÚSTRIAS DE TRANSFORMAÇÃO</v>
      </c>
      <c r="G284" t="str">
        <f>VLOOKUP(B284,Base!$B:$F,5,FALSE)</f>
        <v>FABRICAÇÃO DE PRODUTOS DE MADEIRA</v>
      </c>
      <c r="H284" t="str">
        <f>VLOOKUP(C284,Base!$C:$F,4,FALSE)</f>
        <v>Fabricação de produtos de madeira, cortiça e material trançado, exceto móveis</v>
      </c>
      <c r="I284" t="str">
        <f>VLOOKUP(D284,Base!$D:$F,3,FALSE)</f>
        <v>Fabricação de artefatos de tanoaria e de embalagens de madeira</v>
      </c>
      <c r="J284" t="str">
        <f>VLOOKUP(E284,Base!$E:$F,2,FALSE)</f>
        <v>Fabricação de artefatos de tanoaria e de embalagens de madeira</v>
      </c>
      <c r="K284" t="s">
        <v>2330</v>
      </c>
      <c r="L284">
        <f>IFERROR(VLOOKUP($K284,Base_Atividades!$E$1:$N$2398,MATCH(BancoAjustado!L$1,Base_Atividades!$E$1:$N$1,0),FALSE),0)</f>
        <v>1</v>
      </c>
      <c r="M284">
        <f>IFERROR(VLOOKUP($K284,Base_Atividades!$E$1:$N$2398,MATCH(BancoAjustado!M$1,Base_Atividades!$E$1:$N$1,0),FALSE),0)</f>
        <v>0</v>
      </c>
      <c r="N284">
        <f>IFERROR(VLOOKUP($K284,Base_Atividades!$E$1:$N$2398,MATCH(BancoAjustado!N$1,Base_Atividades!$E$1:$N$1,0),FALSE),0)</f>
        <v>0</v>
      </c>
    </row>
    <row r="285" spans="1:14" x14ac:dyDescent="0.25">
      <c r="A285" t="s">
        <v>2111</v>
      </c>
      <c r="B285" t="s">
        <v>2316</v>
      </c>
      <c r="C285" t="s">
        <v>2322</v>
      </c>
      <c r="D285" t="s">
        <v>2331</v>
      </c>
      <c r="E285" t="s">
        <v>2332</v>
      </c>
      <c r="F285" t="str">
        <f>VLOOKUP(A285,Base!$A:$F,6,FALSE)</f>
        <v>INDÚSTRIAS DE TRANSFORMAÇÃO</v>
      </c>
      <c r="G285" t="str">
        <f>VLOOKUP(B285,Base!$B:$F,5,FALSE)</f>
        <v>FABRICAÇÃO DE PRODUTOS DE MADEIRA</v>
      </c>
      <c r="H285" t="str">
        <f>VLOOKUP(C285,Base!$C:$F,4,FALSE)</f>
        <v>Fabricação de produtos de madeira, cortiça e material trançado, exceto móveis</v>
      </c>
      <c r="I285" t="str">
        <f>VLOOKUP(D285,Base!$D:$F,3,FALSE)</f>
        <v>Fabricação de artefatos de madeira, palha, cortiça, vime e material trançado não especificados anteriormente, exceto
móveis</v>
      </c>
      <c r="J285" t="str">
        <f>VLOOKUP(E285,Base!$E:$F,2,FALSE)</f>
        <v>Fabricação de artefatos diversos de madeira, exceto móveis</v>
      </c>
      <c r="K285" t="s">
        <v>2332</v>
      </c>
      <c r="L285">
        <f>IFERROR(VLOOKUP($K285,Base_Atividades!$E$1:$N$2398,MATCH(BancoAjustado!L$1,Base_Atividades!$E$1:$N$1,0),FALSE),0)</f>
        <v>1</v>
      </c>
      <c r="M285">
        <f>IFERROR(VLOOKUP($K285,Base_Atividades!$E$1:$N$2398,MATCH(BancoAjustado!M$1,Base_Atividades!$E$1:$N$1,0),FALSE),0)</f>
        <v>0</v>
      </c>
      <c r="N285">
        <f>IFERROR(VLOOKUP($K285,Base_Atividades!$E$1:$N$2398,MATCH(BancoAjustado!N$1,Base_Atividades!$E$1:$N$1,0),FALSE),0)</f>
        <v>0</v>
      </c>
    </row>
    <row r="286" spans="1:14" x14ac:dyDescent="0.25">
      <c r="A286" t="s">
        <v>2111</v>
      </c>
      <c r="B286" t="s">
        <v>2316</v>
      </c>
      <c r="C286" t="s">
        <v>2322</v>
      </c>
      <c r="D286" t="s">
        <v>2331</v>
      </c>
      <c r="E286" t="s">
        <v>2333</v>
      </c>
      <c r="F286" t="str">
        <f>VLOOKUP(A286,Base!$A:$F,6,FALSE)</f>
        <v>INDÚSTRIAS DE TRANSFORMAÇÃO</v>
      </c>
      <c r="G286" t="str">
        <f>VLOOKUP(B286,Base!$B:$F,5,FALSE)</f>
        <v>FABRICAÇÃO DE PRODUTOS DE MADEIRA</v>
      </c>
      <c r="H286" t="str">
        <f>VLOOKUP(C286,Base!$C:$F,4,FALSE)</f>
        <v>Fabricação de produtos de madeira, cortiça e material trançado, exceto móveis</v>
      </c>
      <c r="I286" t="str">
        <f>VLOOKUP(D286,Base!$D:$F,3,FALSE)</f>
        <v>Fabricação de artefatos de madeira, palha, cortiça, vime e material trançado não especificados anteriormente, exceto
móveis</v>
      </c>
      <c r="J286" t="str">
        <f>VLOOKUP(E286,Base!$E:$F,2,FALSE)</f>
        <v>Fabricação de artefatos diversos de cortiça, bambu, palha, vime e outros materiais trançados, exceto móveis</v>
      </c>
      <c r="K286" t="s">
        <v>2333</v>
      </c>
      <c r="L286">
        <f>IFERROR(VLOOKUP($K286,Base_Atividades!$E$1:$N$2398,MATCH(BancoAjustado!L$1,Base_Atividades!$E$1:$N$1,0),FALSE),0)</f>
        <v>1</v>
      </c>
      <c r="M286">
        <f>IFERROR(VLOOKUP($K286,Base_Atividades!$E$1:$N$2398,MATCH(BancoAjustado!M$1,Base_Atividades!$E$1:$N$1,0),FALSE),0)</f>
        <v>0</v>
      </c>
      <c r="N286">
        <f>IFERROR(VLOOKUP($K286,Base_Atividades!$E$1:$N$2398,MATCH(BancoAjustado!N$1,Base_Atividades!$E$1:$N$1,0),FALSE),0)</f>
        <v>0</v>
      </c>
    </row>
    <row r="287" spans="1:14" x14ac:dyDescent="0.25">
      <c r="A287" t="s">
        <v>2111</v>
      </c>
      <c r="B287" t="s">
        <v>2334</v>
      </c>
      <c r="C287" t="s">
        <v>2335</v>
      </c>
      <c r="D287" t="s">
        <v>2336</v>
      </c>
      <c r="E287" t="s">
        <v>2337</v>
      </c>
      <c r="F287" t="str">
        <f>VLOOKUP(A287,Base!$A:$F,6,FALSE)</f>
        <v>INDÚSTRIAS DE TRANSFORMAÇÃO</v>
      </c>
      <c r="G287" t="str">
        <f>VLOOKUP(B287,Base!$B:$F,5,FALSE)</f>
        <v>FABRICAÇÃO DE CELULOSE, PAPEL E PRODUTOS DE PAPEL</v>
      </c>
      <c r="H287" t="str">
        <f>VLOOKUP(C287,Base!$C:$F,4,FALSE)</f>
        <v>Fabricação de celulose e outras pastas para a fabricação de papel</v>
      </c>
      <c r="I287" t="str">
        <f>VLOOKUP(D287,Base!$D:$F,3,FALSE)</f>
        <v>Fabricação de celulose e outras pastas para a fabricação de papel</v>
      </c>
      <c r="J287" t="str">
        <f>VLOOKUP(E287,Base!$E:$F,2,FALSE)</f>
        <v>Fabricação de celulose e outras pastas para a fabricação de papel</v>
      </c>
      <c r="K287" t="s">
        <v>2337</v>
      </c>
      <c r="L287">
        <f>IFERROR(VLOOKUP($K287,Base_Atividades!$E$1:$N$2398,MATCH(BancoAjustado!L$1,Base_Atividades!$E$1:$N$1,0),FALSE),0)</f>
        <v>0</v>
      </c>
      <c r="M287">
        <f>IFERROR(VLOOKUP($K287,Base_Atividades!$E$1:$N$2398,MATCH(BancoAjustado!M$1,Base_Atividades!$E$1:$N$1,0),FALSE),0)</f>
        <v>0</v>
      </c>
      <c r="N287">
        <f>IFERROR(VLOOKUP($K287,Base_Atividades!$E$1:$N$2398,MATCH(BancoAjustado!N$1,Base_Atividades!$E$1:$N$1,0),FALSE),0)</f>
        <v>0</v>
      </c>
    </row>
    <row r="288" spans="1:14" x14ac:dyDescent="0.25">
      <c r="A288" t="s">
        <v>2111</v>
      </c>
      <c r="B288" t="s">
        <v>2334</v>
      </c>
      <c r="C288" t="s">
        <v>2338</v>
      </c>
      <c r="D288" t="s">
        <v>2339</v>
      </c>
      <c r="E288" t="s">
        <v>2340</v>
      </c>
      <c r="F288" t="str">
        <f>VLOOKUP(A288,Base!$A:$F,6,FALSE)</f>
        <v>INDÚSTRIAS DE TRANSFORMAÇÃO</v>
      </c>
      <c r="G288" t="str">
        <f>VLOOKUP(B288,Base!$B:$F,5,FALSE)</f>
        <v>FABRICAÇÃO DE CELULOSE, PAPEL E PRODUTOS DE PAPEL</v>
      </c>
      <c r="H288" t="str">
        <f>VLOOKUP(C288,Base!$C:$F,4,FALSE)</f>
        <v>Fabricação de papel, cartolina e papel-cartão</v>
      </c>
      <c r="I288" t="str">
        <f>VLOOKUP(D288,Base!$D:$F,3,FALSE)</f>
        <v>Fabricação de papel</v>
      </c>
      <c r="J288" t="str">
        <f>VLOOKUP(E288,Base!$E:$F,2,FALSE)</f>
        <v>Fabricação de papel</v>
      </c>
      <c r="K288" t="s">
        <v>2340</v>
      </c>
      <c r="L288">
        <f>IFERROR(VLOOKUP($K288,Base_Atividades!$E$1:$N$2398,MATCH(BancoAjustado!L$1,Base_Atividades!$E$1:$N$1,0),FALSE),0)</f>
        <v>0</v>
      </c>
      <c r="M288">
        <f>IFERROR(VLOOKUP($K288,Base_Atividades!$E$1:$N$2398,MATCH(BancoAjustado!M$1,Base_Atividades!$E$1:$N$1,0),FALSE),0)</f>
        <v>0</v>
      </c>
      <c r="N288">
        <f>IFERROR(VLOOKUP($K288,Base_Atividades!$E$1:$N$2398,MATCH(BancoAjustado!N$1,Base_Atividades!$E$1:$N$1,0),FALSE),0)</f>
        <v>0</v>
      </c>
    </row>
    <row r="289" spans="1:14" x14ac:dyDescent="0.25">
      <c r="A289" t="s">
        <v>2111</v>
      </c>
      <c r="B289" t="s">
        <v>2334</v>
      </c>
      <c r="C289" t="s">
        <v>2338</v>
      </c>
      <c r="D289" t="s">
        <v>2341</v>
      </c>
      <c r="E289" t="s">
        <v>2342</v>
      </c>
      <c r="F289" t="str">
        <f>VLOOKUP(A289,Base!$A:$F,6,FALSE)</f>
        <v>INDÚSTRIAS DE TRANSFORMAÇÃO</v>
      </c>
      <c r="G289" t="str">
        <f>VLOOKUP(B289,Base!$B:$F,5,FALSE)</f>
        <v>FABRICAÇÃO DE CELULOSE, PAPEL E PRODUTOS DE PAPEL</v>
      </c>
      <c r="H289" t="str">
        <f>VLOOKUP(C289,Base!$C:$F,4,FALSE)</f>
        <v>Fabricação de papel, cartolina e papel-cartão</v>
      </c>
      <c r="I289" t="str">
        <f>VLOOKUP(D289,Base!$D:$F,3,FALSE)</f>
        <v>Fabricação de cartolina e papel-cartão</v>
      </c>
      <c r="J289" t="str">
        <f>VLOOKUP(E289,Base!$E:$F,2,FALSE)</f>
        <v>Fabricação de cartolina e papel-cartão</v>
      </c>
      <c r="K289" t="s">
        <v>2342</v>
      </c>
      <c r="L289">
        <f>IFERROR(VLOOKUP($K289,Base_Atividades!$E$1:$N$2398,MATCH(BancoAjustado!L$1,Base_Atividades!$E$1:$N$1,0),FALSE),0)</f>
        <v>0</v>
      </c>
      <c r="M289">
        <f>IFERROR(VLOOKUP($K289,Base_Atividades!$E$1:$N$2398,MATCH(BancoAjustado!M$1,Base_Atividades!$E$1:$N$1,0),FALSE),0)</f>
        <v>0</v>
      </c>
      <c r="N289">
        <f>IFERROR(VLOOKUP($K289,Base_Atividades!$E$1:$N$2398,MATCH(BancoAjustado!N$1,Base_Atividades!$E$1:$N$1,0),FALSE),0)</f>
        <v>0</v>
      </c>
    </row>
    <row r="290" spans="1:14" x14ac:dyDescent="0.25">
      <c r="A290" t="s">
        <v>2111</v>
      </c>
      <c r="B290" t="s">
        <v>2334</v>
      </c>
      <c r="C290" t="s">
        <v>2343</v>
      </c>
      <c r="D290" t="s">
        <v>2344</v>
      </c>
      <c r="E290" t="s">
        <v>2345</v>
      </c>
      <c r="F290" t="str">
        <f>VLOOKUP(A290,Base!$A:$F,6,FALSE)</f>
        <v>INDÚSTRIAS DE TRANSFORMAÇÃO</v>
      </c>
      <c r="G290" t="str">
        <f>VLOOKUP(B290,Base!$B:$F,5,FALSE)</f>
        <v>FABRICAÇÃO DE CELULOSE, PAPEL E PRODUTOS DE PAPEL</v>
      </c>
      <c r="H290" t="str">
        <f>VLOOKUP(C290,Base!$C:$F,4,FALSE)</f>
        <v>Fabricação de embalagens de papel, cartolina, papel-cartão e papelão ondulado</v>
      </c>
      <c r="I290" t="str">
        <f>VLOOKUP(D290,Base!$D:$F,3,FALSE)</f>
        <v>Fabricação de embalagens de papel</v>
      </c>
      <c r="J290" t="str">
        <f>VLOOKUP(E290,Base!$E:$F,2,FALSE)</f>
        <v>Fabricação de embalagens de papel</v>
      </c>
      <c r="K290" t="s">
        <v>2345</v>
      </c>
      <c r="L290">
        <f>IFERROR(VLOOKUP($K290,Base_Atividades!$E$1:$N$2398,MATCH(BancoAjustado!L$1,Base_Atividades!$E$1:$N$1,0),FALSE),0)</f>
        <v>0</v>
      </c>
      <c r="M290">
        <f>IFERROR(VLOOKUP($K290,Base_Atividades!$E$1:$N$2398,MATCH(BancoAjustado!M$1,Base_Atividades!$E$1:$N$1,0),FALSE),0)</f>
        <v>0</v>
      </c>
      <c r="N290">
        <f>IFERROR(VLOOKUP($K290,Base_Atividades!$E$1:$N$2398,MATCH(BancoAjustado!N$1,Base_Atividades!$E$1:$N$1,0),FALSE),0)</f>
        <v>0</v>
      </c>
    </row>
    <row r="291" spans="1:14" x14ac:dyDescent="0.25">
      <c r="A291" t="s">
        <v>2111</v>
      </c>
      <c r="B291" t="s">
        <v>2334</v>
      </c>
      <c r="C291" t="s">
        <v>2343</v>
      </c>
      <c r="D291" t="s">
        <v>2346</v>
      </c>
      <c r="E291" t="s">
        <v>2347</v>
      </c>
      <c r="F291" t="str">
        <f>VLOOKUP(A291,Base!$A:$F,6,FALSE)</f>
        <v>INDÚSTRIAS DE TRANSFORMAÇÃO</v>
      </c>
      <c r="G291" t="str">
        <f>VLOOKUP(B291,Base!$B:$F,5,FALSE)</f>
        <v>FABRICAÇÃO DE CELULOSE, PAPEL E PRODUTOS DE PAPEL</v>
      </c>
      <c r="H291" t="str">
        <f>VLOOKUP(C291,Base!$C:$F,4,FALSE)</f>
        <v>Fabricação de embalagens de papel, cartolina, papel-cartão e papelão ondulado</v>
      </c>
      <c r="I291" t="str">
        <f>VLOOKUP(D291,Base!$D:$F,3,FALSE)</f>
        <v>Fabricação de embalagens de cartolina e papel-cartão</v>
      </c>
      <c r="J291" t="str">
        <f>VLOOKUP(E291,Base!$E:$F,2,FALSE)</f>
        <v>Fabricação de embalagens de cartolina e papel-cartão</v>
      </c>
      <c r="K291" t="s">
        <v>2347</v>
      </c>
      <c r="L291">
        <f>IFERROR(VLOOKUP($K291,Base_Atividades!$E$1:$N$2398,MATCH(BancoAjustado!L$1,Base_Atividades!$E$1:$N$1,0),FALSE),0)</f>
        <v>0</v>
      </c>
      <c r="M291">
        <f>IFERROR(VLOOKUP($K291,Base_Atividades!$E$1:$N$2398,MATCH(BancoAjustado!M$1,Base_Atividades!$E$1:$N$1,0),FALSE),0)</f>
        <v>0</v>
      </c>
      <c r="N291">
        <f>IFERROR(VLOOKUP($K291,Base_Atividades!$E$1:$N$2398,MATCH(BancoAjustado!N$1,Base_Atividades!$E$1:$N$1,0),FALSE),0)</f>
        <v>0</v>
      </c>
    </row>
    <row r="292" spans="1:14" x14ac:dyDescent="0.25">
      <c r="A292" t="s">
        <v>2111</v>
      </c>
      <c r="B292" t="s">
        <v>2334</v>
      </c>
      <c r="C292" t="s">
        <v>2343</v>
      </c>
      <c r="D292" t="s">
        <v>2348</v>
      </c>
      <c r="E292" t="s">
        <v>2349</v>
      </c>
      <c r="F292" t="str">
        <f>VLOOKUP(A292,Base!$A:$F,6,FALSE)</f>
        <v>INDÚSTRIAS DE TRANSFORMAÇÃO</v>
      </c>
      <c r="G292" t="str">
        <f>VLOOKUP(B292,Base!$B:$F,5,FALSE)</f>
        <v>FABRICAÇÃO DE CELULOSE, PAPEL E PRODUTOS DE PAPEL</v>
      </c>
      <c r="H292" t="str">
        <f>VLOOKUP(C292,Base!$C:$F,4,FALSE)</f>
        <v>Fabricação de embalagens de papel, cartolina, papel-cartão e papelão ondulado</v>
      </c>
      <c r="I292" t="str">
        <f>VLOOKUP(D292,Base!$D:$F,3,FALSE)</f>
        <v>Fabricação de chapas e de embalagens de papelão ondulado</v>
      </c>
      <c r="J292" t="str">
        <f>VLOOKUP(E292,Base!$E:$F,2,FALSE)</f>
        <v>Fabricação de chapas e de embalagens de papelão ondulado</v>
      </c>
      <c r="K292" t="s">
        <v>2349</v>
      </c>
      <c r="L292">
        <f>IFERROR(VLOOKUP($K292,Base_Atividades!$E$1:$N$2398,MATCH(BancoAjustado!L$1,Base_Atividades!$E$1:$N$1,0),FALSE),0)</f>
        <v>0</v>
      </c>
      <c r="M292">
        <f>IFERROR(VLOOKUP($K292,Base_Atividades!$E$1:$N$2398,MATCH(BancoAjustado!M$1,Base_Atividades!$E$1:$N$1,0),FALSE),0)</f>
        <v>0</v>
      </c>
      <c r="N292">
        <f>IFERROR(VLOOKUP($K292,Base_Atividades!$E$1:$N$2398,MATCH(BancoAjustado!N$1,Base_Atividades!$E$1:$N$1,0),FALSE),0)</f>
        <v>0</v>
      </c>
    </row>
    <row r="293" spans="1:14" x14ac:dyDescent="0.25">
      <c r="A293" t="s">
        <v>2111</v>
      </c>
      <c r="B293" t="s">
        <v>2334</v>
      </c>
      <c r="C293" t="s">
        <v>2350</v>
      </c>
      <c r="D293" t="s">
        <v>2351</v>
      </c>
      <c r="E293" t="s">
        <v>2352</v>
      </c>
      <c r="F293" t="str">
        <f>VLOOKUP(A293,Base!$A:$F,6,FALSE)</f>
        <v>INDÚSTRIAS DE TRANSFORMAÇÃO</v>
      </c>
      <c r="G293" t="str">
        <f>VLOOKUP(B293,Base!$B:$F,5,FALSE)</f>
        <v>FABRICAÇÃO DE CELULOSE, PAPEL E PRODUTOS DE PAPEL</v>
      </c>
      <c r="H293" t="str">
        <f>VLOOKUP(C293,Base!$C:$F,4,FALSE)</f>
        <v>Fabricação de produtos diversos de papel, cartolina, papel-cartão e papelão ondulado</v>
      </c>
      <c r="I293" t="str">
        <f>VLOOKUP(D293,Base!$D:$F,3,FALSE)</f>
        <v>Fabricação de produtos de papel, cartolina, papel-cartão e papelão ondulado para uso comercial e de escritório</v>
      </c>
      <c r="J293" t="str">
        <f>VLOOKUP(E293,Base!$E:$F,2,FALSE)</f>
        <v>Fabricação de formulários contínuos</v>
      </c>
      <c r="K293" t="s">
        <v>2352</v>
      </c>
      <c r="L293">
        <f>IFERROR(VLOOKUP($K293,Base_Atividades!$E$1:$N$2398,MATCH(BancoAjustado!L$1,Base_Atividades!$E$1:$N$1,0),FALSE),0)</f>
        <v>0</v>
      </c>
      <c r="M293">
        <f>IFERROR(VLOOKUP($K293,Base_Atividades!$E$1:$N$2398,MATCH(BancoAjustado!M$1,Base_Atividades!$E$1:$N$1,0),FALSE),0)</f>
        <v>0</v>
      </c>
      <c r="N293">
        <f>IFERROR(VLOOKUP($K293,Base_Atividades!$E$1:$N$2398,MATCH(BancoAjustado!N$1,Base_Atividades!$E$1:$N$1,0),FALSE),0)</f>
        <v>0</v>
      </c>
    </row>
    <row r="294" spans="1:14" x14ac:dyDescent="0.25">
      <c r="A294" t="s">
        <v>2111</v>
      </c>
      <c r="B294" t="s">
        <v>2334</v>
      </c>
      <c r="C294" t="s">
        <v>2350</v>
      </c>
      <c r="D294" t="s">
        <v>2351</v>
      </c>
      <c r="E294" t="s">
        <v>2353</v>
      </c>
      <c r="F294" t="str">
        <f>VLOOKUP(A294,Base!$A:$F,6,FALSE)</f>
        <v>INDÚSTRIAS DE TRANSFORMAÇÃO</v>
      </c>
      <c r="G294" t="str">
        <f>VLOOKUP(B294,Base!$B:$F,5,FALSE)</f>
        <v>FABRICAÇÃO DE CELULOSE, PAPEL E PRODUTOS DE PAPEL</v>
      </c>
      <c r="H294" t="str">
        <f>VLOOKUP(C294,Base!$C:$F,4,FALSE)</f>
        <v>Fabricação de produtos diversos de papel, cartolina, papel-cartão e papelão ondulado</v>
      </c>
      <c r="I294" t="str">
        <f>VLOOKUP(D294,Base!$D:$F,3,FALSE)</f>
        <v>Fabricação de produtos de papel, cartolina, papel-cartão e papelão ondulado para uso comercial e de escritório</v>
      </c>
      <c r="J294" t="str">
        <f>VLOOKUP(E294,Base!$E:$F,2,FALSE)</f>
        <v>Fabricação de produtos de papel, cartolina, papel-cartão e papelão ondulado para uso comercial e de escritório</v>
      </c>
      <c r="K294" t="s">
        <v>2353</v>
      </c>
      <c r="L294">
        <f>IFERROR(VLOOKUP($K294,Base_Atividades!$E$1:$N$2398,MATCH(BancoAjustado!L$1,Base_Atividades!$E$1:$N$1,0),FALSE),0)</f>
        <v>0</v>
      </c>
      <c r="M294">
        <f>IFERROR(VLOOKUP($K294,Base_Atividades!$E$1:$N$2398,MATCH(BancoAjustado!M$1,Base_Atividades!$E$1:$N$1,0),FALSE),0)</f>
        <v>0</v>
      </c>
      <c r="N294">
        <f>IFERROR(VLOOKUP($K294,Base_Atividades!$E$1:$N$2398,MATCH(BancoAjustado!N$1,Base_Atividades!$E$1:$N$1,0),FALSE),0)</f>
        <v>0</v>
      </c>
    </row>
    <row r="295" spans="1:14" x14ac:dyDescent="0.25">
      <c r="A295" t="s">
        <v>2111</v>
      </c>
      <c r="B295" t="s">
        <v>2334</v>
      </c>
      <c r="C295" t="s">
        <v>2350</v>
      </c>
      <c r="D295" t="s">
        <v>2354</v>
      </c>
      <c r="E295" t="s">
        <v>2355</v>
      </c>
      <c r="F295" t="str">
        <f>VLOOKUP(A295,Base!$A:$F,6,FALSE)</f>
        <v>INDÚSTRIAS DE TRANSFORMAÇÃO</v>
      </c>
      <c r="G295" t="str">
        <f>VLOOKUP(B295,Base!$B:$F,5,FALSE)</f>
        <v>FABRICAÇÃO DE CELULOSE, PAPEL E PRODUTOS DE PAPEL</v>
      </c>
      <c r="H295" t="str">
        <f>VLOOKUP(C295,Base!$C:$F,4,FALSE)</f>
        <v>Fabricação de produtos diversos de papel, cartolina, papel-cartão e papelão ondulado</v>
      </c>
      <c r="I295" t="str">
        <f>VLOOKUP(D295,Base!$D:$F,3,FALSE)</f>
        <v>Fabricação de produtos de papel para usos doméstico e higiênico-sanitário</v>
      </c>
      <c r="J295" t="str">
        <f>VLOOKUP(E295,Base!$E:$F,2,FALSE)</f>
        <v>Fabricação de fraldas descartáveis</v>
      </c>
      <c r="K295" t="s">
        <v>2355</v>
      </c>
      <c r="L295">
        <f>IFERROR(VLOOKUP($K295,Base_Atividades!$E$1:$N$2398,MATCH(BancoAjustado!L$1,Base_Atividades!$E$1:$N$1,0),FALSE),0)</f>
        <v>1</v>
      </c>
      <c r="M295">
        <f>IFERROR(VLOOKUP($K295,Base_Atividades!$E$1:$N$2398,MATCH(BancoAjustado!M$1,Base_Atividades!$E$1:$N$1,0),FALSE),0)</f>
        <v>0</v>
      </c>
      <c r="N295">
        <f>IFERROR(VLOOKUP($K295,Base_Atividades!$E$1:$N$2398,MATCH(BancoAjustado!N$1,Base_Atividades!$E$1:$N$1,0),FALSE),0)</f>
        <v>0</v>
      </c>
    </row>
    <row r="296" spans="1:14" x14ac:dyDescent="0.25">
      <c r="A296" t="s">
        <v>2111</v>
      </c>
      <c r="B296" t="s">
        <v>2334</v>
      </c>
      <c r="C296" t="s">
        <v>2350</v>
      </c>
      <c r="D296" t="s">
        <v>2354</v>
      </c>
      <c r="E296" t="s">
        <v>2356</v>
      </c>
      <c r="F296" t="str">
        <f>VLOOKUP(A296,Base!$A:$F,6,FALSE)</f>
        <v>INDÚSTRIAS DE TRANSFORMAÇÃO</v>
      </c>
      <c r="G296" t="str">
        <f>VLOOKUP(B296,Base!$B:$F,5,FALSE)</f>
        <v>FABRICAÇÃO DE CELULOSE, PAPEL E PRODUTOS DE PAPEL</v>
      </c>
      <c r="H296" t="str">
        <f>VLOOKUP(C296,Base!$C:$F,4,FALSE)</f>
        <v>Fabricação de produtos diversos de papel, cartolina, papel-cartão e papelão ondulado</v>
      </c>
      <c r="I296" t="str">
        <f>VLOOKUP(D296,Base!$D:$F,3,FALSE)</f>
        <v>Fabricação de produtos de papel para usos doméstico e higiênico-sanitário</v>
      </c>
      <c r="J296" t="str">
        <f>VLOOKUP(E296,Base!$E:$F,2,FALSE)</f>
        <v>Fabricação de absorventes higiênicos</v>
      </c>
      <c r="K296" t="s">
        <v>2356</v>
      </c>
      <c r="L296">
        <f>IFERROR(VLOOKUP($K296,Base_Atividades!$E$1:$N$2398,MATCH(BancoAjustado!L$1,Base_Atividades!$E$1:$N$1,0),FALSE),0)</f>
        <v>1</v>
      </c>
      <c r="M296">
        <f>IFERROR(VLOOKUP($K296,Base_Atividades!$E$1:$N$2398,MATCH(BancoAjustado!M$1,Base_Atividades!$E$1:$N$1,0),FALSE),0)</f>
        <v>0</v>
      </c>
      <c r="N296">
        <f>IFERROR(VLOOKUP($K296,Base_Atividades!$E$1:$N$2398,MATCH(BancoAjustado!N$1,Base_Atividades!$E$1:$N$1,0),FALSE),0)</f>
        <v>0</v>
      </c>
    </row>
    <row r="297" spans="1:14" x14ac:dyDescent="0.25">
      <c r="A297" t="s">
        <v>2111</v>
      </c>
      <c r="B297" t="s">
        <v>2334</v>
      </c>
      <c r="C297" t="s">
        <v>2350</v>
      </c>
      <c r="D297" t="s">
        <v>2354</v>
      </c>
      <c r="E297" t="s">
        <v>2357</v>
      </c>
      <c r="F297" t="str">
        <f>VLOOKUP(A297,Base!$A:$F,6,FALSE)</f>
        <v>INDÚSTRIAS DE TRANSFORMAÇÃO</v>
      </c>
      <c r="G297" t="str">
        <f>VLOOKUP(B297,Base!$B:$F,5,FALSE)</f>
        <v>FABRICAÇÃO DE CELULOSE, PAPEL E PRODUTOS DE PAPEL</v>
      </c>
      <c r="H297" t="str">
        <f>VLOOKUP(C297,Base!$C:$F,4,FALSE)</f>
        <v>Fabricação de produtos diversos de papel, cartolina, papel-cartão e papelão ondulado</v>
      </c>
      <c r="I297" t="str">
        <f>VLOOKUP(D297,Base!$D:$F,3,FALSE)</f>
        <v>Fabricação de produtos de papel para usos doméstico e higiênico-sanitário</v>
      </c>
      <c r="J297" t="str">
        <f>VLOOKUP(E297,Base!$E:$F,2,FALSE)</f>
        <v>Fabricação de produtos de papel para uso doméstico e higiênico-sanitário não especificados anteriormente</v>
      </c>
      <c r="K297" t="s">
        <v>2357</v>
      </c>
      <c r="L297">
        <f>IFERROR(VLOOKUP($K297,Base_Atividades!$E$1:$N$2398,MATCH(BancoAjustado!L$1,Base_Atividades!$E$1:$N$1,0),FALSE),0)</f>
        <v>1</v>
      </c>
      <c r="M297">
        <f>IFERROR(VLOOKUP($K297,Base_Atividades!$E$1:$N$2398,MATCH(BancoAjustado!M$1,Base_Atividades!$E$1:$N$1,0),FALSE),0)</f>
        <v>0</v>
      </c>
      <c r="N297">
        <f>IFERROR(VLOOKUP($K297,Base_Atividades!$E$1:$N$2398,MATCH(BancoAjustado!N$1,Base_Atividades!$E$1:$N$1,0),FALSE),0)</f>
        <v>0</v>
      </c>
    </row>
    <row r="298" spans="1:14" x14ac:dyDescent="0.25">
      <c r="A298" t="s">
        <v>2111</v>
      </c>
      <c r="B298" t="s">
        <v>2334</v>
      </c>
      <c r="C298" t="s">
        <v>2350</v>
      </c>
      <c r="D298" t="s">
        <v>2358</v>
      </c>
      <c r="E298" t="s">
        <v>2359</v>
      </c>
      <c r="F298" t="str">
        <f>VLOOKUP(A298,Base!$A:$F,6,FALSE)</f>
        <v>INDÚSTRIAS DE TRANSFORMAÇÃO</v>
      </c>
      <c r="G298" t="str">
        <f>VLOOKUP(B298,Base!$B:$F,5,FALSE)</f>
        <v>FABRICAÇÃO DE CELULOSE, PAPEL E PRODUTOS DE PAPEL</v>
      </c>
      <c r="H298" t="str">
        <f>VLOOKUP(C298,Base!$C:$F,4,FALSE)</f>
        <v>Fabricação de produtos diversos de papel, cartolina, papel-cartão e papelão ondulado</v>
      </c>
      <c r="I298" t="str">
        <f>VLOOKUP(D298,Base!$D:$F,3,FALSE)</f>
        <v>Fabricação de produtos de pastas celulósicas, papel, cartolina, papel-cartão e papelão ondulado não especificados anteriormente</v>
      </c>
      <c r="J298" t="str">
        <f>VLOOKUP(E298,Base!$E:$F,2,FALSE)</f>
        <v>Fabricação de produtos de pastas celulósicas, papel, cartolina, papel-cartão e papelão ondulado não especificados anteriormente</v>
      </c>
      <c r="K298" t="s">
        <v>2359</v>
      </c>
      <c r="L298">
        <f>IFERROR(VLOOKUP($K298,Base_Atividades!$E$1:$N$2398,MATCH(BancoAjustado!L$1,Base_Atividades!$E$1:$N$1,0),FALSE),0)</f>
        <v>0</v>
      </c>
      <c r="M298">
        <f>IFERROR(VLOOKUP($K298,Base_Atividades!$E$1:$N$2398,MATCH(BancoAjustado!M$1,Base_Atividades!$E$1:$N$1,0),FALSE),0)</f>
        <v>0</v>
      </c>
      <c r="N298">
        <f>IFERROR(VLOOKUP($K298,Base_Atividades!$E$1:$N$2398,MATCH(BancoAjustado!N$1,Base_Atividades!$E$1:$N$1,0),FALSE),0)</f>
        <v>0</v>
      </c>
    </row>
    <row r="299" spans="1:14" x14ac:dyDescent="0.25">
      <c r="A299" t="s">
        <v>2111</v>
      </c>
      <c r="B299" t="s">
        <v>2360</v>
      </c>
      <c r="C299" t="s">
        <v>2361</v>
      </c>
      <c r="D299" t="s">
        <v>2362</v>
      </c>
      <c r="E299" t="s">
        <v>2363</v>
      </c>
      <c r="F299" t="str">
        <f>VLOOKUP(A299,Base!$A:$F,6,FALSE)</f>
        <v>INDÚSTRIAS DE TRANSFORMAÇÃO</v>
      </c>
      <c r="G299" t="str">
        <f>VLOOKUP(B299,Base!$B:$F,5,FALSE)</f>
        <v>IMPRESSÃO E REPRODUÇÃO DE GRAVAÇÕES</v>
      </c>
      <c r="H299" t="str">
        <f>VLOOKUP(C299,Base!$C:$F,4,FALSE)</f>
        <v>Atividade de impressão</v>
      </c>
      <c r="I299" t="str">
        <f>VLOOKUP(D299,Base!$D:$F,3,FALSE)</f>
        <v>Impressão de jornais, livros, revistas e outras publicações periódicas</v>
      </c>
      <c r="J299" t="str">
        <f>VLOOKUP(E299,Base!$E:$F,2,FALSE)</f>
        <v>Impressão de jornais</v>
      </c>
      <c r="K299" t="s">
        <v>2363</v>
      </c>
      <c r="L299">
        <f>IFERROR(VLOOKUP($K299,Base_Atividades!$E$1:$N$2398,MATCH(BancoAjustado!L$1,Base_Atividades!$E$1:$N$1,0),FALSE),0)</f>
        <v>1</v>
      </c>
      <c r="M299">
        <f>IFERROR(VLOOKUP($K299,Base_Atividades!$E$1:$N$2398,MATCH(BancoAjustado!M$1,Base_Atividades!$E$1:$N$1,0),FALSE),0)</f>
        <v>0</v>
      </c>
      <c r="N299">
        <f>IFERROR(VLOOKUP($K299,Base_Atividades!$E$1:$N$2398,MATCH(BancoAjustado!N$1,Base_Atividades!$E$1:$N$1,0),FALSE),0)</f>
        <v>0</v>
      </c>
    </row>
    <row r="300" spans="1:14" x14ac:dyDescent="0.25">
      <c r="A300" t="s">
        <v>2111</v>
      </c>
      <c r="B300" t="s">
        <v>2360</v>
      </c>
      <c r="C300" t="s">
        <v>2361</v>
      </c>
      <c r="D300" t="s">
        <v>2362</v>
      </c>
      <c r="E300" t="s">
        <v>2364</v>
      </c>
      <c r="F300" t="str">
        <f>VLOOKUP(A300,Base!$A:$F,6,FALSE)</f>
        <v>INDÚSTRIAS DE TRANSFORMAÇÃO</v>
      </c>
      <c r="G300" t="str">
        <f>VLOOKUP(B300,Base!$B:$F,5,FALSE)</f>
        <v>IMPRESSÃO E REPRODUÇÃO DE GRAVAÇÕES</v>
      </c>
      <c r="H300" t="str">
        <f>VLOOKUP(C300,Base!$C:$F,4,FALSE)</f>
        <v>Atividade de impressão</v>
      </c>
      <c r="I300" t="str">
        <f>VLOOKUP(D300,Base!$D:$F,3,FALSE)</f>
        <v>Impressão de jornais, livros, revistas e outras publicações periódicas</v>
      </c>
      <c r="J300" t="str">
        <f>VLOOKUP(E300,Base!$E:$F,2,FALSE)</f>
        <v>Impressão de livros, revistas e outras publicações periódicas</v>
      </c>
      <c r="K300" t="s">
        <v>2364</v>
      </c>
      <c r="L300">
        <f>IFERROR(VLOOKUP($K300,Base_Atividades!$E$1:$N$2398,MATCH(BancoAjustado!L$1,Base_Atividades!$E$1:$N$1,0),FALSE),0)</f>
        <v>1</v>
      </c>
      <c r="M300">
        <f>IFERROR(VLOOKUP($K300,Base_Atividades!$E$1:$N$2398,MATCH(BancoAjustado!M$1,Base_Atividades!$E$1:$N$1,0),FALSE),0)</f>
        <v>0</v>
      </c>
      <c r="N300">
        <f>IFERROR(VLOOKUP($K300,Base_Atividades!$E$1:$N$2398,MATCH(BancoAjustado!N$1,Base_Atividades!$E$1:$N$1,0),FALSE),0)</f>
        <v>0</v>
      </c>
    </row>
    <row r="301" spans="1:14" x14ac:dyDescent="0.25">
      <c r="A301" t="s">
        <v>2111</v>
      </c>
      <c r="B301" t="s">
        <v>2360</v>
      </c>
      <c r="C301" t="s">
        <v>2361</v>
      </c>
      <c r="D301" t="s">
        <v>2365</v>
      </c>
      <c r="E301" t="s">
        <v>2366</v>
      </c>
      <c r="F301" t="str">
        <f>VLOOKUP(A301,Base!$A:$F,6,FALSE)</f>
        <v>INDÚSTRIAS DE TRANSFORMAÇÃO</v>
      </c>
      <c r="G301" t="str">
        <f>VLOOKUP(B301,Base!$B:$F,5,FALSE)</f>
        <v>IMPRESSÃO E REPRODUÇÃO DE GRAVAÇÕES</v>
      </c>
      <c r="H301" t="str">
        <f>VLOOKUP(C301,Base!$C:$F,4,FALSE)</f>
        <v>Atividade de impressão</v>
      </c>
      <c r="I301" t="str">
        <f>VLOOKUP(D301,Base!$D:$F,3,FALSE)</f>
        <v>Impressão de material de segurança</v>
      </c>
      <c r="J301" t="str">
        <f>VLOOKUP(E301,Base!$E:$F,2,FALSE)</f>
        <v>Impressão de material de segurança</v>
      </c>
      <c r="K301" t="s">
        <v>2366</v>
      </c>
      <c r="L301">
        <f>IFERROR(VLOOKUP($K301,Base_Atividades!$E$1:$N$2398,MATCH(BancoAjustado!L$1,Base_Atividades!$E$1:$N$1,0),FALSE),0)</f>
        <v>1</v>
      </c>
      <c r="M301">
        <f>IFERROR(VLOOKUP($K301,Base_Atividades!$E$1:$N$2398,MATCH(BancoAjustado!M$1,Base_Atividades!$E$1:$N$1,0),FALSE),0)</f>
        <v>0</v>
      </c>
      <c r="N301">
        <f>IFERROR(VLOOKUP($K301,Base_Atividades!$E$1:$N$2398,MATCH(BancoAjustado!N$1,Base_Atividades!$E$1:$N$1,0),FALSE),0)</f>
        <v>0</v>
      </c>
    </row>
    <row r="302" spans="1:14" x14ac:dyDescent="0.25">
      <c r="A302" t="s">
        <v>2111</v>
      </c>
      <c r="B302" t="s">
        <v>2360</v>
      </c>
      <c r="C302" t="s">
        <v>2361</v>
      </c>
      <c r="D302" t="s">
        <v>2367</v>
      </c>
      <c r="E302" t="s">
        <v>2368</v>
      </c>
      <c r="F302" t="str">
        <f>VLOOKUP(A302,Base!$A:$F,6,FALSE)</f>
        <v>INDÚSTRIAS DE TRANSFORMAÇÃO</v>
      </c>
      <c r="G302" t="str">
        <f>VLOOKUP(B302,Base!$B:$F,5,FALSE)</f>
        <v>IMPRESSÃO E REPRODUÇÃO DE GRAVAÇÕES</v>
      </c>
      <c r="H302" t="str">
        <f>VLOOKUP(C302,Base!$C:$F,4,FALSE)</f>
        <v>Atividade de impressão</v>
      </c>
      <c r="I302" t="str">
        <f>VLOOKUP(D302,Base!$D:$F,3,FALSE)</f>
        <v>Impressão de materiais para outros usos</v>
      </c>
      <c r="J302" t="str">
        <f>VLOOKUP(E302,Base!$E:$F,2,FALSE)</f>
        <v>Impressão de material para uso publicitário</v>
      </c>
      <c r="K302" t="s">
        <v>2368</v>
      </c>
      <c r="L302">
        <f>IFERROR(VLOOKUP($K302,Base_Atividades!$E$1:$N$2398,MATCH(BancoAjustado!L$1,Base_Atividades!$E$1:$N$1,0),FALSE),0)</f>
        <v>1</v>
      </c>
      <c r="M302">
        <f>IFERROR(VLOOKUP($K302,Base_Atividades!$E$1:$N$2398,MATCH(BancoAjustado!M$1,Base_Atividades!$E$1:$N$1,0),FALSE),0)</f>
        <v>0</v>
      </c>
      <c r="N302">
        <f>IFERROR(VLOOKUP($K302,Base_Atividades!$E$1:$N$2398,MATCH(BancoAjustado!N$1,Base_Atividades!$E$1:$N$1,0),FALSE),0)</f>
        <v>0</v>
      </c>
    </row>
    <row r="303" spans="1:14" x14ac:dyDescent="0.25">
      <c r="A303" t="s">
        <v>2111</v>
      </c>
      <c r="B303" t="s">
        <v>2360</v>
      </c>
      <c r="C303" t="s">
        <v>2361</v>
      </c>
      <c r="D303" t="s">
        <v>2367</v>
      </c>
      <c r="E303" t="s">
        <v>2369</v>
      </c>
      <c r="F303" t="str">
        <f>VLOOKUP(A303,Base!$A:$F,6,FALSE)</f>
        <v>INDÚSTRIAS DE TRANSFORMAÇÃO</v>
      </c>
      <c r="G303" t="str">
        <f>VLOOKUP(B303,Base!$B:$F,5,FALSE)</f>
        <v>IMPRESSÃO E REPRODUÇÃO DE GRAVAÇÕES</v>
      </c>
      <c r="H303" t="str">
        <f>VLOOKUP(C303,Base!$C:$F,4,FALSE)</f>
        <v>Atividade de impressão</v>
      </c>
      <c r="I303" t="str">
        <f>VLOOKUP(D303,Base!$D:$F,3,FALSE)</f>
        <v>Impressão de materiais para outros usos</v>
      </c>
      <c r="J303" t="str">
        <f>VLOOKUP(E303,Base!$E:$F,2,FALSE)</f>
        <v>Impressão de material para outros usos</v>
      </c>
      <c r="K303" t="s">
        <v>2369</v>
      </c>
      <c r="L303">
        <f>IFERROR(VLOOKUP($K303,Base_Atividades!$E$1:$N$2398,MATCH(BancoAjustado!L$1,Base_Atividades!$E$1:$N$1,0),FALSE),0)</f>
        <v>1</v>
      </c>
      <c r="M303">
        <f>IFERROR(VLOOKUP($K303,Base_Atividades!$E$1:$N$2398,MATCH(BancoAjustado!M$1,Base_Atividades!$E$1:$N$1,0),FALSE),0)</f>
        <v>0</v>
      </c>
      <c r="N303">
        <f>IFERROR(VLOOKUP($K303,Base_Atividades!$E$1:$N$2398,MATCH(BancoAjustado!N$1,Base_Atividades!$E$1:$N$1,0),FALSE),0)</f>
        <v>0</v>
      </c>
    </row>
    <row r="304" spans="1:14" x14ac:dyDescent="0.25">
      <c r="A304" t="s">
        <v>2111</v>
      </c>
      <c r="B304" t="s">
        <v>2360</v>
      </c>
      <c r="C304" t="s">
        <v>2370</v>
      </c>
      <c r="D304" t="s">
        <v>2371</v>
      </c>
      <c r="E304" t="s">
        <v>2372</v>
      </c>
      <c r="F304" t="str">
        <f>VLOOKUP(A304,Base!$A:$F,6,FALSE)</f>
        <v>INDÚSTRIAS DE TRANSFORMAÇÃO</v>
      </c>
      <c r="G304" t="str">
        <f>VLOOKUP(B304,Base!$B:$F,5,FALSE)</f>
        <v>IMPRESSÃO E REPRODUÇÃO DE GRAVAÇÕES</v>
      </c>
      <c r="H304" t="str">
        <f>VLOOKUP(C304,Base!$C:$F,4,FALSE)</f>
        <v>Serviços de pré-impressão e acabamentos gráficos</v>
      </c>
      <c r="I304" t="str">
        <f>VLOOKUP(D304,Base!$D:$F,3,FALSE)</f>
        <v>Serviços de pré-impressão</v>
      </c>
      <c r="J304" t="str">
        <f>VLOOKUP(E304,Base!$E:$F,2,FALSE)</f>
        <v>Serviços de pré-impressão</v>
      </c>
      <c r="K304" t="s">
        <v>2372</v>
      </c>
      <c r="L304">
        <f>IFERROR(VLOOKUP($K304,Base_Atividades!$E$1:$N$2398,MATCH(BancoAjustado!L$1,Base_Atividades!$E$1:$N$1,0),FALSE),0)</f>
        <v>1</v>
      </c>
      <c r="M304">
        <f>IFERROR(VLOOKUP($K304,Base_Atividades!$E$1:$N$2398,MATCH(BancoAjustado!M$1,Base_Atividades!$E$1:$N$1,0),FALSE),0)</f>
        <v>0</v>
      </c>
      <c r="N304">
        <f>IFERROR(VLOOKUP($K304,Base_Atividades!$E$1:$N$2398,MATCH(BancoAjustado!N$1,Base_Atividades!$E$1:$N$1,0),FALSE),0)</f>
        <v>0</v>
      </c>
    </row>
    <row r="305" spans="1:14" x14ac:dyDescent="0.25">
      <c r="A305" t="s">
        <v>2111</v>
      </c>
      <c r="B305" t="s">
        <v>2360</v>
      </c>
      <c r="C305" t="s">
        <v>2370</v>
      </c>
      <c r="D305" t="s">
        <v>2373</v>
      </c>
      <c r="E305" t="s">
        <v>2374</v>
      </c>
      <c r="F305" t="str">
        <f>VLOOKUP(A305,Base!$A:$F,6,FALSE)</f>
        <v>INDÚSTRIAS DE TRANSFORMAÇÃO</v>
      </c>
      <c r="G305" t="str">
        <f>VLOOKUP(B305,Base!$B:$F,5,FALSE)</f>
        <v>IMPRESSÃO E REPRODUÇÃO DE GRAVAÇÕES</v>
      </c>
      <c r="H305" t="str">
        <f>VLOOKUP(C305,Base!$C:$F,4,FALSE)</f>
        <v>Serviços de pré-impressão e acabamentos gráficos</v>
      </c>
      <c r="I305" t="str">
        <f>VLOOKUP(D305,Base!$D:$F,3,FALSE)</f>
        <v>Serviços de acabamentos gráficos</v>
      </c>
      <c r="J305" t="str">
        <f>VLOOKUP(E305,Base!$E:$F,2,FALSE)</f>
        <v>Serviços de encadernação e plastificação</v>
      </c>
      <c r="K305" t="s">
        <v>2374</v>
      </c>
      <c r="L305">
        <f>IFERROR(VLOOKUP($K305,Base_Atividades!$E$1:$N$2398,MATCH(BancoAjustado!L$1,Base_Atividades!$E$1:$N$1,0),FALSE),0)</f>
        <v>1</v>
      </c>
      <c r="M305">
        <f>IFERROR(VLOOKUP($K305,Base_Atividades!$E$1:$N$2398,MATCH(BancoAjustado!M$1,Base_Atividades!$E$1:$N$1,0),FALSE),0)</f>
        <v>0</v>
      </c>
      <c r="N305">
        <f>IFERROR(VLOOKUP($K305,Base_Atividades!$E$1:$N$2398,MATCH(BancoAjustado!N$1,Base_Atividades!$E$1:$N$1,0),FALSE),0)</f>
        <v>0</v>
      </c>
    </row>
    <row r="306" spans="1:14" x14ac:dyDescent="0.25">
      <c r="A306" t="s">
        <v>2111</v>
      </c>
      <c r="B306" t="s">
        <v>2360</v>
      </c>
      <c r="C306" t="s">
        <v>2370</v>
      </c>
      <c r="D306" t="s">
        <v>2373</v>
      </c>
      <c r="E306" t="s">
        <v>2375</v>
      </c>
      <c r="F306" t="str">
        <f>VLOOKUP(A306,Base!$A:$F,6,FALSE)</f>
        <v>INDÚSTRIAS DE TRANSFORMAÇÃO</v>
      </c>
      <c r="G306" t="str">
        <f>VLOOKUP(B306,Base!$B:$F,5,FALSE)</f>
        <v>IMPRESSÃO E REPRODUÇÃO DE GRAVAÇÕES</v>
      </c>
      <c r="H306" t="str">
        <f>VLOOKUP(C306,Base!$C:$F,4,FALSE)</f>
        <v>Serviços de pré-impressão e acabamentos gráficos</v>
      </c>
      <c r="I306" t="str">
        <f>VLOOKUP(D306,Base!$D:$F,3,FALSE)</f>
        <v>Serviços de acabamentos gráficos</v>
      </c>
      <c r="J306" t="str">
        <f>VLOOKUP(E306,Base!$E:$F,2,FALSE)</f>
        <v>Serviços de acabamentos gráficos, exceto encadernação e plastificação</v>
      </c>
      <c r="K306" t="s">
        <v>2375</v>
      </c>
      <c r="L306">
        <f>IFERROR(VLOOKUP($K306,Base_Atividades!$E$1:$N$2398,MATCH(BancoAjustado!L$1,Base_Atividades!$E$1:$N$1,0),FALSE),0)</f>
        <v>1</v>
      </c>
      <c r="M306">
        <f>IFERROR(VLOOKUP($K306,Base_Atividades!$E$1:$N$2398,MATCH(BancoAjustado!M$1,Base_Atividades!$E$1:$N$1,0),FALSE),0)</f>
        <v>0</v>
      </c>
      <c r="N306">
        <f>IFERROR(VLOOKUP($K306,Base_Atividades!$E$1:$N$2398,MATCH(BancoAjustado!N$1,Base_Atividades!$E$1:$N$1,0),FALSE),0)</f>
        <v>0</v>
      </c>
    </row>
    <row r="307" spans="1:14" x14ac:dyDescent="0.25">
      <c r="A307" t="s">
        <v>2111</v>
      </c>
      <c r="B307" t="s">
        <v>2360</v>
      </c>
      <c r="C307" t="s">
        <v>2376</v>
      </c>
      <c r="D307" t="s">
        <v>2377</v>
      </c>
      <c r="E307" t="s">
        <v>2378</v>
      </c>
      <c r="F307" t="str">
        <f>VLOOKUP(A307,Base!$A:$F,6,FALSE)</f>
        <v>INDÚSTRIAS DE TRANSFORMAÇÃO</v>
      </c>
      <c r="G307" t="str">
        <f>VLOOKUP(B307,Base!$B:$F,5,FALSE)</f>
        <v>IMPRESSÃO E REPRODUÇÃO DE GRAVAÇÕES</v>
      </c>
      <c r="H307" t="str">
        <f>VLOOKUP(C307,Base!$C:$F,4,FALSE)</f>
        <v>Reprodução de materiais gravados em qualquer suporte</v>
      </c>
      <c r="I307" t="str">
        <f>VLOOKUP(D307,Base!$D:$F,3,FALSE)</f>
        <v>Reprodução de materiais gravados em qualquer suporte</v>
      </c>
      <c r="J307" t="str">
        <f>VLOOKUP(E307,Base!$E:$F,2,FALSE)</f>
        <v>Reprodução de som em qualquer suporte</v>
      </c>
      <c r="K307" t="s">
        <v>2378</v>
      </c>
      <c r="L307">
        <f>IFERROR(VLOOKUP($K307,Base_Atividades!$E$1:$N$2398,MATCH(BancoAjustado!L$1,Base_Atividades!$E$1:$N$1,0),FALSE),0)</f>
        <v>1</v>
      </c>
      <c r="M307">
        <f>IFERROR(VLOOKUP($K307,Base_Atividades!$E$1:$N$2398,MATCH(BancoAjustado!M$1,Base_Atividades!$E$1:$N$1,0),FALSE),0)</f>
        <v>0</v>
      </c>
      <c r="N307">
        <f>IFERROR(VLOOKUP($K307,Base_Atividades!$E$1:$N$2398,MATCH(BancoAjustado!N$1,Base_Atividades!$E$1:$N$1,0),FALSE),0)</f>
        <v>0</v>
      </c>
    </row>
    <row r="308" spans="1:14" x14ac:dyDescent="0.25">
      <c r="A308" t="s">
        <v>2111</v>
      </c>
      <c r="B308" t="s">
        <v>2360</v>
      </c>
      <c r="C308" t="s">
        <v>2376</v>
      </c>
      <c r="D308" t="s">
        <v>2377</v>
      </c>
      <c r="E308" t="s">
        <v>2379</v>
      </c>
      <c r="F308" t="str">
        <f>VLOOKUP(A308,Base!$A:$F,6,FALSE)</f>
        <v>INDÚSTRIAS DE TRANSFORMAÇÃO</v>
      </c>
      <c r="G308" t="str">
        <f>VLOOKUP(B308,Base!$B:$F,5,FALSE)</f>
        <v>IMPRESSÃO E REPRODUÇÃO DE GRAVAÇÕES</v>
      </c>
      <c r="H308" t="str">
        <f>VLOOKUP(C308,Base!$C:$F,4,FALSE)</f>
        <v>Reprodução de materiais gravados em qualquer suporte</v>
      </c>
      <c r="I308" t="str">
        <f>VLOOKUP(D308,Base!$D:$F,3,FALSE)</f>
        <v>Reprodução de materiais gravados em qualquer suporte</v>
      </c>
      <c r="J308" t="str">
        <f>VLOOKUP(E308,Base!$E:$F,2,FALSE)</f>
        <v>Reprodução de vídeo em qualquer suporte</v>
      </c>
      <c r="K308" t="s">
        <v>2379</v>
      </c>
      <c r="L308">
        <f>IFERROR(VLOOKUP($K308,Base_Atividades!$E$1:$N$2398,MATCH(BancoAjustado!L$1,Base_Atividades!$E$1:$N$1,0),FALSE),0)</f>
        <v>1</v>
      </c>
      <c r="M308">
        <f>IFERROR(VLOOKUP($K308,Base_Atividades!$E$1:$N$2398,MATCH(BancoAjustado!M$1,Base_Atividades!$E$1:$N$1,0),FALSE),0)</f>
        <v>0</v>
      </c>
      <c r="N308">
        <f>IFERROR(VLOOKUP($K308,Base_Atividades!$E$1:$N$2398,MATCH(BancoAjustado!N$1,Base_Atividades!$E$1:$N$1,0),FALSE),0)</f>
        <v>0</v>
      </c>
    </row>
    <row r="309" spans="1:14" x14ac:dyDescent="0.25">
      <c r="A309" t="s">
        <v>2111</v>
      </c>
      <c r="B309" t="s">
        <v>2360</v>
      </c>
      <c r="C309" t="s">
        <v>2376</v>
      </c>
      <c r="D309" t="s">
        <v>2377</v>
      </c>
      <c r="E309" t="s">
        <v>2380</v>
      </c>
      <c r="F309" t="str">
        <f>VLOOKUP(A309,Base!$A:$F,6,FALSE)</f>
        <v>INDÚSTRIAS DE TRANSFORMAÇÃO</v>
      </c>
      <c r="G309" t="str">
        <f>VLOOKUP(B309,Base!$B:$F,5,FALSE)</f>
        <v>IMPRESSÃO E REPRODUÇÃO DE GRAVAÇÕES</v>
      </c>
      <c r="H309" t="str">
        <f>VLOOKUP(C309,Base!$C:$F,4,FALSE)</f>
        <v>Reprodução de materiais gravados em qualquer suporte</v>
      </c>
      <c r="I309" t="str">
        <f>VLOOKUP(D309,Base!$D:$F,3,FALSE)</f>
        <v>Reprodução de materiais gravados em qualquer suporte</v>
      </c>
      <c r="J309" t="str">
        <f>VLOOKUP(E309,Base!$E:$F,2,FALSE)</f>
        <v>Reprodução de software em qualquer suporte</v>
      </c>
      <c r="K309" t="s">
        <v>2380</v>
      </c>
      <c r="L309">
        <f>IFERROR(VLOOKUP($K309,Base_Atividades!$E$1:$N$2398,MATCH(BancoAjustado!L$1,Base_Atividades!$E$1:$N$1,0),FALSE),0)</f>
        <v>1</v>
      </c>
      <c r="M309">
        <f>IFERROR(VLOOKUP($K309,Base_Atividades!$E$1:$N$2398,MATCH(BancoAjustado!M$1,Base_Atividades!$E$1:$N$1,0),FALSE),0)</f>
        <v>0</v>
      </c>
      <c r="N309">
        <f>IFERROR(VLOOKUP($K309,Base_Atividades!$E$1:$N$2398,MATCH(BancoAjustado!N$1,Base_Atividades!$E$1:$N$1,0),FALSE),0)</f>
        <v>0</v>
      </c>
    </row>
    <row r="310" spans="1:14" x14ac:dyDescent="0.25">
      <c r="A310" t="s">
        <v>2111</v>
      </c>
      <c r="B310" t="s">
        <v>2382</v>
      </c>
      <c r="C310" t="s">
        <v>2383</v>
      </c>
      <c r="D310" t="s">
        <v>2384</v>
      </c>
      <c r="E310" t="s">
        <v>2385</v>
      </c>
      <c r="F310" t="str">
        <f>VLOOKUP(A310,Base!$A:$F,6,FALSE)</f>
        <v>INDÚSTRIAS DE TRANSFORMAÇÃO</v>
      </c>
      <c r="G310" t="str">
        <f>VLOOKUP(B310,Base!$B:$F,5,FALSE)</f>
        <v>FABRICAÇÃO DE COQUE, DE PRODUTOS DERIVADOS DO PETRÓLEO E DE BIOCOMBUSTÍVEIS</v>
      </c>
      <c r="H310" t="str">
        <f>VLOOKUP(C310,Base!$C:$F,4,FALSE)</f>
        <v>Coquerias</v>
      </c>
      <c r="I310" t="str">
        <f>VLOOKUP(D310,Base!$D:$F,3,FALSE)</f>
        <v>Coquerias</v>
      </c>
      <c r="J310" t="str">
        <f>VLOOKUP(E310,Base!$E:$F,2,FALSE)</f>
        <v>Coquerias</v>
      </c>
      <c r="K310" t="s">
        <v>2385</v>
      </c>
      <c r="L310">
        <f>IFERROR(VLOOKUP($K310,Base_Atividades!$E$1:$N$2398,MATCH(BancoAjustado!L$1,Base_Atividades!$E$1:$N$1,0),FALSE),0)</f>
        <v>0</v>
      </c>
      <c r="M310">
        <f>IFERROR(VLOOKUP($K310,Base_Atividades!$E$1:$N$2398,MATCH(BancoAjustado!M$1,Base_Atividades!$E$1:$N$1,0),FALSE),0)</f>
        <v>0</v>
      </c>
      <c r="N310">
        <f>IFERROR(VLOOKUP($K310,Base_Atividades!$E$1:$N$2398,MATCH(BancoAjustado!N$1,Base_Atividades!$E$1:$N$1,0),FALSE),0)</f>
        <v>0</v>
      </c>
    </row>
    <row r="311" spans="1:14" x14ac:dyDescent="0.25">
      <c r="A311" t="s">
        <v>2111</v>
      </c>
      <c r="B311" t="s">
        <v>2382</v>
      </c>
      <c r="C311" t="s">
        <v>2386</v>
      </c>
      <c r="D311" t="s">
        <v>2387</v>
      </c>
      <c r="E311" t="s">
        <v>2388</v>
      </c>
      <c r="F311" t="str">
        <f>VLOOKUP(A311,Base!$A:$F,6,FALSE)</f>
        <v>INDÚSTRIAS DE TRANSFORMAÇÃO</v>
      </c>
      <c r="G311" t="str">
        <f>VLOOKUP(B311,Base!$B:$F,5,FALSE)</f>
        <v>FABRICAÇÃO DE COQUE, DE PRODUTOS DERIVADOS DO PETRÓLEO E DE BIOCOMBUSTÍVEIS</v>
      </c>
      <c r="H311" t="str">
        <f>VLOOKUP(C311,Base!$C:$F,4,FALSE)</f>
        <v>Fabricação de produtos derivados do petróleo</v>
      </c>
      <c r="I311" t="str">
        <f>VLOOKUP(D311,Base!$D:$F,3,FALSE)</f>
        <v>Fabricação de produtos do refino de petróleo</v>
      </c>
      <c r="J311" t="str">
        <f>VLOOKUP(E311,Base!$E:$F,2,FALSE)</f>
        <v>Fabricação de produtos do refino de petróleo</v>
      </c>
      <c r="K311" t="s">
        <v>2388</v>
      </c>
      <c r="L311">
        <f>IFERROR(VLOOKUP($K311,Base_Atividades!$E$1:$N$2398,MATCH(BancoAjustado!L$1,Base_Atividades!$E$1:$N$1,0),FALSE),0)</f>
        <v>0</v>
      </c>
      <c r="M311">
        <f>IFERROR(VLOOKUP($K311,Base_Atividades!$E$1:$N$2398,MATCH(BancoAjustado!M$1,Base_Atividades!$E$1:$N$1,0),FALSE),0)</f>
        <v>0</v>
      </c>
      <c r="N311">
        <f>IFERROR(VLOOKUP($K311,Base_Atividades!$E$1:$N$2398,MATCH(BancoAjustado!N$1,Base_Atividades!$E$1:$N$1,0),FALSE),0)</f>
        <v>0</v>
      </c>
    </row>
    <row r="312" spans="1:14" x14ac:dyDescent="0.25">
      <c r="A312" t="s">
        <v>2111</v>
      </c>
      <c r="B312" t="s">
        <v>2382</v>
      </c>
      <c r="C312" t="s">
        <v>2386</v>
      </c>
      <c r="D312" t="s">
        <v>2389</v>
      </c>
      <c r="E312" t="s">
        <v>2390</v>
      </c>
      <c r="F312" t="str">
        <f>VLOOKUP(A312,Base!$A:$F,6,FALSE)</f>
        <v>INDÚSTRIAS DE TRANSFORMAÇÃO</v>
      </c>
      <c r="G312" t="str">
        <f>VLOOKUP(B312,Base!$B:$F,5,FALSE)</f>
        <v>FABRICAÇÃO DE COQUE, DE PRODUTOS DERIVADOS DO PETRÓLEO E DE BIOCOMBUSTÍVEIS</v>
      </c>
      <c r="H312" t="str">
        <f>VLOOKUP(C312,Base!$C:$F,4,FALSE)</f>
        <v>Fabricação de produtos derivados do petróleo</v>
      </c>
      <c r="I312" t="str">
        <f>VLOOKUP(D312,Base!$D:$F,3,FALSE)</f>
        <v>Fabricação de produtos derivados do petróleo, exceto produtos do refino</v>
      </c>
      <c r="J312" t="str">
        <f>VLOOKUP(E312,Base!$E:$F,2,FALSE)</f>
        <v>Formulação de combustíveis</v>
      </c>
      <c r="K312" t="s">
        <v>2390</v>
      </c>
      <c r="L312">
        <f>IFERROR(VLOOKUP($K312,Base_Atividades!$E$1:$N$2398,MATCH(BancoAjustado!L$1,Base_Atividades!$E$1:$N$1,0),FALSE),0)</f>
        <v>0</v>
      </c>
      <c r="M312">
        <f>IFERROR(VLOOKUP($K312,Base_Atividades!$E$1:$N$2398,MATCH(BancoAjustado!M$1,Base_Atividades!$E$1:$N$1,0),FALSE),0)</f>
        <v>0</v>
      </c>
      <c r="N312">
        <f>IFERROR(VLOOKUP($K312,Base_Atividades!$E$1:$N$2398,MATCH(BancoAjustado!N$1,Base_Atividades!$E$1:$N$1,0),FALSE),0)</f>
        <v>0</v>
      </c>
    </row>
    <row r="313" spans="1:14" x14ac:dyDescent="0.25">
      <c r="A313" t="s">
        <v>2111</v>
      </c>
      <c r="B313" t="s">
        <v>2382</v>
      </c>
      <c r="C313" t="s">
        <v>2386</v>
      </c>
      <c r="D313" t="s">
        <v>2389</v>
      </c>
      <c r="E313" t="s">
        <v>2391</v>
      </c>
      <c r="F313" t="str">
        <f>VLOOKUP(A313,Base!$A:$F,6,FALSE)</f>
        <v>INDÚSTRIAS DE TRANSFORMAÇÃO</v>
      </c>
      <c r="G313" t="str">
        <f>VLOOKUP(B313,Base!$B:$F,5,FALSE)</f>
        <v>FABRICAÇÃO DE COQUE, DE PRODUTOS DERIVADOS DO PETRÓLEO E DE BIOCOMBUSTÍVEIS</v>
      </c>
      <c r="H313" t="str">
        <f>VLOOKUP(C313,Base!$C:$F,4,FALSE)</f>
        <v>Fabricação de produtos derivados do petróleo</v>
      </c>
      <c r="I313" t="str">
        <f>VLOOKUP(D313,Base!$D:$F,3,FALSE)</f>
        <v>Fabricação de produtos derivados do petróleo, exceto produtos do refino</v>
      </c>
      <c r="J313" t="str">
        <f>VLOOKUP(E313,Base!$E:$F,2,FALSE)</f>
        <v>Rerrefino de óleos lubrificantes</v>
      </c>
      <c r="K313" t="s">
        <v>2391</v>
      </c>
      <c r="L313">
        <f>IFERROR(VLOOKUP($K313,Base_Atividades!$E$1:$N$2398,MATCH(BancoAjustado!L$1,Base_Atividades!$E$1:$N$1,0),FALSE),0)</f>
        <v>0</v>
      </c>
      <c r="M313">
        <f>IFERROR(VLOOKUP($K313,Base_Atividades!$E$1:$N$2398,MATCH(BancoAjustado!M$1,Base_Atividades!$E$1:$N$1,0),FALSE),0)</f>
        <v>0</v>
      </c>
      <c r="N313">
        <f>IFERROR(VLOOKUP($K313,Base_Atividades!$E$1:$N$2398,MATCH(BancoAjustado!N$1,Base_Atividades!$E$1:$N$1,0),FALSE),0)</f>
        <v>0</v>
      </c>
    </row>
    <row r="314" spans="1:14" x14ac:dyDescent="0.25">
      <c r="A314" t="s">
        <v>2111</v>
      </c>
      <c r="B314" t="s">
        <v>2382</v>
      </c>
      <c r="C314" t="s">
        <v>2386</v>
      </c>
      <c r="D314" t="s">
        <v>2389</v>
      </c>
      <c r="E314" t="s">
        <v>2392</v>
      </c>
      <c r="F314" t="str">
        <f>VLOOKUP(A314,Base!$A:$F,6,FALSE)</f>
        <v>INDÚSTRIAS DE TRANSFORMAÇÃO</v>
      </c>
      <c r="G314" t="str">
        <f>VLOOKUP(B314,Base!$B:$F,5,FALSE)</f>
        <v>FABRICAÇÃO DE COQUE, DE PRODUTOS DERIVADOS DO PETRÓLEO E DE BIOCOMBUSTÍVEIS</v>
      </c>
      <c r="H314" t="str">
        <f>VLOOKUP(C314,Base!$C:$F,4,FALSE)</f>
        <v>Fabricação de produtos derivados do petróleo</v>
      </c>
      <c r="I314" t="str">
        <f>VLOOKUP(D314,Base!$D:$F,3,FALSE)</f>
        <v>Fabricação de produtos derivados do petróleo, exceto produtos do refino</v>
      </c>
      <c r="J314" t="str">
        <f>VLOOKUP(E314,Base!$E:$F,2,FALSE)</f>
        <v>Fabricação de outros produtos derivados do petróleo, exceto produtos do refino</v>
      </c>
      <c r="K314" t="s">
        <v>2392</v>
      </c>
      <c r="L314">
        <f>IFERROR(VLOOKUP($K314,Base_Atividades!$E$1:$N$2398,MATCH(BancoAjustado!L$1,Base_Atividades!$E$1:$N$1,0),FALSE),0)</f>
        <v>0</v>
      </c>
      <c r="M314">
        <f>IFERROR(VLOOKUP($K314,Base_Atividades!$E$1:$N$2398,MATCH(BancoAjustado!M$1,Base_Atividades!$E$1:$N$1,0),FALSE),0)</f>
        <v>0</v>
      </c>
      <c r="N314">
        <f>IFERROR(VLOOKUP($K314,Base_Atividades!$E$1:$N$2398,MATCH(BancoAjustado!N$1,Base_Atividades!$E$1:$N$1,0),FALSE),0)</f>
        <v>0</v>
      </c>
    </row>
    <row r="315" spans="1:14" x14ac:dyDescent="0.25">
      <c r="A315" t="s">
        <v>2111</v>
      </c>
      <c r="B315" t="s">
        <v>2382</v>
      </c>
      <c r="C315" t="s">
        <v>2393</v>
      </c>
      <c r="D315" t="s">
        <v>2394</v>
      </c>
      <c r="E315" t="s">
        <v>2395</v>
      </c>
      <c r="F315" t="str">
        <f>VLOOKUP(A315,Base!$A:$F,6,FALSE)</f>
        <v>INDÚSTRIAS DE TRANSFORMAÇÃO</v>
      </c>
      <c r="G315" t="str">
        <f>VLOOKUP(B315,Base!$B:$F,5,FALSE)</f>
        <v>FABRICAÇÃO DE COQUE, DE PRODUTOS DERIVADOS DO PETRÓLEO E DE BIOCOMBUSTÍVEIS</v>
      </c>
      <c r="H315" t="str">
        <f>VLOOKUP(C315,Base!$C:$F,4,FALSE)</f>
        <v>Fabricação de biocombustíveis</v>
      </c>
      <c r="I315" t="str">
        <f>VLOOKUP(D315,Base!$D:$F,3,FALSE)</f>
        <v>Fabricação de álcool</v>
      </c>
      <c r="J315" t="str">
        <f>VLOOKUP(E315,Base!$E:$F,2,FALSE)</f>
        <v>Fabricação de álcool</v>
      </c>
      <c r="K315" t="s">
        <v>2395</v>
      </c>
      <c r="L315">
        <f>IFERROR(VLOOKUP($K315,Base_Atividades!$E$1:$N$2398,MATCH(BancoAjustado!L$1,Base_Atividades!$E$1:$N$1,0),FALSE),0)</f>
        <v>0</v>
      </c>
      <c r="M315">
        <f>IFERROR(VLOOKUP($K315,Base_Atividades!$E$1:$N$2398,MATCH(BancoAjustado!M$1,Base_Atividades!$E$1:$N$1,0),FALSE),0)</f>
        <v>0</v>
      </c>
      <c r="N315">
        <f>IFERROR(VLOOKUP($K315,Base_Atividades!$E$1:$N$2398,MATCH(BancoAjustado!N$1,Base_Atividades!$E$1:$N$1,0),FALSE),0)</f>
        <v>0</v>
      </c>
    </row>
    <row r="316" spans="1:14" x14ac:dyDescent="0.25">
      <c r="A316" t="s">
        <v>2111</v>
      </c>
      <c r="B316" t="s">
        <v>2382</v>
      </c>
      <c r="C316" t="s">
        <v>2393</v>
      </c>
      <c r="D316" t="s">
        <v>2396</v>
      </c>
      <c r="E316" t="s">
        <v>2397</v>
      </c>
      <c r="F316" t="str">
        <f>VLOOKUP(A316,Base!$A:$F,6,FALSE)</f>
        <v>INDÚSTRIAS DE TRANSFORMAÇÃO</v>
      </c>
      <c r="G316" t="str">
        <f>VLOOKUP(B316,Base!$B:$F,5,FALSE)</f>
        <v>FABRICAÇÃO DE COQUE, DE PRODUTOS DERIVADOS DO PETRÓLEO E DE BIOCOMBUSTÍVEIS</v>
      </c>
      <c r="H316" t="str">
        <f>VLOOKUP(C316,Base!$C:$F,4,FALSE)</f>
        <v>Fabricação de biocombustíveis</v>
      </c>
      <c r="I316" t="str">
        <f>VLOOKUP(D316,Base!$D:$F,3,FALSE)</f>
        <v>Fabricação de biocombustíveis, exceto álcool</v>
      </c>
      <c r="J316" t="str">
        <f>VLOOKUP(E316,Base!$E:$F,2,FALSE)</f>
        <v>Fabricação de biocombustíveis, exceto álcool</v>
      </c>
      <c r="K316" t="s">
        <v>2397</v>
      </c>
      <c r="L316">
        <f>IFERROR(VLOOKUP($K316,Base_Atividades!$E$1:$N$2398,MATCH(BancoAjustado!L$1,Base_Atividades!$E$1:$N$1,0),FALSE),0)</f>
        <v>0</v>
      </c>
      <c r="M316">
        <f>IFERROR(VLOOKUP($K316,Base_Atividades!$E$1:$N$2398,MATCH(BancoAjustado!M$1,Base_Atividades!$E$1:$N$1,0),FALSE),0)</f>
        <v>0</v>
      </c>
      <c r="N316">
        <f>IFERROR(VLOOKUP($K316,Base_Atividades!$E$1:$N$2398,MATCH(BancoAjustado!N$1,Base_Atividades!$E$1:$N$1,0),FALSE),0)</f>
        <v>0</v>
      </c>
    </row>
    <row r="317" spans="1:14" x14ac:dyDescent="0.25">
      <c r="A317" t="s">
        <v>2111</v>
      </c>
      <c r="B317" t="s">
        <v>2398</v>
      </c>
      <c r="C317" t="s">
        <v>2399</v>
      </c>
      <c r="D317" t="s">
        <v>2400</v>
      </c>
      <c r="E317" t="s">
        <v>2401</v>
      </c>
      <c r="F317" t="str">
        <f>VLOOKUP(A317,Base!$A:$F,6,FALSE)</f>
        <v>INDÚSTRIAS DE TRANSFORMAÇÃO</v>
      </c>
      <c r="G317" t="str">
        <f>VLOOKUP(B317,Base!$B:$F,5,FALSE)</f>
        <v>FABRICAÇÃO DE PRODUTOS QUÍMICOS</v>
      </c>
      <c r="H317" t="str">
        <f>VLOOKUP(C317,Base!$C:$F,4,FALSE)</f>
        <v>Fabricação de produtos químicos inorgânicos</v>
      </c>
      <c r="I317" t="str">
        <f>VLOOKUP(D317,Base!$D:$F,3,FALSE)</f>
        <v>Fabricação de cloro e álcalis</v>
      </c>
      <c r="J317" t="str">
        <f>VLOOKUP(E317,Base!$E:$F,2,FALSE)</f>
        <v>Fabricação de cloro e álcalis</v>
      </c>
      <c r="K317" t="s">
        <v>2401</v>
      </c>
      <c r="L317">
        <f>IFERROR(VLOOKUP($K317,Base_Atividades!$E$1:$N$2398,MATCH(BancoAjustado!L$1,Base_Atividades!$E$1:$N$1,0),FALSE),0)</f>
        <v>1</v>
      </c>
      <c r="M317">
        <f>IFERROR(VLOOKUP($K317,Base_Atividades!$E$1:$N$2398,MATCH(BancoAjustado!M$1,Base_Atividades!$E$1:$N$1,0),FALSE),0)</f>
        <v>0</v>
      </c>
      <c r="N317">
        <f>IFERROR(VLOOKUP($K317,Base_Atividades!$E$1:$N$2398,MATCH(BancoAjustado!N$1,Base_Atividades!$E$1:$N$1,0),FALSE),0)</f>
        <v>0</v>
      </c>
    </row>
    <row r="318" spans="1:14" x14ac:dyDescent="0.25">
      <c r="A318" t="s">
        <v>2111</v>
      </c>
      <c r="B318" t="s">
        <v>2398</v>
      </c>
      <c r="C318" t="s">
        <v>2399</v>
      </c>
      <c r="D318" t="s">
        <v>2402</v>
      </c>
      <c r="E318" t="s">
        <v>2403</v>
      </c>
      <c r="F318" t="str">
        <f>VLOOKUP(A318,Base!$A:$F,6,FALSE)</f>
        <v>INDÚSTRIAS DE TRANSFORMAÇÃO</v>
      </c>
      <c r="G318" t="str">
        <f>VLOOKUP(B318,Base!$B:$F,5,FALSE)</f>
        <v>FABRICAÇÃO DE PRODUTOS QUÍMICOS</v>
      </c>
      <c r="H318" t="str">
        <f>VLOOKUP(C318,Base!$C:$F,4,FALSE)</f>
        <v>Fabricação de produtos químicos inorgânicos</v>
      </c>
      <c r="I318" t="str">
        <f>VLOOKUP(D318,Base!$D:$F,3,FALSE)</f>
        <v>Fabricação de intermediários para fertilizantes</v>
      </c>
      <c r="J318" t="str">
        <f>VLOOKUP(E318,Base!$E:$F,2,FALSE)</f>
        <v>Fabricação de intermediários para fertilizantes</v>
      </c>
      <c r="K318" t="s">
        <v>2403</v>
      </c>
      <c r="L318">
        <f>IFERROR(VLOOKUP($K318,Base_Atividades!$E$1:$N$2398,MATCH(BancoAjustado!L$1,Base_Atividades!$E$1:$N$1,0),FALSE),0)</f>
        <v>1</v>
      </c>
      <c r="M318">
        <f>IFERROR(VLOOKUP($K318,Base_Atividades!$E$1:$N$2398,MATCH(BancoAjustado!M$1,Base_Atividades!$E$1:$N$1,0),FALSE),0)</f>
        <v>0</v>
      </c>
      <c r="N318">
        <f>IFERROR(VLOOKUP($K318,Base_Atividades!$E$1:$N$2398,MATCH(BancoAjustado!N$1,Base_Atividades!$E$1:$N$1,0),FALSE),0)</f>
        <v>0</v>
      </c>
    </row>
    <row r="319" spans="1:14" x14ac:dyDescent="0.25">
      <c r="A319" t="s">
        <v>2111</v>
      </c>
      <c r="B319" t="s">
        <v>2398</v>
      </c>
      <c r="C319" t="s">
        <v>2399</v>
      </c>
      <c r="D319" t="s">
        <v>2404</v>
      </c>
      <c r="E319" t="s">
        <v>2405</v>
      </c>
      <c r="F319" t="str">
        <f>VLOOKUP(A319,Base!$A:$F,6,FALSE)</f>
        <v>INDÚSTRIAS DE TRANSFORMAÇÃO</v>
      </c>
      <c r="G319" t="str">
        <f>VLOOKUP(B319,Base!$B:$F,5,FALSE)</f>
        <v>FABRICAÇÃO DE PRODUTOS QUÍMICOS</v>
      </c>
      <c r="H319" t="str">
        <f>VLOOKUP(C319,Base!$C:$F,4,FALSE)</f>
        <v>Fabricação de produtos químicos inorgânicos</v>
      </c>
      <c r="I319" t="str">
        <f>VLOOKUP(D319,Base!$D:$F,3,FALSE)</f>
        <v>Fabricação de adubos e fertilizantes</v>
      </c>
      <c r="J319" t="str">
        <f>VLOOKUP(E319,Base!$E:$F,2,FALSE)</f>
        <v>Fabricação de adubos e fertilizantes organo-minerais</v>
      </c>
      <c r="K319" t="s">
        <v>2405</v>
      </c>
      <c r="L319">
        <f>IFERROR(VLOOKUP($K319,Base_Atividades!$E$1:$N$2398,MATCH(BancoAjustado!L$1,Base_Atividades!$E$1:$N$1,0),FALSE),0)</f>
        <v>1</v>
      </c>
      <c r="M319">
        <f>IFERROR(VLOOKUP($K319,Base_Atividades!$E$1:$N$2398,MATCH(BancoAjustado!M$1,Base_Atividades!$E$1:$N$1,0),FALSE),0)</f>
        <v>0</v>
      </c>
      <c r="N319">
        <f>IFERROR(VLOOKUP($K319,Base_Atividades!$E$1:$N$2398,MATCH(BancoAjustado!N$1,Base_Atividades!$E$1:$N$1,0),FALSE),0)</f>
        <v>0</v>
      </c>
    </row>
    <row r="320" spans="1:14" x14ac:dyDescent="0.25">
      <c r="A320" t="s">
        <v>2111</v>
      </c>
      <c r="B320" t="s">
        <v>2398</v>
      </c>
      <c r="C320" t="s">
        <v>2399</v>
      </c>
      <c r="D320" t="s">
        <v>2404</v>
      </c>
      <c r="E320" t="s">
        <v>2406</v>
      </c>
      <c r="F320" t="str">
        <f>VLOOKUP(A320,Base!$A:$F,6,FALSE)</f>
        <v>INDÚSTRIAS DE TRANSFORMAÇÃO</v>
      </c>
      <c r="G320" t="str">
        <f>VLOOKUP(B320,Base!$B:$F,5,FALSE)</f>
        <v>FABRICAÇÃO DE PRODUTOS QUÍMICOS</v>
      </c>
      <c r="H320" t="str">
        <f>VLOOKUP(C320,Base!$C:$F,4,FALSE)</f>
        <v>Fabricação de produtos químicos inorgânicos</v>
      </c>
      <c r="I320" t="str">
        <f>VLOOKUP(D320,Base!$D:$F,3,FALSE)</f>
        <v>Fabricação de adubos e fertilizantes</v>
      </c>
      <c r="J320" t="str">
        <f>VLOOKUP(E320,Base!$E:$F,2,FALSE)</f>
        <v>Fabricação de adubos e fertilizantes, exceto organo-minerais</v>
      </c>
      <c r="K320" t="s">
        <v>2406</v>
      </c>
      <c r="L320">
        <f>IFERROR(VLOOKUP($K320,Base_Atividades!$E$1:$N$2398,MATCH(BancoAjustado!L$1,Base_Atividades!$E$1:$N$1,0),FALSE),0)</f>
        <v>1</v>
      </c>
      <c r="M320">
        <f>IFERROR(VLOOKUP($K320,Base_Atividades!$E$1:$N$2398,MATCH(BancoAjustado!M$1,Base_Atividades!$E$1:$N$1,0),FALSE),0)</f>
        <v>0</v>
      </c>
      <c r="N320">
        <f>IFERROR(VLOOKUP($K320,Base_Atividades!$E$1:$N$2398,MATCH(BancoAjustado!N$1,Base_Atividades!$E$1:$N$1,0),FALSE),0)</f>
        <v>0</v>
      </c>
    </row>
    <row r="321" spans="1:14" x14ac:dyDescent="0.25">
      <c r="A321" t="s">
        <v>2111</v>
      </c>
      <c r="B321" t="s">
        <v>2398</v>
      </c>
      <c r="C321" t="s">
        <v>2399</v>
      </c>
      <c r="D321" t="s">
        <v>2407</v>
      </c>
      <c r="E321" t="s">
        <v>2408</v>
      </c>
      <c r="F321" t="str">
        <f>VLOOKUP(A321,Base!$A:$F,6,FALSE)</f>
        <v>INDÚSTRIAS DE TRANSFORMAÇÃO</v>
      </c>
      <c r="G321" t="str">
        <f>VLOOKUP(B321,Base!$B:$F,5,FALSE)</f>
        <v>FABRICAÇÃO DE PRODUTOS QUÍMICOS</v>
      </c>
      <c r="H321" t="str">
        <f>VLOOKUP(C321,Base!$C:$F,4,FALSE)</f>
        <v>Fabricação de produtos químicos inorgânicos</v>
      </c>
      <c r="I321" t="str">
        <f>VLOOKUP(D321,Base!$D:$F,3,FALSE)</f>
        <v>Fabricação de gases industriais</v>
      </c>
      <c r="J321" t="str">
        <f>VLOOKUP(E321,Base!$E:$F,2,FALSE)</f>
        <v>Fabricação de gases industriais</v>
      </c>
      <c r="K321" t="s">
        <v>2408</v>
      </c>
      <c r="L321">
        <f>IFERROR(VLOOKUP($K321,Base_Atividades!$E$1:$N$2398,MATCH(BancoAjustado!L$1,Base_Atividades!$E$1:$N$1,0),FALSE),0)</f>
        <v>1</v>
      </c>
      <c r="M321">
        <f>IFERROR(VLOOKUP($K321,Base_Atividades!$E$1:$N$2398,MATCH(BancoAjustado!M$1,Base_Atividades!$E$1:$N$1,0),FALSE),0)</f>
        <v>0</v>
      </c>
      <c r="N321">
        <f>IFERROR(VLOOKUP($K321,Base_Atividades!$E$1:$N$2398,MATCH(BancoAjustado!N$1,Base_Atividades!$E$1:$N$1,0),FALSE),0)</f>
        <v>0</v>
      </c>
    </row>
    <row r="322" spans="1:14" x14ac:dyDescent="0.25">
      <c r="A322" t="s">
        <v>2111</v>
      </c>
      <c r="B322" t="s">
        <v>2398</v>
      </c>
      <c r="C322" t="s">
        <v>2399</v>
      </c>
      <c r="D322" t="s">
        <v>2409</v>
      </c>
      <c r="E322" t="s">
        <v>2410</v>
      </c>
      <c r="F322" t="str">
        <f>VLOOKUP(A322,Base!$A:$F,6,FALSE)</f>
        <v>INDÚSTRIAS DE TRANSFORMAÇÃO</v>
      </c>
      <c r="G322" t="str">
        <f>VLOOKUP(B322,Base!$B:$F,5,FALSE)</f>
        <v>FABRICAÇÃO DE PRODUTOS QUÍMICOS</v>
      </c>
      <c r="H322" t="str">
        <f>VLOOKUP(C322,Base!$C:$F,4,FALSE)</f>
        <v>Fabricação de produtos químicos inorgânicos</v>
      </c>
      <c r="I322" t="str">
        <f>VLOOKUP(D322,Base!$D:$F,3,FALSE)</f>
        <v>Fabricação de produtos químicos inorgânicos não especificados anteriormente</v>
      </c>
      <c r="J322" t="str">
        <f>VLOOKUP(E322,Base!$E:$F,2,FALSE)</f>
        <v>Elaboração de combustíveis nucleares</v>
      </c>
      <c r="K322" t="s">
        <v>2410</v>
      </c>
      <c r="L322">
        <f>IFERROR(VLOOKUP($K322,Base_Atividades!$E$1:$N$2398,MATCH(BancoAjustado!L$1,Base_Atividades!$E$1:$N$1,0),FALSE),0)</f>
        <v>1</v>
      </c>
      <c r="M322">
        <f>IFERROR(VLOOKUP($K322,Base_Atividades!$E$1:$N$2398,MATCH(BancoAjustado!M$1,Base_Atividades!$E$1:$N$1,0),FALSE),0)</f>
        <v>0</v>
      </c>
      <c r="N322">
        <f>IFERROR(VLOOKUP($K322,Base_Atividades!$E$1:$N$2398,MATCH(BancoAjustado!N$1,Base_Atividades!$E$1:$N$1,0),FALSE),0)</f>
        <v>0</v>
      </c>
    </row>
    <row r="323" spans="1:14" x14ac:dyDescent="0.25">
      <c r="A323" t="s">
        <v>2111</v>
      </c>
      <c r="B323" t="s">
        <v>2398</v>
      </c>
      <c r="C323" t="s">
        <v>2399</v>
      </c>
      <c r="D323" t="s">
        <v>2409</v>
      </c>
      <c r="E323" t="s">
        <v>2411</v>
      </c>
      <c r="F323" t="str">
        <f>VLOOKUP(A323,Base!$A:$F,6,FALSE)</f>
        <v>INDÚSTRIAS DE TRANSFORMAÇÃO</v>
      </c>
      <c r="G323" t="str">
        <f>VLOOKUP(B323,Base!$B:$F,5,FALSE)</f>
        <v>FABRICAÇÃO DE PRODUTOS QUÍMICOS</v>
      </c>
      <c r="H323" t="str">
        <f>VLOOKUP(C323,Base!$C:$F,4,FALSE)</f>
        <v>Fabricação de produtos químicos inorgânicos</v>
      </c>
      <c r="I323" t="str">
        <f>VLOOKUP(D323,Base!$D:$F,3,FALSE)</f>
        <v>Fabricação de produtos químicos inorgânicos não especificados anteriormente</v>
      </c>
      <c r="J323" t="str">
        <f>VLOOKUP(E323,Base!$E:$F,2,FALSE)</f>
        <v>Fabricação de outros produtos químicos inorgânicos não especificados anteriormente</v>
      </c>
      <c r="K323" t="s">
        <v>2411</v>
      </c>
      <c r="L323">
        <f>IFERROR(VLOOKUP($K323,Base_Atividades!$E$1:$N$2398,MATCH(BancoAjustado!L$1,Base_Atividades!$E$1:$N$1,0),FALSE),0)</f>
        <v>1</v>
      </c>
      <c r="M323">
        <f>IFERROR(VLOOKUP($K323,Base_Atividades!$E$1:$N$2398,MATCH(BancoAjustado!M$1,Base_Atividades!$E$1:$N$1,0),FALSE),0)</f>
        <v>0</v>
      </c>
      <c r="N323">
        <f>IFERROR(VLOOKUP($K323,Base_Atividades!$E$1:$N$2398,MATCH(BancoAjustado!N$1,Base_Atividades!$E$1:$N$1,0),FALSE),0)</f>
        <v>0</v>
      </c>
    </row>
    <row r="324" spans="1:14" x14ac:dyDescent="0.25">
      <c r="A324" t="s">
        <v>2111</v>
      </c>
      <c r="B324" t="s">
        <v>2398</v>
      </c>
      <c r="C324" t="s">
        <v>2412</v>
      </c>
      <c r="D324" t="s">
        <v>2413</v>
      </c>
      <c r="E324" t="s">
        <v>2414</v>
      </c>
      <c r="F324" t="str">
        <f>VLOOKUP(A324,Base!$A:$F,6,FALSE)</f>
        <v>INDÚSTRIAS DE TRANSFORMAÇÃO</v>
      </c>
      <c r="G324" t="str">
        <f>VLOOKUP(B324,Base!$B:$F,5,FALSE)</f>
        <v>FABRICAÇÃO DE PRODUTOS QUÍMICOS</v>
      </c>
      <c r="H324" t="str">
        <f>VLOOKUP(C324,Base!$C:$F,4,FALSE)</f>
        <v>Fabricação de produtos químicos orgânicos</v>
      </c>
      <c r="I324" t="str">
        <f>VLOOKUP(D324,Base!$D:$F,3,FALSE)</f>
        <v>Fabricação de produtos petroquímicos básicos</v>
      </c>
      <c r="J324" t="str">
        <f>VLOOKUP(E324,Base!$E:$F,2,FALSE)</f>
        <v>Fabricação de produtos petroquímicos básicos</v>
      </c>
      <c r="K324" t="s">
        <v>2414</v>
      </c>
      <c r="L324">
        <f>IFERROR(VLOOKUP($K324,Base_Atividades!$E$1:$N$2398,MATCH(BancoAjustado!L$1,Base_Atividades!$E$1:$N$1,0),FALSE),0)</f>
        <v>1</v>
      </c>
      <c r="M324">
        <f>IFERROR(VLOOKUP($K324,Base_Atividades!$E$1:$N$2398,MATCH(BancoAjustado!M$1,Base_Atividades!$E$1:$N$1,0),FALSE),0)</f>
        <v>0</v>
      </c>
      <c r="N324">
        <f>IFERROR(VLOOKUP($K324,Base_Atividades!$E$1:$N$2398,MATCH(BancoAjustado!N$1,Base_Atividades!$E$1:$N$1,0),FALSE),0)</f>
        <v>0</v>
      </c>
    </row>
    <row r="325" spans="1:14" x14ac:dyDescent="0.25">
      <c r="A325" t="s">
        <v>2111</v>
      </c>
      <c r="B325" t="s">
        <v>2398</v>
      </c>
      <c r="C325" t="s">
        <v>2412</v>
      </c>
      <c r="D325" t="s">
        <v>2415</v>
      </c>
      <c r="E325" t="s">
        <v>2416</v>
      </c>
      <c r="F325" t="str">
        <f>VLOOKUP(A325,Base!$A:$F,6,FALSE)</f>
        <v>INDÚSTRIAS DE TRANSFORMAÇÃO</v>
      </c>
      <c r="G325" t="str">
        <f>VLOOKUP(B325,Base!$B:$F,5,FALSE)</f>
        <v>FABRICAÇÃO DE PRODUTOS QUÍMICOS</v>
      </c>
      <c r="H325" t="str">
        <f>VLOOKUP(C325,Base!$C:$F,4,FALSE)</f>
        <v>Fabricação de produtos químicos orgânicos</v>
      </c>
      <c r="I325" t="str">
        <f>VLOOKUP(D325,Base!$D:$F,3,FALSE)</f>
        <v>Fabricação de intermediários para plastificantes, resinas e fibras</v>
      </c>
      <c r="J325" t="str">
        <f>VLOOKUP(E325,Base!$E:$F,2,FALSE)</f>
        <v>Fabricação de intermediários para plastificantes, resinas e fibras</v>
      </c>
      <c r="K325" t="s">
        <v>2416</v>
      </c>
      <c r="L325">
        <f>IFERROR(VLOOKUP($K325,Base_Atividades!$E$1:$N$2398,MATCH(BancoAjustado!L$1,Base_Atividades!$E$1:$N$1,0),FALSE),0)</f>
        <v>1</v>
      </c>
      <c r="M325">
        <f>IFERROR(VLOOKUP($K325,Base_Atividades!$E$1:$N$2398,MATCH(BancoAjustado!M$1,Base_Atividades!$E$1:$N$1,0),FALSE),0)</f>
        <v>0</v>
      </c>
      <c r="N325">
        <f>IFERROR(VLOOKUP($K325,Base_Atividades!$E$1:$N$2398,MATCH(BancoAjustado!N$1,Base_Atividades!$E$1:$N$1,0),FALSE),0)</f>
        <v>0</v>
      </c>
    </row>
    <row r="326" spans="1:14" x14ac:dyDescent="0.25">
      <c r="A326" t="s">
        <v>2111</v>
      </c>
      <c r="B326" t="s">
        <v>2398</v>
      </c>
      <c r="C326" t="s">
        <v>2412</v>
      </c>
      <c r="D326" t="s">
        <v>2417</v>
      </c>
      <c r="E326" t="s">
        <v>2418</v>
      </c>
      <c r="F326" t="str">
        <f>VLOOKUP(A326,Base!$A:$F,6,FALSE)</f>
        <v>INDÚSTRIAS DE TRANSFORMAÇÃO</v>
      </c>
      <c r="G326" t="str">
        <f>VLOOKUP(B326,Base!$B:$F,5,FALSE)</f>
        <v>FABRICAÇÃO DE PRODUTOS QUÍMICOS</v>
      </c>
      <c r="H326" t="str">
        <f>VLOOKUP(C326,Base!$C:$F,4,FALSE)</f>
        <v>Fabricação de produtos químicos orgânicos</v>
      </c>
      <c r="I326" t="str">
        <f>VLOOKUP(D326,Base!$D:$F,3,FALSE)</f>
        <v>Fabricação de produtos químicos orgânicos não especificados anteriormente</v>
      </c>
      <c r="J326" t="str">
        <f>VLOOKUP(E326,Base!$E:$F,2,FALSE)</f>
        <v>Fabricação de produtos químicos orgânicos não especificados anteriormente</v>
      </c>
      <c r="K326" t="s">
        <v>2418</v>
      </c>
      <c r="L326">
        <f>IFERROR(VLOOKUP($K326,Base_Atividades!$E$1:$N$2398,MATCH(BancoAjustado!L$1,Base_Atividades!$E$1:$N$1,0),FALSE),0)</f>
        <v>1</v>
      </c>
      <c r="M326">
        <f>IFERROR(VLOOKUP($K326,Base_Atividades!$E$1:$N$2398,MATCH(BancoAjustado!M$1,Base_Atividades!$E$1:$N$1,0),FALSE),0)</f>
        <v>0</v>
      </c>
      <c r="N326">
        <f>IFERROR(VLOOKUP($K326,Base_Atividades!$E$1:$N$2398,MATCH(BancoAjustado!N$1,Base_Atividades!$E$1:$N$1,0),FALSE),0)</f>
        <v>0</v>
      </c>
    </row>
    <row r="327" spans="1:14" x14ac:dyDescent="0.25">
      <c r="A327" t="s">
        <v>2111</v>
      </c>
      <c r="B327" t="s">
        <v>2398</v>
      </c>
      <c r="C327" t="s">
        <v>2419</v>
      </c>
      <c r="D327" t="s">
        <v>2420</v>
      </c>
      <c r="E327" t="s">
        <v>2421</v>
      </c>
      <c r="F327" t="str">
        <f>VLOOKUP(A327,Base!$A:$F,6,FALSE)</f>
        <v>INDÚSTRIAS DE TRANSFORMAÇÃO</v>
      </c>
      <c r="G327" t="str">
        <f>VLOOKUP(B327,Base!$B:$F,5,FALSE)</f>
        <v>FABRICAÇÃO DE PRODUTOS QUÍMICOS</v>
      </c>
      <c r="H327" t="str">
        <f>VLOOKUP(C327,Base!$C:$F,4,FALSE)</f>
        <v>Fabricação de resinas e elastômeros</v>
      </c>
      <c r="I327" t="str">
        <f>VLOOKUP(D327,Base!$D:$F,3,FALSE)</f>
        <v>Fabricação de resinas termoplásticas</v>
      </c>
      <c r="J327" t="str">
        <f>VLOOKUP(E327,Base!$E:$F,2,FALSE)</f>
        <v>Fabricação de resinas termoplásticas</v>
      </c>
      <c r="K327" t="s">
        <v>2421</v>
      </c>
      <c r="L327">
        <f>IFERROR(VLOOKUP($K327,Base_Atividades!$E$1:$N$2398,MATCH(BancoAjustado!L$1,Base_Atividades!$E$1:$N$1,0),FALSE),0)</f>
        <v>1</v>
      </c>
      <c r="M327">
        <f>IFERROR(VLOOKUP($K327,Base_Atividades!$E$1:$N$2398,MATCH(BancoAjustado!M$1,Base_Atividades!$E$1:$N$1,0),FALSE),0)</f>
        <v>0</v>
      </c>
      <c r="N327">
        <f>IFERROR(VLOOKUP($K327,Base_Atividades!$E$1:$N$2398,MATCH(BancoAjustado!N$1,Base_Atividades!$E$1:$N$1,0),FALSE),0)</f>
        <v>0</v>
      </c>
    </row>
    <row r="328" spans="1:14" x14ac:dyDescent="0.25">
      <c r="A328" t="s">
        <v>2111</v>
      </c>
      <c r="B328" t="s">
        <v>2398</v>
      </c>
      <c r="C328" t="s">
        <v>2419</v>
      </c>
      <c r="D328" t="s">
        <v>2422</v>
      </c>
      <c r="E328" t="s">
        <v>2423</v>
      </c>
      <c r="F328" t="str">
        <f>VLOOKUP(A328,Base!$A:$F,6,FALSE)</f>
        <v>INDÚSTRIAS DE TRANSFORMAÇÃO</v>
      </c>
      <c r="G328" t="str">
        <f>VLOOKUP(B328,Base!$B:$F,5,FALSE)</f>
        <v>FABRICAÇÃO DE PRODUTOS QUÍMICOS</v>
      </c>
      <c r="H328" t="str">
        <f>VLOOKUP(C328,Base!$C:$F,4,FALSE)</f>
        <v>Fabricação de resinas e elastômeros</v>
      </c>
      <c r="I328" t="str">
        <f>VLOOKUP(D328,Base!$D:$F,3,FALSE)</f>
        <v>Fabricação de resinas termofixas</v>
      </c>
      <c r="J328" t="str">
        <f>VLOOKUP(E328,Base!$E:$F,2,FALSE)</f>
        <v>Fabricação de resinas termofixas</v>
      </c>
      <c r="K328" t="s">
        <v>2423</v>
      </c>
      <c r="L328">
        <f>IFERROR(VLOOKUP($K328,Base_Atividades!$E$1:$N$2398,MATCH(BancoAjustado!L$1,Base_Atividades!$E$1:$N$1,0),FALSE),0)</f>
        <v>1</v>
      </c>
      <c r="M328">
        <f>IFERROR(VLOOKUP($K328,Base_Atividades!$E$1:$N$2398,MATCH(BancoAjustado!M$1,Base_Atividades!$E$1:$N$1,0),FALSE),0)</f>
        <v>0</v>
      </c>
      <c r="N328">
        <f>IFERROR(VLOOKUP($K328,Base_Atividades!$E$1:$N$2398,MATCH(BancoAjustado!N$1,Base_Atividades!$E$1:$N$1,0),FALSE),0)</f>
        <v>0</v>
      </c>
    </row>
    <row r="329" spans="1:14" x14ac:dyDescent="0.25">
      <c r="A329" t="s">
        <v>2111</v>
      </c>
      <c r="B329" t="s">
        <v>2398</v>
      </c>
      <c r="C329" t="s">
        <v>2419</v>
      </c>
      <c r="D329" t="s">
        <v>2424</v>
      </c>
      <c r="E329" t="s">
        <v>2425</v>
      </c>
      <c r="F329" t="str">
        <f>VLOOKUP(A329,Base!$A:$F,6,FALSE)</f>
        <v>INDÚSTRIAS DE TRANSFORMAÇÃO</v>
      </c>
      <c r="G329" t="str">
        <f>VLOOKUP(B329,Base!$B:$F,5,FALSE)</f>
        <v>FABRICAÇÃO DE PRODUTOS QUÍMICOS</v>
      </c>
      <c r="H329" t="str">
        <f>VLOOKUP(C329,Base!$C:$F,4,FALSE)</f>
        <v>Fabricação de resinas e elastômeros</v>
      </c>
      <c r="I329" t="str">
        <f>VLOOKUP(D329,Base!$D:$F,3,FALSE)</f>
        <v>Fabricação de elastômeros</v>
      </c>
      <c r="J329" t="str">
        <f>VLOOKUP(E329,Base!$E:$F,2,FALSE)</f>
        <v>Fabricação de elastômeros</v>
      </c>
      <c r="K329" t="s">
        <v>2425</v>
      </c>
      <c r="L329">
        <f>IFERROR(VLOOKUP($K329,Base_Atividades!$E$1:$N$2398,MATCH(BancoAjustado!L$1,Base_Atividades!$E$1:$N$1,0),FALSE),0)</f>
        <v>1</v>
      </c>
      <c r="M329">
        <f>IFERROR(VLOOKUP($K329,Base_Atividades!$E$1:$N$2398,MATCH(BancoAjustado!M$1,Base_Atividades!$E$1:$N$1,0),FALSE),0)</f>
        <v>0</v>
      </c>
      <c r="N329">
        <f>IFERROR(VLOOKUP($K329,Base_Atividades!$E$1:$N$2398,MATCH(BancoAjustado!N$1,Base_Atividades!$E$1:$N$1,0),FALSE),0)</f>
        <v>0</v>
      </c>
    </row>
    <row r="330" spans="1:14" x14ac:dyDescent="0.25">
      <c r="A330" t="s">
        <v>2111</v>
      </c>
      <c r="B330" t="s">
        <v>2398</v>
      </c>
      <c r="C330" t="s">
        <v>2426</v>
      </c>
      <c r="D330" t="s">
        <v>2427</v>
      </c>
      <c r="E330" t="s">
        <v>2428</v>
      </c>
      <c r="F330" t="str">
        <f>VLOOKUP(A330,Base!$A:$F,6,FALSE)</f>
        <v>INDÚSTRIAS DE TRANSFORMAÇÃO</v>
      </c>
      <c r="G330" t="str">
        <f>VLOOKUP(B330,Base!$B:$F,5,FALSE)</f>
        <v>FABRICAÇÃO DE PRODUTOS QUÍMICOS</v>
      </c>
      <c r="H330" t="str">
        <f>VLOOKUP(C330,Base!$C:$F,4,FALSE)</f>
        <v>Fabricação de fibras artificiais e sintéticas</v>
      </c>
      <c r="I330" t="str">
        <f>VLOOKUP(D330,Base!$D:$F,3,FALSE)</f>
        <v>Fabricação de fibras artificiais e sintéticas</v>
      </c>
      <c r="J330" t="str">
        <f>VLOOKUP(E330,Base!$E:$F,2,FALSE)</f>
        <v>Fabricação de fibras artificiais e sintéticas</v>
      </c>
      <c r="K330" t="s">
        <v>2428</v>
      </c>
      <c r="L330">
        <f>IFERROR(VLOOKUP($K330,Base_Atividades!$E$1:$N$2398,MATCH(BancoAjustado!L$1,Base_Atividades!$E$1:$N$1,0),FALSE),0)</f>
        <v>1</v>
      </c>
      <c r="M330">
        <f>IFERROR(VLOOKUP($K330,Base_Atividades!$E$1:$N$2398,MATCH(BancoAjustado!M$1,Base_Atividades!$E$1:$N$1,0),FALSE),0)</f>
        <v>0</v>
      </c>
      <c r="N330">
        <f>IFERROR(VLOOKUP($K330,Base_Atividades!$E$1:$N$2398,MATCH(BancoAjustado!N$1,Base_Atividades!$E$1:$N$1,0),FALSE),0)</f>
        <v>0</v>
      </c>
    </row>
    <row r="331" spans="1:14" x14ac:dyDescent="0.25">
      <c r="A331" t="s">
        <v>2111</v>
      </c>
      <c r="B331" t="s">
        <v>2398</v>
      </c>
      <c r="C331" t="s">
        <v>2429</v>
      </c>
      <c r="D331" t="s">
        <v>2430</v>
      </c>
      <c r="E331" t="s">
        <v>2431</v>
      </c>
      <c r="F331" t="str">
        <f>VLOOKUP(A331,Base!$A:$F,6,FALSE)</f>
        <v>INDÚSTRIAS DE TRANSFORMAÇÃO</v>
      </c>
      <c r="G331" t="str">
        <f>VLOOKUP(B331,Base!$B:$F,5,FALSE)</f>
        <v>FABRICAÇÃO DE PRODUTOS QUÍMICOS</v>
      </c>
      <c r="H331" t="str">
        <f>VLOOKUP(C331,Base!$C:$F,4,FALSE)</f>
        <v>Fabricação de defensivos agrícolas e desinfestantes domissanitários</v>
      </c>
      <c r="I331" t="str">
        <f>VLOOKUP(D331,Base!$D:$F,3,FALSE)</f>
        <v>Fabricação de defensivos agrícolas</v>
      </c>
      <c r="J331" t="str">
        <f>VLOOKUP(E331,Base!$E:$F,2,FALSE)</f>
        <v>Fabricação de defensivos agrícolas</v>
      </c>
      <c r="K331" t="s">
        <v>2431</v>
      </c>
      <c r="L331">
        <f>IFERROR(VLOOKUP($K331,Base_Atividades!$E$1:$N$2398,MATCH(BancoAjustado!L$1,Base_Atividades!$E$1:$N$1,0),FALSE),0)</f>
        <v>1</v>
      </c>
      <c r="M331">
        <f>IFERROR(VLOOKUP($K331,Base_Atividades!$E$1:$N$2398,MATCH(BancoAjustado!M$1,Base_Atividades!$E$1:$N$1,0),FALSE),0)</f>
        <v>0</v>
      </c>
      <c r="N331">
        <f>IFERROR(VLOOKUP($K331,Base_Atividades!$E$1:$N$2398,MATCH(BancoAjustado!N$1,Base_Atividades!$E$1:$N$1,0),FALSE),0)</f>
        <v>0</v>
      </c>
    </row>
    <row r="332" spans="1:14" x14ac:dyDescent="0.25">
      <c r="A332" t="s">
        <v>2111</v>
      </c>
      <c r="B332" t="s">
        <v>2398</v>
      </c>
      <c r="C332" t="s">
        <v>2429</v>
      </c>
      <c r="D332" t="s">
        <v>2432</v>
      </c>
      <c r="E332" t="s">
        <v>2433</v>
      </c>
      <c r="F332" t="str">
        <f>VLOOKUP(A332,Base!$A:$F,6,FALSE)</f>
        <v>INDÚSTRIAS DE TRANSFORMAÇÃO</v>
      </c>
      <c r="G332" t="str">
        <f>VLOOKUP(B332,Base!$B:$F,5,FALSE)</f>
        <v>FABRICAÇÃO DE PRODUTOS QUÍMICOS</v>
      </c>
      <c r="H332" t="str">
        <f>VLOOKUP(C332,Base!$C:$F,4,FALSE)</f>
        <v>Fabricação de defensivos agrícolas e desinfestantes domissanitários</v>
      </c>
      <c r="I332" t="str">
        <f>VLOOKUP(D332,Base!$D:$F,3,FALSE)</f>
        <v>Fabricação de desinfestantes domissanitários</v>
      </c>
      <c r="J332" t="str">
        <f>VLOOKUP(E332,Base!$E:$F,2,FALSE)</f>
        <v>Fabricação de desinfestantes domissanitários</v>
      </c>
      <c r="K332" t="s">
        <v>2433</v>
      </c>
      <c r="L332">
        <f>IFERROR(VLOOKUP($K332,Base_Atividades!$E$1:$N$2398,MATCH(BancoAjustado!L$1,Base_Atividades!$E$1:$N$1,0),FALSE),0)</f>
        <v>1</v>
      </c>
      <c r="M332">
        <f>IFERROR(VLOOKUP($K332,Base_Atividades!$E$1:$N$2398,MATCH(BancoAjustado!M$1,Base_Atividades!$E$1:$N$1,0),FALSE),0)</f>
        <v>0</v>
      </c>
      <c r="N332">
        <f>IFERROR(VLOOKUP($K332,Base_Atividades!$E$1:$N$2398,MATCH(BancoAjustado!N$1,Base_Atividades!$E$1:$N$1,0),FALSE),0)</f>
        <v>0</v>
      </c>
    </row>
    <row r="333" spans="1:14" x14ac:dyDescent="0.25">
      <c r="A333" t="s">
        <v>2111</v>
      </c>
      <c r="B333" t="s">
        <v>2398</v>
      </c>
      <c r="C333" t="s">
        <v>2434</v>
      </c>
      <c r="D333" t="s">
        <v>2435</v>
      </c>
      <c r="E333" t="s">
        <v>2436</v>
      </c>
      <c r="F333" t="str">
        <f>VLOOKUP(A333,Base!$A:$F,6,FALSE)</f>
        <v>INDÚSTRIAS DE TRANSFORMAÇÃO</v>
      </c>
      <c r="G333" t="str">
        <f>VLOOKUP(B333,Base!$B:$F,5,FALSE)</f>
        <v>FABRICAÇÃO DE PRODUTOS QUÍMICOS</v>
      </c>
      <c r="H333" t="str">
        <f>VLOOKUP(C333,Base!$C:$F,4,FALSE)</f>
        <v>Fabricação de sabões, detergentes, produtos de limpeza, cosméticos, produtos de perfumaria e de higiene pessoal</v>
      </c>
      <c r="I333" t="str">
        <f>VLOOKUP(D333,Base!$D:$F,3,FALSE)</f>
        <v>Fabricação de sabões e detergentes sintéticos</v>
      </c>
      <c r="J333" t="str">
        <f>VLOOKUP(E333,Base!$E:$F,2,FALSE)</f>
        <v>Fabricação de sabões e detergentes sintéticos</v>
      </c>
      <c r="K333" t="s">
        <v>2436</v>
      </c>
      <c r="L333">
        <f>IFERROR(VLOOKUP($K333,Base_Atividades!$E$1:$N$2398,MATCH(BancoAjustado!L$1,Base_Atividades!$E$1:$N$1,0),FALSE),0)</f>
        <v>1</v>
      </c>
      <c r="M333">
        <f>IFERROR(VLOOKUP($K333,Base_Atividades!$E$1:$N$2398,MATCH(BancoAjustado!M$1,Base_Atividades!$E$1:$N$1,0),FALSE),0)</f>
        <v>0</v>
      </c>
      <c r="N333">
        <f>IFERROR(VLOOKUP($K333,Base_Atividades!$E$1:$N$2398,MATCH(BancoAjustado!N$1,Base_Atividades!$E$1:$N$1,0),FALSE),0)</f>
        <v>0</v>
      </c>
    </row>
    <row r="334" spans="1:14" x14ac:dyDescent="0.25">
      <c r="A334" t="s">
        <v>2111</v>
      </c>
      <c r="B334" t="s">
        <v>2398</v>
      </c>
      <c r="C334" t="s">
        <v>2434</v>
      </c>
      <c r="D334" t="s">
        <v>2437</v>
      </c>
      <c r="E334" t="s">
        <v>2438</v>
      </c>
      <c r="F334" t="str">
        <f>VLOOKUP(A334,Base!$A:$F,6,FALSE)</f>
        <v>INDÚSTRIAS DE TRANSFORMAÇÃO</v>
      </c>
      <c r="G334" t="str">
        <f>VLOOKUP(B334,Base!$B:$F,5,FALSE)</f>
        <v>FABRICAÇÃO DE PRODUTOS QUÍMICOS</v>
      </c>
      <c r="H334" t="str">
        <f>VLOOKUP(C334,Base!$C:$F,4,FALSE)</f>
        <v>Fabricação de sabões, detergentes, produtos de limpeza, cosméticos, produtos de perfumaria e de higiene pessoal</v>
      </c>
      <c r="I334" t="str">
        <f>VLOOKUP(D334,Base!$D:$F,3,FALSE)</f>
        <v>Fabricação de produtos de limpeza e polimento</v>
      </c>
      <c r="J334" t="str">
        <f>VLOOKUP(E334,Base!$E:$F,2,FALSE)</f>
        <v>Fabricação de produtos de limpeza e polimento</v>
      </c>
      <c r="K334" t="s">
        <v>2438</v>
      </c>
      <c r="L334">
        <f>IFERROR(VLOOKUP($K334,Base_Atividades!$E$1:$N$2398,MATCH(BancoAjustado!L$1,Base_Atividades!$E$1:$N$1,0),FALSE),0)</f>
        <v>1</v>
      </c>
      <c r="M334">
        <f>IFERROR(VLOOKUP($K334,Base_Atividades!$E$1:$N$2398,MATCH(BancoAjustado!M$1,Base_Atividades!$E$1:$N$1,0),FALSE),0)</f>
        <v>0</v>
      </c>
      <c r="N334">
        <f>IFERROR(VLOOKUP($K334,Base_Atividades!$E$1:$N$2398,MATCH(BancoAjustado!N$1,Base_Atividades!$E$1:$N$1,0),FALSE),0)</f>
        <v>0</v>
      </c>
    </row>
    <row r="335" spans="1:14" x14ac:dyDescent="0.25">
      <c r="A335" t="s">
        <v>2111</v>
      </c>
      <c r="B335" t="s">
        <v>2398</v>
      </c>
      <c r="C335" t="s">
        <v>2434</v>
      </c>
      <c r="D335" t="s">
        <v>2439</v>
      </c>
      <c r="E335" t="s">
        <v>2440</v>
      </c>
      <c r="F335" t="str">
        <f>VLOOKUP(A335,Base!$A:$F,6,FALSE)</f>
        <v>INDÚSTRIAS DE TRANSFORMAÇÃO</v>
      </c>
      <c r="G335" t="str">
        <f>VLOOKUP(B335,Base!$B:$F,5,FALSE)</f>
        <v>FABRICAÇÃO DE PRODUTOS QUÍMICOS</v>
      </c>
      <c r="H335" t="str">
        <f>VLOOKUP(C335,Base!$C:$F,4,FALSE)</f>
        <v>Fabricação de sabões, detergentes, produtos de limpeza, cosméticos, produtos de perfumaria e de higiene pessoal</v>
      </c>
      <c r="I335" t="str">
        <f>VLOOKUP(D335,Base!$D:$F,3,FALSE)</f>
        <v>Fabricação de cosméticos, produtos de perfumaria e de higiene pessoal</v>
      </c>
      <c r="J335" t="str">
        <f>VLOOKUP(E335,Base!$E:$F,2,FALSE)</f>
        <v>Fabricação de cosméticos, produtos de perfumaria e de higiene pessoal</v>
      </c>
      <c r="K335" t="s">
        <v>2440</v>
      </c>
      <c r="L335">
        <f>IFERROR(VLOOKUP($K335,Base_Atividades!$E$1:$N$2398,MATCH(BancoAjustado!L$1,Base_Atividades!$E$1:$N$1,0),FALSE),0)</f>
        <v>1</v>
      </c>
      <c r="M335">
        <f>IFERROR(VLOOKUP($K335,Base_Atividades!$E$1:$N$2398,MATCH(BancoAjustado!M$1,Base_Atividades!$E$1:$N$1,0),FALSE),0)</f>
        <v>0</v>
      </c>
      <c r="N335">
        <f>IFERROR(VLOOKUP($K335,Base_Atividades!$E$1:$N$2398,MATCH(BancoAjustado!N$1,Base_Atividades!$E$1:$N$1,0),FALSE),0)</f>
        <v>0</v>
      </c>
    </row>
    <row r="336" spans="1:14" x14ac:dyDescent="0.25">
      <c r="A336" t="s">
        <v>2111</v>
      </c>
      <c r="B336" t="s">
        <v>2398</v>
      </c>
      <c r="C336" t="s">
        <v>2441</v>
      </c>
      <c r="D336" t="s">
        <v>2442</v>
      </c>
      <c r="E336" t="s">
        <v>2443</v>
      </c>
      <c r="F336" t="str">
        <f>VLOOKUP(A336,Base!$A:$F,6,FALSE)</f>
        <v>INDÚSTRIAS DE TRANSFORMAÇÃO</v>
      </c>
      <c r="G336" t="str">
        <f>VLOOKUP(B336,Base!$B:$F,5,FALSE)</f>
        <v>FABRICAÇÃO DE PRODUTOS QUÍMICOS</v>
      </c>
      <c r="H336" t="str">
        <f>VLOOKUP(C336,Base!$C:$F,4,FALSE)</f>
        <v>Fabricação de tintas, vernizes, esmaltes, lacas e produtos afins</v>
      </c>
      <c r="I336" t="str">
        <f>VLOOKUP(D336,Base!$D:$F,3,FALSE)</f>
        <v>Fabricação de tintas, vernizes, esmaltes e lacas</v>
      </c>
      <c r="J336" t="str">
        <f>VLOOKUP(E336,Base!$E:$F,2,FALSE)</f>
        <v>Fabricação de tintas, vernizes, esmaltes e lacas</v>
      </c>
      <c r="K336" t="s">
        <v>2443</v>
      </c>
      <c r="L336">
        <f>IFERROR(VLOOKUP($K336,Base_Atividades!$E$1:$N$2398,MATCH(BancoAjustado!L$1,Base_Atividades!$E$1:$N$1,0),FALSE),0)</f>
        <v>1</v>
      </c>
      <c r="M336">
        <f>IFERROR(VLOOKUP($K336,Base_Atividades!$E$1:$N$2398,MATCH(BancoAjustado!M$1,Base_Atividades!$E$1:$N$1,0),FALSE),0)</f>
        <v>0</v>
      </c>
      <c r="N336">
        <f>IFERROR(VLOOKUP($K336,Base_Atividades!$E$1:$N$2398,MATCH(BancoAjustado!N$1,Base_Atividades!$E$1:$N$1,0),FALSE),0)</f>
        <v>0</v>
      </c>
    </row>
    <row r="337" spans="1:14" x14ac:dyDescent="0.25">
      <c r="A337" t="s">
        <v>2111</v>
      </c>
      <c r="B337" t="s">
        <v>2398</v>
      </c>
      <c r="C337" t="s">
        <v>2441</v>
      </c>
      <c r="D337" t="s">
        <v>2444</v>
      </c>
      <c r="E337" t="s">
        <v>2445</v>
      </c>
      <c r="F337" t="str">
        <f>VLOOKUP(A337,Base!$A:$F,6,FALSE)</f>
        <v>INDÚSTRIAS DE TRANSFORMAÇÃO</v>
      </c>
      <c r="G337" t="str">
        <f>VLOOKUP(B337,Base!$B:$F,5,FALSE)</f>
        <v>FABRICAÇÃO DE PRODUTOS QUÍMICOS</v>
      </c>
      <c r="H337" t="str">
        <f>VLOOKUP(C337,Base!$C:$F,4,FALSE)</f>
        <v>Fabricação de tintas, vernizes, esmaltes, lacas e produtos afins</v>
      </c>
      <c r="I337" t="str">
        <f>VLOOKUP(D337,Base!$D:$F,3,FALSE)</f>
        <v>Fabricação de tintas de impressão</v>
      </c>
      <c r="J337" t="str">
        <f>VLOOKUP(E337,Base!$E:$F,2,FALSE)</f>
        <v>Fabricação de tintas de impressão</v>
      </c>
      <c r="K337" t="s">
        <v>2445</v>
      </c>
      <c r="L337">
        <f>IFERROR(VLOOKUP($K337,Base_Atividades!$E$1:$N$2398,MATCH(BancoAjustado!L$1,Base_Atividades!$E$1:$N$1,0),FALSE),0)</f>
        <v>1</v>
      </c>
      <c r="M337">
        <f>IFERROR(VLOOKUP($K337,Base_Atividades!$E$1:$N$2398,MATCH(BancoAjustado!M$1,Base_Atividades!$E$1:$N$1,0),FALSE),0)</f>
        <v>0</v>
      </c>
      <c r="N337">
        <f>IFERROR(VLOOKUP($K337,Base_Atividades!$E$1:$N$2398,MATCH(BancoAjustado!N$1,Base_Atividades!$E$1:$N$1,0),FALSE),0)</f>
        <v>0</v>
      </c>
    </row>
    <row r="338" spans="1:14" x14ac:dyDescent="0.25">
      <c r="A338" t="s">
        <v>2111</v>
      </c>
      <c r="B338" t="s">
        <v>2398</v>
      </c>
      <c r="C338" t="s">
        <v>2441</v>
      </c>
      <c r="D338" t="s">
        <v>2446</v>
      </c>
      <c r="E338" t="s">
        <v>2447</v>
      </c>
      <c r="F338" t="str">
        <f>VLOOKUP(A338,Base!$A:$F,6,FALSE)</f>
        <v>INDÚSTRIAS DE TRANSFORMAÇÃO</v>
      </c>
      <c r="G338" t="str">
        <f>VLOOKUP(B338,Base!$B:$F,5,FALSE)</f>
        <v>FABRICAÇÃO DE PRODUTOS QUÍMICOS</v>
      </c>
      <c r="H338" t="str">
        <f>VLOOKUP(C338,Base!$C:$F,4,FALSE)</f>
        <v>Fabricação de tintas, vernizes, esmaltes, lacas e produtos afins</v>
      </c>
      <c r="I338" t="str">
        <f>VLOOKUP(D338,Base!$D:$F,3,FALSE)</f>
        <v>Fabricação de impermeabilizantes, solventes e produtos afins</v>
      </c>
      <c r="J338" t="str">
        <f>VLOOKUP(E338,Base!$E:$F,2,FALSE)</f>
        <v>Fabricação de impermeabilizantes, solventes e produtos afins</v>
      </c>
      <c r="K338" t="s">
        <v>2447</v>
      </c>
      <c r="L338">
        <f>IFERROR(VLOOKUP($K338,Base_Atividades!$E$1:$N$2398,MATCH(BancoAjustado!L$1,Base_Atividades!$E$1:$N$1,0),FALSE),0)</f>
        <v>1</v>
      </c>
      <c r="M338">
        <f>IFERROR(VLOOKUP($K338,Base_Atividades!$E$1:$N$2398,MATCH(BancoAjustado!M$1,Base_Atividades!$E$1:$N$1,0),FALSE),0)</f>
        <v>0</v>
      </c>
      <c r="N338">
        <f>IFERROR(VLOOKUP($K338,Base_Atividades!$E$1:$N$2398,MATCH(BancoAjustado!N$1,Base_Atividades!$E$1:$N$1,0),FALSE),0)</f>
        <v>0</v>
      </c>
    </row>
    <row r="339" spans="1:14" x14ac:dyDescent="0.25">
      <c r="A339" t="s">
        <v>2111</v>
      </c>
      <c r="B339" t="s">
        <v>2398</v>
      </c>
      <c r="C339" t="s">
        <v>2448</v>
      </c>
      <c r="D339" t="s">
        <v>2449</v>
      </c>
      <c r="E339" t="s">
        <v>2450</v>
      </c>
      <c r="F339" t="str">
        <f>VLOOKUP(A339,Base!$A:$F,6,FALSE)</f>
        <v>INDÚSTRIAS DE TRANSFORMAÇÃO</v>
      </c>
      <c r="G339" t="str">
        <f>VLOOKUP(B339,Base!$B:$F,5,FALSE)</f>
        <v>FABRICAÇÃO DE PRODUTOS QUÍMICOS</v>
      </c>
      <c r="H339" t="str">
        <f>VLOOKUP(C339,Base!$C:$F,4,FALSE)</f>
        <v>Fabricação de produtos e preparados químicos diversos</v>
      </c>
      <c r="I339" t="str">
        <f>VLOOKUP(D339,Base!$D:$F,3,FALSE)</f>
        <v>Fabricação de adesivos e selantes</v>
      </c>
      <c r="J339" t="str">
        <f>VLOOKUP(E339,Base!$E:$F,2,FALSE)</f>
        <v>Fabricação de adesivos e selantes</v>
      </c>
      <c r="K339" t="s">
        <v>2450</v>
      </c>
      <c r="L339">
        <f>IFERROR(VLOOKUP($K339,Base_Atividades!$E$1:$N$2398,MATCH(BancoAjustado!L$1,Base_Atividades!$E$1:$N$1,0),FALSE),0)</f>
        <v>1</v>
      </c>
      <c r="M339">
        <f>IFERROR(VLOOKUP($K339,Base_Atividades!$E$1:$N$2398,MATCH(BancoAjustado!M$1,Base_Atividades!$E$1:$N$1,0),FALSE),0)</f>
        <v>0</v>
      </c>
      <c r="N339">
        <f>IFERROR(VLOOKUP($K339,Base_Atividades!$E$1:$N$2398,MATCH(BancoAjustado!N$1,Base_Atividades!$E$1:$N$1,0),FALSE),0)</f>
        <v>0</v>
      </c>
    </row>
    <row r="340" spans="1:14" x14ac:dyDescent="0.25">
      <c r="A340" t="s">
        <v>2111</v>
      </c>
      <c r="B340" t="s">
        <v>2398</v>
      </c>
      <c r="C340" t="s">
        <v>2448</v>
      </c>
      <c r="D340" t="s">
        <v>2451</v>
      </c>
      <c r="E340" t="s">
        <v>2452</v>
      </c>
      <c r="F340" t="str">
        <f>VLOOKUP(A340,Base!$A:$F,6,FALSE)</f>
        <v>INDÚSTRIAS DE TRANSFORMAÇÃO</v>
      </c>
      <c r="G340" t="str">
        <f>VLOOKUP(B340,Base!$B:$F,5,FALSE)</f>
        <v>FABRICAÇÃO DE PRODUTOS QUÍMICOS</v>
      </c>
      <c r="H340" t="str">
        <f>VLOOKUP(C340,Base!$C:$F,4,FALSE)</f>
        <v>Fabricação de produtos e preparados químicos diversos</v>
      </c>
      <c r="I340" t="str">
        <f>VLOOKUP(D340,Base!$D:$F,3,FALSE)</f>
        <v>Fabricação de explosivos</v>
      </c>
      <c r="J340" t="str">
        <f>VLOOKUP(E340,Base!$E:$F,2,FALSE)</f>
        <v>Fabricação de pólvoras, explosivos e detonantes</v>
      </c>
      <c r="K340" t="s">
        <v>2452</v>
      </c>
      <c r="L340">
        <f>IFERROR(VLOOKUP($K340,Base_Atividades!$E$1:$N$2398,MATCH(BancoAjustado!L$1,Base_Atividades!$E$1:$N$1,0),FALSE),0)</f>
        <v>1</v>
      </c>
      <c r="M340">
        <f>IFERROR(VLOOKUP($K340,Base_Atividades!$E$1:$N$2398,MATCH(BancoAjustado!M$1,Base_Atividades!$E$1:$N$1,0),FALSE),0)</f>
        <v>0</v>
      </c>
      <c r="N340">
        <f>IFERROR(VLOOKUP($K340,Base_Atividades!$E$1:$N$2398,MATCH(BancoAjustado!N$1,Base_Atividades!$E$1:$N$1,0),FALSE),0)</f>
        <v>0</v>
      </c>
    </row>
    <row r="341" spans="1:14" x14ac:dyDescent="0.25">
      <c r="A341" t="s">
        <v>2111</v>
      </c>
      <c r="B341" t="s">
        <v>2398</v>
      </c>
      <c r="C341" t="s">
        <v>2448</v>
      </c>
      <c r="D341" t="s">
        <v>2451</v>
      </c>
      <c r="E341" t="s">
        <v>2453</v>
      </c>
      <c r="F341" t="str">
        <f>VLOOKUP(A341,Base!$A:$F,6,FALSE)</f>
        <v>INDÚSTRIAS DE TRANSFORMAÇÃO</v>
      </c>
      <c r="G341" t="str">
        <f>VLOOKUP(B341,Base!$B:$F,5,FALSE)</f>
        <v>FABRICAÇÃO DE PRODUTOS QUÍMICOS</v>
      </c>
      <c r="H341" t="str">
        <f>VLOOKUP(C341,Base!$C:$F,4,FALSE)</f>
        <v>Fabricação de produtos e preparados químicos diversos</v>
      </c>
      <c r="I341" t="str">
        <f>VLOOKUP(D341,Base!$D:$F,3,FALSE)</f>
        <v>Fabricação de explosivos</v>
      </c>
      <c r="J341" t="str">
        <f>VLOOKUP(E341,Base!$E:$F,2,FALSE)</f>
        <v>Fabricação de artigos pirotécnicos</v>
      </c>
      <c r="K341" t="s">
        <v>2453</v>
      </c>
      <c r="L341">
        <f>IFERROR(VLOOKUP($K341,Base_Atividades!$E$1:$N$2398,MATCH(BancoAjustado!L$1,Base_Atividades!$E$1:$N$1,0),FALSE),0)</f>
        <v>1</v>
      </c>
      <c r="M341">
        <f>IFERROR(VLOOKUP($K341,Base_Atividades!$E$1:$N$2398,MATCH(BancoAjustado!M$1,Base_Atividades!$E$1:$N$1,0),FALSE),0)</f>
        <v>0</v>
      </c>
      <c r="N341">
        <f>IFERROR(VLOOKUP($K341,Base_Atividades!$E$1:$N$2398,MATCH(BancoAjustado!N$1,Base_Atividades!$E$1:$N$1,0),FALSE),0)</f>
        <v>0</v>
      </c>
    </row>
    <row r="342" spans="1:14" x14ac:dyDescent="0.25">
      <c r="A342" t="s">
        <v>2111</v>
      </c>
      <c r="B342" t="s">
        <v>2398</v>
      </c>
      <c r="C342" t="s">
        <v>2448</v>
      </c>
      <c r="D342" t="s">
        <v>2451</v>
      </c>
      <c r="E342" t="s">
        <v>2454</v>
      </c>
      <c r="F342" t="str">
        <f>VLOOKUP(A342,Base!$A:$F,6,FALSE)</f>
        <v>INDÚSTRIAS DE TRANSFORMAÇÃO</v>
      </c>
      <c r="G342" t="str">
        <f>VLOOKUP(B342,Base!$B:$F,5,FALSE)</f>
        <v>FABRICAÇÃO DE PRODUTOS QUÍMICOS</v>
      </c>
      <c r="H342" t="str">
        <f>VLOOKUP(C342,Base!$C:$F,4,FALSE)</f>
        <v>Fabricação de produtos e preparados químicos diversos</v>
      </c>
      <c r="I342" t="str">
        <f>VLOOKUP(D342,Base!$D:$F,3,FALSE)</f>
        <v>Fabricação de explosivos</v>
      </c>
      <c r="J342" t="str">
        <f>VLOOKUP(E342,Base!$E:$F,2,FALSE)</f>
        <v>Fabricação de fósforos de segurança</v>
      </c>
      <c r="K342" t="s">
        <v>2454</v>
      </c>
      <c r="L342">
        <f>IFERROR(VLOOKUP($K342,Base_Atividades!$E$1:$N$2398,MATCH(BancoAjustado!L$1,Base_Atividades!$E$1:$N$1,0),FALSE),0)</f>
        <v>1</v>
      </c>
      <c r="M342">
        <f>IFERROR(VLOOKUP($K342,Base_Atividades!$E$1:$N$2398,MATCH(BancoAjustado!M$1,Base_Atividades!$E$1:$N$1,0),FALSE),0)</f>
        <v>0</v>
      </c>
      <c r="N342">
        <f>IFERROR(VLOOKUP($K342,Base_Atividades!$E$1:$N$2398,MATCH(BancoAjustado!N$1,Base_Atividades!$E$1:$N$1,0),FALSE),0)</f>
        <v>0</v>
      </c>
    </row>
    <row r="343" spans="1:14" x14ac:dyDescent="0.25">
      <c r="A343" t="s">
        <v>2111</v>
      </c>
      <c r="B343" t="s">
        <v>2398</v>
      </c>
      <c r="C343" t="s">
        <v>2448</v>
      </c>
      <c r="D343" t="s">
        <v>2455</v>
      </c>
      <c r="E343" t="s">
        <v>2456</v>
      </c>
      <c r="F343" t="str">
        <f>VLOOKUP(A343,Base!$A:$F,6,FALSE)</f>
        <v>INDÚSTRIAS DE TRANSFORMAÇÃO</v>
      </c>
      <c r="G343" t="str">
        <f>VLOOKUP(B343,Base!$B:$F,5,FALSE)</f>
        <v>FABRICAÇÃO DE PRODUTOS QUÍMICOS</v>
      </c>
      <c r="H343" t="str">
        <f>VLOOKUP(C343,Base!$C:$F,4,FALSE)</f>
        <v>Fabricação de produtos e preparados químicos diversos</v>
      </c>
      <c r="I343" t="str">
        <f>VLOOKUP(D343,Base!$D:$F,3,FALSE)</f>
        <v>Fabricação de aditivos de uso industrial</v>
      </c>
      <c r="J343" t="str">
        <f>VLOOKUP(E343,Base!$E:$F,2,FALSE)</f>
        <v>Fabricação de aditivos de uso industrial</v>
      </c>
      <c r="K343" t="s">
        <v>2456</v>
      </c>
      <c r="L343">
        <f>IFERROR(VLOOKUP($K343,Base_Atividades!$E$1:$N$2398,MATCH(BancoAjustado!L$1,Base_Atividades!$E$1:$N$1,0),FALSE),0)</f>
        <v>1</v>
      </c>
      <c r="M343">
        <f>IFERROR(VLOOKUP($K343,Base_Atividades!$E$1:$N$2398,MATCH(BancoAjustado!M$1,Base_Atividades!$E$1:$N$1,0),FALSE),0)</f>
        <v>0</v>
      </c>
      <c r="N343">
        <f>IFERROR(VLOOKUP($K343,Base_Atividades!$E$1:$N$2398,MATCH(BancoAjustado!N$1,Base_Atividades!$E$1:$N$1,0),FALSE),0)</f>
        <v>0</v>
      </c>
    </row>
    <row r="344" spans="1:14" x14ac:dyDescent="0.25">
      <c r="A344" t="s">
        <v>2111</v>
      </c>
      <c r="B344" t="s">
        <v>2398</v>
      </c>
      <c r="C344" t="s">
        <v>2448</v>
      </c>
      <c r="D344" t="s">
        <v>2457</v>
      </c>
      <c r="E344" t="s">
        <v>2458</v>
      </c>
      <c r="F344" t="str">
        <f>VLOOKUP(A344,Base!$A:$F,6,FALSE)</f>
        <v>INDÚSTRIAS DE TRANSFORMAÇÃO</v>
      </c>
      <c r="G344" t="str">
        <f>VLOOKUP(B344,Base!$B:$F,5,FALSE)</f>
        <v>FABRICAÇÃO DE PRODUTOS QUÍMICOS</v>
      </c>
      <c r="H344" t="str">
        <f>VLOOKUP(C344,Base!$C:$F,4,FALSE)</f>
        <v>Fabricação de produtos e preparados químicos diversos</v>
      </c>
      <c r="I344" t="str">
        <f>VLOOKUP(D344,Base!$D:$F,3,FALSE)</f>
        <v>Fabricação de catalisadores</v>
      </c>
      <c r="J344" t="str">
        <f>VLOOKUP(E344,Base!$E:$F,2,FALSE)</f>
        <v>Fabricação de catalisadores</v>
      </c>
      <c r="K344" t="s">
        <v>2458</v>
      </c>
      <c r="L344">
        <f>IFERROR(VLOOKUP($K344,Base_Atividades!$E$1:$N$2398,MATCH(BancoAjustado!L$1,Base_Atividades!$E$1:$N$1,0),FALSE),0)</f>
        <v>1</v>
      </c>
      <c r="M344">
        <f>IFERROR(VLOOKUP($K344,Base_Atividades!$E$1:$N$2398,MATCH(BancoAjustado!M$1,Base_Atividades!$E$1:$N$1,0),FALSE),0)</f>
        <v>0</v>
      </c>
      <c r="N344">
        <f>IFERROR(VLOOKUP($K344,Base_Atividades!$E$1:$N$2398,MATCH(BancoAjustado!N$1,Base_Atividades!$E$1:$N$1,0),FALSE),0)</f>
        <v>0</v>
      </c>
    </row>
    <row r="345" spans="1:14" x14ac:dyDescent="0.25">
      <c r="A345" t="s">
        <v>2111</v>
      </c>
      <c r="B345" t="s">
        <v>2398</v>
      </c>
      <c r="C345" t="s">
        <v>2448</v>
      </c>
      <c r="D345" t="s">
        <v>2459</v>
      </c>
      <c r="E345" t="s">
        <v>2460</v>
      </c>
      <c r="F345" t="str">
        <f>VLOOKUP(A345,Base!$A:$F,6,FALSE)</f>
        <v>INDÚSTRIAS DE TRANSFORMAÇÃO</v>
      </c>
      <c r="G345" t="str">
        <f>VLOOKUP(B345,Base!$B:$F,5,FALSE)</f>
        <v>FABRICAÇÃO DE PRODUTOS QUÍMICOS</v>
      </c>
      <c r="H345" t="str">
        <f>VLOOKUP(C345,Base!$C:$F,4,FALSE)</f>
        <v>Fabricação de produtos e preparados químicos diversos</v>
      </c>
      <c r="I345" t="str">
        <f>VLOOKUP(D345,Base!$D:$F,3,FALSE)</f>
        <v>Fabricação de produtos químicos não especificados anteriormente</v>
      </c>
      <c r="J345" t="str">
        <f>VLOOKUP(E345,Base!$E:$F,2,FALSE)</f>
        <v>Fabricação de chapas, filmes, papéis e outros materiais e produtos químicos para fotografia</v>
      </c>
      <c r="K345" t="s">
        <v>2460</v>
      </c>
      <c r="L345">
        <f>IFERROR(VLOOKUP($K345,Base_Atividades!$E$1:$N$2398,MATCH(BancoAjustado!L$1,Base_Atividades!$E$1:$N$1,0),FALSE),0)</f>
        <v>1</v>
      </c>
      <c r="M345">
        <f>IFERROR(VLOOKUP($K345,Base_Atividades!$E$1:$N$2398,MATCH(BancoAjustado!M$1,Base_Atividades!$E$1:$N$1,0),FALSE),0)</f>
        <v>0</v>
      </c>
      <c r="N345">
        <f>IFERROR(VLOOKUP($K345,Base_Atividades!$E$1:$N$2398,MATCH(BancoAjustado!N$1,Base_Atividades!$E$1:$N$1,0),FALSE),0)</f>
        <v>0</v>
      </c>
    </row>
    <row r="346" spans="1:14" x14ac:dyDescent="0.25">
      <c r="A346" t="s">
        <v>2111</v>
      </c>
      <c r="B346" t="s">
        <v>2398</v>
      </c>
      <c r="C346" t="s">
        <v>2448</v>
      </c>
      <c r="D346" t="s">
        <v>2459</v>
      </c>
      <c r="E346" t="s">
        <v>2461</v>
      </c>
      <c r="F346" t="str">
        <f>VLOOKUP(A346,Base!$A:$F,6,FALSE)</f>
        <v>INDÚSTRIAS DE TRANSFORMAÇÃO</v>
      </c>
      <c r="G346" t="str">
        <f>VLOOKUP(B346,Base!$B:$F,5,FALSE)</f>
        <v>FABRICAÇÃO DE PRODUTOS QUÍMICOS</v>
      </c>
      <c r="H346" t="str">
        <f>VLOOKUP(C346,Base!$C:$F,4,FALSE)</f>
        <v>Fabricação de produtos e preparados químicos diversos</v>
      </c>
      <c r="I346" t="str">
        <f>VLOOKUP(D346,Base!$D:$F,3,FALSE)</f>
        <v>Fabricação de produtos químicos não especificados anteriormente</v>
      </c>
      <c r="J346" t="str">
        <f>VLOOKUP(E346,Base!$E:$F,2,FALSE)</f>
        <v>Fabricação de outros produtos químicos não especificados anteriormente</v>
      </c>
      <c r="K346" t="s">
        <v>2461</v>
      </c>
      <c r="L346">
        <f>IFERROR(VLOOKUP($K346,Base_Atividades!$E$1:$N$2398,MATCH(BancoAjustado!L$1,Base_Atividades!$E$1:$N$1,0),FALSE),0)</f>
        <v>1</v>
      </c>
      <c r="M346">
        <f>IFERROR(VLOOKUP($K346,Base_Atividades!$E$1:$N$2398,MATCH(BancoAjustado!M$1,Base_Atividades!$E$1:$N$1,0),FALSE),0)</f>
        <v>0</v>
      </c>
      <c r="N346">
        <f>IFERROR(VLOOKUP($K346,Base_Atividades!$E$1:$N$2398,MATCH(BancoAjustado!N$1,Base_Atividades!$E$1:$N$1,0),FALSE),0)</f>
        <v>0</v>
      </c>
    </row>
    <row r="347" spans="1:14" x14ac:dyDescent="0.25">
      <c r="A347" t="s">
        <v>2111</v>
      </c>
      <c r="B347">
        <v>21</v>
      </c>
      <c r="C347" t="s">
        <v>2462</v>
      </c>
      <c r="D347" t="s">
        <v>2463</v>
      </c>
      <c r="E347" t="s">
        <v>2464</v>
      </c>
      <c r="F347" t="str">
        <f>VLOOKUP(A347,Base!$A:$F,6,FALSE)</f>
        <v>INDÚSTRIAS DE TRANSFORMAÇÃO</v>
      </c>
      <c r="G347" t="str">
        <f>VLOOKUP(B347,Base!$B:$F,5,FALSE)</f>
        <v>FABRICAÇÃO DE PRODUTOS FARMOQUÍMICOS E FARMACÊUTICOS</v>
      </c>
      <c r="H347" t="str">
        <f>VLOOKUP(C347,Base!$C:$F,4,FALSE)</f>
        <v>Fabricação de produtos farmoquímicos</v>
      </c>
      <c r="I347" t="str">
        <f>VLOOKUP(D347,Base!$D:$F,3,FALSE)</f>
        <v>Fabricação de produtos farmoquímicos</v>
      </c>
      <c r="J347" t="str">
        <f>VLOOKUP(E347,Base!$E:$F,2,FALSE)</f>
        <v>Fabricação de produtos farmoquímicos</v>
      </c>
      <c r="K347" t="s">
        <v>2464</v>
      </c>
      <c r="L347">
        <f>IFERROR(VLOOKUP($K347,Base_Atividades!$E$1:$N$2398,MATCH(BancoAjustado!L$1,Base_Atividades!$E$1:$N$1,0),FALSE),0)</f>
        <v>1</v>
      </c>
      <c r="M347">
        <f>IFERROR(VLOOKUP($K347,Base_Atividades!$E$1:$N$2398,MATCH(BancoAjustado!M$1,Base_Atividades!$E$1:$N$1,0),FALSE),0)</f>
        <v>0</v>
      </c>
      <c r="N347">
        <f>IFERROR(VLOOKUP($K347,Base_Atividades!$E$1:$N$2398,MATCH(BancoAjustado!N$1,Base_Atividades!$E$1:$N$1,0),FALSE),0)</f>
        <v>0</v>
      </c>
    </row>
    <row r="348" spans="1:14" x14ac:dyDescent="0.25">
      <c r="A348" t="s">
        <v>2111</v>
      </c>
      <c r="B348">
        <v>21</v>
      </c>
      <c r="C348" t="s">
        <v>2465</v>
      </c>
      <c r="D348" t="s">
        <v>2466</v>
      </c>
      <c r="E348" t="s">
        <v>2467</v>
      </c>
      <c r="F348" t="str">
        <f>VLOOKUP(A348,Base!$A:$F,6,FALSE)</f>
        <v>INDÚSTRIAS DE TRANSFORMAÇÃO</v>
      </c>
      <c r="G348" t="str">
        <f>VLOOKUP(B348,Base!$B:$F,5,FALSE)</f>
        <v>FABRICAÇÃO DE PRODUTOS FARMOQUÍMICOS E FARMACÊUTICOS</v>
      </c>
      <c r="H348" t="str">
        <f>VLOOKUP(C348,Base!$C:$F,4,FALSE)</f>
        <v>Fabricação de produtos farmacêuticos</v>
      </c>
      <c r="I348" t="str">
        <f>VLOOKUP(D348,Base!$D:$F,3,FALSE)</f>
        <v>Fabricação de medicamentos para uso humano</v>
      </c>
      <c r="J348" t="str">
        <f>VLOOKUP(E348,Base!$E:$F,2,FALSE)</f>
        <v>Fabricação de medicamentos alopáticos para uso humano</v>
      </c>
      <c r="K348" t="s">
        <v>2467</v>
      </c>
      <c r="L348">
        <f>IFERROR(VLOOKUP($K348,Base_Atividades!$E$1:$N$2398,MATCH(BancoAjustado!L$1,Base_Atividades!$E$1:$N$1,0),FALSE),0)</f>
        <v>1</v>
      </c>
      <c r="M348">
        <f>IFERROR(VLOOKUP($K348,Base_Atividades!$E$1:$N$2398,MATCH(BancoAjustado!M$1,Base_Atividades!$E$1:$N$1,0),FALSE),0)</f>
        <v>0</v>
      </c>
      <c r="N348">
        <f>IFERROR(VLOOKUP($K348,Base_Atividades!$E$1:$N$2398,MATCH(BancoAjustado!N$1,Base_Atividades!$E$1:$N$1,0),FALSE),0)</f>
        <v>0</v>
      </c>
    </row>
    <row r="349" spans="1:14" x14ac:dyDescent="0.25">
      <c r="A349" t="s">
        <v>2111</v>
      </c>
      <c r="B349">
        <v>21</v>
      </c>
      <c r="C349" t="s">
        <v>2465</v>
      </c>
      <c r="D349" t="s">
        <v>2466</v>
      </c>
      <c r="E349" t="s">
        <v>2468</v>
      </c>
      <c r="F349" t="str">
        <f>VLOOKUP(A349,Base!$A:$F,6,FALSE)</f>
        <v>INDÚSTRIAS DE TRANSFORMAÇÃO</v>
      </c>
      <c r="G349" t="str">
        <f>VLOOKUP(B349,Base!$B:$F,5,FALSE)</f>
        <v>FABRICAÇÃO DE PRODUTOS FARMOQUÍMICOS E FARMACÊUTICOS</v>
      </c>
      <c r="H349" t="str">
        <f>VLOOKUP(C349,Base!$C:$F,4,FALSE)</f>
        <v>Fabricação de produtos farmacêuticos</v>
      </c>
      <c r="I349" t="str">
        <f>VLOOKUP(D349,Base!$D:$F,3,FALSE)</f>
        <v>Fabricação de medicamentos para uso humano</v>
      </c>
      <c r="J349" t="str">
        <f>VLOOKUP(E349,Base!$E:$F,2,FALSE)</f>
        <v>Fabricação de medicamentos homeopáticos para uso humano</v>
      </c>
      <c r="K349" t="s">
        <v>2468</v>
      </c>
      <c r="L349">
        <f>IFERROR(VLOOKUP($K349,Base_Atividades!$E$1:$N$2398,MATCH(BancoAjustado!L$1,Base_Atividades!$E$1:$N$1,0),FALSE),0)</f>
        <v>1</v>
      </c>
      <c r="M349">
        <f>IFERROR(VLOOKUP($K349,Base_Atividades!$E$1:$N$2398,MATCH(BancoAjustado!M$1,Base_Atividades!$E$1:$N$1,0),FALSE),0)</f>
        <v>0</v>
      </c>
      <c r="N349">
        <f>IFERROR(VLOOKUP($K349,Base_Atividades!$E$1:$N$2398,MATCH(BancoAjustado!N$1,Base_Atividades!$E$1:$N$1,0),FALSE),0)</f>
        <v>0</v>
      </c>
    </row>
    <row r="350" spans="1:14" x14ac:dyDescent="0.25">
      <c r="A350" t="s">
        <v>2111</v>
      </c>
      <c r="B350">
        <v>21</v>
      </c>
      <c r="C350" t="s">
        <v>2465</v>
      </c>
      <c r="D350" t="s">
        <v>2466</v>
      </c>
      <c r="E350" t="s">
        <v>2469</v>
      </c>
      <c r="F350" t="str">
        <f>VLOOKUP(A350,Base!$A:$F,6,FALSE)</f>
        <v>INDÚSTRIAS DE TRANSFORMAÇÃO</v>
      </c>
      <c r="G350" t="str">
        <f>VLOOKUP(B350,Base!$B:$F,5,FALSE)</f>
        <v>FABRICAÇÃO DE PRODUTOS FARMOQUÍMICOS E FARMACÊUTICOS</v>
      </c>
      <c r="H350" t="str">
        <f>VLOOKUP(C350,Base!$C:$F,4,FALSE)</f>
        <v>Fabricação de produtos farmacêuticos</v>
      </c>
      <c r="I350" t="str">
        <f>VLOOKUP(D350,Base!$D:$F,3,FALSE)</f>
        <v>Fabricação de medicamentos para uso humano</v>
      </c>
      <c r="J350" t="str">
        <f>VLOOKUP(E350,Base!$E:$F,2,FALSE)</f>
        <v>Fabricação de medicamentos fitoterápicos para uso humano</v>
      </c>
      <c r="K350" t="s">
        <v>2469</v>
      </c>
      <c r="L350">
        <f>IFERROR(VLOOKUP($K350,Base_Atividades!$E$1:$N$2398,MATCH(BancoAjustado!L$1,Base_Atividades!$E$1:$N$1,0),FALSE),0)</f>
        <v>1</v>
      </c>
      <c r="M350">
        <f>IFERROR(VLOOKUP($K350,Base_Atividades!$E$1:$N$2398,MATCH(BancoAjustado!M$1,Base_Atividades!$E$1:$N$1,0),FALSE),0)</f>
        <v>0</v>
      </c>
      <c r="N350">
        <f>IFERROR(VLOOKUP($K350,Base_Atividades!$E$1:$N$2398,MATCH(BancoAjustado!N$1,Base_Atividades!$E$1:$N$1,0),FALSE),0)</f>
        <v>0</v>
      </c>
    </row>
    <row r="351" spans="1:14" x14ac:dyDescent="0.25">
      <c r="A351" t="s">
        <v>2111</v>
      </c>
      <c r="B351">
        <v>21</v>
      </c>
      <c r="C351" t="s">
        <v>2465</v>
      </c>
      <c r="D351" t="s">
        <v>2470</v>
      </c>
      <c r="E351" t="s">
        <v>2471</v>
      </c>
      <c r="F351" t="str">
        <f>VLOOKUP(A351,Base!$A:$F,6,FALSE)</f>
        <v>INDÚSTRIAS DE TRANSFORMAÇÃO</v>
      </c>
      <c r="G351" t="str">
        <f>VLOOKUP(B351,Base!$B:$F,5,FALSE)</f>
        <v>FABRICAÇÃO DE PRODUTOS FARMOQUÍMICOS E FARMACÊUTICOS</v>
      </c>
      <c r="H351" t="str">
        <f>VLOOKUP(C351,Base!$C:$F,4,FALSE)</f>
        <v>Fabricação de produtos farmacêuticos</v>
      </c>
      <c r="I351" t="str">
        <f>VLOOKUP(D351,Base!$D:$F,3,FALSE)</f>
        <v>Fabricação de medicamentos para uso veterinário</v>
      </c>
      <c r="J351" t="str">
        <f>VLOOKUP(E351,Base!$E:$F,2,FALSE)</f>
        <v>Fabricação de medicamentos para uso veterinário</v>
      </c>
      <c r="K351" t="s">
        <v>2471</v>
      </c>
      <c r="L351">
        <f>IFERROR(VLOOKUP($K351,Base_Atividades!$E$1:$N$2398,MATCH(BancoAjustado!L$1,Base_Atividades!$E$1:$N$1,0),FALSE),0)</f>
        <v>1</v>
      </c>
      <c r="M351">
        <f>IFERROR(VLOOKUP($K351,Base_Atividades!$E$1:$N$2398,MATCH(BancoAjustado!M$1,Base_Atividades!$E$1:$N$1,0),FALSE),0)</f>
        <v>0</v>
      </c>
      <c r="N351">
        <f>IFERROR(VLOOKUP($K351,Base_Atividades!$E$1:$N$2398,MATCH(BancoAjustado!N$1,Base_Atividades!$E$1:$N$1,0),FALSE),0)</f>
        <v>0</v>
      </c>
    </row>
    <row r="352" spans="1:14" x14ac:dyDescent="0.25">
      <c r="A352" t="s">
        <v>2111</v>
      </c>
      <c r="B352">
        <v>21</v>
      </c>
      <c r="C352" t="s">
        <v>2465</v>
      </c>
      <c r="D352" t="s">
        <v>2472</v>
      </c>
      <c r="E352" t="s">
        <v>2473</v>
      </c>
      <c r="F352" t="str">
        <f>VLOOKUP(A352,Base!$A:$F,6,FALSE)</f>
        <v>INDÚSTRIAS DE TRANSFORMAÇÃO</v>
      </c>
      <c r="G352" t="str">
        <f>VLOOKUP(B352,Base!$B:$F,5,FALSE)</f>
        <v>FABRICAÇÃO DE PRODUTOS FARMOQUÍMICOS E FARMACÊUTICOS</v>
      </c>
      <c r="H352" t="str">
        <f>VLOOKUP(C352,Base!$C:$F,4,FALSE)</f>
        <v>Fabricação de produtos farmacêuticos</v>
      </c>
      <c r="I352" t="str">
        <f>VLOOKUP(D352,Base!$D:$F,3,FALSE)</f>
        <v>Fabricação de preparações farmacêuticas</v>
      </c>
      <c r="J352" t="str">
        <f>VLOOKUP(E352,Base!$E:$F,2,FALSE)</f>
        <v>Fabricação de preparações farmacêuticas</v>
      </c>
      <c r="K352" t="s">
        <v>2473</v>
      </c>
      <c r="L352">
        <f>IFERROR(VLOOKUP($K352,Base_Atividades!$E$1:$N$2398,MATCH(BancoAjustado!L$1,Base_Atividades!$E$1:$N$1,0),FALSE),0)</f>
        <v>1</v>
      </c>
      <c r="M352">
        <f>IFERROR(VLOOKUP($K352,Base_Atividades!$E$1:$N$2398,MATCH(BancoAjustado!M$1,Base_Atividades!$E$1:$N$1,0),FALSE),0)</f>
        <v>0</v>
      </c>
      <c r="N352">
        <f>IFERROR(VLOOKUP($K352,Base_Atividades!$E$1:$N$2398,MATCH(BancoAjustado!N$1,Base_Atividades!$E$1:$N$1,0),FALSE),0)</f>
        <v>0</v>
      </c>
    </row>
    <row r="353" spans="1:14" x14ac:dyDescent="0.25">
      <c r="A353" t="s">
        <v>2111</v>
      </c>
      <c r="B353" t="s">
        <v>2474</v>
      </c>
      <c r="C353" t="s">
        <v>2475</v>
      </c>
      <c r="D353" t="s">
        <v>2476</v>
      </c>
      <c r="E353" t="s">
        <v>2477</v>
      </c>
      <c r="F353" t="str">
        <f>VLOOKUP(A353,Base!$A:$F,6,FALSE)</f>
        <v>INDÚSTRIAS DE TRANSFORMAÇÃO</v>
      </c>
      <c r="G353" t="str">
        <f>VLOOKUP(B353,Base!$B:$F,5,FALSE)</f>
        <v>FABRICAÇÃO DE PRODUTOS DE BORRACHA E DE MATERIAL PLÁSTICO</v>
      </c>
      <c r="H353" t="str">
        <f>VLOOKUP(C353,Base!$C:$F,4,FALSE)</f>
        <v>Fabricação de produtos de borracha</v>
      </c>
      <c r="I353" t="str">
        <f>VLOOKUP(D353,Base!$D:$F,3,FALSE)</f>
        <v>Fabricação de pneumáticos e de câmaras-de-ar</v>
      </c>
      <c r="J353" t="str">
        <f>VLOOKUP(E353,Base!$E:$F,2,FALSE)</f>
        <v>Fabricação de pneumáticos e de câmaras-de-ar</v>
      </c>
      <c r="K353" t="s">
        <v>2477</v>
      </c>
      <c r="L353">
        <f>IFERROR(VLOOKUP($K353,Base_Atividades!$E$1:$N$2398,MATCH(BancoAjustado!L$1,Base_Atividades!$E$1:$N$1,0),FALSE),0)</f>
        <v>1</v>
      </c>
      <c r="M353">
        <f>IFERROR(VLOOKUP($K353,Base_Atividades!$E$1:$N$2398,MATCH(BancoAjustado!M$1,Base_Atividades!$E$1:$N$1,0),FALSE),0)</f>
        <v>0</v>
      </c>
      <c r="N353">
        <f>IFERROR(VLOOKUP($K353,Base_Atividades!$E$1:$N$2398,MATCH(BancoAjustado!N$1,Base_Atividades!$E$1:$N$1,0),FALSE),0)</f>
        <v>0</v>
      </c>
    </row>
    <row r="354" spans="1:14" x14ac:dyDescent="0.25">
      <c r="A354" t="s">
        <v>2111</v>
      </c>
      <c r="B354" t="s">
        <v>2474</v>
      </c>
      <c r="C354" t="s">
        <v>2475</v>
      </c>
      <c r="D354" t="s">
        <v>2478</v>
      </c>
      <c r="E354" t="s">
        <v>2479</v>
      </c>
      <c r="F354" t="str">
        <f>VLOOKUP(A354,Base!$A:$F,6,FALSE)</f>
        <v>INDÚSTRIAS DE TRANSFORMAÇÃO</v>
      </c>
      <c r="G354" t="str">
        <f>VLOOKUP(B354,Base!$B:$F,5,FALSE)</f>
        <v>FABRICAÇÃO DE PRODUTOS DE BORRACHA E DE MATERIAL PLÁSTICO</v>
      </c>
      <c r="H354" t="str">
        <f>VLOOKUP(C354,Base!$C:$F,4,FALSE)</f>
        <v>Fabricação de produtos de borracha</v>
      </c>
      <c r="I354" t="str">
        <f>VLOOKUP(D354,Base!$D:$F,3,FALSE)</f>
        <v>Reforma de pneumáticos usados</v>
      </c>
      <c r="J354" t="str">
        <f>VLOOKUP(E354,Base!$E:$F,2,FALSE)</f>
        <v>Reforma de pneumáticos usados</v>
      </c>
      <c r="K354" t="s">
        <v>2479</v>
      </c>
      <c r="L354">
        <f>IFERROR(VLOOKUP($K354,Base_Atividades!$E$1:$N$2398,MATCH(BancoAjustado!L$1,Base_Atividades!$E$1:$N$1,0),FALSE),0)</f>
        <v>1</v>
      </c>
      <c r="M354">
        <f>IFERROR(VLOOKUP($K354,Base_Atividades!$E$1:$N$2398,MATCH(BancoAjustado!M$1,Base_Atividades!$E$1:$N$1,0),FALSE),0)</f>
        <v>0</v>
      </c>
      <c r="N354">
        <f>IFERROR(VLOOKUP($K354,Base_Atividades!$E$1:$N$2398,MATCH(BancoAjustado!N$1,Base_Atividades!$E$1:$N$1,0),FALSE),0)</f>
        <v>0</v>
      </c>
    </row>
    <row r="355" spans="1:14" x14ac:dyDescent="0.25">
      <c r="A355" t="s">
        <v>2111</v>
      </c>
      <c r="B355" t="s">
        <v>2474</v>
      </c>
      <c r="C355" t="s">
        <v>2475</v>
      </c>
      <c r="D355" t="s">
        <v>2480</v>
      </c>
      <c r="E355" t="s">
        <v>2481</v>
      </c>
      <c r="F355" t="str">
        <f>VLOOKUP(A355,Base!$A:$F,6,FALSE)</f>
        <v>INDÚSTRIAS DE TRANSFORMAÇÃO</v>
      </c>
      <c r="G355" t="str">
        <f>VLOOKUP(B355,Base!$B:$F,5,FALSE)</f>
        <v>FABRICAÇÃO DE PRODUTOS DE BORRACHA E DE MATERIAL PLÁSTICO</v>
      </c>
      <c r="H355" t="str">
        <f>VLOOKUP(C355,Base!$C:$F,4,FALSE)</f>
        <v>Fabricação de produtos de borracha</v>
      </c>
      <c r="I355" t="str">
        <f>VLOOKUP(D355,Base!$D:$F,3,FALSE)</f>
        <v>Fabricação de artefatos de borracha não especificados anteriormente</v>
      </c>
      <c r="J355" t="str">
        <f>VLOOKUP(E355,Base!$E:$F,2,FALSE)</f>
        <v>Fabricação de artefatos de borracha não especificados 
anteriormente</v>
      </c>
      <c r="K355" t="s">
        <v>2481</v>
      </c>
      <c r="L355">
        <f>IFERROR(VLOOKUP($K355,Base_Atividades!$E$1:$N$2398,MATCH(BancoAjustado!L$1,Base_Atividades!$E$1:$N$1,0),FALSE),0)</f>
        <v>1</v>
      </c>
      <c r="M355">
        <f>IFERROR(VLOOKUP($K355,Base_Atividades!$E$1:$N$2398,MATCH(BancoAjustado!M$1,Base_Atividades!$E$1:$N$1,0),FALSE),0)</f>
        <v>0</v>
      </c>
      <c r="N355">
        <f>IFERROR(VLOOKUP($K355,Base_Atividades!$E$1:$N$2398,MATCH(BancoAjustado!N$1,Base_Atividades!$E$1:$N$1,0),FALSE),0)</f>
        <v>0</v>
      </c>
    </row>
    <row r="356" spans="1:14" x14ac:dyDescent="0.25">
      <c r="A356" t="s">
        <v>2111</v>
      </c>
      <c r="B356" t="s">
        <v>2474</v>
      </c>
      <c r="C356" t="s">
        <v>2482</v>
      </c>
      <c r="D356" t="s">
        <v>2483</v>
      </c>
      <c r="E356" t="s">
        <v>2484</v>
      </c>
      <c r="F356" t="str">
        <f>VLOOKUP(A356,Base!$A:$F,6,FALSE)</f>
        <v>INDÚSTRIAS DE TRANSFORMAÇÃO</v>
      </c>
      <c r="G356" t="str">
        <f>VLOOKUP(B356,Base!$B:$F,5,FALSE)</f>
        <v>FABRICAÇÃO DE PRODUTOS DE BORRACHA E DE MATERIAL PLÁSTICO</v>
      </c>
      <c r="H356" t="str">
        <f>VLOOKUP(C356,Base!$C:$F,4,FALSE)</f>
        <v>Fabricação de produtos de material plástico</v>
      </c>
      <c r="I356" t="str">
        <f>VLOOKUP(D356,Base!$D:$F,3,FALSE)</f>
        <v>Fabricação de laminados planos e tubulares de material plástico</v>
      </c>
      <c r="J356" t="str">
        <f>VLOOKUP(E356,Base!$E:$F,2,FALSE)</f>
        <v>Fabricação de laminados planos e tubulares de material plástico</v>
      </c>
      <c r="K356" t="s">
        <v>2484</v>
      </c>
      <c r="L356">
        <f>IFERROR(VLOOKUP($K356,Base_Atividades!$E$1:$N$2398,MATCH(BancoAjustado!L$1,Base_Atividades!$E$1:$N$1,0),FALSE),0)</f>
        <v>1</v>
      </c>
      <c r="M356">
        <f>IFERROR(VLOOKUP($K356,Base_Atividades!$E$1:$N$2398,MATCH(BancoAjustado!M$1,Base_Atividades!$E$1:$N$1,0),FALSE),0)</f>
        <v>0</v>
      </c>
      <c r="N356">
        <f>IFERROR(VLOOKUP($K356,Base_Atividades!$E$1:$N$2398,MATCH(BancoAjustado!N$1,Base_Atividades!$E$1:$N$1,0),FALSE),0)</f>
        <v>0</v>
      </c>
    </row>
    <row r="357" spans="1:14" x14ac:dyDescent="0.25">
      <c r="A357" t="s">
        <v>2111</v>
      </c>
      <c r="B357" t="s">
        <v>2474</v>
      </c>
      <c r="C357" t="s">
        <v>2482</v>
      </c>
      <c r="D357" t="s">
        <v>2485</v>
      </c>
      <c r="E357" t="s">
        <v>2486</v>
      </c>
      <c r="F357" t="str">
        <f>VLOOKUP(A357,Base!$A:$F,6,FALSE)</f>
        <v>INDÚSTRIAS DE TRANSFORMAÇÃO</v>
      </c>
      <c r="G357" t="str">
        <f>VLOOKUP(B357,Base!$B:$F,5,FALSE)</f>
        <v>FABRICAÇÃO DE PRODUTOS DE BORRACHA E DE MATERIAL PLÁSTICO</v>
      </c>
      <c r="H357" t="str">
        <f>VLOOKUP(C357,Base!$C:$F,4,FALSE)</f>
        <v>Fabricação de produtos de material plástico</v>
      </c>
      <c r="I357" t="str">
        <f>VLOOKUP(D357,Base!$D:$F,3,FALSE)</f>
        <v>Fabricação de embalagens de material plástico</v>
      </c>
      <c r="J357" t="str">
        <f>VLOOKUP(E357,Base!$E:$F,2,FALSE)</f>
        <v>Fabricação de embalagens de material plástico</v>
      </c>
      <c r="K357" t="s">
        <v>2486</v>
      </c>
      <c r="L357">
        <f>IFERROR(VLOOKUP($K357,Base_Atividades!$E$1:$N$2398,MATCH(BancoAjustado!L$1,Base_Atividades!$E$1:$N$1,0),FALSE),0)</f>
        <v>1</v>
      </c>
      <c r="M357">
        <f>IFERROR(VLOOKUP($K357,Base_Atividades!$E$1:$N$2398,MATCH(BancoAjustado!M$1,Base_Atividades!$E$1:$N$1,0),FALSE),0)</f>
        <v>0</v>
      </c>
      <c r="N357">
        <f>IFERROR(VLOOKUP($K357,Base_Atividades!$E$1:$N$2398,MATCH(BancoAjustado!N$1,Base_Atividades!$E$1:$N$1,0),FALSE),0)</f>
        <v>0</v>
      </c>
    </row>
    <row r="358" spans="1:14" x14ac:dyDescent="0.25">
      <c r="A358" t="s">
        <v>2111</v>
      </c>
      <c r="B358" t="s">
        <v>2474</v>
      </c>
      <c r="C358" t="s">
        <v>2482</v>
      </c>
      <c r="D358" t="s">
        <v>2487</v>
      </c>
      <c r="E358" t="s">
        <v>2488</v>
      </c>
      <c r="F358" t="str">
        <f>VLOOKUP(A358,Base!$A:$F,6,FALSE)</f>
        <v>INDÚSTRIAS DE TRANSFORMAÇÃO</v>
      </c>
      <c r="G358" t="str">
        <f>VLOOKUP(B358,Base!$B:$F,5,FALSE)</f>
        <v>FABRICAÇÃO DE PRODUTOS DE BORRACHA E DE MATERIAL PLÁSTICO</v>
      </c>
      <c r="H358" t="str">
        <f>VLOOKUP(C358,Base!$C:$F,4,FALSE)</f>
        <v>Fabricação de produtos de material plástico</v>
      </c>
      <c r="I358" t="str">
        <f>VLOOKUP(D358,Base!$D:$F,3,FALSE)</f>
        <v>Fabricação de tubos e acessórios de material plástico para uso na construção</v>
      </c>
      <c r="J358" t="str">
        <f>VLOOKUP(E358,Base!$E:$F,2,FALSE)</f>
        <v>Fabricação de tubos e acessórios de material plástico para uso na construção</v>
      </c>
      <c r="K358" t="s">
        <v>2488</v>
      </c>
      <c r="L358">
        <f>IFERROR(VLOOKUP($K358,Base_Atividades!$E$1:$N$2398,MATCH(BancoAjustado!L$1,Base_Atividades!$E$1:$N$1,0),FALSE),0)</f>
        <v>1</v>
      </c>
      <c r="M358">
        <f>IFERROR(VLOOKUP($K358,Base_Atividades!$E$1:$N$2398,MATCH(BancoAjustado!M$1,Base_Atividades!$E$1:$N$1,0),FALSE),0)</f>
        <v>0</v>
      </c>
      <c r="N358">
        <f>IFERROR(VLOOKUP($K358,Base_Atividades!$E$1:$N$2398,MATCH(BancoAjustado!N$1,Base_Atividades!$E$1:$N$1,0),FALSE),0)</f>
        <v>0</v>
      </c>
    </row>
    <row r="359" spans="1:14" x14ac:dyDescent="0.25">
      <c r="A359" t="s">
        <v>2111</v>
      </c>
      <c r="B359" t="s">
        <v>2474</v>
      </c>
      <c r="C359" t="s">
        <v>2482</v>
      </c>
      <c r="D359" t="s">
        <v>2489</v>
      </c>
      <c r="E359" t="s">
        <v>2490</v>
      </c>
      <c r="F359" t="str">
        <f>VLOOKUP(A359,Base!$A:$F,6,FALSE)</f>
        <v>INDÚSTRIAS DE TRANSFORMAÇÃO</v>
      </c>
      <c r="G359" t="str">
        <f>VLOOKUP(B359,Base!$B:$F,5,FALSE)</f>
        <v>FABRICAÇÃO DE PRODUTOS DE BORRACHA E DE MATERIAL PLÁSTICO</v>
      </c>
      <c r="H359" t="str">
        <f>VLOOKUP(C359,Base!$C:$F,4,FALSE)</f>
        <v>Fabricação de produtos de material plástico</v>
      </c>
      <c r="I359" t="str">
        <f>VLOOKUP(D359,Base!$D:$F,3,FALSE)</f>
        <v>Fabricação de artefatos de material plástico não especificados anteriormente</v>
      </c>
      <c r="J359" t="str">
        <f>VLOOKUP(E359,Base!$E:$F,2,FALSE)</f>
        <v>Fabricação de artefatos de material plástico para uso pessoal e doméstico</v>
      </c>
      <c r="K359" t="s">
        <v>2490</v>
      </c>
      <c r="L359">
        <f>IFERROR(VLOOKUP($K359,Base_Atividades!$E$1:$N$2398,MATCH(BancoAjustado!L$1,Base_Atividades!$E$1:$N$1,0),FALSE),0)</f>
        <v>1</v>
      </c>
      <c r="M359">
        <f>IFERROR(VLOOKUP($K359,Base_Atividades!$E$1:$N$2398,MATCH(BancoAjustado!M$1,Base_Atividades!$E$1:$N$1,0),FALSE),0)</f>
        <v>0</v>
      </c>
      <c r="N359">
        <f>IFERROR(VLOOKUP($K359,Base_Atividades!$E$1:$N$2398,MATCH(BancoAjustado!N$1,Base_Atividades!$E$1:$N$1,0),FALSE),0)</f>
        <v>0</v>
      </c>
    </row>
    <row r="360" spans="1:14" x14ac:dyDescent="0.25">
      <c r="A360" t="s">
        <v>2111</v>
      </c>
      <c r="B360" t="s">
        <v>2474</v>
      </c>
      <c r="C360" t="s">
        <v>2482</v>
      </c>
      <c r="D360" t="s">
        <v>2489</v>
      </c>
      <c r="E360" t="s">
        <v>2491</v>
      </c>
      <c r="F360" t="str">
        <f>VLOOKUP(A360,Base!$A:$F,6,FALSE)</f>
        <v>INDÚSTRIAS DE TRANSFORMAÇÃO</v>
      </c>
      <c r="G360" t="str">
        <f>VLOOKUP(B360,Base!$B:$F,5,FALSE)</f>
        <v>FABRICAÇÃO DE PRODUTOS DE BORRACHA E DE MATERIAL PLÁSTICO</v>
      </c>
      <c r="H360" t="str">
        <f>VLOOKUP(C360,Base!$C:$F,4,FALSE)</f>
        <v>Fabricação de produtos de material plástico</v>
      </c>
      <c r="I360" t="str">
        <f>VLOOKUP(D360,Base!$D:$F,3,FALSE)</f>
        <v>Fabricação de artefatos de material plástico não especificados anteriormente</v>
      </c>
      <c r="J360" t="str">
        <f>VLOOKUP(E360,Base!$E:$F,2,FALSE)</f>
        <v>Fabricação de artefatos de material plástico para usos industriais</v>
      </c>
      <c r="K360" t="s">
        <v>2491</v>
      </c>
      <c r="L360">
        <f>IFERROR(VLOOKUP($K360,Base_Atividades!$E$1:$N$2398,MATCH(BancoAjustado!L$1,Base_Atividades!$E$1:$N$1,0),FALSE),0)</f>
        <v>1</v>
      </c>
      <c r="M360">
        <f>IFERROR(VLOOKUP($K360,Base_Atividades!$E$1:$N$2398,MATCH(BancoAjustado!M$1,Base_Atividades!$E$1:$N$1,0),FALSE),0)</f>
        <v>0</v>
      </c>
      <c r="N360">
        <f>IFERROR(VLOOKUP($K360,Base_Atividades!$E$1:$N$2398,MATCH(BancoAjustado!N$1,Base_Atividades!$E$1:$N$1,0),FALSE),0)</f>
        <v>0</v>
      </c>
    </row>
    <row r="361" spans="1:14" x14ac:dyDescent="0.25">
      <c r="A361" t="s">
        <v>2111</v>
      </c>
      <c r="B361" t="s">
        <v>2474</v>
      </c>
      <c r="C361" t="s">
        <v>2482</v>
      </c>
      <c r="D361" t="s">
        <v>2489</v>
      </c>
      <c r="E361" t="s">
        <v>2492</v>
      </c>
      <c r="F361" t="str">
        <f>VLOOKUP(A361,Base!$A:$F,6,FALSE)</f>
        <v>INDÚSTRIAS DE TRANSFORMAÇÃO</v>
      </c>
      <c r="G361" t="str">
        <f>VLOOKUP(B361,Base!$B:$F,5,FALSE)</f>
        <v>FABRICAÇÃO DE PRODUTOS DE BORRACHA E DE MATERIAL PLÁSTICO</v>
      </c>
      <c r="H361" t="str">
        <f>VLOOKUP(C361,Base!$C:$F,4,FALSE)</f>
        <v>Fabricação de produtos de material plástico</v>
      </c>
      <c r="I361" t="str">
        <f>VLOOKUP(D361,Base!$D:$F,3,FALSE)</f>
        <v>Fabricação de artefatos de material plástico não especificados anteriormente</v>
      </c>
      <c r="J361" t="str">
        <f>VLOOKUP(E361,Base!$E:$F,2,FALSE)</f>
        <v>Fabricação de artefatos de material plástico para uso na construção, exceto tubos e acessórios</v>
      </c>
      <c r="K361" t="s">
        <v>2492</v>
      </c>
      <c r="L361">
        <f>IFERROR(VLOOKUP($K361,Base_Atividades!$E$1:$N$2398,MATCH(BancoAjustado!L$1,Base_Atividades!$E$1:$N$1,0),FALSE),0)</f>
        <v>1</v>
      </c>
      <c r="M361">
        <f>IFERROR(VLOOKUP($K361,Base_Atividades!$E$1:$N$2398,MATCH(BancoAjustado!M$1,Base_Atividades!$E$1:$N$1,0),FALSE),0)</f>
        <v>0</v>
      </c>
      <c r="N361">
        <f>IFERROR(VLOOKUP($K361,Base_Atividades!$E$1:$N$2398,MATCH(BancoAjustado!N$1,Base_Atividades!$E$1:$N$1,0),FALSE),0)</f>
        <v>0</v>
      </c>
    </row>
    <row r="362" spans="1:14" x14ac:dyDescent="0.25">
      <c r="A362" t="s">
        <v>2111</v>
      </c>
      <c r="B362" t="s">
        <v>2474</v>
      </c>
      <c r="C362" t="s">
        <v>2482</v>
      </c>
      <c r="D362" t="s">
        <v>2489</v>
      </c>
      <c r="E362" t="s">
        <v>2493</v>
      </c>
      <c r="F362" t="str">
        <f>VLOOKUP(A362,Base!$A:$F,6,FALSE)</f>
        <v>INDÚSTRIAS DE TRANSFORMAÇÃO</v>
      </c>
      <c r="G362" t="str">
        <f>VLOOKUP(B362,Base!$B:$F,5,FALSE)</f>
        <v>FABRICAÇÃO DE PRODUTOS DE BORRACHA E DE MATERIAL PLÁSTICO</v>
      </c>
      <c r="H362" t="str">
        <f>VLOOKUP(C362,Base!$C:$F,4,FALSE)</f>
        <v>Fabricação de produtos de material plástico</v>
      </c>
      <c r="I362" t="str">
        <f>VLOOKUP(D362,Base!$D:$F,3,FALSE)</f>
        <v>Fabricação de artefatos de material plástico não especificados anteriormente</v>
      </c>
      <c r="J362" t="str">
        <f>VLOOKUP(E362,Base!$E:$F,2,FALSE)</f>
        <v>Fabricação de artefatos de material plástico para outros usos não especificados anteriormente</v>
      </c>
      <c r="K362" t="s">
        <v>2493</v>
      </c>
      <c r="L362">
        <f>IFERROR(VLOOKUP($K362,Base_Atividades!$E$1:$N$2398,MATCH(BancoAjustado!L$1,Base_Atividades!$E$1:$N$1,0),FALSE),0)</f>
        <v>1</v>
      </c>
      <c r="M362">
        <f>IFERROR(VLOOKUP($K362,Base_Atividades!$E$1:$N$2398,MATCH(BancoAjustado!M$1,Base_Atividades!$E$1:$N$1,0),FALSE),0)</f>
        <v>0</v>
      </c>
      <c r="N362">
        <f>IFERROR(VLOOKUP($K362,Base_Atividades!$E$1:$N$2398,MATCH(BancoAjustado!N$1,Base_Atividades!$E$1:$N$1,0),FALSE),0)</f>
        <v>0</v>
      </c>
    </row>
    <row r="363" spans="1:14" x14ac:dyDescent="0.25">
      <c r="A363" t="s">
        <v>2111</v>
      </c>
      <c r="B363">
        <v>23</v>
      </c>
      <c r="C363" t="s">
        <v>2494</v>
      </c>
      <c r="D363" t="s">
        <v>2495</v>
      </c>
      <c r="E363" t="s">
        <v>2496</v>
      </c>
      <c r="F363" t="str">
        <f>VLOOKUP(A363,Base!$A:$F,6,FALSE)</f>
        <v>INDÚSTRIAS DE TRANSFORMAÇÃO</v>
      </c>
      <c r="G363" t="str">
        <f>VLOOKUP(B363,Base!$B:$F,5,FALSE)</f>
        <v>FABRICAÇÃO DE PRODUTOS DE MINERAIS NÃO METÁLICOS</v>
      </c>
      <c r="H363" t="str">
        <f>VLOOKUP(C363,Base!$C:$F,4,FALSE)</f>
        <v>Fabricação de vidro e de produtos do vidro</v>
      </c>
      <c r="I363" t="str">
        <f>VLOOKUP(D363,Base!$D:$F,3,FALSE)</f>
        <v>Fabricação de vidro plano e de segurança</v>
      </c>
      <c r="J363" t="str">
        <f>VLOOKUP(E363,Base!$E:$F,2,FALSE)</f>
        <v>Fabricação de vidro plano e de segurança</v>
      </c>
      <c r="K363" t="s">
        <v>2496</v>
      </c>
      <c r="L363">
        <f>IFERROR(VLOOKUP($K363,Base_Atividades!$E$1:$N$2398,MATCH(BancoAjustado!L$1,Base_Atividades!$E$1:$N$1,0),FALSE),0)</f>
        <v>0</v>
      </c>
      <c r="M363">
        <f>IFERROR(VLOOKUP($K363,Base_Atividades!$E$1:$N$2398,MATCH(BancoAjustado!M$1,Base_Atividades!$E$1:$N$1,0),FALSE),0)</f>
        <v>0</v>
      </c>
      <c r="N363">
        <f>IFERROR(VLOOKUP($K363,Base_Atividades!$E$1:$N$2398,MATCH(BancoAjustado!N$1,Base_Atividades!$E$1:$N$1,0),FALSE),0)</f>
        <v>0</v>
      </c>
    </row>
    <row r="364" spans="1:14" x14ac:dyDescent="0.25">
      <c r="A364" t="s">
        <v>2111</v>
      </c>
      <c r="B364">
        <v>23</v>
      </c>
      <c r="C364" t="s">
        <v>2494</v>
      </c>
      <c r="D364" t="s">
        <v>2497</v>
      </c>
      <c r="E364" t="s">
        <v>2498</v>
      </c>
      <c r="F364" t="str">
        <f>VLOOKUP(A364,Base!$A:$F,6,FALSE)</f>
        <v>INDÚSTRIAS DE TRANSFORMAÇÃO</v>
      </c>
      <c r="G364" t="str">
        <f>VLOOKUP(B364,Base!$B:$F,5,FALSE)</f>
        <v>FABRICAÇÃO DE PRODUTOS DE MINERAIS NÃO METÁLICOS</v>
      </c>
      <c r="H364" t="str">
        <f>VLOOKUP(C364,Base!$C:$F,4,FALSE)</f>
        <v>Fabricação de vidro e de produtos do vidro</v>
      </c>
      <c r="I364" t="str">
        <f>VLOOKUP(D364,Base!$D:$F,3,FALSE)</f>
        <v>Fabricação de embalagens de vidro</v>
      </c>
      <c r="J364" t="str">
        <f>VLOOKUP(E364,Base!$E:$F,2,FALSE)</f>
        <v>Fabricação de embalagens de vidro</v>
      </c>
      <c r="K364" t="s">
        <v>2498</v>
      </c>
      <c r="L364">
        <f>IFERROR(VLOOKUP($K364,Base_Atividades!$E$1:$N$2398,MATCH(BancoAjustado!L$1,Base_Atividades!$E$1:$N$1,0),FALSE),0)</f>
        <v>0</v>
      </c>
      <c r="M364">
        <f>IFERROR(VLOOKUP($K364,Base_Atividades!$E$1:$N$2398,MATCH(BancoAjustado!M$1,Base_Atividades!$E$1:$N$1,0),FALSE),0)</f>
        <v>0</v>
      </c>
      <c r="N364">
        <f>IFERROR(VLOOKUP($K364,Base_Atividades!$E$1:$N$2398,MATCH(BancoAjustado!N$1,Base_Atividades!$E$1:$N$1,0),FALSE),0)</f>
        <v>0</v>
      </c>
    </row>
    <row r="365" spans="1:14" x14ac:dyDescent="0.25">
      <c r="A365" t="s">
        <v>2111</v>
      </c>
      <c r="B365">
        <v>23</v>
      </c>
      <c r="C365" t="s">
        <v>2494</v>
      </c>
      <c r="D365" t="s">
        <v>2499</v>
      </c>
      <c r="E365" t="s">
        <v>2500</v>
      </c>
      <c r="F365" t="str">
        <f>VLOOKUP(A365,Base!$A:$F,6,FALSE)</f>
        <v>INDÚSTRIAS DE TRANSFORMAÇÃO</v>
      </c>
      <c r="G365" t="str">
        <f>VLOOKUP(B365,Base!$B:$F,5,FALSE)</f>
        <v>FABRICAÇÃO DE PRODUTOS DE MINERAIS NÃO METÁLICOS</v>
      </c>
      <c r="H365" t="str">
        <f>VLOOKUP(C365,Base!$C:$F,4,FALSE)</f>
        <v>Fabricação de vidro e de produtos do vidro</v>
      </c>
      <c r="I365" t="str">
        <f>VLOOKUP(D365,Base!$D:$F,3,FALSE)</f>
        <v>Fabricação de artigos de vidro</v>
      </c>
      <c r="J365" t="str">
        <f>VLOOKUP(E365,Base!$E:$F,2,FALSE)</f>
        <v>Fabricação de artigos de vidro</v>
      </c>
      <c r="K365" t="s">
        <v>2500</v>
      </c>
      <c r="L365">
        <f>IFERROR(VLOOKUP($K365,Base_Atividades!$E$1:$N$2398,MATCH(BancoAjustado!L$1,Base_Atividades!$E$1:$N$1,0),FALSE),0)</f>
        <v>0</v>
      </c>
      <c r="M365">
        <f>IFERROR(VLOOKUP($K365,Base_Atividades!$E$1:$N$2398,MATCH(BancoAjustado!M$1,Base_Atividades!$E$1:$N$1,0),FALSE),0)</f>
        <v>0</v>
      </c>
      <c r="N365">
        <f>IFERROR(VLOOKUP($K365,Base_Atividades!$E$1:$N$2398,MATCH(BancoAjustado!N$1,Base_Atividades!$E$1:$N$1,0),FALSE),0)</f>
        <v>0</v>
      </c>
    </row>
    <row r="366" spans="1:14" x14ac:dyDescent="0.25">
      <c r="A366" t="s">
        <v>2111</v>
      </c>
      <c r="B366">
        <v>23</v>
      </c>
      <c r="C366" t="s">
        <v>2501</v>
      </c>
      <c r="D366" t="s">
        <v>2502</v>
      </c>
      <c r="E366" t="s">
        <v>2503</v>
      </c>
      <c r="F366" t="str">
        <f>VLOOKUP(A366,Base!$A:$F,6,FALSE)</f>
        <v>INDÚSTRIAS DE TRANSFORMAÇÃO</v>
      </c>
      <c r="G366" t="str">
        <f>VLOOKUP(B366,Base!$B:$F,5,FALSE)</f>
        <v>FABRICAÇÃO DE PRODUTOS DE MINERAIS NÃO METÁLICOS</v>
      </c>
      <c r="H366" t="str">
        <f>VLOOKUP(C366,Base!$C:$F,4,FALSE)</f>
        <v>Fabricação de cimento</v>
      </c>
      <c r="I366" t="str">
        <f>VLOOKUP(D366,Base!$D:$F,3,FALSE)</f>
        <v>Fabricação de cimento</v>
      </c>
      <c r="J366" t="str">
        <f>VLOOKUP(E366,Base!$E:$F,2,FALSE)</f>
        <v>Fabricação de cimento</v>
      </c>
      <c r="K366" t="s">
        <v>2503</v>
      </c>
      <c r="L366">
        <f>IFERROR(VLOOKUP($K366,Base_Atividades!$E$1:$N$2398,MATCH(BancoAjustado!L$1,Base_Atividades!$E$1:$N$1,0),FALSE),0)</f>
        <v>0</v>
      </c>
      <c r="M366">
        <f>IFERROR(VLOOKUP($K366,Base_Atividades!$E$1:$N$2398,MATCH(BancoAjustado!M$1,Base_Atividades!$E$1:$N$1,0),FALSE),0)</f>
        <v>0</v>
      </c>
      <c r="N366">
        <f>IFERROR(VLOOKUP($K366,Base_Atividades!$E$1:$N$2398,MATCH(BancoAjustado!N$1,Base_Atividades!$E$1:$N$1,0),FALSE),0)</f>
        <v>0</v>
      </c>
    </row>
    <row r="367" spans="1:14" x14ac:dyDescent="0.25">
      <c r="A367" t="s">
        <v>2111</v>
      </c>
      <c r="B367">
        <v>23</v>
      </c>
      <c r="C367" t="s">
        <v>2504</v>
      </c>
      <c r="D367" t="s">
        <v>2505</v>
      </c>
      <c r="E367" t="s">
        <v>2506</v>
      </c>
      <c r="F367" t="str">
        <f>VLOOKUP(A367,Base!$A:$F,6,FALSE)</f>
        <v>INDÚSTRIAS DE TRANSFORMAÇÃO</v>
      </c>
      <c r="G367" t="str">
        <f>VLOOKUP(B367,Base!$B:$F,5,FALSE)</f>
        <v>FABRICAÇÃO DE PRODUTOS DE MINERAIS NÃO METÁLICOS</v>
      </c>
      <c r="H367" t="str">
        <f>VLOOKUP(C367,Base!$C:$F,4,FALSE)</f>
        <v>Fabricação de artefatos de concreto, cimento, fibrocimento, gesso e materiais semelhantes</v>
      </c>
      <c r="I367" t="str">
        <f>VLOOKUP(D367,Base!$D:$F,3,FALSE)</f>
        <v>Fabricação de artefatos de concreto, cimento, fibrocimento, gesso e materiais semelhantes</v>
      </c>
      <c r="J367" t="str">
        <f>VLOOKUP(E367,Base!$E:$F,2,FALSE)</f>
        <v>Fabricação de estruturas pré-moldadas de concreto armado, em série e sob encomenda</v>
      </c>
      <c r="K367" t="s">
        <v>2506</v>
      </c>
      <c r="L367">
        <f>IFERROR(VLOOKUP($K367,Base_Atividades!$E$1:$N$2398,MATCH(BancoAjustado!L$1,Base_Atividades!$E$1:$N$1,0),FALSE),0)</f>
        <v>0</v>
      </c>
      <c r="M367">
        <f>IFERROR(VLOOKUP($K367,Base_Atividades!$E$1:$N$2398,MATCH(BancoAjustado!M$1,Base_Atividades!$E$1:$N$1,0),FALSE),0)</f>
        <v>0</v>
      </c>
      <c r="N367">
        <f>IFERROR(VLOOKUP($K367,Base_Atividades!$E$1:$N$2398,MATCH(BancoAjustado!N$1,Base_Atividades!$E$1:$N$1,0),FALSE),0)</f>
        <v>0</v>
      </c>
    </row>
    <row r="368" spans="1:14" x14ac:dyDescent="0.25">
      <c r="A368" t="s">
        <v>2111</v>
      </c>
      <c r="B368">
        <v>23</v>
      </c>
      <c r="C368" t="s">
        <v>2504</v>
      </c>
      <c r="D368" t="s">
        <v>2505</v>
      </c>
      <c r="E368" t="s">
        <v>2507</v>
      </c>
      <c r="F368" t="str">
        <f>VLOOKUP(A368,Base!$A:$F,6,FALSE)</f>
        <v>INDÚSTRIAS DE TRANSFORMAÇÃO</v>
      </c>
      <c r="G368" t="str">
        <f>VLOOKUP(B368,Base!$B:$F,5,FALSE)</f>
        <v>FABRICAÇÃO DE PRODUTOS DE MINERAIS NÃO METÁLICOS</v>
      </c>
      <c r="H368" t="str">
        <f>VLOOKUP(C368,Base!$C:$F,4,FALSE)</f>
        <v>Fabricação de artefatos de concreto, cimento, fibrocimento, gesso e materiais semelhantes</v>
      </c>
      <c r="I368" t="str">
        <f>VLOOKUP(D368,Base!$D:$F,3,FALSE)</f>
        <v>Fabricação de artefatos de concreto, cimento, fibrocimento, gesso e materiais semelhantes</v>
      </c>
      <c r="J368" t="str">
        <f>VLOOKUP(E368,Base!$E:$F,2,FALSE)</f>
        <v>Fabricação de artefatos de cimento para uso na construção</v>
      </c>
      <c r="K368" t="s">
        <v>2507</v>
      </c>
      <c r="L368">
        <f>IFERROR(VLOOKUP($K368,Base_Atividades!$E$1:$N$2398,MATCH(BancoAjustado!L$1,Base_Atividades!$E$1:$N$1,0),FALSE),0)</f>
        <v>0</v>
      </c>
      <c r="M368">
        <f>IFERROR(VLOOKUP($K368,Base_Atividades!$E$1:$N$2398,MATCH(BancoAjustado!M$1,Base_Atividades!$E$1:$N$1,0),FALSE),0)</f>
        <v>0</v>
      </c>
      <c r="N368">
        <f>IFERROR(VLOOKUP($K368,Base_Atividades!$E$1:$N$2398,MATCH(BancoAjustado!N$1,Base_Atividades!$E$1:$N$1,0),FALSE),0)</f>
        <v>0</v>
      </c>
    </row>
    <row r="369" spans="1:14" x14ac:dyDescent="0.25">
      <c r="A369" t="s">
        <v>2111</v>
      </c>
      <c r="B369">
        <v>23</v>
      </c>
      <c r="C369" t="s">
        <v>2504</v>
      </c>
      <c r="D369" t="s">
        <v>2505</v>
      </c>
      <c r="E369" t="s">
        <v>2508</v>
      </c>
      <c r="F369" t="str">
        <f>VLOOKUP(A369,Base!$A:$F,6,FALSE)</f>
        <v>INDÚSTRIAS DE TRANSFORMAÇÃO</v>
      </c>
      <c r="G369" t="str">
        <f>VLOOKUP(B369,Base!$B:$F,5,FALSE)</f>
        <v>FABRICAÇÃO DE PRODUTOS DE MINERAIS NÃO METÁLICOS</v>
      </c>
      <c r="H369" t="str">
        <f>VLOOKUP(C369,Base!$C:$F,4,FALSE)</f>
        <v>Fabricação de artefatos de concreto, cimento, fibrocimento, gesso e materiais semelhantes</v>
      </c>
      <c r="I369" t="str">
        <f>VLOOKUP(D369,Base!$D:$F,3,FALSE)</f>
        <v>Fabricação de artefatos de concreto, cimento, fibrocimento, gesso e materiais semelhantes</v>
      </c>
      <c r="J369" t="str">
        <f>VLOOKUP(E369,Base!$E:$F,2,FALSE)</f>
        <v>Fabricação de artefatos de fibrocimento para uso na construção</v>
      </c>
      <c r="K369" t="s">
        <v>2508</v>
      </c>
      <c r="L369">
        <f>IFERROR(VLOOKUP($K369,Base_Atividades!$E$1:$N$2398,MATCH(BancoAjustado!L$1,Base_Atividades!$E$1:$N$1,0),FALSE),0)</f>
        <v>0</v>
      </c>
      <c r="M369">
        <f>IFERROR(VLOOKUP($K369,Base_Atividades!$E$1:$N$2398,MATCH(BancoAjustado!M$1,Base_Atividades!$E$1:$N$1,0),FALSE),0)</f>
        <v>0</v>
      </c>
      <c r="N369">
        <f>IFERROR(VLOOKUP($K369,Base_Atividades!$E$1:$N$2398,MATCH(BancoAjustado!N$1,Base_Atividades!$E$1:$N$1,0),FALSE),0)</f>
        <v>0</v>
      </c>
    </row>
    <row r="370" spans="1:14" x14ac:dyDescent="0.25">
      <c r="A370" t="s">
        <v>2111</v>
      </c>
      <c r="B370">
        <v>23</v>
      </c>
      <c r="C370" t="s">
        <v>2504</v>
      </c>
      <c r="D370" t="s">
        <v>2505</v>
      </c>
      <c r="E370" t="s">
        <v>2509</v>
      </c>
      <c r="F370" t="str">
        <f>VLOOKUP(A370,Base!$A:$F,6,FALSE)</f>
        <v>INDÚSTRIAS DE TRANSFORMAÇÃO</v>
      </c>
      <c r="G370" t="str">
        <f>VLOOKUP(B370,Base!$B:$F,5,FALSE)</f>
        <v>FABRICAÇÃO DE PRODUTOS DE MINERAIS NÃO METÁLICOS</v>
      </c>
      <c r="H370" t="str">
        <f>VLOOKUP(C370,Base!$C:$F,4,FALSE)</f>
        <v>Fabricação de artefatos de concreto, cimento, fibrocimento, gesso e materiais semelhantes</v>
      </c>
      <c r="I370" t="str">
        <f>VLOOKUP(D370,Base!$D:$F,3,FALSE)</f>
        <v>Fabricação de artefatos de concreto, cimento, fibrocimento, gesso e materiais semelhantes</v>
      </c>
      <c r="J370" t="str">
        <f>VLOOKUP(E370,Base!$E:$F,2,FALSE)</f>
        <v>Fabricação de casas pré-moldadas de concreto</v>
      </c>
      <c r="K370" t="s">
        <v>2509</v>
      </c>
      <c r="L370">
        <f>IFERROR(VLOOKUP($K370,Base_Atividades!$E$1:$N$2398,MATCH(BancoAjustado!L$1,Base_Atividades!$E$1:$N$1,0),FALSE),0)</f>
        <v>0</v>
      </c>
      <c r="M370">
        <f>IFERROR(VLOOKUP($K370,Base_Atividades!$E$1:$N$2398,MATCH(BancoAjustado!M$1,Base_Atividades!$E$1:$N$1,0),FALSE),0)</f>
        <v>0</v>
      </c>
      <c r="N370">
        <f>IFERROR(VLOOKUP($K370,Base_Atividades!$E$1:$N$2398,MATCH(BancoAjustado!N$1,Base_Atividades!$E$1:$N$1,0),FALSE),0)</f>
        <v>0</v>
      </c>
    </row>
    <row r="371" spans="1:14" x14ac:dyDescent="0.25">
      <c r="A371" t="s">
        <v>2111</v>
      </c>
      <c r="B371">
        <v>23</v>
      </c>
      <c r="C371" t="s">
        <v>2504</v>
      </c>
      <c r="D371" t="s">
        <v>2505</v>
      </c>
      <c r="E371" t="s">
        <v>2510</v>
      </c>
      <c r="F371" t="str">
        <f>VLOOKUP(A371,Base!$A:$F,6,FALSE)</f>
        <v>INDÚSTRIAS DE TRANSFORMAÇÃO</v>
      </c>
      <c r="G371" t="str">
        <f>VLOOKUP(B371,Base!$B:$F,5,FALSE)</f>
        <v>FABRICAÇÃO DE PRODUTOS DE MINERAIS NÃO METÁLICOS</v>
      </c>
      <c r="H371" t="str">
        <f>VLOOKUP(C371,Base!$C:$F,4,FALSE)</f>
        <v>Fabricação de artefatos de concreto, cimento, fibrocimento, gesso e materiais semelhantes</v>
      </c>
      <c r="I371" t="str">
        <f>VLOOKUP(D371,Base!$D:$F,3,FALSE)</f>
        <v>Fabricação de artefatos de concreto, cimento, fibrocimento, gesso e materiais semelhantes</v>
      </c>
      <c r="J371" t="str">
        <f>VLOOKUP(E371,Base!$E:$F,2,FALSE)</f>
        <v>Preparação de massa de concreto e argamassa para construção</v>
      </c>
      <c r="K371" t="s">
        <v>2510</v>
      </c>
      <c r="L371">
        <f>IFERROR(VLOOKUP($K371,Base_Atividades!$E$1:$N$2398,MATCH(BancoAjustado!L$1,Base_Atividades!$E$1:$N$1,0),FALSE),0)</f>
        <v>0</v>
      </c>
      <c r="M371">
        <f>IFERROR(VLOOKUP($K371,Base_Atividades!$E$1:$N$2398,MATCH(BancoAjustado!M$1,Base_Atividades!$E$1:$N$1,0),FALSE),0)</f>
        <v>0</v>
      </c>
      <c r="N371">
        <f>IFERROR(VLOOKUP($K371,Base_Atividades!$E$1:$N$2398,MATCH(BancoAjustado!N$1,Base_Atividades!$E$1:$N$1,0),FALSE),0)</f>
        <v>0</v>
      </c>
    </row>
    <row r="372" spans="1:14" x14ac:dyDescent="0.25">
      <c r="A372" t="s">
        <v>2111</v>
      </c>
      <c r="B372">
        <v>23</v>
      </c>
      <c r="C372" t="s">
        <v>2504</v>
      </c>
      <c r="D372" t="s">
        <v>2505</v>
      </c>
      <c r="E372" t="s">
        <v>2511</v>
      </c>
      <c r="F372" t="str">
        <f>VLOOKUP(A372,Base!$A:$F,6,FALSE)</f>
        <v>INDÚSTRIAS DE TRANSFORMAÇÃO</v>
      </c>
      <c r="G372" t="str">
        <f>VLOOKUP(B372,Base!$B:$F,5,FALSE)</f>
        <v>FABRICAÇÃO DE PRODUTOS DE MINERAIS NÃO METÁLICOS</v>
      </c>
      <c r="H372" t="str">
        <f>VLOOKUP(C372,Base!$C:$F,4,FALSE)</f>
        <v>Fabricação de artefatos de concreto, cimento, fibrocimento, gesso e materiais semelhantes</v>
      </c>
      <c r="I372" t="str">
        <f>VLOOKUP(D372,Base!$D:$F,3,FALSE)</f>
        <v>Fabricação de artefatos de concreto, cimento, fibrocimento, gesso e materiais semelhantes</v>
      </c>
      <c r="J372" t="str">
        <f>VLOOKUP(E372,Base!$E:$F,2,FALSE)</f>
        <v>Fabricação de outros artefatos e produtos de concreto, cimento, fibrocimento, gesso e materiais semelhantes</v>
      </c>
      <c r="K372" t="s">
        <v>2511</v>
      </c>
      <c r="L372">
        <f>IFERROR(VLOOKUP($K372,Base_Atividades!$E$1:$N$2398,MATCH(BancoAjustado!L$1,Base_Atividades!$E$1:$N$1,0),FALSE),0)</f>
        <v>0</v>
      </c>
      <c r="M372">
        <f>IFERROR(VLOOKUP($K372,Base_Atividades!$E$1:$N$2398,MATCH(BancoAjustado!M$1,Base_Atividades!$E$1:$N$1,0),FALSE),0)</f>
        <v>0</v>
      </c>
      <c r="N372">
        <f>IFERROR(VLOOKUP($K372,Base_Atividades!$E$1:$N$2398,MATCH(BancoAjustado!N$1,Base_Atividades!$E$1:$N$1,0),FALSE),0)</f>
        <v>0</v>
      </c>
    </row>
    <row r="373" spans="1:14" x14ac:dyDescent="0.25">
      <c r="A373" t="s">
        <v>2111</v>
      </c>
      <c r="B373">
        <v>23</v>
      </c>
      <c r="C373" t="s">
        <v>2512</v>
      </c>
      <c r="D373" t="s">
        <v>2513</v>
      </c>
      <c r="E373" t="s">
        <v>2514</v>
      </c>
      <c r="F373" t="str">
        <f>VLOOKUP(A373,Base!$A:$F,6,FALSE)</f>
        <v>INDÚSTRIAS DE TRANSFORMAÇÃO</v>
      </c>
      <c r="G373" t="str">
        <f>VLOOKUP(B373,Base!$B:$F,5,FALSE)</f>
        <v>FABRICAÇÃO DE PRODUTOS DE MINERAIS NÃO METÁLICOS</v>
      </c>
      <c r="H373" t="str">
        <f>VLOOKUP(C373,Base!$C:$F,4,FALSE)</f>
        <v>Fabricação de produtos cerâmicos</v>
      </c>
      <c r="I373" t="str">
        <f>VLOOKUP(D373,Base!$D:$F,3,FALSE)</f>
        <v>Fabricação de produtos cerâmicos refratários</v>
      </c>
      <c r="J373" t="str">
        <f>VLOOKUP(E373,Base!$E:$F,2,FALSE)</f>
        <v>Fabricação de produtos cerâmicos refratários</v>
      </c>
      <c r="K373" t="s">
        <v>2514</v>
      </c>
      <c r="L373">
        <f>IFERROR(VLOOKUP($K373,Base_Atividades!$E$1:$N$2398,MATCH(BancoAjustado!L$1,Base_Atividades!$E$1:$N$1,0),FALSE),0)</f>
        <v>0</v>
      </c>
      <c r="M373">
        <f>IFERROR(VLOOKUP($K373,Base_Atividades!$E$1:$N$2398,MATCH(BancoAjustado!M$1,Base_Atividades!$E$1:$N$1,0),FALSE),0)</f>
        <v>0</v>
      </c>
      <c r="N373">
        <f>IFERROR(VLOOKUP($K373,Base_Atividades!$E$1:$N$2398,MATCH(BancoAjustado!N$1,Base_Atividades!$E$1:$N$1,0),FALSE),0)</f>
        <v>0</v>
      </c>
    </row>
    <row r="374" spans="1:14" x14ac:dyDescent="0.25">
      <c r="A374" t="s">
        <v>2111</v>
      </c>
      <c r="B374">
        <v>23</v>
      </c>
      <c r="C374" t="s">
        <v>2512</v>
      </c>
      <c r="D374" t="s">
        <v>2515</v>
      </c>
      <c r="E374" t="s">
        <v>2516</v>
      </c>
      <c r="F374" t="str">
        <f>VLOOKUP(A374,Base!$A:$F,6,FALSE)</f>
        <v>INDÚSTRIAS DE TRANSFORMAÇÃO</v>
      </c>
      <c r="G374" t="str">
        <f>VLOOKUP(B374,Base!$B:$F,5,FALSE)</f>
        <v>FABRICAÇÃO DE PRODUTOS DE MINERAIS NÃO METÁLICOS</v>
      </c>
      <c r="H374" t="str">
        <f>VLOOKUP(C374,Base!$C:$F,4,FALSE)</f>
        <v>Fabricação de produtos cerâmicos</v>
      </c>
      <c r="I374" t="str">
        <f>VLOOKUP(D374,Base!$D:$F,3,FALSE)</f>
        <v>Fabricação de produtos cerâmicos não refratários para uso estrutural na construção</v>
      </c>
      <c r="J374" t="str">
        <f>VLOOKUP(E374,Base!$E:$F,2,FALSE)</f>
        <v>Fabricação de azulejos e pisos</v>
      </c>
      <c r="K374" t="s">
        <v>2516</v>
      </c>
      <c r="L374">
        <f>IFERROR(VLOOKUP($K374,Base_Atividades!$E$1:$N$2398,MATCH(BancoAjustado!L$1,Base_Atividades!$E$1:$N$1,0),FALSE),0)</f>
        <v>0</v>
      </c>
      <c r="M374">
        <f>IFERROR(VLOOKUP($K374,Base_Atividades!$E$1:$N$2398,MATCH(BancoAjustado!M$1,Base_Atividades!$E$1:$N$1,0),FALSE),0)</f>
        <v>0</v>
      </c>
      <c r="N374">
        <f>IFERROR(VLOOKUP($K374,Base_Atividades!$E$1:$N$2398,MATCH(BancoAjustado!N$1,Base_Atividades!$E$1:$N$1,0),FALSE),0)</f>
        <v>0</v>
      </c>
    </row>
    <row r="375" spans="1:14" x14ac:dyDescent="0.25">
      <c r="A375" t="s">
        <v>2111</v>
      </c>
      <c r="B375">
        <v>23</v>
      </c>
      <c r="C375" t="s">
        <v>2512</v>
      </c>
      <c r="D375" t="s">
        <v>2515</v>
      </c>
      <c r="E375" t="s">
        <v>2517</v>
      </c>
      <c r="F375" t="str">
        <f>VLOOKUP(A375,Base!$A:$F,6,FALSE)</f>
        <v>INDÚSTRIAS DE TRANSFORMAÇÃO</v>
      </c>
      <c r="G375" t="str">
        <f>VLOOKUP(B375,Base!$B:$F,5,FALSE)</f>
        <v>FABRICAÇÃO DE PRODUTOS DE MINERAIS NÃO METÁLICOS</v>
      </c>
      <c r="H375" t="str">
        <f>VLOOKUP(C375,Base!$C:$F,4,FALSE)</f>
        <v>Fabricação de produtos cerâmicos</v>
      </c>
      <c r="I375" t="str">
        <f>VLOOKUP(D375,Base!$D:$F,3,FALSE)</f>
        <v>Fabricação de produtos cerâmicos não refratários para uso estrutural na construção</v>
      </c>
      <c r="J375" t="str">
        <f>VLOOKUP(E375,Base!$E:$F,2,FALSE)</f>
        <v>Fabricação de artefatos de cerâmica e barro cozido para uso na construção, exceto azulejos e pisos</v>
      </c>
      <c r="K375" t="s">
        <v>2517</v>
      </c>
      <c r="L375">
        <f>IFERROR(VLOOKUP($K375,Base_Atividades!$E$1:$N$2398,MATCH(BancoAjustado!L$1,Base_Atividades!$E$1:$N$1,0),FALSE),0)</f>
        <v>0</v>
      </c>
      <c r="M375">
        <f>IFERROR(VLOOKUP($K375,Base_Atividades!$E$1:$N$2398,MATCH(BancoAjustado!M$1,Base_Atividades!$E$1:$N$1,0),FALSE),0)</f>
        <v>0</v>
      </c>
      <c r="N375">
        <f>IFERROR(VLOOKUP($K375,Base_Atividades!$E$1:$N$2398,MATCH(BancoAjustado!N$1,Base_Atividades!$E$1:$N$1,0),FALSE),0)</f>
        <v>0</v>
      </c>
    </row>
    <row r="376" spans="1:14" x14ac:dyDescent="0.25">
      <c r="A376" t="s">
        <v>2111</v>
      </c>
      <c r="B376">
        <v>23</v>
      </c>
      <c r="C376" t="s">
        <v>2512</v>
      </c>
      <c r="D376" t="s">
        <v>2518</v>
      </c>
      <c r="E376" t="s">
        <v>2519</v>
      </c>
      <c r="F376" t="str">
        <f>VLOOKUP(A376,Base!$A:$F,6,FALSE)</f>
        <v>INDÚSTRIAS DE TRANSFORMAÇÃO</v>
      </c>
      <c r="G376" t="str">
        <f>VLOOKUP(B376,Base!$B:$F,5,FALSE)</f>
        <v>FABRICAÇÃO DE PRODUTOS DE MINERAIS NÃO METÁLICOS</v>
      </c>
      <c r="H376" t="str">
        <f>VLOOKUP(C376,Base!$C:$F,4,FALSE)</f>
        <v>Fabricação de produtos cerâmicos</v>
      </c>
      <c r="I376" t="str">
        <f>VLOOKUP(D376,Base!$D:$F,3,FALSE)</f>
        <v>Fabricação de produtos cerâmicos não refratários não especificados anteriormente</v>
      </c>
      <c r="J376" t="str">
        <f>VLOOKUP(E376,Base!$E:$F,2,FALSE)</f>
        <v>Fabricação de material sanitário de cerâmica</v>
      </c>
      <c r="K376" t="s">
        <v>2519</v>
      </c>
      <c r="L376">
        <f>IFERROR(VLOOKUP($K376,Base_Atividades!$E$1:$N$2398,MATCH(BancoAjustado!L$1,Base_Atividades!$E$1:$N$1,0),FALSE),0)</f>
        <v>0</v>
      </c>
      <c r="M376">
        <f>IFERROR(VLOOKUP($K376,Base_Atividades!$E$1:$N$2398,MATCH(BancoAjustado!M$1,Base_Atividades!$E$1:$N$1,0),FALSE),0)</f>
        <v>0</v>
      </c>
      <c r="N376">
        <f>IFERROR(VLOOKUP($K376,Base_Atividades!$E$1:$N$2398,MATCH(BancoAjustado!N$1,Base_Atividades!$E$1:$N$1,0),FALSE),0)</f>
        <v>0</v>
      </c>
    </row>
    <row r="377" spans="1:14" x14ac:dyDescent="0.25">
      <c r="A377" t="s">
        <v>2111</v>
      </c>
      <c r="B377">
        <v>23</v>
      </c>
      <c r="C377" t="s">
        <v>2512</v>
      </c>
      <c r="D377" t="s">
        <v>2518</v>
      </c>
      <c r="E377" t="s">
        <v>2520</v>
      </c>
      <c r="F377" t="str">
        <f>VLOOKUP(A377,Base!$A:$F,6,FALSE)</f>
        <v>INDÚSTRIAS DE TRANSFORMAÇÃO</v>
      </c>
      <c r="G377" t="str">
        <f>VLOOKUP(B377,Base!$B:$F,5,FALSE)</f>
        <v>FABRICAÇÃO DE PRODUTOS DE MINERAIS NÃO METÁLICOS</v>
      </c>
      <c r="H377" t="str">
        <f>VLOOKUP(C377,Base!$C:$F,4,FALSE)</f>
        <v>Fabricação de produtos cerâmicos</v>
      </c>
      <c r="I377" t="str">
        <f>VLOOKUP(D377,Base!$D:$F,3,FALSE)</f>
        <v>Fabricação de produtos cerâmicos não refratários não especificados anteriormente</v>
      </c>
      <c r="J377" t="str">
        <f>VLOOKUP(E377,Base!$E:$F,2,FALSE)</f>
        <v>Fabricação de produtos cerâmicos não refratários não especificados anteriormente</v>
      </c>
      <c r="K377" t="s">
        <v>2520</v>
      </c>
      <c r="L377">
        <f>IFERROR(VLOOKUP($K377,Base_Atividades!$E$1:$N$2398,MATCH(BancoAjustado!L$1,Base_Atividades!$E$1:$N$1,0),FALSE),0)</f>
        <v>0</v>
      </c>
      <c r="M377">
        <f>IFERROR(VLOOKUP($K377,Base_Atividades!$E$1:$N$2398,MATCH(BancoAjustado!M$1,Base_Atividades!$E$1:$N$1,0),FALSE),0)</f>
        <v>0</v>
      </c>
      <c r="N377">
        <f>IFERROR(VLOOKUP($K377,Base_Atividades!$E$1:$N$2398,MATCH(BancoAjustado!N$1,Base_Atividades!$E$1:$N$1,0),FALSE),0)</f>
        <v>0</v>
      </c>
    </row>
    <row r="378" spans="1:14" x14ac:dyDescent="0.25">
      <c r="A378" t="s">
        <v>2111</v>
      </c>
      <c r="B378">
        <v>23</v>
      </c>
      <c r="C378" t="s">
        <v>2521</v>
      </c>
      <c r="D378" t="s">
        <v>2522</v>
      </c>
      <c r="E378" t="s">
        <v>2523</v>
      </c>
      <c r="F378" t="str">
        <f>VLOOKUP(A378,Base!$A:$F,6,FALSE)</f>
        <v>INDÚSTRIAS DE TRANSFORMAÇÃO</v>
      </c>
      <c r="G378" t="str">
        <f>VLOOKUP(B378,Base!$B:$F,5,FALSE)</f>
        <v>FABRICAÇÃO DE PRODUTOS DE MINERAIS NÃO METÁLICOS</v>
      </c>
      <c r="H378" t="str">
        <f>VLOOKUP(C378,Base!$C:$F,4,FALSE)</f>
        <v>Aparelhamento de pedras e fabricação de outros produtos de minerais não metálicos</v>
      </c>
      <c r="I378" t="str">
        <f>VLOOKUP(D378,Base!$D:$F,3,FALSE)</f>
        <v>Aparelhamento e outros trabalhos em pedras</v>
      </c>
      <c r="J378" t="str">
        <f>VLOOKUP(E378,Base!$E:$F,2,FALSE)</f>
        <v>Britamento de pedras, exceto associado à extração</v>
      </c>
      <c r="K378" t="s">
        <v>2523</v>
      </c>
      <c r="L378">
        <f>IFERROR(VLOOKUP($K378,Base_Atividades!$E$1:$N$2398,MATCH(BancoAjustado!L$1,Base_Atividades!$E$1:$N$1,0),FALSE),0)</f>
        <v>0</v>
      </c>
      <c r="M378">
        <f>IFERROR(VLOOKUP($K378,Base_Atividades!$E$1:$N$2398,MATCH(BancoAjustado!M$1,Base_Atividades!$E$1:$N$1,0),FALSE),0)</f>
        <v>0</v>
      </c>
      <c r="N378">
        <f>IFERROR(VLOOKUP($K378,Base_Atividades!$E$1:$N$2398,MATCH(BancoAjustado!N$1,Base_Atividades!$E$1:$N$1,0),FALSE),0)</f>
        <v>0</v>
      </c>
    </row>
    <row r="379" spans="1:14" x14ac:dyDescent="0.25">
      <c r="A379" t="s">
        <v>2111</v>
      </c>
      <c r="B379">
        <v>23</v>
      </c>
      <c r="C379" t="s">
        <v>2521</v>
      </c>
      <c r="D379" t="s">
        <v>2522</v>
      </c>
      <c r="E379" t="s">
        <v>2524</v>
      </c>
      <c r="F379" t="str">
        <f>VLOOKUP(A379,Base!$A:$F,6,FALSE)</f>
        <v>INDÚSTRIAS DE TRANSFORMAÇÃO</v>
      </c>
      <c r="G379" t="str">
        <f>VLOOKUP(B379,Base!$B:$F,5,FALSE)</f>
        <v>FABRICAÇÃO DE PRODUTOS DE MINERAIS NÃO METÁLICOS</v>
      </c>
      <c r="H379" t="str">
        <f>VLOOKUP(C379,Base!$C:$F,4,FALSE)</f>
        <v>Aparelhamento de pedras e fabricação de outros produtos de minerais não metálicos</v>
      </c>
      <c r="I379" t="str">
        <f>VLOOKUP(D379,Base!$D:$F,3,FALSE)</f>
        <v>Aparelhamento e outros trabalhos em pedras</v>
      </c>
      <c r="J379" t="str">
        <f>VLOOKUP(E379,Base!$E:$F,2,FALSE)</f>
        <v>Aparelhamento de pedras para construção, exceto associado à extração</v>
      </c>
      <c r="K379" t="s">
        <v>2524</v>
      </c>
      <c r="L379">
        <f>IFERROR(VLOOKUP($K379,Base_Atividades!$E$1:$N$2398,MATCH(BancoAjustado!L$1,Base_Atividades!$E$1:$N$1,0),FALSE),0)</f>
        <v>0</v>
      </c>
      <c r="M379">
        <f>IFERROR(VLOOKUP($K379,Base_Atividades!$E$1:$N$2398,MATCH(BancoAjustado!M$1,Base_Atividades!$E$1:$N$1,0),FALSE),0)</f>
        <v>0</v>
      </c>
      <c r="N379">
        <f>IFERROR(VLOOKUP($K379,Base_Atividades!$E$1:$N$2398,MATCH(BancoAjustado!N$1,Base_Atividades!$E$1:$N$1,0),FALSE),0)</f>
        <v>0</v>
      </c>
    </row>
    <row r="380" spans="1:14" x14ac:dyDescent="0.25">
      <c r="A380" t="s">
        <v>2111</v>
      </c>
      <c r="B380">
        <v>23</v>
      </c>
      <c r="C380" t="s">
        <v>2521</v>
      </c>
      <c r="D380" t="s">
        <v>2522</v>
      </c>
      <c r="E380" t="s">
        <v>2525</v>
      </c>
      <c r="F380" t="str">
        <f>VLOOKUP(A380,Base!$A:$F,6,FALSE)</f>
        <v>INDÚSTRIAS DE TRANSFORMAÇÃO</v>
      </c>
      <c r="G380" t="str">
        <f>VLOOKUP(B380,Base!$B:$F,5,FALSE)</f>
        <v>FABRICAÇÃO DE PRODUTOS DE MINERAIS NÃO METÁLICOS</v>
      </c>
      <c r="H380" t="str">
        <f>VLOOKUP(C380,Base!$C:$F,4,FALSE)</f>
        <v>Aparelhamento de pedras e fabricação de outros produtos de minerais não metálicos</v>
      </c>
      <c r="I380" t="str">
        <f>VLOOKUP(D380,Base!$D:$F,3,FALSE)</f>
        <v>Aparelhamento e outros trabalhos em pedras</v>
      </c>
      <c r="J380" t="str">
        <f>VLOOKUP(E380,Base!$E:$F,2,FALSE)</f>
        <v>Aparelhamento de placas e execução de trabalhos em mármore, granito, ardósia e outras pedras</v>
      </c>
      <c r="K380" t="s">
        <v>2525</v>
      </c>
      <c r="L380">
        <f>IFERROR(VLOOKUP($K380,Base_Atividades!$E$1:$N$2398,MATCH(BancoAjustado!L$1,Base_Atividades!$E$1:$N$1,0),FALSE),0)</f>
        <v>0</v>
      </c>
      <c r="M380">
        <f>IFERROR(VLOOKUP($K380,Base_Atividades!$E$1:$N$2398,MATCH(BancoAjustado!M$1,Base_Atividades!$E$1:$N$1,0),FALSE),0)</f>
        <v>0</v>
      </c>
      <c r="N380">
        <f>IFERROR(VLOOKUP($K380,Base_Atividades!$E$1:$N$2398,MATCH(BancoAjustado!N$1,Base_Atividades!$E$1:$N$1,0),FALSE),0)</f>
        <v>0</v>
      </c>
    </row>
    <row r="381" spans="1:14" x14ac:dyDescent="0.25">
      <c r="A381" t="s">
        <v>2111</v>
      </c>
      <c r="B381">
        <v>23</v>
      </c>
      <c r="C381" t="s">
        <v>2521</v>
      </c>
      <c r="D381" t="s">
        <v>2526</v>
      </c>
      <c r="E381" t="s">
        <v>2527</v>
      </c>
      <c r="F381" t="str">
        <f>VLOOKUP(A381,Base!$A:$F,6,FALSE)</f>
        <v>INDÚSTRIAS DE TRANSFORMAÇÃO</v>
      </c>
      <c r="G381" t="str">
        <f>VLOOKUP(B381,Base!$B:$F,5,FALSE)</f>
        <v>FABRICAÇÃO DE PRODUTOS DE MINERAIS NÃO METÁLICOS</v>
      </c>
      <c r="H381" t="str">
        <f>VLOOKUP(C381,Base!$C:$F,4,FALSE)</f>
        <v>Aparelhamento de pedras e fabricação de outros produtos de minerais não metálicos</v>
      </c>
      <c r="I381" t="str">
        <f>VLOOKUP(D381,Base!$D:$F,3,FALSE)</f>
        <v>Fabricação de cal e gesso</v>
      </c>
      <c r="J381" t="str">
        <f>VLOOKUP(E381,Base!$E:$F,2,FALSE)</f>
        <v>Fabricação de cal e gesso</v>
      </c>
      <c r="K381" t="s">
        <v>2527</v>
      </c>
      <c r="L381">
        <f>IFERROR(VLOOKUP($K381,Base_Atividades!$E$1:$N$2398,MATCH(BancoAjustado!L$1,Base_Atividades!$E$1:$N$1,0),FALSE),0)</f>
        <v>0</v>
      </c>
      <c r="M381">
        <f>IFERROR(VLOOKUP($K381,Base_Atividades!$E$1:$N$2398,MATCH(BancoAjustado!M$1,Base_Atividades!$E$1:$N$1,0),FALSE),0)</f>
        <v>0</v>
      </c>
      <c r="N381">
        <f>IFERROR(VLOOKUP($K381,Base_Atividades!$E$1:$N$2398,MATCH(BancoAjustado!N$1,Base_Atividades!$E$1:$N$1,0),FALSE),0)</f>
        <v>0</v>
      </c>
    </row>
    <row r="382" spans="1:14" x14ac:dyDescent="0.25">
      <c r="A382" t="s">
        <v>2111</v>
      </c>
      <c r="B382">
        <v>23</v>
      </c>
      <c r="C382" t="s">
        <v>2521</v>
      </c>
      <c r="D382" t="s">
        <v>2528</v>
      </c>
      <c r="E382" t="s">
        <v>2529</v>
      </c>
      <c r="F382" t="str">
        <f>VLOOKUP(A382,Base!$A:$F,6,FALSE)</f>
        <v>INDÚSTRIAS DE TRANSFORMAÇÃO</v>
      </c>
      <c r="G382" t="str">
        <f>VLOOKUP(B382,Base!$B:$F,5,FALSE)</f>
        <v>FABRICAÇÃO DE PRODUTOS DE MINERAIS NÃO METÁLICOS</v>
      </c>
      <c r="H382" t="str">
        <f>VLOOKUP(C382,Base!$C:$F,4,FALSE)</f>
        <v>Aparelhamento de pedras e fabricação de outros produtos de minerais não metálicos</v>
      </c>
      <c r="I382" t="str">
        <f>VLOOKUP(D382,Base!$D:$F,3,FALSE)</f>
        <v>Fabricação de produtos de minerais não metálicos não especificados anteriormente</v>
      </c>
      <c r="J382" t="str">
        <f>VLOOKUP(E382,Base!$E:$F,2,FALSE)</f>
        <v>Decoração, lapidação, gravação, vitrificação e outros trabalhos em cerâmica, louça, vidro e cristal</v>
      </c>
      <c r="K382" t="s">
        <v>2529</v>
      </c>
      <c r="L382">
        <f>IFERROR(VLOOKUP($K382,Base_Atividades!$E$1:$N$2398,MATCH(BancoAjustado!L$1,Base_Atividades!$E$1:$N$1,0),FALSE),0)</f>
        <v>0</v>
      </c>
      <c r="M382">
        <f>IFERROR(VLOOKUP($K382,Base_Atividades!$E$1:$N$2398,MATCH(BancoAjustado!M$1,Base_Atividades!$E$1:$N$1,0),FALSE),0)</f>
        <v>0</v>
      </c>
      <c r="N382">
        <f>IFERROR(VLOOKUP($K382,Base_Atividades!$E$1:$N$2398,MATCH(BancoAjustado!N$1,Base_Atividades!$E$1:$N$1,0),FALSE),0)</f>
        <v>0</v>
      </c>
    </row>
    <row r="383" spans="1:14" x14ac:dyDescent="0.25">
      <c r="A383" t="s">
        <v>2111</v>
      </c>
      <c r="B383">
        <v>23</v>
      </c>
      <c r="C383" t="s">
        <v>2521</v>
      </c>
      <c r="D383" t="s">
        <v>2528</v>
      </c>
      <c r="E383" t="s">
        <v>2530</v>
      </c>
      <c r="F383" t="str">
        <f>VLOOKUP(A383,Base!$A:$F,6,FALSE)</f>
        <v>INDÚSTRIAS DE TRANSFORMAÇÃO</v>
      </c>
      <c r="G383" t="str">
        <f>VLOOKUP(B383,Base!$B:$F,5,FALSE)</f>
        <v>FABRICAÇÃO DE PRODUTOS DE MINERAIS NÃO METÁLICOS</v>
      </c>
      <c r="H383" t="str">
        <f>VLOOKUP(C383,Base!$C:$F,4,FALSE)</f>
        <v>Aparelhamento de pedras e fabricação de outros produtos de minerais não metálicos</v>
      </c>
      <c r="I383" t="str">
        <f>VLOOKUP(D383,Base!$D:$F,3,FALSE)</f>
        <v>Fabricação de produtos de minerais não metálicos não especificados anteriormente</v>
      </c>
      <c r="J383" t="str">
        <f>VLOOKUP(E383,Base!$E:$F,2,FALSE)</f>
        <v>Fabricação de abrasivos</v>
      </c>
      <c r="K383" t="s">
        <v>2530</v>
      </c>
      <c r="L383">
        <f>IFERROR(VLOOKUP($K383,Base_Atividades!$E$1:$N$2398,MATCH(BancoAjustado!L$1,Base_Atividades!$E$1:$N$1,0),FALSE),0)</f>
        <v>0</v>
      </c>
      <c r="M383">
        <f>IFERROR(VLOOKUP($K383,Base_Atividades!$E$1:$N$2398,MATCH(BancoAjustado!M$1,Base_Atividades!$E$1:$N$1,0),FALSE),0)</f>
        <v>0</v>
      </c>
      <c r="N383">
        <f>IFERROR(VLOOKUP($K383,Base_Atividades!$E$1:$N$2398,MATCH(BancoAjustado!N$1,Base_Atividades!$E$1:$N$1,0),FALSE),0)</f>
        <v>0</v>
      </c>
    </row>
    <row r="384" spans="1:14" x14ac:dyDescent="0.25">
      <c r="A384" t="s">
        <v>2111</v>
      </c>
      <c r="B384">
        <v>23</v>
      </c>
      <c r="C384" t="s">
        <v>2521</v>
      </c>
      <c r="D384" t="s">
        <v>2528</v>
      </c>
      <c r="E384" t="s">
        <v>2531</v>
      </c>
      <c r="F384" t="str">
        <f>VLOOKUP(A384,Base!$A:$F,6,FALSE)</f>
        <v>INDÚSTRIAS DE TRANSFORMAÇÃO</v>
      </c>
      <c r="G384" t="str">
        <f>VLOOKUP(B384,Base!$B:$F,5,FALSE)</f>
        <v>FABRICAÇÃO DE PRODUTOS DE MINERAIS NÃO METÁLICOS</v>
      </c>
      <c r="H384" t="str">
        <f>VLOOKUP(C384,Base!$C:$F,4,FALSE)</f>
        <v>Aparelhamento de pedras e fabricação de outros produtos de minerais não metálicos</v>
      </c>
      <c r="I384" t="str">
        <f>VLOOKUP(D384,Base!$D:$F,3,FALSE)</f>
        <v>Fabricação de produtos de minerais não metálicos não especificados anteriormente</v>
      </c>
      <c r="J384" t="str">
        <f>VLOOKUP(E384,Base!$E:$F,2,FALSE)</f>
        <v>Fabricação de outros produtos de minerais não metálicos não especificados anteriormente</v>
      </c>
      <c r="K384" t="s">
        <v>2531</v>
      </c>
      <c r="L384">
        <f>IFERROR(VLOOKUP($K384,Base_Atividades!$E$1:$N$2398,MATCH(BancoAjustado!L$1,Base_Atividades!$E$1:$N$1,0),FALSE),0)</f>
        <v>0</v>
      </c>
      <c r="M384">
        <f>IFERROR(VLOOKUP($K384,Base_Atividades!$E$1:$N$2398,MATCH(BancoAjustado!M$1,Base_Atividades!$E$1:$N$1,0),FALSE),0)</f>
        <v>0</v>
      </c>
      <c r="N384">
        <f>IFERROR(VLOOKUP($K384,Base_Atividades!$E$1:$N$2398,MATCH(BancoAjustado!N$1,Base_Atividades!$E$1:$N$1,0),FALSE),0)</f>
        <v>0</v>
      </c>
    </row>
    <row r="385" spans="1:14" x14ac:dyDescent="0.25">
      <c r="A385" t="s">
        <v>2111</v>
      </c>
      <c r="B385" t="s">
        <v>2532</v>
      </c>
      <c r="C385" t="s">
        <v>2533</v>
      </c>
      <c r="D385" t="s">
        <v>2534</v>
      </c>
      <c r="E385" t="s">
        <v>2535</v>
      </c>
      <c r="F385" t="str">
        <f>VLOOKUP(A385,Base!$A:$F,6,FALSE)</f>
        <v>INDÚSTRIAS DE TRANSFORMAÇÃO</v>
      </c>
      <c r="G385" t="str">
        <f>VLOOKUP(B385,Base!$B:$F,5,FALSE)</f>
        <v>METALURGIA</v>
      </c>
      <c r="H385" t="str">
        <f>VLOOKUP(C385,Base!$C:$F,4,FALSE)</f>
        <v>Produção de ferro-gusa e de ferroligas</v>
      </c>
      <c r="I385" t="str">
        <f>VLOOKUP(D385,Base!$D:$F,3,FALSE)</f>
        <v>Produção de ferro-gusa</v>
      </c>
      <c r="J385" t="str">
        <f>VLOOKUP(E385,Base!$E:$F,2,FALSE)</f>
        <v>Produção de ferro-gusa</v>
      </c>
      <c r="K385" t="s">
        <v>2535</v>
      </c>
      <c r="L385">
        <f>IFERROR(VLOOKUP($K385,Base_Atividades!$E$1:$N$2398,MATCH(BancoAjustado!L$1,Base_Atividades!$E$1:$N$1,0),FALSE),0)</f>
        <v>0</v>
      </c>
      <c r="M385">
        <f>IFERROR(VLOOKUP($K385,Base_Atividades!$E$1:$N$2398,MATCH(BancoAjustado!M$1,Base_Atividades!$E$1:$N$1,0),FALSE),0)</f>
        <v>0</v>
      </c>
      <c r="N385">
        <f>IFERROR(VLOOKUP($K385,Base_Atividades!$E$1:$N$2398,MATCH(BancoAjustado!N$1,Base_Atividades!$E$1:$N$1,0),FALSE),0)</f>
        <v>0</v>
      </c>
    </row>
    <row r="386" spans="1:14" x14ac:dyDescent="0.25">
      <c r="A386" t="s">
        <v>2111</v>
      </c>
      <c r="B386" t="s">
        <v>2532</v>
      </c>
      <c r="C386" t="s">
        <v>2533</v>
      </c>
      <c r="D386" t="s">
        <v>2536</v>
      </c>
      <c r="E386" t="s">
        <v>2537</v>
      </c>
      <c r="F386" t="str">
        <f>VLOOKUP(A386,Base!$A:$F,6,FALSE)</f>
        <v>INDÚSTRIAS DE TRANSFORMAÇÃO</v>
      </c>
      <c r="G386" t="str">
        <f>VLOOKUP(B386,Base!$B:$F,5,FALSE)</f>
        <v>METALURGIA</v>
      </c>
      <c r="H386" t="str">
        <f>VLOOKUP(C386,Base!$C:$F,4,FALSE)</f>
        <v>Produção de ferro-gusa e de ferroligas</v>
      </c>
      <c r="I386" t="str">
        <f>VLOOKUP(D386,Base!$D:$F,3,FALSE)</f>
        <v>Produção de ferroligas</v>
      </c>
      <c r="J386" t="str">
        <f>VLOOKUP(E386,Base!$E:$F,2,FALSE)</f>
        <v>Produção de ferroligas</v>
      </c>
      <c r="K386" t="s">
        <v>2537</v>
      </c>
      <c r="L386">
        <f>IFERROR(VLOOKUP($K386,Base_Atividades!$E$1:$N$2398,MATCH(BancoAjustado!L$1,Base_Atividades!$E$1:$N$1,0),FALSE),0)</f>
        <v>0</v>
      </c>
      <c r="M386">
        <f>IFERROR(VLOOKUP($K386,Base_Atividades!$E$1:$N$2398,MATCH(BancoAjustado!M$1,Base_Atividades!$E$1:$N$1,0),FALSE),0)</f>
        <v>0</v>
      </c>
      <c r="N386">
        <f>IFERROR(VLOOKUP($K386,Base_Atividades!$E$1:$N$2398,MATCH(BancoAjustado!N$1,Base_Atividades!$E$1:$N$1,0),FALSE),0)</f>
        <v>0</v>
      </c>
    </row>
    <row r="387" spans="1:14" x14ac:dyDescent="0.25">
      <c r="A387" t="s">
        <v>2111</v>
      </c>
      <c r="B387" t="s">
        <v>2532</v>
      </c>
      <c r="C387" t="s">
        <v>2538</v>
      </c>
      <c r="D387" t="s">
        <v>2539</v>
      </c>
      <c r="E387" t="s">
        <v>2540</v>
      </c>
      <c r="F387" t="str">
        <f>VLOOKUP(A387,Base!$A:$F,6,FALSE)</f>
        <v>INDÚSTRIAS DE TRANSFORMAÇÃO</v>
      </c>
      <c r="G387" t="str">
        <f>VLOOKUP(B387,Base!$B:$F,5,FALSE)</f>
        <v>METALURGIA</v>
      </c>
      <c r="H387" t="str">
        <f>VLOOKUP(C387,Base!$C:$F,4,FALSE)</f>
        <v>Siderurgia</v>
      </c>
      <c r="I387" t="str">
        <f>VLOOKUP(D387,Base!$D:$F,3,FALSE)</f>
        <v>Produção de semiacabados de aço</v>
      </c>
      <c r="J387" t="str">
        <f>VLOOKUP(E387,Base!$E:$F,2,FALSE)</f>
        <v>Produção de semiacabados de aço</v>
      </c>
      <c r="K387" t="s">
        <v>2540</v>
      </c>
      <c r="L387">
        <f>IFERROR(VLOOKUP($K387,Base_Atividades!$E$1:$N$2398,MATCH(BancoAjustado!L$1,Base_Atividades!$E$1:$N$1,0),FALSE),0)</f>
        <v>0</v>
      </c>
      <c r="M387">
        <f>IFERROR(VLOOKUP($K387,Base_Atividades!$E$1:$N$2398,MATCH(BancoAjustado!M$1,Base_Atividades!$E$1:$N$1,0),FALSE),0)</f>
        <v>0</v>
      </c>
      <c r="N387">
        <f>IFERROR(VLOOKUP($K387,Base_Atividades!$E$1:$N$2398,MATCH(BancoAjustado!N$1,Base_Atividades!$E$1:$N$1,0),FALSE),0)</f>
        <v>0</v>
      </c>
    </row>
    <row r="388" spans="1:14" x14ac:dyDescent="0.25">
      <c r="A388" t="s">
        <v>2111</v>
      </c>
      <c r="B388" t="s">
        <v>2532</v>
      </c>
      <c r="C388" t="s">
        <v>2538</v>
      </c>
      <c r="D388" t="s">
        <v>2541</v>
      </c>
      <c r="E388" t="s">
        <v>2542</v>
      </c>
      <c r="F388" t="str">
        <f>VLOOKUP(A388,Base!$A:$F,6,FALSE)</f>
        <v>INDÚSTRIAS DE TRANSFORMAÇÃO</v>
      </c>
      <c r="G388" t="str">
        <f>VLOOKUP(B388,Base!$B:$F,5,FALSE)</f>
        <v>METALURGIA</v>
      </c>
      <c r="H388" t="str">
        <f>VLOOKUP(C388,Base!$C:$F,4,FALSE)</f>
        <v>Siderurgia</v>
      </c>
      <c r="I388" t="str">
        <f>VLOOKUP(D388,Base!$D:$F,3,FALSE)</f>
        <v>Produção de laminados planos de aço</v>
      </c>
      <c r="J388" t="str">
        <f>VLOOKUP(E388,Base!$E:$F,2,FALSE)</f>
        <v>Produção de laminados planos de aço ao carbono, revestidos ou não</v>
      </c>
      <c r="K388" t="s">
        <v>2542</v>
      </c>
      <c r="L388">
        <f>IFERROR(VLOOKUP($K388,Base_Atividades!$E$1:$N$2398,MATCH(BancoAjustado!L$1,Base_Atividades!$E$1:$N$1,0),FALSE),0)</f>
        <v>0</v>
      </c>
      <c r="M388">
        <f>IFERROR(VLOOKUP($K388,Base_Atividades!$E$1:$N$2398,MATCH(BancoAjustado!M$1,Base_Atividades!$E$1:$N$1,0),FALSE),0)</f>
        <v>0</v>
      </c>
      <c r="N388">
        <f>IFERROR(VLOOKUP($K388,Base_Atividades!$E$1:$N$2398,MATCH(BancoAjustado!N$1,Base_Atividades!$E$1:$N$1,0),FALSE),0)</f>
        <v>0</v>
      </c>
    </row>
    <row r="389" spans="1:14" x14ac:dyDescent="0.25">
      <c r="A389" t="s">
        <v>2111</v>
      </c>
      <c r="B389" t="s">
        <v>2532</v>
      </c>
      <c r="C389" t="s">
        <v>2538</v>
      </c>
      <c r="D389" t="s">
        <v>2541</v>
      </c>
      <c r="E389" t="s">
        <v>2543</v>
      </c>
      <c r="F389" t="str">
        <f>VLOOKUP(A389,Base!$A:$F,6,FALSE)</f>
        <v>INDÚSTRIAS DE TRANSFORMAÇÃO</v>
      </c>
      <c r="G389" t="str">
        <f>VLOOKUP(B389,Base!$B:$F,5,FALSE)</f>
        <v>METALURGIA</v>
      </c>
      <c r="H389" t="str">
        <f>VLOOKUP(C389,Base!$C:$F,4,FALSE)</f>
        <v>Siderurgia</v>
      </c>
      <c r="I389" t="str">
        <f>VLOOKUP(D389,Base!$D:$F,3,FALSE)</f>
        <v>Produção de laminados planos de aço</v>
      </c>
      <c r="J389" t="str">
        <f>VLOOKUP(E389,Base!$E:$F,2,FALSE)</f>
        <v>Produção de laminados planos de aços especiais</v>
      </c>
      <c r="K389" t="s">
        <v>2543</v>
      </c>
      <c r="L389">
        <f>IFERROR(VLOOKUP($K389,Base_Atividades!$E$1:$N$2398,MATCH(BancoAjustado!L$1,Base_Atividades!$E$1:$N$1,0),FALSE),0)</f>
        <v>0</v>
      </c>
      <c r="M389">
        <f>IFERROR(VLOOKUP($K389,Base_Atividades!$E$1:$N$2398,MATCH(BancoAjustado!M$1,Base_Atividades!$E$1:$N$1,0),FALSE),0)</f>
        <v>0</v>
      </c>
      <c r="N389">
        <f>IFERROR(VLOOKUP($K389,Base_Atividades!$E$1:$N$2398,MATCH(BancoAjustado!N$1,Base_Atividades!$E$1:$N$1,0),FALSE),0)</f>
        <v>0</v>
      </c>
    </row>
    <row r="390" spans="1:14" x14ac:dyDescent="0.25">
      <c r="A390" t="s">
        <v>2111</v>
      </c>
      <c r="B390" t="s">
        <v>2532</v>
      </c>
      <c r="C390" t="s">
        <v>2538</v>
      </c>
      <c r="D390" t="s">
        <v>2544</v>
      </c>
      <c r="E390" t="s">
        <v>2545</v>
      </c>
      <c r="F390" t="str">
        <f>VLOOKUP(A390,Base!$A:$F,6,FALSE)</f>
        <v>INDÚSTRIAS DE TRANSFORMAÇÃO</v>
      </c>
      <c r="G390" t="str">
        <f>VLOOKUP(B390,Base!$B:$F,5,FALSE)</f>
        <v>METALURGIA</v>
      </c>
      <c r="H390" t="str">
        <f>VLOOKUP(C390,Base!$C:$F,4,FALSE)</f>
        <v>Siderurgia</v>
      </c>
      <c r="I390" t="str">
        <f>VLOOKUP(D390,Base!$D:$F,3,FALSE)</f>
        <v>Produção de laminados longos de aço</v>
      </c>
      <c r="J390" t="str">
        <f>VLOOKUP(E390,Base!$E:$F,2,FALSE)</f>
        <v>Produção de tubos de aço sem costura</v>
      </c>
      <c r="K390" t="s">
        <v>2545</v>
      </c>
      <c r="L390">
        <f>IFERROR(VLOOKUP($K390,Base_Atividades!$E$1:$N$2398,MATCH(BancoAjustado!L$1,Base_Atividades!$E$1:$N$1,0),FALSE),0)</f>
        <v>0</v>
      </c>
      <c r="M390">
        <f>IFERROR(VLOOKUP($K390,Base_Atividades!$E$1:$N$2398,MATCH(BancoAjustado!M$1,Base_Atividades!$E$1:$N$1,0),FALSE),0)</f>
        <v>0</v>
      </c>
      <c r="N390">
        <f>IFERROR(VLOOKUP($K390,Base_Atividades!$E$1:$N$2398,MATCH(BancoAjustado!N$1,Base_Atividades!$E$1:$N$1,0),FALSE),0)</f>
        <v>0</v>
      </c>
    </row>
    <row r="391" spans="1:14" x14ac:dyDescent="0.25">
      <c r="A391" t="s">
        <v>2111</v>
      </c>
      <c r="B391" t="s">
        <v>2532</v>
      </c>
      <c r="C391" t="s">
        <v>2538</v>
      </c>
      <c r="D391" t="s">
        <v>2544</v>
      </c>
      <c r="E391" t="s">
        <v>2546</v>
      </c>
      <c r="F391" t="str">
        <f>VLOOKUP(A391,Base!$A:$F,6,FALSE)</f>
        <v>INDÚSTRIAS DE TRANSFORMAÇÃO</v>
      </c>
      <c r="G391" t="str">
        <f>VLOOKUP(B391,Base!$B:$F,5,FALSE)</f>
        <v>METALURGIA</v>
      </c>
      <c r="H391" t="str">
        <f>VLOOKUP(C391,Base!$C:$F,4,FALSE)</f>
        <v>Siderurgia</v>
      </c>
      <c r="I391" t="str">
        <f>VLOOKUP(D391,Base!$D:$F,3,FALSE)</f>
        <v>Produção de laminados longos de aço</v>
      </c>
      <c r="J391" t="str">
        <f>VLOOKUP(E391,Base!$E:$F,2,FALSE)</f>
        <v>Produção de laminados longos de aço, exceto tubos</v>
      </c>
      <c r="K391" t="s">
        <v>2546</v>
      </c>
      <c r="L391">
        <f>IFERROR(VLOOKUP($K391,Base_Atividades!$E$1:$N$2398,MATCH(BancoAjustado!L$1,Base_Atividades!$E$1:$N$1,0),FALSE),0)</f>
        <v>0</v>
      </c>
      <c r="M391">
        <f>IFERROR(VLOOKUP($K391,Base_Atividades!$E$1:$N$2398,MATCH(BancoAjustado!M$1,Base_Atividades!$E$1:$N$1,0),FALSE),0)</f>
        <v>0</v>
      </c>
      <c r="N391">
        <f>IFERROR(VLOOKUP($K391,Base_Atividades!$E$1:$N$2398,MATCH(BancoAjustado!N$1,Base_Atividades!$E$1:$N$1,0),FALSE),0)</f>
        <v>0</v>
      </c>
    </row>
    <row r="392" spans="1:14" x14ac:dyDescent="0.25">
      <c r="A392" t="s">
        <v>2111</v>
      </c>
      <c r="B392" t="s">
        <v>2532</v>
      </c>
      <c r="C392" t="s">
        <v>2538</v>
      </c>
      <c r="D392" t="s">
        <v>2547</v>
      </c>
      <c r="E392" t="s">
        <v>2548</v>
      </c>
      <c r="F392" t="str">
        <f>VLOOKUP(A392,Base!$A:$F,6,FALSE)</f>
        <v>INDÚSTRIAS DE TRANSFORMAÇÃO</v>
      </c>
      <c r="G392" t="str">
        <f>VLOOKUP(B392,Base!$B:$F,5,FALSE)</f>
        <v>METALURGIA</v>
      </c>
      <c r="H392" t="str">
        <f>VLOOKUP(C392,Base!$C:$F,4,FALSE)</f>
        <v>Siderurgia</v>
      </c>
      <c r="I392" t="str">
        <f>VLOOKUP(D392,Base!$D:$F,3,FALSE)</f>
        <v>Produção de relaminados, trefilados e perfilados de aço</v>
      </c>
      <c r="J392" t="str">
        <f>VLOOKUP(E392,Base!$E:$F,2,FALSE)</f>
        <v>Produção de arames de aço</v>
      </c>
      <c r="K392" t="s">
        <v>2548</v>
      </c>
      <c r="L392">
        <f>IFERROR(VLOOKUP($K392,Base_Atividades!$E$1:$N$2398,MATCH(BancoAjustado!L$1,Base_Atividades!$E$1:$N$1,0),FALSE),0)</f>
        <v>0</v>
      </c>
      <c r="M392">
        <f>IFERROR(VLOOKUP($K392,Base_Atividades!$E$1:$N$2398,MATCH(BancoAjustado!M$1,Base_Atividades!$E$1:$N$1,0),FALSE),0)</f>
        <v>0</v>
      </c>
      <c r="N392">
        <f>IFERROR(VLOOKUP($K392,Base_Atividades!$E$1:$N$2398,MATCH(BancoAjustado!N$1,Base_Atividades!$E$1:$N$1,0),FALSE),0)</f>
        <v>0</v>
      </c>
    </row>
    <row r="393" spans="1:14" x14ac:dyDescent="0.25">
      <c r="A393" t="s">
        <v>2111</v>
      </c>
      <c r="B393" t="s">
        <v>2532</v>
      </c>
      <c r="C393" t="s">
        <v>2538</v>
      </c>
      <c r="D393" t="s">
        <v>2547</v>
      </c>
      <c r="E393" t="s">
        <v>2549</v>
      </c>
      <c r="F393" t="str">
        <f>VLOOKUP(A393,Base!$A:$F,6,FALSE)</f>
        <v>INDÚSTRIAS DE TRANSFORMAÇÃO</v>
      </c>
      <c r="G393" t="str">
        <f>VLOOKUP(B393,Base!$B:$F,5,FALSE)</f>
        <v>METALURGIA</v>
      </c>
      <c r="H393" t="str">
        <f>VLOOKUP(C393,Base!$C:$F,4,FALSE)</f>
        <v>Siderurgia</v>
      </c>
      <c r="I393" t="str">
        <f>VLOOKUP(D393,Base!$D:$F,3,FALSE)</f>
        <v>Produção de relaminados, trefilados e perfilados de aço</v>
      </c>
      <c r="J393" t="str">
        <f>VLOOKUP(E393,Base!$E:$F,2,FALSE)</f>
        <v>Produção de relaminados, trefilados e perfilados de aço, exceto arames</v>
      </c>
      <c r="K393" t="s">
        <v>2549</v>
      </c>
      <c r="L393">
        <f>IFERROR(VLOOKUP($K393,Base_Atividades!$E$1:$N$2398,MATCH(BancoAjustado!L$1,Base_Atividades!$E$1:$N$1,0),FALSE),0)</f>
        <v>0</v>
      </c>
      <c r="M393">
        <f>IFERROR(VLOOKUP($K393,Base_Atividades!$E$1:$N$2398,MATCH(BancoAjustado!M$1,Base_Atividades!$E$1:$N$1,0),FALSE),0)</f>
        <v>0</v>
      </c>
      <c r="N393">
        <f>IFERROR(VLOOKUP($K393,Base_Atividades!$E$1:$N$2398,MATCH(BancoAjustado!N$1,Base_Atividades!$E$1:$N$1,0),FALSE),0)</f>
        <v>0</v>
      </c>
    </row>
    <row r="394" spans="1:14" x14ac:dyDescent="0.25">
      <c r="A394" t="s">
        <v>2111</v>
      </c>
      <c r="B394" t="s">
        <v>2532</v>
      </c>
      <c r="C394" t="s">
        <v>2550</v>
      </c>
      <c r="D394" t="s">
        <v>2551</v>
      </c>
      <c r="E394" t="s">
        <v>2552</v>
      </c>
      <c r="F394" t="str">
        <f>VLOOKUP(A394,Base!$A:$F,6,FALSE)</f>
        <v>INDÚSTRIAS DE TRANSFORMAÇÃO</v>
      </c>
      <c r="G394" t="str">
        <f>VLOOKUP(B394,Base!$B:$F,5,FALSE)</f>
        <v>METALURGIA</v>
      </c>
      <c r="H394" t="str">
        <f>VLOOKUP(C394,Base!$C:$F,4,FALSE)</f>
        <v>Produção de tubos de aço, exceto tubos sem costura</v>
      </c>
      <c r="I394" t="str">
        <f>VLOOKUP(D394,Base!$D:$F,3,FALSE)</f>
        <v>Produção de tubos de aço com costura</v>
      </c>
      <c r="J394" t="str">
        <f>VLOOKUP(E394,Base!$E:$F,2,FALSE)</f>
        <v>Produção de tubos de aço com costura</v>
      </c>
      <c r="K394" t="s">
        <v>2552</v>
      </c>
      <c r="L394">
        <f>IFERROR(VLOOKUP($K394,Base_Atividades!$E$1:$N$2398,MATCH(BancoAjustado!L$1,Base_Atividades!$E$1:$N$1,0),FALSE),0)</f>
        <v>0</v>
      </c>
      <c r="M394">
        <f>IFERROR(VLOOKUP($K394,Base_Atividades!$E$1:$N$2398,MATCH(BancoAjustado!M$1,Base_Atividades!$E$1:$N$1,0),FALSE),0)</f>
        <v>0</v>
      </c>
      <c r="N394">
        <f>IFERROR(VLOOKUP($K394,Base_Atividades!$E$1:$N$2398,MATCH(BancoAjustado!N$1,Base_Atividades!$E$1:$N$1,0),FALSE),0)</f>
        <v>0</v>
      </c>
    </row>
    <row r="395" spans="1:14" x14ac:dyDescent="0.25">
      <c r="A395" t="s">
        <v>2111</v>
      </c>
      <c r="B395" t="s">
        <v>2532</v>
      </c>
      <c r="C395" t="s">
        <v>2550</v>
      </c>
      <c r="D395" t="s">
        <v>2553</v>
      </c>
      <c r="E395" t="s">
        <v>2554</v>
      </c>
      <c r="F395" t="str">
        <f>VLOOKUP(A395,Base!$A:$F,6,FALSE)</f>
        <v>INDÚSTRIAS DE TRANSFORMAÇÃO</v>
      </c>
      <c r="G395" t="str">
        <f>VLOOKUP(B395,Base!$B:$F,5,FALSE)</f>
        <v>METALURGIA</v>
      </c>
      <c r="H395" t="str">
        <f>VLOOKUP(C395,Base!$C:$F,4,FALSE)</f>
        <v>Produção de tubos de aço, exceto tubos sem costura</v>
      </c>
      <c r="I395" t="str">
        <f>VLOOKUP(D395,Base!$D:$F,3,FALSE)</f>
        <v>Produção de outros tubos de ferro e aço</v>
      </c>
      <c r="J395" t="str">
        <f>VLOOKUP(E395,Base!$E:$F,2,FALSE)</f>
        <v>Produção de outros tubos de ferro e aço</v>
      </c>
      <c r="K395" t="s">
        <v>2554</v>
      </c>
      <c r="L395">
        <f>IFERROR(VLOOKUP($K395,Base_Atividades!$E$1:$N$2398,MATCH(BancoAjustado!L$1,Base_Atividades!$E$1:$N$1,0),FALSE),0)</f>
        <v>0</v>
      </c>
      <c r="M395">
        <f>IFERROR(VLOOKUP($K395,Base_Atividades!$E$1:$N$2398,MATCH(BancoAjustado!M$1,Base_Atividades!$E$1:$N$1,0),FALSE),0)</f>
        <v>0</v>
      </c>
      <c r="N395">
        <f>IFERROR(VLOOKUP($K395,Base_Atividades!$E$1:$N$2398,MATCH(BancoAjustado!N$1,Base_Atividades!$E$1:$N$1,0),FALSE),0)</f>
        <v>0</v>
      </c>
    </row>
    <row r="396" spans="1:14" x14ac:dyDescent="0.25">
      <c r="A396" t="s">
        <v>2111</v>
      </c>
      <c r="B396" t="s">
        <v>2532</v>
      </c>
      <c r="C396" t="s">
        <v>2555</v>
      </c>
      <c r="D396" t="s">
        <v>2556</v>
      </c>
      <c r="E396" t="s">
        <v>2557</v>
      </c>
      <c r="F396" t="str">
        <f>VLOOKUP(A396,Base!$A:$F,6,FALSE)</f>
        <v>INDÚSTRIAS DE TRANSFORMAÇÃO</v>
      </c>
      <c r="G396" t="str">
        <f>VLOOKUP(B396,Base!$B:$F,5,FALSE)</f>
        <v>METALURGIA</v>
      </c>
      <c r="H396" t="str">
        <f>VLOOKUP(C396,Base!$C:$F,4,FALSE)</f>
        <v>Metalurgia dos metais não ferrosos</v>
      </c>
      <c r="I396" t="str">
        <f>VLOOKUP(D396,Base!$D:$F,3,FALSE)</f>
        <v>Metalurgia do alumínio e suas ligas</v>
      </c>
      <c r="J396" t="str">
        <f>VLOOKUP(E396,Base!$E:$F,2,FALSE)</f>
        <v>Produção de alumínio e suas ligas em formas primárias</v>
      </c>
      <c r="K396" t="s">
        <v>2557</v>
      </c>
      <c r="L396">
        <f>IFERROR(VLOOKUP($K396,Base_Atividades!$E$1:$N$2398,MATCH(BancoAjustado!L$1,Base_Atividades!$E$1:$N$1,0),FALSE),0)</f>
        <v>0</v>
      </c>
      <c r="M396">
        <f>IFERROR(VLOOKUP($K396,Base_Atividades!$E$1:$N$2398,MATCH(BancoAjustado!M$1,Base_Atividades!$E$1:$N$1,0),FALSE),0)</f>
        <v>0</v>
      </c>
      <c r="N396">
        <f>IFERROR(VLOOKUP($K396,Base_Atividades!$E$1:$N$2398,MATCH(BancoAjustado!N$1,Base_Atividades!$E$1:$N$1,0),FALSE),0)</f>
        <v>0</v>
      </c>
    </row>
    <row r="397" spans="1:14" x14ac:dyDescent="0.25">
      <c r="A397" t="s">
        <v>2111</v>
      </c>
      <c r="B397" t="s">
        <v>2532</v>
      </c>
      <c r="C397" t="s">
        <v>2555</v>
      </c>
      <c r="D397" t="s">
        <v>2556</v>
      </c>
      <c r="E397" t="s">
        <v>2558</v>
      </c>
      <c r="F397" t="str">
        <f>VLOOKUP(A397,Base!$A:$F,6,FALSE)</f>
        <v>INDÚSTRIAS DE TRANSFORMAÇÃO</v>
      </c>
      <c r="G397" t="str">
        <f>VLOOKUP(B397,Base!$B:$F,5,FALSE)</f>
        <v>METALURGIA</v>
      </c>
      <c r="H397" t="str">
        <f>VLOOKUP(C397,Base!$C:$F,4,FALSE)</f>
        <v>Metalurgia dos metais não ferrosos</v>
      </c>
      <c r="I397" t="str">
        <f>VLOOKUP(D397,Base!$D:$F,3,FALSE)</f>
        <v>Metalurgia do alumínio e suas ligas</v>
      </c>
      <c r="J397" t="str">
        <f>VLOOKUP(E397,Base!$E:$F,2,FALSE)</f>
        <v>Produção de laminados de alumínio</v>
      </c>
      <c r="K397" t="s">
        <v>2558</v>
      </c>
      <c r="L397">
        <f>IFERROR(VLOOKUP($K397,Base_Atividades!$E$1:$N$2398,MATCH(BancoAjustado!L$1,Base_Atividades!$E$1:$N$1,0),FALSE),0)</f>
        <v>0</v>
      </c>
      <c r="M397">
        <f>IFERROR(VLOOKUP($K397,Base_Atividades!$E$1:$N$2398,MATCH(BancoAjustado!M$1,Base_Atividades!$E$1:$N$1,0),FALSE),0)</f>
        <v>0</v>
      </c>
      <c r="N397">
        <f>IFERROR(VLOOKUP($K397,Base_Atividades!$E$1:$N$2398,MATCH(BancoAjustado!N$1,Base_Atividades!$E$1:$N$1,0),FALSE),0)</f>
        <v>0</v>
      </c>
    </row>
    <row r="398" spans="1:14" x14ac:dyDescent="0.25">
      <c r="A398" t="s">
        <v>2111</v>
      </c>
      <c r="B398" t="s">
        <v>2532</v>
      </c>
      <c r="C398" t="s">
        <v>2555</v>
      </c>
      <c r="D398" t="s">
        <v>2559</v>
      </c>
      <c r="E398" t="s">
        <v>2560</v>
      </c>
      <c r="F398" t="str">
        <f>VLOOKUP(A398,Base!$A:$F,6,FALSE)</f>
        <v>INDÚSTRIAS DE TRANSFORMAÇÃO</v>
      </c>
      <c r="G398" t="str">
        <f>VLOOKUP(B398,Base!$B:$F,5,FALSE)</f>
        <v>METALURGIA</v>
      </c>
      <c r="H398" t="str">
        <f>VLOOKUP(C398,Base!$C:$F,4,FALSE)</f>
        <v>Metalurgia dos metais não ferrosos</v>
      </c>
      <c r="I398" t="str">
        <f>VLOOKUP(D398,Base!$D:$F,3,FALSE)</f>
        <v>Metalurgia dos metais preciosos</v>
      </c>
      <c r="J398" t="str">
        <f>VLOOKUP(E398,Base!$E:$F,2,FALSE)</f>
        <v>Metalurgia dos metais preciosos</v>
      </c>
      <c r="K398" t="s">
        <v>2560</v>
      </c>
      <c r="L398">
        <f>IFERROR(VLOOKUP($K398,Base_Atividades!$E$1:$N$2398,MATCH(BancoAjustado!L$1,Base_Atividades!$E$1:$N$1,0),FALSE),0)</f>
        <v>0</v>
      </c>
      <c r="M398">
        <f>IFERROR(VLOOKUP($K398,Base_Atividades!$E$1:$N$2398,MATCH(BancoAjustado!M$1,Base_Atividades!$E$1:$N$1,0),FALSE),0)</f>
        <v>0</v>
      </c>
      <c r="N398">
        <f>IFERROR(VLOOKUP($K398,Base_Atividades!$E$1:$N$2398,MATCH(BancoAjustado!N$1,Base_Atividades!$E$1:$N$1,0),FALSE),0)</f>
        <v>0</v>
      </c>
    </row>
    <row r="399" spans="1:14" x14ac:dyDescent="0.25">
      <c r="A399" t="s">
        <v>2111</v>
      </c>
      <c r="B399" t="s">
        <v>2532</v>
      </c>
      <c r="C399" t="s">
        <v>2555</v>
      </c>
      <c r="D399" t="s">
        <v>2561</v>
      </c>
      <c r="E399" t="s">
        <v>2562</v>
      </c>
      <c r="F399" t="str">
        <f>VLOOKUP(A399,Base!$A:$F,6,FALSE)</f>
        <v>INDÚSTRIAS DE TRANSFORMAÇÃO</v>
      </c>
      <c r="G399" t="str">
        <f>VLOOKUP(B399,Base!$B:$F,5,FALSE)</f>
        <v>METALURGIA</v>
      </c>
      <c r="H399" t="str">
        <f>VLOOKUP(C399,Base!$C:$F,4,FALSE)</f>
        <v>Metalurgia dos metais não ferrosos</v>
      </c>
      <c r="I399" t="str">
        <f>VLOOKUP(D399,Base!$D:$F,3,FALSE)</f>
        <v>Metalurgia do cobre</v>
      </c>
      <c r="J399" t="str">
        <f>VLOOKUP(E399,Base!$E:$F,2,FALSE)</f>
        <v>Metalurgia do cobre</v>
      </c>
      <c r="K399" t="s">
        <v>2562</v>
      </c>
      <c r="L399">
        <f>IFERROR(VLOOKUP($K399,Base_Atividades!$E$1:$N$2398,MATCH(BancoAjustado!L$1,Base_Atividades!$E$1:$N$1,0),FALSE),0)</f>
        <v>0</v>
      </c>
      <c r="M399">
        <f>IFERROR(VLOOKUP($K399,Base_Atividades!$E$1:$N$2398,MATCH(BancoAjustado!M$1,Base_Atividades!$E$1:$N$1,0),FALSE),0)</f>
        <v>0</v>
      </c>
      <c r="N399">
        <f>IFERROR(VLOOKUP($K399,Base_Atividades!$E$1:$N$2398,MATCH(BancoAjustado!N$1,Base_Atividades!$E$1:$N$1,0),FALSE),0)</f>
        <v>0</v>
      </c>
    </row>
    <row r="400" spans="1:14" x14ac:dyDescent="0.25">
      <c r="A400" t="s">
        <v>2111</v>
      </c>
      <c r="B400" t="s">
        <v>2532</v>
      </c>
      <c r="C400" t="s">
        <v>2555</v>
      </c>
      <c r="D400" t="s">
        <v>2563</v>
      </c>
      <c r="E400" t="s">
        <v>2564</v>
      </c>
      <c r="F400" t="str">
        <f>VLOOKUP(A400,Base!$A:$F,6,FALSE)</f>
        <v>INDÚSTRIAS DE TRANSFORMAÇÃO</v>
      </c>
      <c r="G400" t="str">
        <f>VLOOKUP(B400,Base!$B:$F,5,FALSE)</f>
        <v>METALURGIA</v>
      </c>
      <c r="H400" t="str">
        <f>VLOOKUP(C400,Base!$C:$F,4,FALSE)</f>
        <v>Metalurgia dos metais não ferrosos</v>
      </c>
      <c r="I400" t="str">
        <f>VLOOKUP(D400,Base!$D:$F,3,FALSE)</f>
        <v>Metalurgia dos metais não ferrosos e suas ligas não especificados anteriormente</v>
      </c>
      <c r="J400" t="str">
        <f>VLOOKUP(E400,Base!$E:$F,2,FALSE)</f>
        <v>Produção de zinco em formas primárias</v>
      </c>
      <c r="K400" t="s">
        <v>2564</v>
      </c>
      <c r="L400">
        <f>IFERROR(VLOOKUP($K400,Base_Atividades!$E$1:$N$2398,MATCH(BancoAjustado!L$1,Base_Atividades!$E$1:$N$1,0),FALSE),0)</f>
        <v>0</v>
      </c>
      <c r="M400">
        <f>IFERROR(VLOOKUP($K400,Base_Atividades!$E$1:$N$2398,MATCH(BancoAjustado!M$1,Base_Atividades!$E$1:$N$1,0),FALSE),0)</f>
        <v>0</v>
      </c>
      <c r="N400">
        <f>IFERROR(VLOOKUP($K400,Base_Atividades!$E$1:$N$2398,MATCH(BancoAjustado!N$1,Base_Atividades!$E$1:$N$1,0),FALSE),0)</f>
        <v>0</v>
      </c>
    </row>
    <row r="401" spans="1:14" x14ac:dyDescent="0.25">
      <c r="A401" t="s">
        <v>2111</v>
      </c>
      <c r="B401" t="s">
        <v>2532</v>
      </c>
      <c r="C401" t="s">
        <v>2555</v>
      </c>
      <c r="D401" t="s">
        <v>2563</v>
      </c>
      <c r="E401" t="s">
        <v>2565</v>
      </c>
      <c r="F401" t="str">
        <f>VLOOKUP(A401,Base!$A:$F,6,FALSE)</f>
        <v>INDÚSTRIAS DE TRANSFORMAÇÃO</v>
      </c>
      <c r="G401" t="str">
        <f>VLOOKUP(B401,Base!$B:$F,5,FALSE)</f>
        <v>METALURGIA</v>
      </c>
      <c r="H401" t="str">
        <f>VLOOKUP(C401,Base!$C:$F,4,FALSE)</f>
        <v>Metalurgia dos metais não ferrosos</v>
      </c>
      <c r="I401" t="str">
        <f>VLOOKUP(D401,Base!$D:$F,3,FALSE)</f>
        <v>Metalurgia dos metais não ferrosos e suas ligas não especificados anteriormente</v>
      </c>
      <c r="J401" t="str">
        <f>VLOOKUP(E401,Base!$E:$F,2,FALSE)</f>
        <v>Produção de laminados de zinco</v>
      </c>
      <c r="K401" t="s">
        <v>2565</v>
      </c>
      <c r="L401">
        <f>IFERROR(VLOOKUP($K401,Base_Atividades!$E$1:$N$2398,MATCH(BancoAjustado!L$1,Base_Atividades!$E$1:$N$1,0),FALSE),0)</f>
        <v>0</v>
      </c>
      <c r="M401">
        <f>IFERROR(VLOOKUP($K401,Base_Atividades!$E$1:$N$2398,MATCH(BancoAjustado!M$1,Base_Atividades!$E$1:$N$1,0),FALSE),0)</f>
        <v>0</v>
      </c>
      <c r="N401">
        <f>IFERROR(VLOOKUP($K401,Base_Atividades!$E$1:$N$2398,MATCH(BancoAjustado!N$1,Base_Atividades!$E$1:$N$1,0),FALSE),0)</f>
        <v>0</v>
      </c>
    </row>
    <row r="402" spans="1:14" x14ac:dyDescent="0.25">
      <c r="A402" t="s">
        <v>2111</v>
      </c>
      <c r="B402" t="s">
        <v>2532</v>
      </c>
      <c r="C402" t="s">
        <v>2555</v>
      </c>
      <c r="D402" t="s">
        <v>2563</v>
      </c>
      <c r="E402" t="s">
        <v>2566</v>
      </c>
      <c r="F402" t="str">
        <f>VLOOKUP(A402,Base!$A:$F,6,FALSE)</f>
        <v>INDÚSTRIAS DE TRANSFORMAÇÃO</v>
      </c>
      <c r="G402" t="str">
        <f>VLOOKUP(B402,Base!$B:$F,5,FALSE)</f>
        <v>METALURGIA</v>
      </c>
      <c r="H402" t="str">
        <f>VLOOKUP(C402,Base!$C:$F,4,FALSE)</f>
        <v>Metalurgia dos metais não ferrosos</v>
      </c>
      <c r="I402" t="str">
        <f>VLOOKUP(D402,Base!$D:$F,3,FALSE)</f>
        <v>Metalurgia dos metais não ferrosos e suas ligas não especificados anteriormente</v>
      </c>
      <c r="J402" t="str">
        <f>VLOOKUP(E402,Base!$E:$F,2,FALSE)</f>
        <v>Fabricação de ânodos para galvanoplastia</v>
      </c>
      <c r="K402" t="s">
        <v>2566</v>
      </c>
      <c r="L402">
        <f>IFERROR(VLOOKUP($K402,Base_Atividades!$E$1:$N$2398,MATCH(BancoAjustado!L$1,Base_Atividades!$E$1:$N$1,0),FALSE),0)</f>
        <v>0</v>
      </c>
      <c r="M402">
        <f>IFERROR(VLOOKUP($K402,Base_Atividades!$E$1:$N$2398,MATCH(BancoAjustado!M$1,Base_Atividades!$E$1:$N$1,0),FALSE),0)</f>
        <v>0</v>
      </c>
      <c r="N402">
        <f>IFERROR(VLOOKUP($K402,Base_Atividades!$E$1:$N$2398,MATCH(BancoAjustado!N$1,Base_Atividades!$E$1:$N$1,0),FALSE),0)</f>
        <v>0</v>
      </c>
    </row>
    <row r="403" spans="1:14" x14ac:dyDescent="0.25">
      <c r="A403" t="s">
        <v>2111</v>
      </c>
      <c r="B403" t="s">
        <v>2532</v>
      </c>
      <c r="C403" t="s">
        <v>2555</v>
      </c>
      <c r="D403" t="s">
        <v>2563</v>
      </c>
      <c r="E403" t="s">
        <v>2567</v>
      </c>
      <c r="F403" t="str">
        <f>VLOOKUP(A403,Base!$A:$F,6,FALSE)</f>
        <v>INDÚSTRIAS DE TRANSFORMAÇÃO</v>
      </c>
      <c r="G403" t="str">
        <f>VLOOKUP(B403,Base!$B:$F,5,FALSE)</f>
        <v>METALURGIA</v>
      </c>
      <c r="H403" t="str">
        <f>VLOOKUP(C403,Base!$C:$F,4,FALSE)</f>
        <v>Metalurgia dos metais não ferrosos</v>
      </c>
      <c r="I403" t="str">
        <f>VLOOKUP(D403,Base!$D:$F,3,FALSE)</f>
        <v>Metalurgia dos metais não ferrosos e suas ligas não especificados anteriormente</v>
      </c>
      <c r="J403" t="str">
        <f>VLOOKUP(E403,Base!$E:$F,2,FALSE)</f>
        <v>Metalurgia de outros metais não ferrosos e suas ligas não especificados anteriormente</v>
      </c>
      <c r="K403" t="s">
        <v>2567</v>
      </c>
      <c r="L403">
        <f>IFERROR(VLOOKUP($K403,Base_Atividades!$E$1:$N$2398,MATCH(BancoAjustado!L$1,Base_Atividades!$E$1:$N$1,0),FALSE),0)</f>
        <v>0</v>
      </c>
      <c r="M403">
        <f>IFERROR(VLOOKUP($K403,Base_Atividades!$E$1:$N$2398,MATCH(BancoAjustado!M$1,Base_Atividades!$E$1:$N$1,0),FALSE),0)</f>
        <v>0</v>
      </c>
      <c r="N403">
        <f>IFERROR(VLOOKUP($K403,Base_Atividades!$E$1:$N$2398,MATCH(BancoAjustado!N$1,Base_Atividades!$E$1:$N$1,0),FALSE),0)</f>
        <v>0</v>
      </c>
    </row>
    <row r="404" spans="1:14" x14ac:dyDescent="0.25">
      <c r="A404" t="s">
        <v>2111</v>
      </c>
      <c r="B404" t="s">
        <v>2532</v>
      </c>
      <c r="C404" t="s">
        <v>2568</v>
      </c>
      <c r="D404" t="s">
        <v>2569</v>
      </c>
      <c r="E404" t="s">
        <v>2570</v>
      </c>
      <c r="F404" t="str">
        <f>VLOOKUP(A404,Base!$A:$F,6,FALSE)</f>
        <v>INDÚSTRIAS DE TRANSFORMAÇÃO</v>
      </c>
      <c r="G404" t="str">
        <f>VLOOKUP(B404,Base!$B:$F,5,FALSE)</f>
        <v>METALURGIA</v>
      </c>
      <c r="H404" t="str">
        <f>VLOOKUP(C404,Base!$C:$F,4,FALSE)</f>
        <v>Fundição</v>
      </c>
      <c r="I404" t="str">
        <f>VLOOKUP(D404,Base!$D:$F,3,FALSE)</f>
        <v>Fundição de ferro e aço</v>
      </c>
      <c r="J404" t="str">
        <f>VLOOKUP(E404,Base!$E:$F,2,FALSE)</f>
        <v>Fundição de ferro e aço</v>
      </c>
      <c r="K404" t="s">
        <v>2570</v>
      </c>
      <c r="L404">
        <f>IFERROR(VLOOKUP($K404,Base_Atividades!$E$1:$N$2398,MATCH(BancoAjustado!L$1,Base_Atividades!$E$1:$N$1,0),FALSE),0)</f>
        <v>0</v>
      </c>
      <c r="M404">
        <f>IFERROR(VLOOKUP($K404,Base_Atividades!$E$1:$N$2398,MATCH(BancoAjustado!M$1,Base_Atividades!$E$1:$N$1,0),FALSE),0)</f>
        <v>0</v>
      </c>
      <c r="N404">
        <f>IFERROR(VLOOKUP($K404,Base_Atividades!$E$1:$N$2398,MATCH(BancoAjustado!N$1,Base_Atividades!$E$1:$N$1,0),FALSE),0)</f>
        <v>0</v>
      </c>
    </row>
    <row r="405" spans="1:14" x14ac:dyDescent="0.25">
      <c r="A405" t="s">
        <v>2111</v>
      </c>
      <c r="B405" t="s">
        <v>2532</v>
      </c>
      <c r="C405" t="s">
        <v>2568</v>
      </c>
      <c r="D405" t="s">
        <v>2571</v>
      </c>
      <c r="E405" t="s">
        <v>2572</v>
      </c>
      <c r="F405" t="str">
        <f>VLOOKUP(A405,Base!$A:$F,6,FALSE)</f>
        <v>INDÚSTRIAS DE TRANSFORMAÇÃO</v>
      </c>
      <c r="G405" t="str">
        <f>VLOOKUP(B405,Base!$B:$F,5,FALSE)</f>
        <v>METALURGIA</v>
      </c>
      <c r="H405" t="str">
        <f>VLOOKUP(C405,Base!$C:$F,4,FALSE)</f>
        <v>Fundição</v>
      </c>
      <c r="I405" t="str">
        <f>VLOOKUP(D405,Base!$D:$F,3,FALSE)</f>
        <v>Fundição de metais não ferrosos e suas ligas</v>
      </c>
      <c r="J405" t="str">
        <f>VLOOKUP(E405,Base!$E:$F,2,FALSE)</f>
        <v>Fundição de metais não ferrosos e suas ligas</v>
      </c>
      <c r="K405" t="s">
        <v>2572</v>
      </c>
      <c r="L405">
        <f>IFERROR(VLOOKUP($K405,Base_Atividades!$E$1:$N$2398,MATCH(BancoAjustado!L$1,Base_Atividades!$E$1:$N$1,0),FALSE),0)</f>
        <v>0</v>
      </c>
      <c r="M405">
        <f>IFERROR(VLOOKUP($K405,Base_Atividades!$E$1:$N$2398,MATCH(BancoAjustado!M$1,Base_Atividades!$E$1:$N$1,0),FALSE),0)</f>
        <v>0</v>
      </c>
      <c r="N405">
        <f>IFERROR(VLOOKUP($K405,Base_Atividades!$E$1:$N$2398,MATCH(BancoAjustado!N$1,Base_Atividades!$E$1:$N$1,0),FALSE),0)</f>
        <v>0</v>
      </c>
    </row>
    <row r="406" spans="1:14" x14ac:dyDescent="0.25">
      <c r="A406" t="s">
        <v>2111</v>
      </c>
      <c r="B406" t="s">
        <v>2573</v>
      </c>
      <c r="C406" t="s">
        <v>2574</v>
      </c>
      <c r="D406" t="s">
        <v>2575</v>
      </c>
      <c r="E406" t="s">
        <v>2576</v>
      </c>
      <c r="F406" t="str">
        <f>VLOOKUP(A406,Base!$A:$F,6,FALSE)</f>
        <v>INDÚSTRIAS DE TRANSFORMAÇÃO</v>
      </c>
      <c r="G406" t="str">
        <f>VLOOKUP(B406,Base!$B:$F,5,FALSE)</f>
        <v>FABRICAÇÃO DE PRODUTOS DE METAL, EXCETO MÁQUINAS
E EQUIPAMENTOS</v>
      </c>
      <c r="H406" t="str">
        <f>VLOOKUP(C406,Base!$C:$F,4,FALSE)</f>
        <v>Fabricação de estruturas metálicas e obras de caldeiraria
pesada</v>
      </c>
      <c r="I406" t="str">
        <f>VLOOKUP(D406,Base!$D:$F,3,FALSE)</f>
        <v>Fabricação de estruturas metálicas</v>
      </c>
      <c r="J406" t="str">
        <f>VLOOKUP(E406,Base!$E:$F,2,FALSE)</f>
        <v>Fabricação de estruturas metálicas</v>
      </c>
      <c r="K406" t="s">
        <v>2576</v>
      </c>
      <c r="L406">
        <f>IFERROR(VLOOKUP($K406,Base_Atividades!$E$1:$N$2398,MATCH(BancoAjustado!L$1,Base_Atividades!$E$1:$N$1,0),FALSE),0)</f>
        <v>1</v>
      </c>
      <c r="M406">
        <f>IFERROR(VLOOKUP($K406,Base_Atividades!$E$1:$N$2398,MATCH(BancoAjustado!M$1,Base_Atividades!$E$1:$N$1,0),FALSE),0)</f>
        <v>0</v>
      </c>
      <c r="N406">
        <f>IFERROR(VLOOKUP($K406,Base_Atividades!$E$1:$N$2398,MATCH(BancoAjustado!N$1,Base_Atividades!$E$1:$N$1,0),FALSE),0)</f>
        <v>0</v>
      </c>
    </row>
    <row r="407" spans="1:14" x14ac:dyDescent="0.25">
      <c r="A407" t="s">
        <v>2111</v>
      </c>
      <c r="B407" t="s">
        <v>2573</v>
      </c>
      <c r="C407" t="s">
        <v>2574</v>
      </c>
      <c r="D407" t="s">
        <v>2577</v>
      </c>
      <c r="E407" t="s">
        <v>2578</v>
      </c>
      <c r="F407" t="str">
        <f>VLOOKUP(A407,Base!$A:$F,6,FALSE)</f>
        <v>INDÚSTRIAS DE TRANSFORMAÇÃO</v>
      </c>
      <c r="G407" t="str">
        <f>VLOOKUP(B407,Base!$B:$F,5,FALSE)</f>
        <v>FABRICAÇÃO DE PRODUTOS DE METAL, EXCETO MÁQUINAS
E EQUIPAMENTOS</v>
      </c>
      <c r="H407" t="str">
        <f>VLOOKUP(C407,Base!$C:$F,4,FALSE)</f>
        <v>Fabricação de estruturas metálicas e obras de caldeiraria
pesada</v>
      </c>
      <c r="I407" t="str">
        <f>VLOOKUP(D407,Base!$D:$F,3,FALSE)</f>
        <v>Fabricação de esquadrias de metal</v>
      </c>
      <c r="J407" t="str">
        <f>VLOOKUP(E407,Base!$E:$F,2,FALSE)</f>
        <v>Fabricação de esquadrias de metal</v>
      </c>
      <c r="K407" t="s">
        <v>2578</v>
      </c>
      <c r="L407">
        <f>IFERROR(VLOOKUP($K407,Base_Atividades!$E$1:$N$2398,MATCH(BancoAjustado!L$1,Base_Atividades!$E$1:$N$1,0),FALSE),0)</f>
        <v>1</v>
      </c>
      <c r="M407">
        <f>IFERROR(VLOOKUP($K407,Base_Atividades!$E$1:$N$2398,MATCH(BancoAjustado!M$1,Base_Atividades!$E$1:$N$1,0),FALSE),0)</f>
        <v>0</v>
      </c>
      <c r="N407">
        <f>IFERROR(VLOOKUP($K407,Base_Atividades!$E$1:$N$2398,MATCH(BancoAjustado!N$1,Base_Atividades!$E$1:$N$1,0),FALSE),0)</f>
        <v>0</v>
      </c>
    </row>
    <row r="408" spans="1:14" x14ac:dyDescent="0.25">
      <c r="A408" t="s">
        <v>2111</v>
      </c>
      <c r="B408" t="s">
        <v>2573</v>
      </c>
      <c r="C408" t="s">
        <v>2574</v>
      </c>
      <c r="D408" t="s">
        <v>2579</v>
      </c>
      <c r="E408" t="s">
        <v>2580</v>
      </c>
      <c r="F408" t="str">
        <f>VLOOKUP(A408,Base!$A:$F,6,FALSE)</f>
        <v>INDÚSTRIAS DE TRANSFORMAÇÃO</v>
      </c>
      <c r="G408" t="str">
        <f>VLOOKUP(B408,Base!$B:$F,5,FALSE)</f>
        <v>FABRICAÇÃO DE PRODUTOS DE METAL, EXCETO MÁQUINAS
E EQUIPAMENTOS</v>
      </c>
      <c r="H408" t="str">
        <f>VLOOKUP(C408,Base!$C:$F,4,FALSE)</f>
        <v>Fabricação de estruturas metálicas e obras de caldeiraria
pesada</v>
      </c>
      <c r="I408" t="str">
        <f>VLOOKUP(D408,Base!$D:$F,3,FALSE)</f>
        <v>Fabricação de obras de caldeiraria pesada</v>
      </c>
      <c r="J408" t="str">
        <f>VLOOKUP(E408,Base!$E:$F,2,FALSE)</f>
        <v>Fabricação de obras de caldeiraria pesada</v>
      </c>
      <c r="K408" t="s">
        <v>2580</v>
      </c>
      <c r="L408">
        <f>IFERROR(VLOOKUP($K408,Base_Atividades!$E$1:$N$2398,MATCH(BancoAjustado!L$1,Base_Atividades!$E$1:$N$1,0),FALSE),0)</f>
        <v>1</v>
      </c>
      <c r="M408">
        <f>IFERROR(VLOOKUP($K408,Base_Atividades!$E$1:$N$2398,MATCH(BancoAjustado!M$1,Base_Atividades!$E$1:$N$1,0),FALSE),0)</f>
        <v>0</v>
      </c>
      <c r="N408">
        <f>IFERROR(VLOOKUP($K408,Base_Atividades!$E$1:$N$2398,MATCH(BancoAjustado!N$1,Base_Atividades!$E$1:$N$1,0),FALSE),0)</f>
        <v>0</v>
      </c>
    </row>
    <row r="409" spans="1:14" x14ac:dyDescent="0.25">
      <c r="A409" t="s">
        <v>2111</v>
      </c>
      <c r="B409" t="s">
        <v>2573</v>
      </c>
      <c r="C409" t="s">
        <v>2581</v>
      </c>
      <c r="D409" t="s">
        <v>2582</v>
      </c>
      <c r="E409" t="s">
        <v>2583</v>
      </c>
      <c r="F409" t="str">
        <f>VLOOKUP(A409,Base!$A:$F,6,FALSE)</f>
        <v>INDÚSTRIAS DE TRANSFORMAÇÃO</v>
      </c>
      <c r="G409" t="str">
        <f>VLOOKUP(B409,Base!$B:$F,5,FALSE)</f>
        <v>FABRICAÇÃO DE PRODUTOS DE METAL, EXCETO MÁQUINAS
E EQUIPAMENTOS</v>
      </c>
      <c r="H409" t="str">
        <f>VLOOKUP(C409,Base!$C:$F,4,FALSE)</f>
        <v>Fabricação de tanques, reservatórios metálicos e caldeiras</v>
      </c>
      <c r="I409" t="str">
        <f>VLOOKUP(D409,Base!$D:$F,3,FALSE)</f>
        <v>Fabricação de tanques, reservatórios metálicos e caldeiras para aquecimento central</v>
      </c>
      <c r="J409" t="str">
        <f>VLOOKUP(E409,Base!$E:$F,2,FALSE)</f>
        <v>Fabricação de tanques, reservatórios metálicos e caldeiras para aquecimento central</v>
      </c>
      <c r="K409" t="s">
        <v>2583</v>
      </c>
      <c r="L409">
        <f>IFERROR(VLOOKUP($K409,Base_Atividades!$E$1:$N$2398,MATCH(BancoAjustado!L$1,Base_Atividades!$E$1:$N$1,0),FALSE),0)</f>
        <v>1</v>
      </c>
      <c r="M409">
        <f>IFERROR(VLOOKUP($K409,Base_Atividades!$E$1:$N$2398,MATCH(BancoAjustado!M$1,Base_Atividades!$E$1:$N$1,0),FALSE),0)</f>
        <v>0</v>
      </c>
      <c r="N409">
        <f>IFERROR(VLOOKUP($K409,Base_Atividades!$E$1:$N$2398,MATCH(BancoAjustado!N$1,Base_Atividades!$E$1:$N$1,0),FALSE),0)</f>
        <v>0</v>
      </c>
    </row>
    <row r="410" spans="1:14" x14ac:dyDescent="0.25">
      <c r="A410" t="s">
        <v>2111</v>
      </c>
      <c r="B410" t="s">
        <v>2573</v>
      </c>
      <c r="C410" t="s">
        <v>2581</v>
      </c>
      <c r="D410" t="s">
        <v>2584</v>
      </c>
      <c r="E410" t="s">
        <v>2585</v>
      </c>
      <c r="F410" t="str">
        <f>VLOOKUP(A410,Base!$A:$F,6,FALSE)</f>
        <v>INDÚSTRIAS DE TRANSFORMAÇÃO</v>
      </c>
      <c r="G410" t="str">
        <f>VLOOKUP(B410,Base!$B:$F,5,FALSE)</f>
        <v>FABRICAÇÃO DE PRODUTOS DE METAL, EXCETO MÁQUINAS
E EQUIPAMENTOS</v>
      </c>
      <c r="H410" t="str">
        <f>VLOOKUP(C410,Base!$C:$F,4,FALSE)</f>
        <v>Fabricação de tanques, reservatórios metálicos e caldeiras</v>
      </c>
      <c r="I410" t="str">
        <f>VLOOKUP(D410,Base!$D:$F,3,FALSE)</f>
        <v>Fabricação de caldeiras geradoras de vapor, exceto para aquecimento central e para veículos</v>
      </c>
      <c r="J410" t="str">
        <f>VLOOKUP(E410,Base!$E:$F,2,FALSE)</f>
        <v>Fabricação de caldeiras geradoras de vapor, exceto para aquecimento central e para veículos</v>
      </c>
      <c r="K410" t="s">
        <v>2585</v>
      </c>
      <c r="L410">
        <f>IFERROR(VLOOKUP($K410,Base_Atividades!$E$1:$N$2398,MATCH(BancoAjustado!L$1,Base_Atividades!$E$1:$N$1,0),FALSE),0)</f>
        <v>1</v>
      </c>
      <c r="M410">
        <f>IFERROR(VLOOKUP($K410,Base_Atividades!$E$1:$N$2398,MATCH(BancoAjustado!M$1,Base_Atividades!$E$1:$N$1,0),FALSE),0)</f>
        <v>0</v>
      </c>
      <c r="N410">
        <f>IFERROR(VLOOKUP($K410,Base_Atividades!$E$1:$N$2398,MATCH(BancoAjustado!N$1,Base_Atividades!$E$1:$N$1,0),FALSE),0)</f>
        <v>0</v>
      </c>
    </row>
    <row r="411" spans="1:14" x14ac:dyDescent="0.25">
      <c r="A411" t="s">
        <v>2111</v>
      </c>
      <c r="B411" t="s">
        <v>2573</v>
      </c>
      <c r="C411" t="s">
        <v>2586</v>
      </c>
      <c r="D411" t="s">
        <v>2587</v>
      </c>
      <c r="E411" t="s">
        <v>2588</v>
      </c>
      <c r="F411" t="str">
        <f>VLOOKUP(A411,Base!$A:$F,6,FALSE)</f>
        <v>INDÚSTRIAS DE TRANSFORMAÇÃO</v>
      </c>
      <c r="G411" t="str">
        <f>VLOOKUP(B411,Base!$B:$F,5,FALSE)</f>
        <v>FABRICAÇÃO DE PRODUTOS DE METAL, EXCETO MÁQUINAS
E EQUIPAMENTOS</v>
      </c>
      <c r="H411" t="str">
        <f>VLOOKUP(C411,Base!$C:$F,4,FALSE)</f>
        <v>Forjaria, estamparia, metalurgia do pó e serviços de tratamento de metais</v>
      </c>
      <c r="I411" t="str">
        <f>VLOOKUP(D411,Base!$D:$F,3,FALSE)</f>
        <v>Produção de forjados de aço e de metais não ferrosos e suas ligas</v>
      </c>
      <c r="J411" t="str">
        <f>VLOOKUP(E411,Base!$E:$F,2,FALSE)</f>
        <v>Produção de forjados de aço</v>
      </c>
      <c r="K411" t="s">
        <v>2588</v>
      </c>
      <c r="L411">
        <f>IFERROR(VLOOKUP($K411,Base_Atividades!$E$1:$N$2398,MATCH(BancoAjustado!L$1,Base_Atividades!$E$1:$N$1,0),FALSE),0)</f>
        <v>1</v>
      </c>
      <c r="M411">
        <f>IFERROR(VLOOKUP($K411,Base_Atividades!$E$1:$N$2398,MATCH(BancoAjustado!M$1,Base_Atividades!$E$1:$N$1,0),FALSE),0)</f>
        <v>0</v>
      </c>
      <c r="N411">
        <f>IFERROR(VLOOKUP($K411,Base_Atividades!$E$1:$N$2398,MATCH(BancoAjustado!N$1,Base_Atividades!$E$1:$N$1,0),FALSE),0)</f>
        <v>0</v>
      </c>
    </row>
    <row r="412" spans="1:14" x14ac:dyDescent="0.25">
      <c r="A412" t="s">
        <v>2111</v>
      </c>
      <c r="B412" t="s">
        <v>2573</v>
      </c>
      <c r="C412" t="s">
        <v>2586</v>
      </c>
      <c r="D412" t="s">
        <v>2587</v>
      </c>
      <c r="E412" t="s">
        <v>2589</v>
      </c>
      <c r="F412" t="str">
        <f>VLOOKUP(A412,Base!$A:$F,6,FALSE)</f>
        <v>INDÚSTRIAS DE TRANSFORMAÇÃO</v>
      </c>
      <c r="G412" t="str">
        <f>VLOOKUP(B412,Base!$B:$F,5,FALSE)</f>
        <v>FABRICAÇÃO DE PRODUTOS DE METAL, EXCETO MÁQUINAS
E EQUIPAMENTOS</v>
      </c>
      <c r="H412" t="str">
        <f>VLOOKUP(C412,Base!$C:$F,4,FALSE)</f>
        <v>Forjaria, estamparia, metalurgia do pó e serviços de tratamento de metais</v>
      </c>
      <c r="I412" t="str">
        <f>VLOOKUP(D412,Base!$D:$F,3,FALSE)</f>
        <v>Produção de forjados de aço e de metais não ferrosos e suas ligas</v>
      </c>
      <c r="J412" t="str">
        <f>VLOOKUP(E412,Base!$E:$F,2,FALSE)</f>
        <v>Produção de forjados de metais não ferrosos e suas ligas</v>
      </c>
      <c r="K412" t="s">
        <v>2589</v>
      </c>
      <c r="L412">
        <f>IFERROR(VLOOKUP($K412,Base_Atividades!$E$1:$N$2398,MATCH(BancoAjustado!L$1,Base_Atividades!$E$1:$N$1,0),FALSE),0)</f>
        <v>1</v>
      </c>
      <c r="M412">
        <f>IFERROR(VLOOKUP($K412,Base_Atividades!$E$1:$N$2398,MATCH(BancoAjustado!M$1,Base_Atividades!$E$1:$N$1,0),FALSE),0)</f>
        <v>0</v>
      </c>
      <c r="N412">
        <f>IFERROR(VLOOKUP($K412,Base_Atividades!$E$1:$N$2398,MATCH(BancoAjustado!N$1,Base_Atividades!$E$1:$N$1,0),FALSE),0)</f>
        <v>0</v>
      </c>
    </row>
    <row r="413" spans="1:14" x14ac:dyDescent="0.25">
      <c r="A413" t="s">
        <v>2111</v>
      </c>
      <c r="B413" t="s">
        <v>2573</v>
      </c>
      <c r="C413" t="s">
        <v>2586</v>
      </c>
      <c r="D413" t="s">
        <v>2590</v>
      </c>
      <c r="E413" t="s">
        <v>2591</v>
      </c>
      <c r="F413" t="str">
        <f>VLOOKUP(A413,Base!$A:$F,6,FALSE)</f>
        <v>INDÚSTRIAS DE TRANSFORMAÇÃO</v>
      </c>
      <c r="G413" t="str">
        <f>VLOOKUP(B413,Base!$B:$F,5,FALSE)</f>
        <v>FABRICAÇÃO DE PRODUTOS DE METAL, EXCETO MÁQUINAS
E EQUIPAMENTOS</v>
      </c>
      <c r="H413" t="str">
        <f>VLOOKUP(C413,Base!$C:$F,4,FALSE)</f>
        <v>Forjaria, estamparia, metalurgia do pó e serviços de tratamento de metais</v>
      </c>
      <c r="I413" t="str">
        <f>VLOOKUP(D413,Base!$D:$F,3,FALSE)</f>
        <v>Produção de artefatos estampados de metal; metalurgia do pó</v>
      </c>
      <c r="J413" t="str">
        <f>VLOOKUP(E413,Base!$E:$F,2,FALSE)</f>
        <v>Produção de artefatos estampados de metal</v>
      </c>
      <c r="K413" t="s">
        <v>2591</v>
      </c>
      <c r="L413">
        <f>IFERROR(VLOOKUP($K413,Base_Atividades!$E$1:$N$2398,MATCH(BancoAjustado!L$1,Base_Atividades!$E$1:$N$1,0),FALSE),0)</f>
        <v>1</v>
      </c>
      <c r="M413">
        <f>IFERROR(VLOOKUP($K413,Base_Atividades!$E$1:$N$2398,MATCH(BancoAjustado!M$1,Base_Atividades!$E$1:$N$1,0),FALSE),0)</f>
        <v>0</v>
      </c>
      <c r="N413">
        <f>IFERROR(VLOOKUP($K413,Base_Atividades!$E$1:$N$2398,MATCH(BancoAjustado!N$1,Base_Atividades!$E$1:$N$1,0),FALSE),0)</f>
        <v>0</v>
      </c>
    </row>
    <row r="414" spans="1:14" x14ac:dyDescent="0.25">
      <c r="A414" t="s">
        <v>2111</v>
      </c>
      <c r="B414" t="s">
        <v>2573</v>
      </c>
      <c r="C414" t="s">
        <v>2586</v>
      </c>
      <c r="D414" t="s">
        <v>2590</v>
      </c>
      <c r="E414" t="s">
        <v>2592</v>
      </c>
      <c r="F414" t="str">
        <f>VLOOKUP(A414,Base!$A:$F,6,FALSE)</f>
        <v>INDÚSTRIAS DE TRANSFORMAÇÃO</v>
      </c>
      <c r="G414" t="str">
        <f>VLOOKUP(B414,Base!$B:$F,5,FALSE)</f>
        <v>FABRICAÇÃO DE PRODUTOS DE METAL, EXCETO MÁQUINAS
E EQUIPAMENTOS</v>
      </c>
      <c r="H414" t="str">
        <f>VLOOKUP(C414,Base!$C:$F,4,FALSE)</f>
        <v>Forjaria, estamparia, metalurgia do pó e serviços de tratamento de metais</v>
      </c>
      <c r="I414" t="str">
        <f>VLOOKUP(D414,Base!$D:$F,3,FALSE)</f>
        <v>Produção de artefatos estampados de metal; metalurgia do pó</v>
      </c>
      <c r="J414" t="str">
        <f>VLOOKUP(E414,Base!$E:$F,2,FALSE)</f>
        <v>Metalurgia do pó</v>
      </c>
      <c r="K414" t="s">
        <v>2592</v>
      </c>
      <c r="L414">
        <f>IFERROR(VLOOKUP($K414,Base_Atividades!$E$1:$N$2398,MATCH(BancoAjustado!L$1,Base_Atividades!$E$1:$N$1,0),FALSE),0)</f>
        <v>1</v>
      </c>
      <c r="M414">
        <f>IFERROR(VLOOKUP($K414,Base_Atividades!$E$1:$N$2398,MATCH(BancoAjustado!M$1,Base_Atividades!$E$1:$N$1,0),FALSE),0)</f>
        <v>0</v>
      </c>
      <c r="N414">
        <f>IFERROR(VLOOKUP($K414,Base_Atividades!$E$1:$N$2398,MATCH(BancoAjustado!N$1,Base_Atividades!$E$1:$N$1,0),FALSE),0)</f>
        <v>0</v>
      </c>
    </row>
    <row r="415" spans="1:14" x14ac:dyDescent="0.25">
      <c r="A415" t="s">
        <v>2111</v>
      </c>
      <c r="B415" t="s">
        <v>2573</v>
      </c>
      <c r="C415" t="s">
        <v>2586</v>
      </c>
      <c r="D415" t="s">
        <v>2593</v>
      </c>
      <c r="E415" t="s">
        <v>2594</v>
      </c>
      <c r="F415" t="str">
        <f>VLOOKUP(A415,Base!$A:$F,6,FALSE)</f>
        <v>INDÚSTRIAS DE TRANSFORMAÇÃO</v>
      </c>
      <c r="G415" t="str">
        <f>VLOOKUP(B415,Base!$B:$F,5,FALSE)</f>
        <v>FABRICAÇÃO DE PRODUTOS DE METAL, EXCETO MÁQUINAS
E EQUIPAMENTOS</v>
      </c>
      <c r="H415" t="str">
        <f>VLOOKUP(C415,Base!$C:$F,4,FALSE)</f>
        <v>Forjaria, estamparia, metalurgia do pó e serviços de tratamento de metais</v>
      </c>
      <c r="I415" t="str">
        <f>VLOOKUP(D415,Base!$D:$F,3,FALSE)</f>
        <v>Serviços de usinagem, solda, tratamento e revestimento em metais</v>
      </c>
      <c r="J415" t="str">
        <f>VLOOKUP(E415,Base!$E:$F,2,FALSE)</f>
        <v>Serviços de usinagem, torneiria e solda</v>
      </c>
      <c r="K415" t="s">
        <v>2594</v>
      </c>
      <c r="L415">
        <f>IFERROR(VLOOKUP($K415,Base_Atividades!$E$1:$N$2398,MATCH(BancoAjustado!L$1,Base_Atividades!$E$1:$N$1,0),FALSE),0)</f>
        <v>1</v>
      </c>
      <c r="M415">
        <f>IFERROR(VLOOKUP($K415,Base_Atividades!$E$1:$N$2398,MATCH(BancoAjustado!M$1,Base_Atividades!$E$1:$N$1,0),FALSE),0)</f>
        <v>0</v>
      </c>
      <c r="N415">
        <f>IFERROR(VLOOKUP($K415,Base_Atividades!$E$1:$N$2398,MATCH(BancoAjustado!N$1,Base_Atividades!$E$1:$N$1,0),FALSE),0)</f>
        <v>0</v>
      </c>
    </row>
    <row r="416" spans="1:14" x14ac:dyDescent="0.25">
      <c r="A416" t="s">
        <v>2111</v>
      </c>
      <c r="B416" t="s">
        <v>2573</v>
      </c>
      <c r="C416" t="s">
        <v>2586</v>
      </c>
      <c r="D416" t="s">
        <v>2593</v>
      </c>
      <c r="E416" t="s">
        <v>2595</v>
      </c>
      <c r="F416" t="str">
        <f>VLOOKUP(A416,Base!$A:$F,6,FALSE)</f>
        <v>INDÚSTRIAS DE TRANSFORMAÇÃO</v>
      </c>
      <c r="G416" t="str">
        <f>VLOOKUP(B416,Base!$B:$F,5,FALSE)</f>
        <v>FABRICAÇÃO DE PRODUTOS DE METAL, EXCETO MÁQUINAS
E EQUIPAMENTOS</v>
      </c>
      <c r="H416" t="str">
        <f>VLOOKUP(C416,Base!$C:$F,4,FALSE)</f>
        <v>Forjaria, estamparia, metalurgia do pó e serviços de tratamento de metais</v>
      </c>
      <c r="I416" t="str">
        <f>VLOOKUP(D416,Base!$D:$F,3,FALSE)</f>
        <v>Serviços de usinagem, solda, tratamento e revestimento em metais</v>
      </c>
      <c r="J416" t="str">
        <f>VLOOKUP(E416,Base!$E:$F,2,FALSE)</f>
        <v>Serviços de tratamento e revestimento em metais</v>
      </c>
      <c r="K416" t="s">
        <v>2595</v>
      </c>
      <c r="L416">
        <f>IFERROR(VLOOKUP($K416,Base_Atividades!$E$1:$N$2398,MATCH(BancoAjustado!L$1,Base_Atividades!$E$1:$N$1,0),FALSE),0)</f>
        <v>1</v>
      </c>
      <c r="M416">
        <f>IFERROR(VLOOKUP($K416,Base_Atividades!$E$1:$N$2398,MATCH(BancoAjustado!M$1,Base_Atividades!$E$1:$N$1,0),FALSE),0)</f>
        <v>0</v>
      </c>
      <c r="N416">
        <f>IFERROR(VLOOKUP($K416,Base_Atividades!$E$1:$N$2398,MATCH(BancoAjustado!N$1,Base_Atividades!$E$1:$N$1,0),FALSE),0)</f>
        <v>0</v>
      </c>
    </row>
    <row r="417" spans="1:14" x14ac:dyDescent="0.25">
      <c r="A417" t="s">
        <v>2111</v>
      </c>
      <c r="B417" t="s">
        <v>2573</v>
      </c>
      <c r="C417" t="s">
        <v>2596</v>
      </c>
      <c r="D417" t="s">
        <v>2597</v>
      </c>
      <c r="E417" t="s">
        <v>2598</v>
      </c>
      <c r="F417" t="str">
        <f>VLOOKUP(A417,Base!$A:$F,6,FALSE)</f>
        <v>INDÚSTRIAS DE TRANSFORMAÇÃO</v>
      </c>
      <c r="G417" t="str">
        <f>VLOOKUP(B417,Base!$B:$F,5,FALSE)</f>
        <v>FABRICAÇÃO DE PRODUTOS DE METAL, EXCETO MÁQUINAS
E EQUIPAMENTOS</v>
      </c>
      <c r="H417" t="str">
        <f>VLOOKUP(C417,Base!$C:$F,4,FALSE)</f>
        <v>Fabricação de artigos de cutelaria, de serralheria e ferramentas</v>
      </c>
      <c r="I417" t="str">
        <f>VLOOKUP(D417,Base!$D:$F,3,FALSE)</f>
        <v>Fabricação de artigos de cutelaria</v>
      </c>
      <c r="J417" t="str">
        <f>VLOOKUP(E417,Base!$E:$F,2,FALSE)</f>
        <v>Fabricação de artigos de cutelaria</v>
      </c>
      <c r="K417" t="s">
        <v>2598</v>
      </c>
      <c r="L417">
        <f>IFERROR(VLOOKUP($K417,Base_Atividades!$E$1:$N$2398,MATCH(BancoAjustado!L$1,Base_Atividades!$E$1:$N$1,0),FALSE),0)</f>
        <v>1</v>
      </c>
      <c r="M417">
        <f>IFERROR(VLOOKUP($K417,Base_Atividades!$E$1:$N$2398,MATCH(BancoAjustado!M$1,Base_Atividades!$E$1:$N$1,0),FALSE),0)</f>
        <v>0</v>
      </c>
      <c r="N417">
        <f>IFERROR(VLOOKUP($K417,Base_Atividades!$E$1:$N$2398,MATCH(BancoAjustado!N$1,Base_Atividades!$E$1:$N$1,0),FALSE),0)</f>
        <v>0</v>
      </c>
    </row>
    <row r="418" spans="1:14" x14ac:dyDescent="0.25">
      <c r="A418" t="s">
        <v>2111</v>
      </c>
      <c r="B418" t="s">
        <v>2573</v>
      </c>
      <c r="C418" t="s">
        <v>2596</v>
      </c>
      <c r="D418" t="s">
        <v>2599</v>
      </c>
      <c r="E418" t="s">
        <v>2600</v>
      </c>
      <c r="F418" t="str">
        <f>VLOOKUP(A418,Base!$A:$F,6,FALSE)</f>
        <v>INDÚSTRIAS DE TRANSFORMAÇÃO</v>
      </c>
      <c r="G418" t="str">
        <f>VLOOKUP(B418,Base!$B:$F,5,FALSE)</f>
        <v>FABRICAÇÃO DE PRODUTOS DE METAL, EXCETO MÁQUINAS
E EQUIPAMENTOS</v>
      </c>
      <c r="H418" t="str">
        <f>VLOOKUP(C418,Base!$C:$F,4,FALSE)</f>
        <v>Fabricação de artigos de cutelaria, de serralheria e ferramentas</v>
      </c>
      <c r="I418" t="str">
        <f>VLOOKUP(D418,Base!$D:$F,3,FALSE)</f>
        <v>Fabricação de artigos de serralheria, exceto esquadrias</v>
      </c>
      <c r="J418" t="str">
        <f>VLOOKUP(E418,Base!$E:$F,2,FALSE)</f>
        <v>Fabricação de artigos de serralheria, exceto esquadrias</v>
      </c>
      <c r="K418" t="s">
        <v>2600</v>
      </c>
      <c r="L418">
        <f>IFERROR(VLOOKUP($K418,Base_Atividades!$E$1:$N$2398,MATCH(BancoAjustado!L$1,Base_Atividades!$E$1:$N$1,0),FALSE),0)</f>
        <v>1</v>
      </c>
      <c r="M418">
        <f>IFERROR(VLOOKUP($K418,Base_Atividades!$E$1:$N$2398,MATCH(BancoAjustado!M$1,Base_Atividades!$E$1:$N$1,0),FALSE),0)</f>
        <v>0</v>
      </c>
      <c r="N418">
        <f>IFERROR(VLOOKUP($K418,Base_Atividades!$E$1:$N$2398,MATCH(BancoAjustado!N$1,Base_Atividades!$E$1:$N$1,0),FALSE),0)</f>
        <v>0</v>
      </c>
    </row>
    <row r="419" spans="1:14" x14ac:dyDescent="0.25">
      <c r="A419" t="s">
        <v>2111</v>
      </c>
      <c r="B419" t="s">
        <v>2573</v>
      </c>
      <c r="C419" t="s">
        <v>2596</v>
      </c>
      <c r="D419" t="s">
        <v>2601</v>
      </c>
      <c r="E419" t="s">
        <v>2602</v>
      </c>
      <c r="F419" t="str">
        <f>VLOOKUP(A419,Base!$A:$F,6,FALSE)</f>
        <v>INDÚSTRIAS DE TRANSFORMAÇÃO</v>
      </c>
      <c r="G419" t="str">
        <f>VLOOKUP(B419,Base!$B:$F,5,FALSE)</f>
        <v>FABRICAÇÃO DE PRODUTOS DE METAL, EXCETO MÁQUINAS
E EQUIPAMENTOS</v>
      </c>
      <c r="H419" t="str">
        <f>VLOOKUP(C419,Base!$C:$F,4,FALSE)</f>
        <v>Fabricação de artigos de cutelaria, de serralheria e ferramentas</v>
      </c>
      <c r="I419" t="str">
        <f>VLOOKUP(D419,Base!$D:$F,3,FALSE)</f>
        <v>Fabricação de ferramentas</v>
      </c>
      <c r="J419" t="str">
        <f>VLOOKUP(E419,Base!$E:$F,2,FALSE)</f>
        <v>Fabricação de ferramentas</v>
      </c>
      <c r="K419" t="s">
        <v>2602</v>
      </c>
      <c r="L419">
        <f>IFERROR(VLOOKUP($K419,Base_Atividades!$E$1:$N$2398,MATCH(BancoAjustado!L$1,Base_Atividades!$E$1:$N$1,0),FALSE),0)</f>
        <v>1</v>
      </c>
      <c r="M419">
        <f>IFERROR(VLOOKUP($K419,Base_Atividades!$E$1:$N$2398,MATCH(BancoAjustado!M$1,Base_Atividades!$E$1:$N$1,0),FALSE),0)</f>
        <v>0</v>
      </c>
      <c r="N419">
        <f>IFERROR(VLOOKUP($K419,Base_Atividades!$E$1:$N$2398,MATCH(BancoAjustado!N$1,Base_Atividades!$E$1:$N$1,0),FALSE),0)</f>
        <v>0</v>
      </c>
    </row>
    <row r="420" spans="1:14" x14ac:dyDescent="0.25">
      <c r="A420" t="s">
        <v>2111</v>
      </c>
      <c r="B420" t="s">
        <v>2573</v>
      </c>
      <c r="C420" t="s">
        <v>2603</v>
      </c>
      <c r="D420" t="s">
        <v>2604</v>
      </c>
      <c r="E420" t="s">
        <v>2605</v>
      </c>
      <c r="F420" t="str">
        <f>VLOOKUP(A420,Base!$A:$F,6,FALSE)</f>
        <v>INDÚSTRIAS DE TRANSFORMAÇÃO</v>
      </c>
      <c r="G420" t="str">
        <f>VLOOKUP(B420,Base!$B:$F,5,FALSE)</f>
        <v>FABRICAÇÃO DE PRODUTOS DE METAL, EXCETO MÁQUINAS
E EQUIPAMENTOS</v>
      </c>
      <c r="H420" t="str">
        <f>VLOOKUP(C420,Base!$C:$F,4,FALSE)</f>
        <v>Fabricação de equipamento bélico pesado, armas e munições</v>
      </c>
      <c r="I420" t="str">
        <f>VLOOKUP(D420,Base!$D:$F,3,FALSE)</f>
        <v>Fabricação de equipamento bélico pesado, armas de fogo e munições</v>
      </c>
      <c r="J420" t="str">
        <f>VLOOKUP(E420,Base!$E:$F,2,FALSE)</f>
        <v>Fabricação de equipamento bélico pesado, exceto veículos militares de combate</v>
      </c>
      <c r="K420" t="s">
        <v>2605</v>
      </c>
      <c r="L420">
        <f>IFERROR(VLOOKUP($K420,Base_Atividades!$E$1:$N$2398,MATCH(BancoAjustado!L$1,Base_Atividades!$E$1:$N$1,0),FALSE),0)</f>
        <v>0</v>
      </c>
      <c r="M420">
        <f>IFERROR(VLOOKUP($K420,Base_Atividades!$E$1:$N$2398,MATCH(BancoAjustado!M$1,Base_Atividades!$E$1:$N$1,0),FALSE),0)</f>
        <v>0</v>
      </c>
      <c r="N420">
        <f>IFERROR(VLOOKUP($K420,Base_Atividades!$E$1:$N$2398,MATCH(BancoAjustado!N$1,Base_Atividades!$E$1:$N$1,0),FALSE),0)</f>
        <v>0</v>
      </c>
    </row>
    <row r="421" spans="1:14" x14ac:dyDescent="0.25">
      <c r="A421" t="s">
        <v>2111</v>
      </c>
      <c r="B421" t="s">
        <v>2573</v>
      </c>
      <c r="C421" t="s">
        <v>2603</v>
      </c>
      <c r="D421" t="s">
        <v>2604</v>
      </c>
      <c r="E421" t="s">
        <v>2606</v>
      </c>
      <c r="F421" t="str">
        <f>VLOOKUP(A421,Base!$A:$F,6,FALSE)</f>
        <v>INDÚSTRIAS DE TRANSFORMAÇÃO</v>
      </c>
      <c r="G421" t="str">
        <f>VLOOKUP(B421,Base!$B:$F,5,FALSE)</f>
        <v>FABRICAÇÃO DE PRODUTOS DE METAL, EXCETO MÁQUINAS
E EQUIPAMENTOS</v>
      </c>
      <c r="H421" t="str">
        <f>VLOOKUP(C421,Base!$C:$F,4,FALSE)</f>
        <v>Fabricação de equipamento bélico pesado, armas e munições</v>
      </c>
      <c r="I421" t="str">
        <f>VLOOKUP(D421,Base!$D:$F,3,FALSE)</f>
        <v>Fabricação de equipamento bélico pesado, armas de fogo e munições</v>
      </c>
      <c r="J421" t="str">
        <f>VLOOKUP(E421,Base!$E:$F,2,FALSE)</f>
        <v>Fabricação de armas de fogo, outras armas e munições</v>
      </c>
      <c r="K421" t="s">
        <v>2606</v>
      </c>
      <c r="L421">
        <f>IFERROR(VLOOKUP($K421,Base_Atividades!$E$1:$N$2398,MATCH(BancoAjustado!L$1,Base_Atividades!$E$1:$N$1,0),FALSE),0)</f>
        <v>0</v>
      </c>
      <c r="M421">
        <f>IFERROR(VLOOKUP($K421,Base_Atividades!$E$1:$N$2398,MATCH(BancoAjustado!M$1,Base_Atividades!$E$1:$N$1,0),FALSE),0)</f>
        <v>0</v>
      </c>
      <c r="N421">
        <f>IFERROR(VLOOKUP($K421,Base_Atividades!$E$1:$N$2398,MATCH(BancoAjustado!N$1,Base_Atividades!$E$1:$N$1,0),FALSE),0)</f>
        <v>0</v>
      </c>
    </row>
    <row r="422" spans="1:14" x14ac:dyDescent="0.25">
      <c r="A422" t="s">
        <v>2111</v>
      </c>
      <c r="B422" t="s">
        <v>2573</v>
      </c>
      <c r="C422" t="s">
        <v>2607</v>
      </c>
      <c r="D422" t="s">
        <v>2608</v>
      </c>
      <c r="E422" t="s">
        <v>2609</v>
      </c>
      <c r="F422" t="str">
        <f>VLOOKUP(A422,Base!$A:$F,6,FALSE)</f>
        <v>INDÚSTRIAS DE TRANSFORMAÇÃO</v>
      </c>
      <c r="G422" t="str">
        <f>VLOOKUP(B422,Base!$B:$F,5,FALSE)</f>
        <v>FABRICAÇÃO DE PRODUTOS DE METAL, EXCETO MÁQUINAS
E EQUIPAMENTOS</v>
      </c>
      <c r="H422" t="str">
        <f>VLOOKUP(C422,Base!$C:$F,4,FALSE)</f>
        <v>Fabricação de produtos de metal não especificados anteriormente</v>
      </c>
      <c r="I422" t="str">
        <f>VLOOKUP(D422,Base!$D:$F,3,FALSE)</f>
        <v>Fabricação de embalagens metálicas</v>
      </c>
      <c r="J422" t="str">
        <f>VLOOKUP(E422,Base!$E:$F,2,FALSE)</f>
        <v>Fabricação de embalagens metálicas</v>
      </c>
      <c r="K422" t="s">
        <v>2609</v>
      </c>
      <c r="L422">
        <f>IFERROR(VLOOKUP($K422,Base_Atividades!$E$1:$N$2398,MATCH(BancoAjustado!L$1,Base_Atividades!$E$1:$N$1,0),FALSE),0)</f>
        <v>1</v>
      </c>
      <c r="M422">
        <f>IFERROR(VLOOKUP($K422,Base_Atividades!$E$1:$N$2398,MATCH(BancoAjustado!M$1,Base_Atividades!$E$1:$N$1,0),FALSE),0)</f>
        <v>0</v>
      </c>
      <c r="N422">
        <f>IFERROR(VLOOKUP($K422,Base_Atividades!$E$1:$N$2398,MATCH(BancoAjustado!N$1,Base_Atividades!$E$1:$N$1,0),FALSE),0)</f>
        <v>0</v>
      </c>
    </row>
    <row r="423" spans="1:14" x14ac:dyDescent="0.25">
      <c r="A423" t="s">
        <v>2111</v>
      </c>
      <c r="B423" t="s">
        <v>2573</v>
      </c>
      <c r="C423" t="s">
        <v>2607</v>
      </c>
      <c r="D423" t="s">
        <v>2610</v>
      </c>
      <c r="E423" t="s">
        <v>2611</v>
      </c>
      <c r="F423" t="str">
        <f>VLOOKUP(A423,Base!$A:$F,6,FALSE)</f>
        <v>INDÚSTRIAS DE TRANSFORMAÇÃO</v>
      </c>
      <c r="G423" t="str">
        <f>VLOOKUP(B423,Base!$B:$F,5,FALSE)</f>
        <v>FABRICAÇÃO DE PRODUTOS DE METAL, EXCETO MÁQUINAS
E EQUIPAMENTOS</v>
      </c>
      <c r="H423" t="str">
        <f>VLOOKUP(C423,Base!$C:$F,4,FALSE)</f>
        <v>Fabricação de produtos de metal não especificados anteriormente</v>
      </c>
      <c r="I423" t="str">
        <f>VLOOKUP(D423,Base!$D:$F,3,FALSE)</f>
        <v>Fabricação de produtos de trefilados de metal</v>
      </c>
      <c r="J423" t="str">
        <f>VLOOKUP(E423,Base!$E:$F,2,FALSE)</f>
        <v>Fabricação de produtos de trefilados de metal padronizados</v>
      </c>
      <c r="K423" t="s">
        <v>2611</v>
      </c>
      <c r="L423">
        <f>IFERROR(VLOOKUP($K423,Base_Atividades!$E$1:$N$2398,MATCH(BancoAjustado!L$1,Base_Atividades!$E$1:$N$1,0),FALSE),0)</f>
        <v>1</v>
      </c>
      <c r="M423">
        <f>IFERROR(VLOOKUP($K423,Base_Atividades!$E$1:$N$2398,MATCH(BancoAjustado!M$1,Base_Atividades!$E$1:$N$1,0),FALSE),0)</f>
        <v>0</v>
      </c>
      <c r="N423">
        <f>IFERROR(VLOOKUP($K423,Base_Atividades!$E$1:$N$2398,MATCH(BancoAjustado!N$1,Base_Atividades!$E$1:$N$1,0),FALSE),0)</f>
        <v>0</v>
      </c>
    </row>
    <row r="424" spans="1:14" x14ac:dyDescent="0.25">
      <c r="A424" t="s">
        <v>2111</v>
      </c>
      <c r="B424" t="s">
        <v>2573</v>
      </c>
      <c r="C424" t="s">
        <v>2607</v>
      </c>
      <c r="D424" t="s">
        <v>2610</v>
      </c>
      <c r="E424" t="s">
        <v>2612</v>
      </c>
      <c r="F424" t="str">
        <f>VLOOKUP(A424,Base!$A:$F,6,FALSE)</f>
        <v>INDÚSTRIAS DE TRANSFORMAÇÃO</v>
      </c>
      <c r="G424" t="str">
        <f>VLOOKUP(B424,Base!$B:$F,5,FALSE)</f>
        <v>FABRICAÇÃO DE PRODUTOS DE METAL, EXCETO MÁQUINAS
E EQUIPAMENTOS</v>
      </c>
      <c r="H424" t="str">
        <f>VLOOKUP(C424,Base!$C:$F,4,FALSE)</f>
        <v>Fabricação de produtos de metal não especificados anteriormente</v>
      </c>
      <c r="I424" t="str">
        <f>VLOOKUP(D424,Base!$D:$F,3,FALSE)</f>
        <v>Fabricação de produtos de trefilados de metal</v>
      </c>
      <c r="J424" t="str">
        <f>VLOOKUP(E424,Base!$E:$F,2,FALSE)</f>
        <v>Fabricação de produtos de trefilados de metal, exceto padronizados</v>
      </c>
      <c r="K424" t="s">
        <v>2612</v>
      </c>
      <c r="L424">
        <f>IFERROR(VLOOKUP($K424,Base_Atividades!$E$1:$N$2398,MATCH(BancoAjustado!L$1,Base_Atividades!$E$1:$N$1,0),FALSE),0)</f>
        <v>1</v>
      </c>
      <c r="M424">
        <f>IFERROR(VLOOKUP($K424,Base_Atividades!$E$1:$N$2398,MATCH(BancoAjustado!M$1,Base_Atividades!$E$1:$N$1,0),FALSE),0)</f>
        <v>0</v>
      </c>
      <c r="N424">
        <f>IFERROR(VLOOKUP($K424,Base_Atividades!$E$1:$N$2398,MATCH(BancoAjustado!N$1,Base_Atividades!$E$1:$N$1,0),FALSE),0)</f>
        <v>0</v>
      </c>
    </row>
    <row r="425" spans="1:14" x14ac:dyDescent="0.25">
      <c r="A425" t="s">
        <v>2111</v>
      </c>
      <c r="B425" t="s">
        <v>2573</v>
      </c>
      <c r="C425" t="s">
        <v>2607</v>
      </c>
      <c r="D425" t="s">
        <v>2613</v>
      </c>
      <c r="E425" t="s">
        <v>2614</v>
      </c>
      <c r="F425" t="str">
        <f>VLOOKUP(A425,Base!$A:$F,6,FALSE)</f>
        <v>INDÚSTRIAS DE TRANSFORMAÇÃO</v>
      </c>
      <c r="G425" t="str">
        <f>VLOOKUP(B425,Base!$B:$F,5,FALSE)</f>
        <v>FABRICAÇÃO DE PRODUTOS DE METAL, EXCETO MÁQUINAS
E EQUIPAMENTOS</v>
      </c>
      <c r="H425" t="str">
        <f>VLOOKUP(C425,Base!$C:$F,4,FALSE)</f>
        <v>Fabricação de produtos de metal não especificados anteriormente</v>
      </c>
      <c r="I425" t="str">
        <f>VLOOKUP(D425,Base!$D:$F,3,FALSE)</f>
        <v>Fabricação de artigos de metal para uso doméstico e pessoal</v>
      </c>
      <c r="J425" t="str">
        <f>VLOOKUP(E425,Base!$E:$F,2,FALSE)</f>
        <v>Fabricação de artigos de metal para uso doméstico e pessoal</v>
      </c>
      <c r="K425" t="s">
        <v>2614</v>
      </c>
      <c r="L425">
        <f>IFERROR(VLOOKUP($K425,Base_Atividades!$E$1:$N$2398,MATCH(BancoAjustado!L$1,Base_Atividades!$E$1:$N$1,0),FALSE),0)</f>
        <v>1</v>
      </c>
      <c r="M425">
        <f>IFERROR(VLOOKUP($K425,Base_Atividades!$E$1:$N$2398,MATCH(BancoAjustado!M$1,Base_Atividades!$E$1:$N$1,0),FALSE),0)</f>
        <v>0</v>
      </c>
      <c r="N425">
        <f>IFERROR(VLOOKUP($K425,Base_Atividades!$E$1:$N$2398,MATCH(BancoAjustado!N$1,Base_Atividades!$E$1:$N$1,0),FALSE),0)</f>
        <v>0</v>
      </c>
    </row>
    <row r="426" spans="1:14" x14ac:dyDescent="0.25">
      <c r="A426" t="s">
        <v>2111</v>
      </c>
      <c r="B426" t="s">
        <v>2573</v>
      </c>
      <c r="C426" t="s">
        <v>2607</v>
      </c>
      <c r="D426" t="s">
        <v>2615</v>
      </c>
      <c r="E426" t="s">
        <v>2616</v>
      </c>
      <c r="F426" t="str">
        <f>VLOOKUP(A426,Base!$A:$F,6,FALSE)</f>
        <v>INDÚSTRIAS DE TRANSFORMAÇÃO</v>
      </c>
      <c r="G426" t="str">
        <f>VLOOKUP(B426,Base!$B:$F,5,FALSE)</f>
        <v>FABRICAÇÃO DE PRODUTOS DE METAL, EXCETO MÁQUINAS
E EQUIPAMENTOS</v>
      </c>
      <c r="H426" t="str">
        <f>VLOOKUP(C426,Base!$C:$F,4,FALSE)</f>
        <v>Fabricação de produtos de metal não especificados anteriormente</v>
      </c>
      <c r="I426" t="str">
        <f>VLOOKUP(D426,Base!$D:$F,3,FALSE)</f>
        <v>Fabricação de produtos de metal não especificados anteriormente</v>
      </c>
      <c r="J426" t="str">
        <f>VLOOKUP(E426,Base!$E:$F,2,FALSE)</f>
        <v>Serviços de confecção de armações metálicas para a construção</v>
      </c>
      <c r="K426" t="s">
        <v>2616</v>
      </c>
      <c r="L426">
        <f>IFERROR(VLOOKUP($K426,Base_Atividades!$E$1:$N$2398,MATCH(BancoAjustado!L$1,Base_Atividades!$E$1:$N$1,0),FALSE),0)</f>
        <v>1</v>
      </c>
      <c r="M426">
        <f>IFERROR(VLOOKUP($K426,Base_Atividades!$E$1:$N$2398,MATCH(BancoAjustado!M$1,Base_Atividades!$E$1:$N$1,0),FALSE),0)</f>
        <v>0</v>
      </c>
      <c r="N426">
        <f>IFERROR(VLOOKUP($K426,Base_Atividades!$E$1:$N$2398,MATCH(BancoAjustado!N$1,Base_Atividades!$E$1:$N$1,0),FALSE),0)</f>
        <v>0</v>
      </c>
    </row>
    <row r="427" spans="1:14" x14ac:dyDescent="0.25">
      <c r="A427" t="s">
        <v>2111</v>
      </c>
      <c r="B427" t="s">
        <v>2573</v>
      </c>
      <c r="C427" t="s">
        <v>2607</v>
      </c>
      <c r="D427" t="s">
        <v>2615</v>
      </c>
      <c r="E427" t="s">
        <v>2617</v>
      </c>
      <c r="F427" t="str">
        <f>VLOOKUP(A427,Base!$A:$F,6,FALSE)</f>
        <v>INDÚSTRIAS DE TRANSFORMAÇÃO</v>
      </c>
      <c r="G427" t="str">
        <f>VLOOKUP(B427,Base!$B:$F,5,FALSE)</f>
        <v>FABRICAÇÃO DE PRODUTOS DE METAL, EXCETO MÁQUINAS
E EQUIPAMENTOS</v>
      </c>
      <c r="H427" t="str">
        <f>VLOOKUP(C427,Base!$C:$F,4,FALSE)</f>
        <v>Fabricação de produtos de metal não especificados anteriormente</v>
      </c>
      <c r="I427" t="str">
        <f>VLOOKUP(D427,Base!$D:$F,3,FALSE)</f>
        <v>Fabricação de produtos de metal não especificados anteriormente</v>
      </c>
      <c r="J427" t="str">
        <f>VLOOKUP(E427,Base!$E:$F,2,FALSE)</f>
        <v>Serviço de corte e dobra de metais</v>
      </c>
      <c r="K427" t="s">
        <v>2617</v>
      </c>
      <c r="L427">
        <f>IFERROR(VLOOKUP($K427,Base_Atividades!$E$1:$N$2398,MATCH(BancoAjustado!L$1,Base_Atividades!$E$1:$N$1,0),FALSE),0)</f>
        <v>1</v>
      </c>
      <c r="M427">
        <f>IFERROR(VLOOKUP($K427,Base_Atividades!$E$1:$N$2398,MATCH(BancoAjustado!M$1,Base_Atividades!$E$1:$N$1,0),FALSE),0)</f>
        <v>0</v>
      </c>
      <c r="N427">
        <f>IFERROR(VLOOKUP($K427,Base_Atividades!$E$1:$N$2398,MATCH(BancoAjustado!N$1,Base_Atividades!$E$1:$N$1,0),FALSE),0)</f>
        <v>0</v>
      </c>
    </row>
    <row r="428" spans="1:14" x14ac:dyDescent="0.25">
      <c r="A428" t="s">
        <v>2111</v>
      </c>
      <c r="B428" t="s">
        <v>2573</v>
      </c>
      <c r="C428" t="s">
        <v>2607</v>
      </c>
      <c r="D428" t="s">
        <v>2615</v>
      </c>
      <c r="E428" t="s">
        <v>2618</v>
      </c>
      <c r="F428" t="str">
        <f>VLOOKUP(A428,Base!$A:$F,6,FALSE)</f>
        <v>INDÚSTRIAS DE TRANSFORMAÇÃO</v>
      </c>
      <c r="G428" t="str">
        <f>VLOOKUP(B428,Base!$B:$F,5,FALSE)</f>
        <v>FABRICAÇÃO DE PRODUTOS DE METAL, EXCETO MÁQUINAS
E EQUIPAMENTOS</v>
      </c>
      <c r="H428" t="str">
        <f>VLOOKUP(C428,Base!$C:$F,4,FALSE)</f>
        <v>Fabricação de produtos de metal não especificados anteriormente</v>
      </c>
      <c r="I428" t="str">
        <f>VLOOKUP(D428,Base!$D:$F,3,FALSE)</f>
        <v>Fabricação de produtos de metal não especificados anteriormente</v>
      </c>
      <c r="J428" t="str">
        <f>VLOOKUP(E428,Base!$E:$F,2,FALSE)</f>
        <v>Fabricação de outros produtos de metal não especificados anteriormente</v>
      </c>
      <c r="K428" t="s">
        <v>2618</v>
      </c>
      <c r="L428">
        <f>IFERROR(VLOOKUP($K428,Base_Atividades!$E$1:$N$2398,MATCH(BancoAjustado!L$1,Base_Atividades!$E$1:$N$1,0),FALSE),0)</f>
        <v>1</v>
      </c>
      <c r="M428">
        <f>IFERROR(VLOOKUP($K428,Base_Atividades!$E$1:$N$2398,MATCH(BancoAjustado!M$1,Base_Atividades!$E$1:$N$1,0),FALSE),0)</f>
        <v>0</v>
      </c>
      <c r="N428">
        <f>IFERROR(VLOOKUP($K428,Base_Atividades!$E$1:$N$2398,MATCH(BancoAjustado!N$1,Base_Atividades!$E$1:$N$1,0),FALSE),0)</f>
        <v>0</v>
      </c>
    </row>
    <row r="429" spans="1:14" x14ac:dyDescent="0.25">
      <c r="A429" t="s">
        <v>2111</v>
      </c>
      <c r="B429" t="s">
        <v>2619</v>
      </c>
      <c r="C429" t="s">
        <v>2620</v>
      </c>
      <c r="D429" t="s">
        <v>2621</v>
      </c>
      <c r="E429" t="s">
        <v>2622</v>
      </c>
      <c r="F429" t="str">
        <f>VLOOKUP(A429,Base!$A:$F,6,FALSE)</f>
        <v>INDÚSTRIAS DE TRANSFORMAÇÃO</v>
      </c>
      <c r="G429" t="str">
        <f>VLOOKUP(B429,Base!$B:$F,5,FALSE)</f>
        <v>FABRICAÇÃO DE EQUIPAMENTOS DE INFORMÁTICA, PRODUTOS ELETRÔNICOS E ÓPTICOS</v>
      </c>
      <c r="H429" t="str">
        <f>VLOOKUP(C429,Base!$C:$F,4,FALSE)</f>
        <v>Fabricação de componentes eletrônicos</v>
      </c>
      <c r="I429" t="str">
        <f>VLOOKUP(D429,Base!$D:$F,3,FALSE)</f>
        <v>Fabricação de componentes eletrônicos</v>
      </c>
      <c r="J429" t="str">
        <f>VLOOKUP(E429,Base!$E:$F,2,FALSE)</f>
        <v>Fabricação de componentes eletrônicos</v>
      </c>
      <c r="K429" t="s">
        <v>2622</v>
      </c>
      <c r="L429">
        <f>IFERROR(VLOOKUP($K429,Base_Atividades!$E$1:$N$2398,MATCH(BancoAjustado!L$1,Base_Atividades!$E$1:$N$1,0),FALSE),0)</f>
        <v>1</v>
      </c>
      <c r="M429">
        <f>IFERROR(VLOOKUP($K429,Base_Atividades!$E$1:$N$2398,MATCH(BancoAjustado!M$1,Base_Atividades!$E$1:$N$1,0),FALSE),0)</f>
        <v>0</v>
      </c>
      <c r="N429">
        <f>IFERROR(VLOOKUP($K429,Base_Atividades!$E$1:$N$2398,MATCH(BancoAjustado!N$1,Base_Atividades!$E$1:$N$1,0),FALSE),0)</f>
        <v>0</v>
      </c>
    </row>
    <row r="430" spans="1:14" x14ac:dyDescent="0.25">
      <c r="A430" t="s">
        <v>2111</v>
      </c>
      <c r="B430" t="s">
        <v>2619</v>
      </c>
      <c r="C430" t="s">
        <v>2623</v>
      </c>
      <c r="D430" t="s">
        <v>2624</v>
      </c>
      <c r="E430" t="s">
        <v>2625</v>
      </c>
      <c r="F430" t="str">
        <f>VLOOKUP(A430,Base!$A:$F,6,FALSE)</f>
        <v>INDÚSTRIAS DE TRANSFORMAÇÃO</v>
      </c>
      <c r="G430" t="str">
        <f>VLOOKUP(B430,Base!$B:$F,5,FALSE)</f>
        <v>FABRICAÇÃO DE EQUIPAMENTOS DE INFORMÁTICA, PRODUTOS ELETRÔNICOS E ÓPTICOS</v>
      </c>
      <c r="H430" t="str">
        <f>VLOOKUP(C430,Base!$C:$F,4,FALSE)</f>
        <v>Fabricação de equipamentos de informática e periféricos</v>
      </c>
      <c r="I430" t="str">
        <f>VLOOKUP(D430,Base!$D:$F,3,FALSE)</f>
        <v>Fabricação de equipamentos de informática</v>
      </c>
      <c r="J430" t="str">
        <f>VLOOKUP(E430,Base!$E:$F,2,FALSE)</f>
        <v>Fabricação de equipamentos de informática</v>
      </c>
      <c r="K430" t="s">
        <v>2625</v>
      </c>
      <c r="L430">
        <f>IFERROR(VLOOKUP($K430,Base_Atividades!$E$1:$N$2398,MATCH(BancoAjustado!L$1,Base_Atividades!$E$1:$N$1,0),FALSE),0)</f>
        <v>1</v>
      </c>
      <c r="M430">
        <f>IFERROR(VLOOKUP($K430,Base_Atividades!$E$1:$N$2398,MATCH(BancoAjustado!M$1,Base_Atividades!$E$1:$N$1,0),FALSE),0)</f>
        <v>0</v>
      </c>
      <c r="N430">
        <f>IFERROR(VLOOKUP($K430,Base_Atividades!$E$1:$N$2398,MATCH(BancoAjustado!N$1,Base_Atividades!$E$1:$N$1,0),FALSE),0)</f>
        <v>0</v>
      </c>
    </row>
    <row r="431" spans="1:14" x14ac:dyDescent="0.25">
      <c r="A431" t="s">
        <v>2111</v>
      </c>
      <c r="B431" t="s">
        <v>2619</v>
      </c>
      <c r="C431" t="s">
        <v>2623</v>
      </c>
      <c r="D431" t="s">
        <v>2626</v>
      </c>
      <c r="E431" t="s">
        <v>2627</v>
      </c>
      <c r="F431" t="str">
        <f>VLOOKUP(A431,Base!$A:$F,6,FALSE)</f>
        <v>INDÚSTRIAS DE TRANSFORMAÇÃO</v>
      </c>
      <c r="G431" t="str">
        <f>VLOOKUP(B431,Base!$B:$F,5,FALSE)</f>
        <v>FABRICAÇÃO DE EQUIPAMENTOS DE INFORMÁTICA, PRODUTOS ELETRÔNICOS E ÓPTICOS</v>
      </c>
      <c r="H431" t="str">
        <f>VLOOKUP(C431,Base!$C:$F,4,FALSE)</f>
        <v>Fabricação de equipamentos de informática e periféricos</v>
      </c>
      <c r="I431" t="str">
        <f>VLOOKUP(D431,Base!$D:$F,3,FALSE)</f>
        <v>Fabricação de periféricos para equipamentos de informática</v>
      </c>
      <c r="J431" t="str">
        <f>VLOOKUP(E431,Base!$E:$F,2,FALSE)</f>
        <v>Fabricação de periféricos para equipamentos de informática</v>
      </c>
      <c r="K431" t="s">
        <v>2627</v>
      </c>
      <c r="L431">
        <f>IFERROR(VLOOKUP($K431,Base_Atividades!$E$1:$N$2398,MATCH(BancoAjustado!L$1,Base_Atividades!$E$1:$N$1,0),FALSE),0)</f>
        <v>1</v>
      </c>
      <c r="M431">
        <f>IFERROR(VLOOKUP($K431,Base_Atividades!$E$1:$N$2398,MATCH(BancoAjustado!M$1,Base_Atividades!$E$1:$N$1,0),FALSE),0)</f>
        <v>0</v>
      </c>
      <c r="N431">
        <f>IFERROR(VLOOKUP($K431,Base_Atividades!$E$1:$N$2398,MATCH(BancoAjustado!N$1,Base_Atividades!$E$1:$N$1,0),FALSE),0)</f>
        <v>0</v>
      </c>
    </row>
    <row r="432" spans="1:14" x14ac:dyDescent="0.25">
      <c r="A432" t="s">
        <v>2111</v>
      </c>
      <c r="B432" t="s">
        <v>2619</v>
      </c>
      <c r="C432" t="s">
        <v>2628</v>
      </c>
      <c r="D432" t="s">
        <v>2629</v>
      </c>
      <c r="E432" t="s">
        <v>2630</v>
      </c>
      <c r="F432" t="str">
        <f>VLOOKUP(A432,Base!$A:$F,6,FALSE)</f>
        <v>INDÚSTRIAS DE TRANSFORMAÇÃO</v>
      </c>
      <c r="G432" t="str">
        <f>VLOOKUP(B432,Base!$B:$F,5,FALSE)</f>
        <v>FABRICAÇÃO DE EQUIPAMENTOS DE INFORMÁTICA, PRODUTOS ELETRÔNICOS E ÓPTICOS</v>
      </c>
      <c r="H432" t="str">
        <f>VLOOKUP(C432,Base!$C:$F,4,FALSE)</f>
        <v>Fabricação de equipamentos de comunicação</v>
      </c>
      <c r="I432" t="str">
        <f>VLOOKUP(D432,Base!$D:$F,3,FALSE)</f>
        <v>Fabricação de equipamentos transmissores de comunicação</v>
      </c>
      <c r="J432" t="str">
        <f>VLOOKUP(E432,Base!$E:$F,2,FALSE)</f>
        <v>Fabricação de equipamentos transmissores de comunicação, peças e acessórios</v>
      </c>
      <c r="K432" t="s">
        <v>2630</v>
      </c>
      <c r="L432">
        <f>IFERROR(VLOOKUP($K432,Base_Atividades!$E$1:$N$2398,MATCH(BancoAjustado!L$1,Base_Atividades!$E$1:$N$1,0),FALSE),0)</f>
        <v>1</v>
      </c>
      <c r="M432">
        <f>IFERROR(VLOOKUP($K432,Base_Atividades!$E$1:$N$2398,MATCH(BancoAjustado!M$1,Base_Atividades!$E$1:$N$1,0),FALSE),0)</f>
        <v>0</v>
      </c>
      <c r="N432">
        <f>IFERROR(VLOOKUP($K432,Base_Atividades!$E$1:$N$2398,MATCH(BancoAjustado!N$1,Base_Atividades!$E$1:$N$1,0),FALSE),0)</f>
        <v>0</v>
      </c>
    </row>
    <row r="433" spans="1:14" x14ac:dyDescent="0.25">
      <c r="A433" t="s">
        <v>2111</v>
      </c>
      <c r="B433" t="s">
        <v>2619</v>
      </c>
      <c r="C433" t="s">
        <v>2628</v>
      </c>
      <c r="D433" t="s">
        <v>2631</v>
      </c>
      <c r="E433" t="s">
        <v>2632</v>
      </c>
      <c r="F433" t="str">
        <f>VLOOKUP(A433,Base!$A:$F,6,FALSE)</f>
        <v>INDÚSTRIAS DE TRANSFORMAÇÃO</v>
      </c>
      <c r="G433" t="str">
        <f>VLOOKUP(B433,Base!$B:$F,5,FALSE)</f>
        <v>FABRICAÇÃO DE EQUIPAMENTOS DE INFORMÁTICA, PRODUTOS ELETRÔNICOS E ÓPTICOS</v>
      </c>
      <c r="H433" t="str">
        <f>VLOOKUP(C433,Base!$C:$F,4,FALSE)</f>
        <v>Fabricação de equipamentos de comunicação</v>
      </c>
      <c r="I433" t="str">
        <f>VLOOKUP(D433,Base!$D:$F,3,FALSE)</f>
        <v>Fabricação de aparelhos telefônicos e de outros equipamentos de comunicação</v>
      </c>
      <c r="J433" t="str">
        <f>VLOOKUP(E433,Base!$E:$F,2,FALSE)</f>
        <v>Fabricação de aparelhos telefônicos e de outros equipamentos de comunicação, peças e acessórios</v>
      </c>
      <c r="K433" t="s">
        <v>2632</v>
      </c>
      <c r="L433">
        <f>IFERROR(VLOOKUP($K433,Base_Atividades!$E$1:$N$2398,MATCH(BancoAjustado!L$1,Base_Atividades!$E$1:$N$1,0),FALSE),0)</f>
        <v>1</v>
      </c>
      <c r="M433">
        <f>IFERROR(VLOOKUP($K433,Base_Atividades!$E$1:$N$2398,MATCH(BancoAjustado!M$1,Base_Atividades!$E$1:$N$1,0),FALSE),0)</f>
        <v>0</v>
      </c>
      <c r="N433">
        <f>IFERROR(VLOOKUP($K433,Base_Atividades!$E$1:$N$2398,MATCH(BancoAjustado!N$1,Base_Atividades!$E$1:$N$1,0),FALSE),0)</f>
        <v>0</v>
      </c>
    </row>
    <row r="434" spans="1:14" x14ac:dyDescent="0.25">
      <c r="A434" t="s">
        <v>2111</v>
      </c>
      <c r="B434" t="s">
        <v>2619</v>
      </c>
      <c r="C434" t="s">
        <v>2633</v>
      </c>
      <c r="D434" t="s">
        <v>2634</v>
      </c>
      <c r="E434" t="s">
        <v>2635</v>
      </c>
      <c r="F434" t="str">
        <f>VLOOKUP(A434,Base!$A:$F,6,FALSE)</f>
        <v>INDÚSTRIAS DE TRANSFORMAÇÃO</v>
      </c>
      <c r="G434" t="str">
        <f>VLOOKUP(B434,Base!$B:$F,5,FALSE)</f>
        <v>FABRICAÇÃO DE EQUIPAMENTOS DE INFORMÁTICA, PRODUTOS ELETRÔNICOS E ÓPTICOS</v>
      </c>
      <c r="H434" t="str">
        <f>VLOOKUP(C434,Base!$C:$F,4,FALSE)</f>
        <v>Fabricação de aparelhos de recepção, reprodução, gravação e amplificação de áudio e vídeo</v>
      </c>
      <c r="I434" t="str">
        <f>VLOOKUP(D434,Base!$D:$F,3,FALSE)</f>
        <v>Fabricação de aparelhos de recepção, reprodução, gravação e amplificação de áudio e vídeo</v>
      </c>
      <c r="J434" t="str">
        <f>VLOOKUP(E434,Base!$E:$F,2,FALSE)</f>
        <v>Fabricação de aparelhos de recepção, reprodução, gravação e amplificação de áudio e vídeo</v>
      </c>
      <c r="K434" t="s">
        <v>2635</v>
      </c>
      <c r="L434">
        <f>IFERROR(VLOOKUP($K434,Base_Atividades!$E$1:$N$2398,MATCH(BancoAjustado!L$1,Base_Atividades!$E$1:$N$1,0),FALSE),0)</f>
        <v>1</v>
      </c>
      <c r="M434">
        <f>IFERROR(VLOOKUP($K434,Base_Atividades!$E$1:$N$2398,MATCH(BancoAjustado!M$1,Base_Atividades!$E$1:$N$1,0),FALSE),0)</f>
        <v>0</v>
      </c>
      <c r="N434">
        <f>IFERROR(VLOOKUP($K434,Base_Atividades!$E$1:$N$2398,MATCH(BancoAjustado!N$1,Base_Atividades!$E$1:$N$1,0),FALSE),0)</f>
        <v>0</v>
      </c>
    </row>
    <row r="435" spans="1:14" x14ac:dyDescent="0.25">
      <c r="A435" t="s">
        <v>2111</v>
      </c>
      <c r="B435" t="s">
        <v>2619</v>
      </c>
      <c r="C435" t="s">
        <v>2636</v>
      </c>
      <c r="D435" t="s">
        <v>2637</v>
      </c>
      <c r="E435" t="s">
        <v>2638</v>
      </c>
      <c r="F435" t="str">
        <f>VLOOKUP(A435,Base!$A:$F,6,FALSE)</f>
        <v>INDÚSTRIAS DE TRANSFORMAÇÃO</v>
      </c>
      <c r="G435" t="str">
        <f>VLOOKUP(B435,Base!$B:$F,5,FALSE)</f>
        <v>FABRICAÇÃO DE EQUIPAMENTOS DE INFORMÁTICA, PRODUTOS ELETRÔNICOS E ÓPTICOS</v>
      </c>
      <c r="H435" t="str">
        <f>VLOOKUP(C435,Base!$C:$F,4,FALSE)</f>
        <v>Fabricação de aparelhos e instrumentos de medida, teste e controle; cronômetros e relógios</v>
      </c>
      <c r="I435" t="str">
        <f>VLOOKUP(D435,Base!$D:$F,3,FALSE)</f>
        <v>Fabricação de aparelhos e equipamentos de medida, teste e
controle</v>
      </c>
      <c r="J435" t="str">
        <f>VLOOKUP(E435,Base!$E:$F,2,FALSE)</f>
        <v>Fabricação de aparelhos e equipamentos de medida, teste e controle</v>
      </c>
      <c r="K435" t="s">
        <v>2638</v>
      </c>
      <c r="L435">
        <f>IFERROR(VLOOKUP($K435,Base_Atividades!$E$1:$N$2398,MATCH(BancoAjustado!L$1,Base_Atividades!$E$1:$N$1,0),FALSE),0)</f>
        <v>1</v>
      </c>
      <c r="M435">
        <f>IFERROR(VLOOKUP($K435,Base_Atividades!$E$1:$N$2398,MATCH(BancoAjustado!M$1,Base_Atividades!$E$1:$N$1,0),FALSE),0)</f>
        <v>0</v>
      </c>
      <c r="N435">
        <f>IFERROR(VLOOKUP($K435,Base_Atividades!$E$1:$N$2398,MATCH(BancoAjustado!N$1,Base_Atividades!$E$1:$N$1,0),FALSE),0)</f>
        <v>0</v>
      </c>
    </row>
    <row r="436" spans="1:14" x14ac:dyDescent="0.25">
      <c r="A436" t="s">
        <v>2111</v>
      </c>
      <c r="B436" t="s">
        <v>2619</v>
      </c>
      <c r="C436" t="s">
        <v>2636</v>
      </c>
      <c r="D436" t="s">
        <v>2639</v>
      </c>
      <c r="E436" t="s">
        <v>2640</v>
      </c>
      <c r="F436" t="str">
        <f>VLOOKUP(A436,Base!$A:$F,6,FALSE)</f>
        <v>INDÚSTRIAS DE TRANSFORMAÇÃO</v>
      </c>
      <c r="G436" t="str">
        <f>VLOOKUP(B436,Base!$B:$F,5,FALSE)</f>
        <v>FABRICAÇÃO DE EQUIPAMENTOS DE INFORMÁTICA, PRODUTOS ELETRÔNICOS E ÓPTICOS</v>
      </c>
      <c r="H436" t="str">
        <f>VLOOKUP(C436,Base!$C:$F,4,FALSE)</f>
        <v>Fabricação de aparelhos e instrumentos de medida, teste e controle; cronômetros e relógios</v>
      </c>
      <c r="I436" t="str">
        <f>VLOOKUP(D436,Base!$D:$F,3,FALSE)</f>
        <v>Fabricação de cronômetros e relógios</v>
      </c>
      <c r="J436" t="str">
        <f>VLOOKUP(E436,Base!$E:$F,2,FALSE)</f>
        <v>Fabricação de cronômetros e relógios</v>
      </c>
      <c r="K436" t="s">
        <v>2640</v>
      </c>
      <c r="L436">
        <f>IFERROR(VLOOKUP($K436,Base_Atividades!$E$1:$N$2398,MATCH(BancoAjustado!L$1,Base_Atividades!$E$1:$N$1,0),FALSE),0)</f>
        <v>1</v>
      </c>
      <c r="M436">
        <f>IFERROR(VLOOKUP($K436,Base_Atividades!$E$1:$N$2398,MATCH(BancoAjustado!M$1,Base_Atividades!$E$1:$N$1,0),FALSE),0)</f>
        <v>0</v>
      </c>
      <c r="N436">
        <f>IFERROR(VLOOKUP($K436,Base_Atividades!$E$1:$N$2398,MATCH(BancoAjustado!N$1,Base_Atividades!$E$1:$N$1,0),FALSE),0)</f>
        <v>0</v>
      </c>
    </row>
    <row r="437" spans="1:14" x14ac:dyDescent="0.25">
      <c r="A437" t="s">
        <v>2111</v>
      </c>
      <c r="B437" t="s">
        <v>2619</v>
      </c>
      <c r="C437" t="s">
        <v>2641</v>
      </c>
      <c r="D437" t="s">
        <v>2642</v>
      </c>
      <c r="E437" t="s">
        <v>2643</v>
      </c>
      <c r="F437" t="str">
        <f>VLOOKUP(A437,Base!$A:$F,6,FALSE)</f>
        <v>INDÚSTRIAS DE TRANSFORMAÇÃO</v>
      </c>
      <c r="G437" t="str">
        <f>VLOOKUP(B437,Base!$B:$F,5,FALSE)</f>
        <v>FABRICAÇÃO DE EQUIPAMENTOS DE INFORMÁTICA, PRODUTOS ELETRÔNICOS E ÓPTICOS</v>
      </c>
      <c r="H437" t="str">
        <f>VLOOKUP(C437,Base!$C:$F,4,FALSE)</f>
        <v>Fabricação de aparelhos eletromédicos e eletroterapêuticos e equipamentos de irradiação</v>
      </c>
      <c r="I437" t="str">
        <f>VLOOKUP(D437,Base!$D:$F,3,FALSE)</f>
        <v>Fabricação de aparelhos eletromédicos e eletroterapêuticos e equipamentos de irradiação</v>
      </c>
      <c r="J437" t="str">
        <f>VLOOKUP(E437,Base!$E:$F,2,FALSE)</f>
        <v>Fabricação de aparelhos eletromédicos e eletroterapêuticos e equipamentos de irradiação</v>
      </c>
      <c r="K437" t="s">
        <v>2643</v>
      </c>
      <c r="L437">
        <f>IFERROR(VLOOKUP($K437,Base_Atividades!$E$1:$N$2398,MATCH(BancoAjustado!L$1,Base_Atividades!$E$1:$N$1,0),FALSE),0)</f>
        <v>1</v>
      </c>
      <c r="M437">
        <f>IFERROR(VLOOKUP($K437,Base_Atividades!$E$1:$N$2398,MATCH(BancoAjustado!M$1,Base_Atividades!$E$1:$N$1,0),FALSE),0)</f>
        <v>0</v>
      </c>
      <c r="N437">
        <f>IFERROR(VLOOKUP($K437,Base_Atividades!$E$1:$N$2398,MATCH(BancoAjustado!N$1,Base_Atividades!$E$1:$N$1,0),FALSE),0)</f>
        <v>0</v>
      </c>
    </row>
    <row r="438" spans="1:14" x14ac:dyDescent="0.25">
      <c r="A438" t="s">
        <v>2111</v>
      </c>
      <c r="B438" t="s">
        <v>2619</v>
      </c>
      <c r="C438" t="s">
        <v>2644</v>
      </c>
      <c r="D438" t="s">
        <v>2645</v>
      </c>
      <c r="E438" t="s">
        <v>2646</v>
      </c>
      <c r="F438" t="str">
        <f>VLOOKUP(A438,Base!$A:$F,6,FALSE)</f>
        <v>INDÚSTRIAS DE TRANSFORMAÇÃO</v>
      </c>
      <c r="G438" t="str">
        <f>VLOOKUP(B438,Base!$B:$F,5,FALSE)</f>
        <v>FABRICAÇÃO DE EQUIPAMENTOS DE INFORMÁTICA, PRODUTOS ELETRÔNICOS E ÓPTICOS</v>
      </c>
      <c r="H438" t="str">
        <f>VLOOKUP(C438,Base!$C:$F,4,FALSE)</f>
        <v>Fabricação de equipamentos e instrumentos ópticos, fotográficos e cinematográficos</v>
      </c>
      <c r="I438" t="str">
        <f>VLOOKUP(D438,Base!$D:$F,3,FALSE)</f>
        <v>Fabricação de equipamentos e instrumentos ópticos, fotográficos e cinematográficos</v>
      </c>
      <c r="J438" t="str">
        <f>VLOOKUP(E438,Base!$E:$F,2,FALSE)</f>
        <v>Fabricação de equipamentos e instrumentos ópticos, peças e acessórios</v>
      </c>
      <c r="K438" t="s">
        <v>2646</v>
      </c>
      <c r="L438">
        <f>IFERROR(VLOOKUP($K438,Base_Atividades!$E$1:$N$2398,MATCH(BancoAjustado!L$1,Base_Atividades!$E$1:$N$1,0),FALSE),0)</f>
        <v>1</v>
      </c>
      <c r="M438">
        <f>IFERROR(VLOOKUP($K438,Base_Atividades!$E$1:$N$2398,MATCH(BancoAjustado!M$1,Base_Atividades!$E$1:$N$1,0),FALSE),0)</f>
        <v>0</v>
      </c>
      <c r="N438">
        <f>IFERROR(VLOOKUP($K438,Base_Atividades!$E$1:$N$2398,MATCH(BancoAjustado!N$1,Base_Atividades!$E$1:$N$1,0),FALSE),0)</f>
        <v>0</v>
      </c>
    </row>
    <row r="439" spans="1:14" x14ac:dyDescent="0.25">
      <c r="A439" t="s">
        <v>2111</v>
      </c>
      <c r="B439" t="s">
        <v>2619</v>
      </c>
      <c r="C439" t="s">
        <v>2644</v>
      </c>
      <c r="D439" t="s">
        <v>2645</v>
      </c>
      <c r="E439" t="s">
        <v>2647</v>
      </c>
      <c r="F439" t="str">
        <f>VLOOKUP(A439,Base!$A:$F,6,FALSE)</f>
        <v>INDÚSTRIAS DE TRANSFORMAÇÃO</v>
      </c>
      <c r="G439" t="str">
        <f>VLOOKUP(B439,Base!$B:$F,5,FALSE)</f>
        <v>FABRICAÇÃO DE EQUIPAMENTOS DE INFORMÁTICA, PRODUTOS ELETRÔNICOS E ÓPTICOS</v>
      </c>
      <c r="H439" t="str">
        <f>VLOOKUP(C439,Base!$C:$F,4,FALSE)</f>
        <v>Fabricação de equipamentos e instrumentos ópticos, fotográficos e cinematográficos</v>
      </c>
      <c r="I439" t="str">
        <f>VLOOKUP(D439,Base!$D:$F,3,FALSE)</f>
        <v>Fabricação de equipamentos e instrumentos ópticos, fotográficos e cinematográficos</v>
      </c>
      <c r="J439" t="str">
        <f>VLOOKUP(E439,Base!$E:$F,2,FALSE)</f>
        <v>Fabricação de aparelhos fotográficos e cinematográficos, peças e acessórios</v>
      </c>
      <c r="K439" t="s">
        <v>2647</v>
      </c>
      <c r="L439">
        <f>IFERROR(VLOOKUP($K439,Base_Atividades!$E$1:$N$2398,MATCH(BancoAjustado!L$1,Base_Atividades!$E$1:$N$1,0),FALSE),0)</f>
        <v>1</v>
      </c>
      <c r="M439">
        <f>IFERROR(VLOOKUP($K439,Base_Atividades!$E$1:$N$2398,MATCH(BancoAjustado!M$1,Base_Atividades!$E$1:$N$1,0),FALSE),0)</f>
        <v>0</v>
      </c>
      <c r="N439">
        <f>IFERROR(VLOOKUP($K439,Base_Atividades!$E$1:$N$2398,MATCH(BancoAjustado!N$1,Base_Atividades!$E$1:$N$1,0),FALSE),0)</f>
        <v>0</v>
      </c>
    </row>
    <row r="440" spans="1:14" x14ac:dyDescent="0.25">
      <c r="A440" t="s">
        <v>2111</v>
      </c>
      <c r="B440" t="s">
        <v>2619</v>
      </c>
      <c r="C440" t="s">
        <v>2648</v>
      </c>
      <c r="D440" t="s">
        <v>2649</v>
      </c>
      <c r="E440" t="s">
        <v>2650</v>
      </c>
      <c r="F440" t="str">
        <f>VLOOKUP(A440,Base!$A:$F,6,FALSE)</f>
        <v>INDÚSTRIAS DE TRANSFORMAÇÃO</v>
      </c>
      <c r="G440" t="str">
        <f>VLOOKUP(B440,Base!$B:$F,5,FALSE)</f>
        <v>FABRICAÇÃO DE EQUIPAMENTOS DE INFORMÁTICA, PRODUTOS ELETRÔNICOS E ÓPTICOS</v>
      </c>
      <c r="H440" t="str">
        <f>VLOOKUP(C440,Base!$C:$F,4,FALSE)</f>
        <v>Fabricação de mídias virgens, magnéticas e ópticas</v>
      </c>
      <c r="I440" t="str">
        <f>VLOOKUP(D440,Base!$D:$F,3,FALSE)</f>
        <v>Fabricação de mídias virgens, magnéticas e ópticas</v>
      </c>
      <c r="J440" t="str">
        <f>VLOOKUP(E440,Base!$E:$F,2,FALSE)</f>
        <v>Fabricação de mídias virgens, magnéticas e ópticas</v>
      </c>
      <c r="K440" t="s">
        <v>2650</v>
      </c>
      <c r="L440">
        <f>IFERROR(VLOOKUP($K440,Base_Atividades!$E$1:$N$2398,MATCH(BancoAjustado!L$1,Base_Atividades!$E$1:$N$1,0),FALSE),0)</f>
        <v>1</v>
      </c>
      <c r="M440">
        <f>IFERROR(VLOOKUP($K440,Base_Atividades!$E$1:$N$2398,MATCH(BancoAjustado!M$1,Base_Atividades!$E$1:$N$1,0),FALSE),0)</f>
        <v>0</v>
      </c>
      <c r="N440">
        <f>IFERROR(VLOOKUP($K440,Base_Atividades!$E$1:$N$2398,MATCH(BancoAjustado!N$1,Base_Atividades!$E$1:$N$1,0),FALSE),0)</f>
        <v>0</v>
      </c>
    </row>
    <row r="441" spans="1:14" x14ac:dyDescent="0.25">
      <c r="A441" t="s">
        <v>2111</v>
      </c>
      <c r="B441" t="s">
        <v>2651</v>
      </c>
      <c r="C441" t="s">
        <v>2652</v>
      </c>
      <c r="D441" t="s">
        <v>2653</v>
      </c>
      <c r="E441" t="s">
        <v>2654</v>
      </c>
      <c r="F441" t="str">
        <f>VLOOKUP(A441,Base!$A:$F,6,FALSE)</f>
        <v>INDÚSTRIAS DE TRANSFORMAÇÃO</v>
      </c>
      <c r="G441" t="str">
        <f>VLOOKUP(B441,Base!$B:$F,5,FALSE)</f>
        <v>FABRICAÇÃO DE MÁQUINAS, APARELHOS E MATERIAIS ELÉTRICOS</v>
      </c>
      <c r="H441" t="str">
        <f>VLOOKUP(C441,Base!$C:$F,4,FALSE)</f>
        <v>Fabricação de geradores, transformadores e motores elétricos</v>
      </c>
      <c r="I441" t="str">
        <f>VLOOKUP(D441,Base!$D:$F,3,FALSE)</f>
        <v>Fabricação de geradores, transformadores e motores elétricos</v>
      </c>
      <c r="J441" t="str">
        <f>VLOOKUP(E441,Base!$E:$F,2,FALSE)</f>
        <v>Fabricação de geradores de corrente contínua e alternada, peças e acessórios</v>
      </c>
      <c r="K441" t="s">
        <v>2654</v>
      </c>
      <c r="L441">
        <f>IFERROR(VLOOKUP($K441,Base_Atividades!$E$1:$N$2398,MATCH(BancoAjustado!L$1,Base_Atividades!$E$1:$N$1,0),FALSE),0)</f>
        <v>1</v>
      </c>
      <c r="M441">
        <f>IFERROR(VLOOKUP($K441,Base_Atividades!$E$1:$N$2398,MATCH(BancoAjustado!M$1,Base_Atividades!$E$1:$N$1,0),FALSE),0)</f>
        <v>0</v>
      </c>
      <c r="N441">
        <f>IFERROR(VLOOKUP($K441,Base_Atividades!$E$1:$N$2398,MATCH(BancoAjustado!N$1,Base_Atividades!$E$1:$N$1,0),FALSE),0)</f>
        <v>0</v>
      </c>
    </row>
    <row r="442" spans="1:14" x14ac:dyDescent="0.25">
      <c r="A442" t="s">
        <v>2111</v>
      </c>
      <c r="B442" t="s">
        <v>2651</v>
      </c>
      <c r="C442" t="s">
        <v>2652</v>
      </c>
      <c r="D442" t="s">
        <v>2653</v>
      </c>
      <c r="E442" t="s">
        <v>2655</v>
      </c>
      <c r="F442" t="str">
        <f>VLOOKUP(A442,Base!$A:$F,6,FALSE)</f>
        <v>INDÚSTRIAS DE TRANSFORMAÇÃO</v>
      </c>
      <c r="G442" t="str">
        <f>VLOOKUP(B442,Base!$B:$F,5,FALSE)</f>
        <v>FABRICAÇÃO DE MÁQUINAS, APARELHOS E MATERIAIS ELÉTRICOS</v>
      </c>
      <c r="H442" t="str">
        <f>VLOOKUP(C442,Base!$C:$F,4,FALSE)</f>
        <v>Fabricação de geradores, transformadores e motores elétricos</v>
      </c>
      <c r="I442" t="str">
        <f>VLOOKUP(D442,Base!$D:$F,3,FALSE)</f>
        <v>Fabricação de geradores, transformadores e motores elétricos</v>
      </c>
      <c r="J442" t="str">
        <f>VLOOKUP(E442,Base!$E:$F,2,FALSE)</f>
        <v>Fabricação de transformadores, indutores, conversores, sincronizadores e semelhantes, peças e acessórios</v>
      </c>
      <c r="K442" t="s">
        <v>2655</v>
      </c>
      <c r="L442">
        <f>IFERROR(VLOOKUP($K442,Base_Atividades!$E$1:$N$2398,MATCH(BancoAjustado!L$1,Base_Atividades!$E$1:$N$1,0),FALSE),0)</f>
        <v>1</v>
      </c>
      <c r="M442">
        <f>IFERROR(VLOOKUP($K442,Base_Atividades!$E$1:$N$2398,MATCH(BancoAjustado!M$1,Base_Atividades!$E$1:$N$1,0),FALSE),0)</f>
        <v>0</v>
      </c>
      <c r="N442">
        <f>IFERROR(VLOOKUP($K442,Base_Atividades!$E$1:$N$2398,MATCH(BancoAjustado!N$1,Base_Atividades!$E$1:$N$1,0),FALSE),0)</f>
        <v>0</v>
      </c>
    </row>
    <row r="443" spans="1:14" x14ac:dyDescent="0.25">
      <c r="A443" t="s">
        <v>2111</v>
      </c>
      <c r="B443" t="s">
        <v>2651</v>
      </c>
      <c r="C443" t="s">
        <v>2652</v>
      </c>
      <c r="D443" t="s">
        <v>2653</v>
      </c>
      <c r="E443" t="s">
        <v>2656</v>
      </c>
      <c r="F443" t="str">
        <f>VLOOKUP(A443,Base!$A:$F,6,FALSE)</f>
        <v>INDÚSTRIAS DE TRANSFORMAÇÃO</v>
      </c>
      <c r="G443" t="str">
        <f>VLOOKUP(B443,Base!$B:$F,5,FALSE)</f>
        <v>FABRICAÇÃO DE MÁQUINAS, APARELHOS E MATERIAIS ELÉTRICOS</v>
      </c>
      <c r="H443" t="str">
        <f>VLOOKUP(C443,Base!$C:$F,4,FALSE)</f>
        <v>Fabricação de geradores, transformadores e motores elétricos</v>
      </c>
      <c r="I443" t="str">
        <f>VLOOKUP(D443,Base!$D:$F,3,FALSE)</f>
        <v>Fabricação de geradores, transformadores e motores elétricos</v>
      </c>
      <c r="J443" t="str">
        <f>VLOOKUP(E443,Base!$E:$F,2,FALSE)</f>
        <v>Fabricação de motores elétricos, peças e acessórios</v>
      </c>
      <c r="K443" t="s">
        <v>2656</v>
      </c>
      <c r="L443">
        <f>IFERROR(VLOOKUP($K443,Base_Atividades!$E$1:$N$2398,MATCH(BancoAjustado!L$1,Base_Atividades!$E$1:$N$1,0),FALSE),0)</f>
        <v>1</v>
      </c>
      <c r="M443">
        <f>IFERROR(VLOOKUP($K443,Base_Atividades!$E$1:$N$2398,MATCH(BancoAjustado!M$1,Base_Atividades!$E$1:$N$1,0),FALSE),0)</f>
        <v>0</v>
      </c>
      <c r="N443">
        <f>IFERROR(VLOOKUP($K443,Base_Atividades!$E$1:$N$2398,MATCH(BancoAjustado!N$1,Base_Atividades!$E$1:$N$1,0),FALSE),0)</f>
        <v>0</v>
      </c>
    </row>
    <row r="444" spans="1:14" x14ac:dyDescent="0.25">
      <c r="A444" t="s">
        <v>2111</v>
      </c>
      <c r="B444" t="s">
        <v>2651</v>
      </c>
      <c r="C444" t="s">
        <v>2657</v>
      </c>
      <c r="D444" t="s">
        <v>2658</v>
      </c>
      <c r="E444" t="s">
        <v>2659</v>
      </c>
      <c r="F444" t="str">
        <f>VLOOKUP(A444,Base!$A:$F,6,FALSE)</f>
        <v>INDÚSTRIAS DE TRANSFORMAÇÃO</v>
      </c>
      <c r="G444" t="str">
        <f>VLOOKUP(B444,Base!$B:$F,5,FALSE)</f>
        <v>FABRICAÇÃO DE MÁQUINAS, APARELHOS E MATERIAIS ELÉTRICOS</v>
      </c>
      <c r="H444" t="str">
        <f>VLOOKUP(C444,Base!$C:$F,4,FALSE)</f>
        <v>Fabricação de pilhas, baterias e acumuladores elétricos</v>
      </c>
      <c r="I444" t="str">
        <f>VLOOKUP(D444,Base!$D:$F,3,FALSE)</f>
        <v>Fabricação de pilhas, baterias e acumuladores elétricos, exceto para veículos automotores</v>
      </c>
      <c r="J444" t="str">
        <f>VLOOKUP(E444,Base!$E:$F,2,FALSE)</f>
        <v>Fabricação de pilhas, baterias e acumuladores elétricos, exceto para veículos automotores</v>
      </c>
      <c r="K444" t="s">
        <v>2659</v>
      </c>
      <c r="L444">
        <f>IFERROR(VLOOKUP($K444,Base_Atividades!$E$1:$N$2398,MATCH(BancoAjustado!L$1,Base_Atividades!$E$1:$N$1,0),FALSE),0)</f>
        <v>1</v>
      </c>
      <c r="M444">
        <f>IFERROR(VLOOKUP($K444,Base_Atividades!$E$1:$N$2398,MATCH(BancoAjustado!M$1,Base_Atividades!$E$1:$N$1,0),FALSE),0)</f>
        <v>0</v>
      </c>
      <c r="N444">
        <f>IFERROR(VLOOKUP($K444,Base_Atividades!$E$1:$N$2398,MATCH(BancoAjustado!N$1,Base_Atividades!$E$1:$N$1,0),FALSE),0)</f>
        <v>0</v>
      </c>
    </row>
    <row r="445" spans="1:14" x14ac:dyDescent="0.25">
      <c r="A445" t="s">
        <v>2111</v>
      </c>
      <c r="B445" t="s">
        <v>2651</v>
      </c>
      <c r="C445" t="s">
        <v>2657</v>
      </c>
      <c r="D445" t="s">
        <v>2660</v>
      </c>
      <c r="E445" t="s">
        <v>2661</v>
      </c>
      <c r="F445" t="str">
        <f>VLOOKUP(A445,Base!$A:$F,6,FALSE)</f>
        <v>INDÚSTRIAS DE TRANSFORMAÇÃO</v>
      </c>
      <c r="G445" t="str">
        <f>VLOOKUP(B445,Base!$B:$F,5,FALSE)</f>
        <v>FABRICAÇÃO DE MÁQUINAS, APARELHOS E MATERIAIS ELÉTRICOS</v>
      </c>
      <c r="H445" t="str">
        <f>VLOOKUP(C445,Base!$C:$F,4,FALSE)</f>
        <v>Fabricação de pilhas, baterias e acumuladores elétricos</v>
      </c>
      <c r="I445" t="str">
        <f>VLOOKUP(D445,Base!$D:$F,3,FALSE)</f>
        <v>Fabricação de baterias e acumuladores para veículos automotores</v>
      </c>
      <c r="J445" t="str">
        <f>VLOOKUP(E445,Base!$E:$F,2,FALSE)</f>
        <v>Fabricação de baterias e acumuladores para veículos automotores</v>
      </c>
      <c r="K445" t="s">
        <v>2661</v>
      </c>
      <c r="L445">
        <f>IFERROR(VLOOKUP($K445,Base_Atividades!$E$1:$N$2398,MATCH(BancoAjustado!L$1,Base_Atividades!$E$1:$N$1,0),FALSE),0)</f>
        <v>1</v>
      </c>
      <c r="M445">
        <f>IFERROR(VLOOKUP($K445,Base_Atividades!$E$1:$N$2398,MATCH(BancoAjustado!M$1,Base_Atividades!$E$1:$N$1,0),FALSE),0)</f>
        <v>0</v>
      </c>
      <c r="N445">
        <f>IFERROR(VLOOKUP($K445,Base_Atividades!$E$1:$N$2398,MATCH(BancoAjustado!N$1,Base_Atividades!$E$1:$N$1,0),FALSE),0)</f>
        <v>0</v>
      </c>
    </row>
    <row r="446" spans="1:14" x14ac:dyDescent="0.25">
      <c r="A446" t="s">
        <v>2111</v>
      </c>
      <c r="B446" t="s">
        <v>2651</v>
      </c>
      <c r="C446" t="s">
        <v>2657</v>
      </c>
      <c r="D446" t="s">
        <v>2660</v>
      </c>
      <c r="E446" t="s">
        <v>2662</v>
      </c>
      <c r="F446" t="str">
        <f>VLOOKUP(A446,Base!$A:$F,6,FALSE)</f>
        <v>INDÚSTRIAS DE TRANSFORMAÇÃO</v>
      </c>
      <c r="G446" t="str">
        <f>VLOOKUP(B446,Base!$B:$F,5,FALSE)</f>
        <v>FABRICAÇÃO DE MÁQUINAS, APARELHOS E MATERIAIS ELÉTRICOS</v>
      </c>
      <c r="H446" t="str">
        <f>VLOOKUP(C446,Base!$C:$F,4,FALSE)</f>
        <v>Fabricação de pilhas, baterias e acumuladores elétricos</v>
      </c>
      <c r="I446" t="str">
        <f>VLOOKUP(D446,Base!$D:$F,3,FALSE)</f>
        <v>Fabricação de baterias e acumuladores para veículos automotores</v>
      </c>
      <c r="J446" t="str">
        <f>VLOOKUP(E446,Base!$E:$F,2,FALSE)</f>
        <v>Recondicionamento de baterias e acumuladores para veículos automotores</v>
      </c>
      <c r="K446" t="s">
        <v>2662</v>
      </c>
      <c r="L446">
        <f>IFERROR(VLOOKUP($K446,Base_Atividades!$E$1:$N$2398,MATCH(BancoAjustado!L$1,Base_Atividades!$E$1:$N$1,0),FALSE),0)</f>
        <v>1</v>
      </c>
      <c r="M446">
        <f>IFERROR(VLOOKUP($K446,Base_Atividades!$E$1:$N$2398,MATCH(BancoAjustado!M$1,Base_Atividades!$E$1:$N$1,0),FALSE),0)</f>
        <v>0</v>
      </c>
      <c r="N446">
        <f>IFERROR(VLOOKUP($K446,Base_Atividades!$E$1:$N$2398,MATCH(BancoAjustado!N$1,Base_Atividades!$E$1:$N$1,0),FALSE),0)</f>
        <v>0</v>
      </c>
    </row>
    <row r="447" spans="1:14" x14ac:dyDescent="0.25">
      <c r="A447" t="s">
        <v>2111</v>
      </c>
      <c r="B447" t="s">
        <v>2651</v>
      </c>
      <c r="C447" t="s">
        <v>2663</v>
      </c>
      <c r="D447" t="s">
        <v>2664</v>
      </c>
      <c r="E447" t="s">
        <v>2665</v>
      </c>
      <c r="F447" t="str">
        <f>VLOOKUP(A447,Base!$A:$F,6,FALSE)</f>
        <v>INDÚSTRIAS DE TRANSFORMAÇÃO</v>
      </c>
      <c r="G447" t="str">
        <f>VLOOKUP(B447,Base!$B:$F,5,FALSE)</f>
        <v>FABRICAÇÃO DE MÁQUINAS, APARELHOS E MATERIAIS ELÉTRICOS</v>
      </c>
      <c r="H447" t="str">
        <f>VLOOKUP(C447,Base!$C:$F,4,FALSE)</f>
        <v>Fabricação de equipamentos para distribuição e controle de energia elétrica</v>
      </c>
      <c r="I447" t="str">
        <f>VLOOKUP(D447,Base!$D:$F,3,FALSE)</f>
        <v>Fabricação de aparelhos e equipamentos para distribuição e controle de energia elétrica</v>
      </c>
      <c r="J447" t="str">
        <f>VLOOKUP(E447,Base!$E:$F,2,FALSE)</f>
        <v>Fabricação de aparelhos e equipamentos para distribuição e controle de energia elétrica</v>
      </c>
      <c r="K447" t="s">
        <v>2665</v>
      </c>
      <c r="L447">
        <f>IFERROR(VLOOKUP($K447,Base_Atividades!$E$1:$N$2398,MATCH(BancoAjustado!L$1,Base_Atividades!$E$1:$N$1,0),FALSE),0)</f>
        <v>1</v>
      </c>
      <c r="M447">
        <f>IFERROR(VLOOKUP($K447,Base_Atividades!$E$1:$N$2398,MATCH(BancoAjustado!M$1,Base_Atividades!$E$1:$N$1,0),FALSE),0)</f>
        <v>0</v>
      </c>
      <c r="N447">
        <f>IFERROR(VLOOKUP($K447,Base_Atividades!$E$1:$N$2398,MATCH(BancoAjustado!N$1,Base_Atividades!$E$1:$N$1,0),FALSE),0)</f>
        <v>0</v>
      </c>
    </row>
    <row r="448" spans="1:14" x14ac:dyDescent="0.25">
      <c r="A448" t="s">
        <v>2111</v>
      </c>
      <c r="B448" t="s">
        <v>2651</v>
      </c>
      <c r="C448" t="s">
        <v>2663</v>
      </c>
      <c r="D448" t="s">
        <v>2666</v>
      </c>
      <c r="E448" t="s">
        <v>2667</v>
      </c>
      <c r="F448" t="str">
        <f>VLOOKUP(A448,Base!$A:$F,6,FALSE)</f>
        <v>INDÚSTRIAS DE TRANSFORMAÇÃO</v>
      </c>
      <c r="G448" t="str">
        <f>VLOOKUP(B448,Base!$B:$F,5,FALSE)</f>
        <v>FABRICAÇÃO DE MÁQUINAS, APARELHOS E MATERIAIS ELÉTRICOS</v>
      </c>
      <c r="H448" t="str">
        <f>VLOOKUP(C448,Base!$C:$F,4,FALSE)</f>
        <v>Fabricação de equipamentos para distribuição e controle de energia elétrica</v>
      </c>
      <c r="I448" t="str">
        <f>VLOOKUP(D448,Base!$D:$F,3,FALSE)</f>
        <v>Fabricação de material elétrico para instalações em circuito de consumo</v>
      </c>
      <c r="J448" t="str">
        <f>VLOOKUP(E448,Base!$E:$F,2,FALSE)</f>
        <v>Fabricação de material elétrico para instalações em circuito de consumo</v>
      </c>
      <c r="K448" t="s">
        <v>2667</v>
      </c>
      <c r="L448">
        <f>IFERROR(VLOOKUP($K448,Base_Atividades!$E$1:$N$2398,MATCH(BancoAjustado!L$1,Base_Atividades!$E$1:$N$1,0),FALSE),0)</f>
        <v>1</v>
      </c>
      <c r="M448">
        <f>IFERROR(VLOOKUP($K448,Base_Atividades!$E$1:$N$2398,MATCH(BancoAjustado!M$1,Base_Atividades!$E$1:$N$1,0),FALSE),0)</f>
        <v>0</v>
      </c>
      <c r="N448">
        <f>IFERROR(VLOOKUP($K448,Base_Atividades!$E$1:$N$2398,MATCH(BancoAjustado!N$1,Base_Atividades!$E$1:$N$1,0),FALSE),0)</f>
        <v>0</v>
      </c>
    </row>
    <row r="449" spans="1:14" x14ac:dyDescent="0.25">
      <c r="A449" t="s">
        <v>2111</v>
      </c>
      <c r="B449" t="s">
        <v>2651</v>
      </c>
      <c r="C449" t="s">
        <v>2663</v>
      </c>
      <c r="D449" t="s">
        <v>2668</v>
      </c>
      <c r="E449" t="s">
        <v>2669</v>
      </c>
      <c r="F449" t="str">
        <f>VLOOKUP(A449,Base!$A:$F,6,FALSE)</f>
        <v>INDÚSTRIAS DE TRANSFORMAÇÃO</v>
      </c>
      <c r="G449" t="str">
        <f>VLOOKUP(B449,Base!$B:$F,5,FALSE)</f>
        <v>FABRICAÇÃO DE MÁQUINAS, APARELHOS E MATERIAIS ELÉTRICOS</v>
      </c>
      <c r="H449" t="str">
        <f>VLOOKUP(C449,Base!$C:$F,4,FALSE)</f>
        <v>Fabricação de equipamentos para distribuição e controle de energia elétrica</v>
      </c>
      <c r="I449" t="str">
        <f>VLOOKUP(D449,Base!$D:$F,3,FALSE)</f>
        <v>Fabricação de fios, cabos e condutores elétricos isolados</v>
      </c>
      <c r="J449" t="str">
        <f>VLOOKUP(E449,Base!$E:$F,2,FALSE)</f>
        <v>Fabricação de fios, cabos e condutores elétricos isolados</v>
      </c>
      <c r="K449" t="s">
        <v>2669</v>
      </c>
      <c r="L449">
        <f>IFERROR(VLOOKUP($K449,Base_Atividades!$E$1:$N$2398,MATCH(BancoAjustado!L$1,Base_Atividades!$E$1:$N$1,0),FALSE),0)</f>
        <v>1</v>
      </c>
      <c r="M449">
        <f>IFERROR(VLOOKUP($K449,Base_Atividades!$E$1:$N$2398,MATCH(BancoAjustado!M$1,Base_Atividades!$E$1:$N$1,0),FALSE),0)</f>
        <v>0</v>
      </c>
      <c r="N449">
        <f>IFERROR(VLOOKUP($K449,Base_Atividades!$E$1:$N$2398,MATCH(BancoAjustado!N$1,Base_Atividades!$E$1:$N$1,0),FALSE),0)</f>
        <v>0</v>
      </c>
    </row>
    <row r="450" spans="1:14" x14ac:dyDescent="0.25">
      <c r="A450" t="s">
        <v>2111</v>
      </c>
      <c r="B450" t="s">
        <v>2651</v>
      </c>
      <c r="C450" t="s">
        <v>2670</v>
      </c>
      <c r="D450" t="s">
        <v>2671</v>
      </c>
      <c r="E450" t="s">
        <v>2672</v>
      </c>
      <c r="F450" t="str">
        <f>VLOOKUP(A450,Base!$A:$F,6,FALSE)</f>
        <v>INDÚSTRIAS DE TRANSFORMAÇÃO</v>
      </c>
      <c r="G450" t="str">
        <f>VLOOKUP(B450,Base!$B:$F,5,FALSE)</f>
        <v>FABRICAÇÃO DE MÁQUINAS, APARELHOS E MATERIAIS ELÉTRICOS</v>
      </c>
      <c r="H450" t="str">
        <f>VLOOKUP(C450,Base!$C:$F,4,FALSE)</f>
        <v>Fabricação de lâmpadas e outros equipamentos de iluminação</v>
      </c>
      <c r="I450" t="str">
        <f>VLOOKUP(D450,Base!$D:$F,3,FALSE)</f>
        <v>Fabricação de lâmpadas e outros equipamentos de iluminação</v>
      </c>
      <c r="J450" t="str">
        <f>VLOOKUP(E450,Base!$E:$F,2,FALSE)</f>
        <v>Fabricação de lâmpadas</v>
      </c>
      <c r="K450" t="s">
        <v>2672</v>
      </c>
      <c r="L450">
        <f>IFERROR(VLOOKUP($K450,Base_Atividades!$E$1:$N$2398,MATCH(BancoAjustado!L$1,Base_Atividades!$E$1:$N$1,0),FALSE),0)</f>
        <v>1</v>
      </c>
      <c r="M450">
        <f>IFERROR(VLOOKUP($K450,Base_Atividades!$E$1:$N$2398,MATCH(BancoAjustado!M$1,Base_Atividades!$E$1:$N$1,0),FALSE),0)</f>
        <v>0</v>
      </c>
      <c r="N450">
        <f>IFERROR(VLOOKUP($K450,Base_Atividades!$E$1:$N$2398,MATCH(BancoAjustado!N$1,Base_Atividades!$E$1:$N$1,0),FALSE),0)</f>
        <v>0</v>
      </c>
    </row>
    <row r="451" spans="1:14" x14ac:dyDescent="0.25">
      <c r="A451" t="s">
        <v>2111</v>
      </c>
      <c r="B451" t="s">
        <v>2651</v>
      </c>
      <c r="C451" t="s">
        <v>2670</v>
      </c>
      <c r="D451" t="s">
        <v>2671</v>
      </c>
      <c r="E451" t="s">
        <v>2673</v>
      </c>
      <c r="F451" t="str">
        <f>VLOOKUP(A451,Base!$A:$F,6,FALSE)</f>
        <v>INDÚSTRIAS DE TRANSFORMAÇÃO</v>
      </c>
      <c r="G451" t="str">
        <f>VLOOKUP(B451,Base!$B:$F,5,FALSE)</f>
        <v>FABRICAÇÃO DE MÁQUINAS, APARELHOS E MATERIAIS ELÉTRICOS</v>
      </c>
      <c r="H451" t="str">
        <f>VLOOKUP(C451,Base!$C:$F,4,FALSE)</f>
        <v>Fabricação de lâmpadas e outros equipamentos de iluminação</v>
      </c>
      <c r="I451" t="str">
        <f>VLOOKUP(D451,Base!$D:$F,3,FALSE)</f>
        <v>Fabricação de lâmpadas e outros equipamentos de iluminação</v>
      </c>
      <c r="J451" t="str">
        <f>VLOOKUP(E451,Base!$E:$F,2,FALSE)</f>
        <v>Fabricação de luminárias e outros equipamentos de iluminação</v>
      </c>
      <c r="K451" t="s">
        <v>2673</v>
      </c>
      <c r="L451">
        <f>IFERROR(VLOOKUP($K451,Base_Atividades!$E$1:$N$2398,MATCH(BancoAjustado!L$1,Base_Atividades!$E$1:$N$1,0),FALSE),0)</f>
        <v>1</v>
      </c>
      <c r="M451">
        <f>IFERROR(VLOOKUP($K451,Base_Atividades!$E$1:$N$2398,MATCH(BancoAjustado!M$1,Base_Atividades!$E$1:$N$1,0),FALSE),0)</f>
        <v>0</v>
      </c>
      <c r="N451">
        <f>IFERROR(VLOOKUP($K451,Base_Atividades!$E$1:$N$2398,MATCH(BancoAjustado!N$1,Base_Atividades!$E$1:$N$1,0),FALSE),0)</f>
        <v>0</v>
      </c>
    </row>
    <row r="452" spans="1:14" x14ac:dyDescent="0.25">
      <c r="A452" t="s">
        <v>2111</v>
      </c>
      <c r="B452" t="s">
        <v>2651</v>
      </c>
      <c r="C452" t="s">
        <v>2674</v>
      </c>
      <c r="D452" t="s">
        <v>2675</v>
      </c>
      <c r="E452" t="s">
        <v>2676</v>
      </c>
      <c r="F452" t="str">
        <f>VLOOKUP(A452,Base!$A:$F,6,FALSE)</f>
        <v>INDÚSTRIAS DE TRANSFORMAÇÃO</v>
      </c>
      <c r="G452" t="str">
        <f>VLOOKUP(B452,Base!$B:$F,5,FALSE)</f>
        <v>FABRICAÇÃO DE MÁQUINAS, APARELHOS E MATERIAIS ELÉTRICOS</v>
      </c>
      <c r="H452" t="str">
        <f>VLOOKUP(C452,Base!$C:$F,4,FALSE)</f>
        <v>Fabricação de eletrodomésticos</v>
      </c>
      <c r="I452" t="str">
        <f>VLOOKUP(D452,Base!$D:$F,3,FALSE)</f>
        <v>Fabricação de fogões, refrigeradores e máquinas de lavar e secar para uso doméstico</v>
      </c>
      <c r="J452" t="str">
        <f>VLOOKUP(E452,Base!$E:$F,2,FALSE)</f>
        <v>Fabricação de fogões, refrigeradores e máquinas de lavar e secar para uso doméstico, peças e acessórios</v>
      </c>
      <c r="K452" t="s">
        <v>2676</v>
      </c>
      <c r="L452">
        <f>IFERROR(VLOOKUP($K452,Base_Atividades!$E$1:$N$2398,MATCH(BancoAjustado!L$1,Base_Atividades!$E$1:$N$1,0),FALSE),0)</f>
        <v>1</v>
      </c>
      <c r="M452">
        <f>IFERROR(VLOOKUP($K452,Base_Atividades!$E$1:$N$2398,MATCH(BancoAjustado!M$1,Base_Atividades!$E$1:$N$1,0),FALSE),0)</f>
        <v>0</v>
      </c>
      <c r="N452">
        <f>IFERROR(VLOOKUP($K452,Base_Atividades!$E$1:$N$2398,MATCH(BancoAjustado!N$1,Base_Atividades!$E$1:$N$1,0),FALSE),0)</f>
        <v>0</v>
      </c>
    </row>
    <row r="453" spans="1:14" x14ac:dyDescent="0.25">
      <c r="A453" t="s">
        <v>2111</v>
      </c>
      <c r="B453" t="s">
        <v>2651</v>
      </c>
      <c r="C453" t="s">
        <v>2674</v>
      </c>
      <c r="D453" t="s">
        <v>2677</v>
      </c>
      <c r="E453" t="s">
        <v>2678</v>
      </c>
      <c r="F453" t="str">
        <f>VLOOKUP(A453,Base!$A:$F,6,FALSE)</f>
        <v>INDÚSTRIAS DE TRANSFORMAÇÃO</v>
      </c>
      <c r="G453" t="str">
        <f>VLOOKUP(B453,Base!$B:$F,5,FALSE)</f>
        <v>FABRICAÇÃO DE MÁQUINAS, APARELHOS E MATERIAIS ELÉTRICOS</v>
      </c>
      <c r="H453" t="str">
        <f>VLOOKUP(C453,Base!$C:$F,4,FALSE)</f>
        <v>Fabricação de eletrodomésticos</v>
      </c>
      <c r="I453" t="str">
        <f>VLOOKUP(D453,Base!$D:$F,3,FALSE)</f>
        <v>Fabricação de aparelhos eletrodomésticos não especificados anteriormente</v>
      </c>
      <c r="J453" t="str">
        <f>VLOOKUP(E453,Base!$E:$F,2,FALSE)</f>
        <v>Fabricação de aparelhos elétricos de uso pessoal, peças e acessórios</v>
      </c>
      <c r="K453" t="s">
        <v>2678</v>
      </c>
      <c r="L453">
        <f>IFERROR(VLOOKUP($K453,Base_Atividades!$E$1:$N$2398,MATCH(BancoAjustado!L$1,Base_Atividades!$E$1:$N$1,0),FALSE),0)</f>
        <v>1</v>
      </c>
      <c r="M453">
        <f>IFERROR(VLOOKUP($K453,Base_Atividades!$E$1:$N$2398,MATCH(BancoAjustado!M$1,Base_Atividades!$E$1:$N$1,0),FALSE),0)</f>
        <v>0</v>
      </c>
      <c r="N453">
        <f>IFERROR(VLOOKUP($K453,Base_Atividades!$E$1:$N$2398,MATCH(BancoAjustado!N$1,Base_Atividades!$E$1:$N$1,0),FALSE),0)</f>
        <v>0</v>
      </c>
    </row>
    <row r="454" spans="1:14" x14ac:dyDescent="0.25">
      <c r="A454" t="s">
        <v>2111</v>
      </c>
      <c r="B454" t="s">
        <v>2651</v>
      </c>
      <c r="C454" t="s">
        <v>2674</v>
      </c>
      <c r="D454" t="s">
        <v>2677</v>
      </c>
      <c r="E454" t="s">
        <v>2679</v>
      </c>
      <c r="F454" t="str">
        <f>VLOOKUP(A454,Base!$A:$F,6,FALSE)</f>
        <v>INDÚSTRIAS DE TRANSFORMAÇÃO</v>
      </c>
      <c r="G454" t="str">
        <f>VLOOKUP(B454,Base!$B:$F,5,FALSE)</f>
        <v>FABRICAÇÃO DE MÁQUINAS, APARELHOS E MATERIAIS ELÉTRICOS</v>
      </c>
      <c r="H454" t="str">
        <f>VLOOKUP(C454,Base!$C:$F,4,FALSE)</f>
        <v>Fabricação de eletrodomésticos</v>
      </c>
      <c r="I454" t="str">
        <f>VLOOKUP(D454,Base!$D:$F,3,FALSE)</f>
        <v>Fabricação de aparelhos eletrodomésticos não especificados anteriormente</v>
      </c>
      <c r="J454" t="str">
        <f>VLOOKUP(E454,Base!$E:$F,2,FALSE)</f>
        <v>Fabricação de outros aparelhos eletrodomésticos não especificados anteriormente, peças e acessórios</v>
      </c>
      <c r="K454" t="s">
        <v>2679</v>
      </c>
      <c r="L454">
        <f>IFERROR(VLOOKUP($K454,Base_Atividades!$E$1:$N$2398,MATCH(BancoAjustado!L$1,Base_Atividades!$E$1:$N$1,0),FALSE),0)</f>
        <v>1</v>
      </c>
      <c r="M454">
        <f>IFERROR(VLOOKUP($K454,Base_Atividades!$E$1:$N$2398,MATCH(BancoAjustado!M$1,Base_Atividades!$E$1:$N$1,0),FALSE),0)</f>
        <v>0</v>
      </c>
      <c r="N454">
        <f>IFERROR(VLOOKUP($K454,Base_Atividades!$E$1:$N$2398,MATCH(BancoAjustado!N$1,Base_Atividades!$E$1:$N$1,0),FALSE),0)</f>
        <v>0</v>
      </c>
    </row>
    <row r="455" spans="1:14" x14ac:dyDescent="0.25">
      <c r="A455" t="s">
        <v>2111</v>
      </c>
      <c r="B455" t="s">
        <v>2651</v>
      </c>
      <c r="C455" t="s">
        <v>2680</v>
      </c>
      <c r="D455" t="s">
        <v>2681</v>
      </c>
      <c r="E455" t="s">
        <v>2682</v>
      </c>
      <c r="F455" t="str">
        <f>VLOOKUP(A455,Base!$A:$F,6,FALSE)</f>
        <v>INDÚSTRIAS DE TRANSFORMAÇÃO</v>
      </c>
      <c r="G455" t="str">
        <f>VLOOKUP(B455,Base!$B:$F,5,FALSE)</f>
        <v>FABRICAÇÃO DE MÁQUINAS, APARELHOS E MATERIAIS ELÉTRICOS</v>
      </c>
      <c r="H455" t="str">
        <f>VLOOKUP(C455,Base!$C:$F,4,FALSE)</f>
        <v>Fabricação de equipamentos e aparelhos elétricos não especificados anteriormente</v>
      </c>
      <c r="I455" t="str">
        <f>VLOOKUP(D455,Base!$D:$F,3,FALSE)</f>
        <v>Fabricação de equipamentos e aparelhos elétricos não especificados anteriormente</v>
      </c>
      <c r="J455" t="str">
        <f>VLOOKUP(E455,Base!$E:$F,2,FALSE)</f>
        <v>Fabricação de eletrodos, contatos e outros artigos de carvão e grafita para uso elétrico, eletroímãs e isoladores</v>
      </c>
      <c r="K455" t="s">
        <v>2682</v>
      </c>
      <c r="L455">
        <f>IFERROR(VLOOKUP($K455,Base_Atividades!$E$1:$N$2398,MATCH(BancoAjustado!L$1,Base_Atividades!$E$1:$N$1,0),FALSE),0)</f>
        <v>1</v>
      </c>
      <c r="M455">
        <f>IFERROR(VLOOKUP($K455,Base_Atividades!$E$1:$N$2398,MATCH(BancoAjustado!M$1,Base_Atividades!$E$1:$N$1,0),FALSE),0)</f>
        <v>0</v>
      </c>
      <c r="N455">
        <f>IFERROR(VLOOKUP($K455,Base_Atividades!$E$1:$N$2398,MATCH(BancoAjustado!N$1,Base_Atividades!$E$1:$N$1,0),FALSE),0)</f>
        <v>0</v>
      </c>
    </row>
    <row r="456" spans="1:14" x14ac:dyDescent="0.25">
      <c r="A456" t="s">
        <v>2111</v>
      </c>
      <c r="B456" t="s">
        <v>2651</v>
      </c>
      <c r="C456" t="s">
        <v>2680</v>
      </c>
      <c r="D456" t="s">
        <v>2681</v>
      </c>
      <c r="E456" t="s">
        <v>2683</v>
      </c>
      <c r="F456" t="str">
        <f>VLOOKUP(A456,Base!$A:$F,6,FALSE)</f>
        <v>INDÚSTRIAS DE TRANSFORMAÇÃO</v>
      </c>
      <c r="G456" t="str">
        <f>VLOOKUP(B456,Base!$B:$F,5,FALSE)</f>
        <v>FABRICAÇÃO DE MÁQUINAS, APARELHOS E MATERIAIS ELÉTRICOS</v>
      </c>
      <c r="H456" t="str">
        <f>VLOOKUP(C456,Base!$C:$F,4,FALSE)</f>
        <v>Fabricação de equipamentos e aparelhos elétricos não especificados anteriormente</v>
      </c>
      <c r="I456" t="str">
        <f>VLOOKUP(D456,Base!$D:$F,3,FALSE)</f>
        <v>Fabricação de equipamentos e aparelhos elétricos não especificados anteriormente</v>
      </c>
      <c r="J456" t="str">
        <f>VLOOKUP(E456,Base!$E:$F,2,FALSE)</f>
        <v>Fabricação de equipamentos para sinalização e alarme</v>
      </c>
      <c r="K456" t="s">
        <v>2683</v>
      </c>
      <c r="L456">
        <f>IFERROR(VLOOKUP($K456,Base_Atividades!$E$1:$N$2398,MATCH(BancoAjustado!L$1,Base_Atividades!$E$1:$N$1,0),FALSE),0)</f>
        <v>1</v>
      </c>
      <c r="M456">
        <f>IFERROR(VLOOKUP($K456,Base_Atividades!$E$1:$N$2398,MATCH(BancoAjustado!M$1,Base_Atividades!$E$1:$N$1,0),FALSE),0)</f>
        <v>0</v>
      </c>
      <c r="N456">
        <f>IFERROR(VLOOKUP($K456,Base_Atividades!$E$1:$N$2398,MATCH(BancoAjustado!N$1,Base_Atividades!$E$1:$N$1,0),FALSE),0)</f>
        <v>0</v>
      </c>
    </row>
    <row r="457" spans="1:14" x14ac:dyDescent="0.25">
      <c r="A457" t="s">
        <v>2111</v>
      </c>
      <c r="B457" t="s">
        <v>2651</v>
      </c>
      <c r="C457" t="s">
        <v>2680</v>
      </c>
      <c r="D457" t="s">
        <v>2681</v>
      </c>
      <c r="E457" t="s">
        <v>2684</v>
      </c>
      <c r="F457" t="str">
        <f>VLOOKUP(A457,Base!$A:$F,6,FALSE)</f>
        <v>INDÚSTRIAS DE TRANSFORMAÇÃO</v>
      </c>
      <c r="G457" t="str">
        <f>VLOOKUP(B457,Base!$B:$F,5,FALSE)</f>
        <v>FABRICAÇÃO DE MÁQUINAS, APARELHOS E MATERIAIS ELÉTRICOS</v>
      </c>
      <c r="H457" t="str">
        <f>VLOOKUP(C457,Base!$C:$F,4,FALSE)</f>
        <v>Fabricação de equipamentos e aparelhos elétricos não especificados anteriormente</v>
      </c>
      <c r="I457" t="str">
        <f>VLOOKUP(D457,Base!$D:$F,3,FALSE)</f>
        <v>Fabricação de equipamentos e aparelhos elétricos não especificados anteriormente</v>
      </c>
      <c r="J457" t="str">
        <f>VLOOKUP(E457,Base!$E:$F,2,FALSE)</f>
        <v>Fabricação de outros equipamentos e aparelhos elétricos não especificados anteriormente</v>
      </c>
      <c r="K457" t="s">
        <v>2684</v>
      </c>
      <c r="L457">
        <f>IFERROR(VLOOKUP($K457,Base_Atividades!$E$1:$N$2398,MATCH(BancoAjustado!L$1,Base_Atividades!$E$1:$N$1,0),FALSE),0)</f>
        <v>1</v>
      </c>
      <c r="M457">
        <f>IFERROR(VLOOKUP($K457,Base_Atividades!$E$1:$N$2398,MATCH(BancoAjustado!M$1,Base_Atividades!$E$1:$N$1,0),FALSE),0)</f>
        <v>0</v>
      </c>
      <c r="N457">
        <f>IFERROR(VLOOKUP($K457,Base_Atividades!$E$1:$N$2398,MATCH(BancoAjustado!N$1,Base_Atividades!$E$1:$N$1,0),FALSE),0)</f>
        <v>0</v>
      </c>
    </row>
    <row r="458" spans="1:14" x14ac:dyDescent="0.25">
      <c r="A458" t="s">
        <v>2111</v>
      </c>
      <c r="B458" t="s">
        <v>2685</v>
      </c>
      <c r="C458" t="s">
        <v>2686</v>
      </c>
      <c r="D458" t="s">
        <v>2687</v>
      </c>
      <c r="E458" t="s">
        <v>2688</v>
      </c>
      <c r="F458" t="str">
        <f>VLOOKUP(A458,Base!$A:$F,6,FALSE)</f>
        <v>INDÚSTRIAS DE TRANSFORMAÇÃO</v>
      </c>
      <c r="G458" t="str">
        <f>VLOOKUP(B458,Base!$B:$F,5,FALSE)</f>
        <v>FABRICAÇÃO DE MÁQUINAS E EQUIPAMENTOS</v>
      </c>
      <c r="H458" t="str">
        <f>VLOOKUP(C458,Base!$C:$F,4,FALSE)</f>
        <v>Fabricação de motores, bombas, compressores e equipamentos de transmissão</v>
      </c>
      <c r="I458" t="str">
        <f>VLOOKUP(D458,Base!$D:$F,3,FALSE)</f>
        <v>Fabricação de motores e turbinas, exceto para aviões e veículos rodoviários</v>
      </c>
      <c r="J458" t="str">
        <f>VLOOKUP(E458,Base!$E:$F,2,FALSE)</f>
        <v>Fabricação de motores e turbinas, peças e acessórios, exceto para aviões e veículos rodoviários</v>
      </c>
      <c r="K458" t="s">
        <v>2688</v>
      </c>
      <c r="L458">
        <f>IFERROR(VLOOKUP($K458,Base_Atividades!$E$1:$N$2398,MATCH(BancoAjustado!L$1,Base_Atividades!$E$1:$N$1,0),FALSE),0)</f>
        <v>1</v>
      </c>
      <c r="M458">
        <f>IFERROR(VLOOKUP($K458,Base_Atividades!$E$1:$N$2398,MATCH(BancoAjustado!M$1,Base_Atividades!$E$1:$N$1,0),FALSE),0)</f>
        <v>0</v>
      </c>
      <c r="N458">
        <f>IFERROR(VLOOKUP($K458,Base_Atividades!$E$1:$N$2398,MATCH(BancoAjustado!N$1,Base_Atividades!$E$1:$N$1,0),FALSE),0)</f>
        <v>0</v>
      </c>
    </row>
    <row r="459" spans="1:14" x14ac:dyDescent="0.25">
      <c r="A459" t="s">
        <v>2111</v>
      </c>
      <c r="B459" t="s">
        <v>2685</v>
      </c>
      <c r="C459" t="s">
        <v>2686</v>
      </c>
      <c r="D459" t="s">
        <v>2689</v>
      </c>
      <c r="E459" t="s">
        <v>2690</v>
      </c>
      <c r="F459" t="str">
        <f>VLOOKUP(A459,Base!$A:$F,6,FALSE)</f>
        <v>INDÚSTRIAS DE TRANSFORMAÇÃO</v>
      </c>
      <c r="G459" t="str">
        <f>VLOOKUP(B459,Base!$B:$F,5,FALSE)</f>
        <v>FABRICAÇÃO DE MÁQUINAS E EQUIPAMENTOS</v>
      </c>
      <c r="H459" t="str">
        <f>VLOOKUP(C459,Base!$C:$F,4,FALSE)</f>
        <v>Fabricação de motores, bombas, compressores e equipamentos de transmissão</v>
      </c>
      <c r="I459" t="str">
        <f>VLOOKUP(D459,Base!$D:$F,3,FALSE)</f>
        <v>Fabricação de equipamentos hidráulicos e pneumáticos, exceto válvulas</v>
      </c>
      <c r="J459" t="str">
        <f>VLOOKUP(E459,Base!$E:$F,2,FALSE)</f>
        <v>Fabricação de equipamentos hidráulicos e pneumáticos, peças e acessórios, exceto válvulas</v>
      </c>
      <c r="K459" t="s">
        <v>2690</v>
      </c>
      <c r="L459">
        <f>IFERROR(VLOOKUP($K459,Base_Atividades!$E$1:$N$2398,MATCH(BancoAjustado!L$1,Base_Atividades!$E$1:$N$1,0),FALSE),0)</f>
        <v>1</v>
      </c>
      <c r="M459">
        <f>IFERROR(VLOOKUP($K459,Base_Atividades!$E$1:$N$2398,MATCH(BancoAjustado!M$1,Base_Atividades!$E$1:$N$1,0),FALSE),0)</f>
        <v>0</v>
      </c>
      <c r="N459">
        <f>IFERROR(VLOOKUP($K459,Base_Atividades!$E$1:$N$2398,MATCH(BancoAjustado!N$1,Base_Atividades!$E$1:$N$1,0),FALSE),0)</f>
        <v>0</v>
      </c>
    </row>
    <row r="460" spans="1:14" x14ac:dyDescent="0.25">
      <c r="A460" t="s">
        <v>2111</v>
      </c>
      <c r="B460" t="s">
        <v>2685</v>
      </c>
      <c r="C460" t="s">
        <v>2686</v>
      </c>
      <c r="D460" t="s">
        <v>2691</v>
      </c>
      <c r="E460" t="s">
        <v>2692</v>
      </c>
      <c r="F460" t="str">
        <f>VLOOKUP(A460,Base!$A:$F,6,FALSE)</f>
        <v>INDÚSTRIAS DE TRANSFORMAÇÃO</v>
      </c>
      <c r="G460" t="str">
        <f>VLOOKUP(B460,Base!$B:$F,5,FALSE)</f>
        <v>FABRICAÇÃO DE MÁQUINAS E EQUIPAMENTOS</v>
      </c>
      <c r="H460" t="str">
        <f>VLOOKUP(C460,Base!$C:$F,4,FALSE)</f>
        <v>Fabricação de motores, bombas, compressores e equipamentos de transmissão</v>
      </c>
      <c r="I460" t="str">
        <f>VLOOKUP(D460,Base!$D:$F,3,FALSE)</f>
        <v>Fabricação de válvulas, registros e dispositivos semelhantes</v>
      </c>
      <c r="J460" t="str">
        <f>VLOOKUP(E460,Base!$E:$F,2,FALSE)</f>
        <v>Fabricação de válvulas, registros e dispositivos semelhantes, peças e acessórios</v>
      </c>
      <c r="K460" t="s">
        <v>2692</v>
      </c>
      <c r="L460">
        <f>IFERROR(VLOOKUP($K460,Base_Atividades!$E$1:$N$2398,MATCH(BancoAjustado!L$1,Base_Atividades!$E$1:$N$1,0),FALSE),0)</f>
        <v>1</v>
      </c>
      <c r="M460">
        <f>IFERROR(VLOOKUP($K460,Base_Atividades!$E$1:$N$2398,MATCH(BancoAjustado!M$1,Base_Atividades!$E$1:$N$1,0),FALSE),0)</f>
        <v>0</v>
      </c>
      <c r="N460">
        <f>IFERROR(VLOOKUP($K460,Base_Atividades!$E$1:$N$2398,MATCH(BancoAjustado!N$1,Base_Atividades!$E$1:$N$1,0),FALSE),0)</f>
        <v>0</v>
      </c>
    </row>
    <row r="461" spans="1:14" x14ac:dyDescent="0.25">
      <c r="A461" t="s">
        <v>2111</v>
      </c>
      <c r="B461" t="s">
        <v>2685</v>
      </c>
      <c r="C461" t="s">
        <v>2686</v>
      </c>
      <c r="D461" t="s">
        <v>2693</v>
      </c>
      <c r="E461" t="s">
        <v>2694</v>
      </c>
      <c r="F461" t="str">
        <f>VLOOKUP(A461,Base!$A:$F,6,FALSE)</f>
        <v>INDÚSTRIAS DE TRANSFORMAÇÃO</v>
      </c>
      <c r="G461" t="str">
        <f>VLOOKUP(B461,Base!$B:$F,5,FALSE)</f>
        <v>FABRICAÇÃO DE MÁQUINAS E EQUIPAMENTOS</v>
      </c>
      <c r="H461" t="str">
        <f>VLOOKUP(C461,Base!$C:$F,4,FALSE)</f>
        <v>Fabricação de motores, bombas, compressores e equipamentos de transmissão</v>
      </c>
      <c r="I461" t="str">
        <f>VLOOKUP(D461,Base!$D:$F,3,FALSE)</f>
        <v>Fabricação de compressores</v>
      </c>
      <c r="J461" t="str">
        <f>VLOOKUP(E461,Base!$E:$F,2,FALSE)</f>
        <v>Fabricação de compressores para uso industrial, peças e acessórios</v>
      </c>
      <c r="K461" t="s">
        <v>2694</v>
      </c>
      <c r="L461">
        <f>IFERROR(VLOOKUP($K461,Base_Atividades!$E$1:$N$2398,MATCH(BancoAjustado!L$1,Base_Atividades!$E$1:$N$1,0),FALSE),0)</f>
        <v>1</v>
      </c>
      <c r="M461">
        <f>IFERROR(VLOOKUP($K461,Base_Atividades!$E$1:$N$2398,MATCH(BancoAjustado!M$1,Base_Atividades!$E$1:$N$1,0),FALSE),0)</f>
        <v>0</v>
      </c>
      <c r="N461">
        <f>IFERROR(VLOOKUP($K461,Base_Atividades!$E$1:$N$2398,MATCH(BancoAjustado!N$1,Base_Atividades!$E$1:$N$1,0),FALSE),0)</f>
        <v>0</v>
      </c>
    </row>
    <row r="462" spans="1:14" x14ac:dyDescent="0.25">
      <c r="A462" t="s">
        <v>2111</v>
      </c>
      <c r="B462" t="s">
        <v>2685</v>
      </c>
      <c r="C462" t="s">
        <v>2686</v>
      </c>
      <c r="D462" t="s">
        <v>2693</v>
      </c>
      <c r="E462" t="s">
        <v>2695</v>
      </c>
      <c r="F462" t="str">
        <f>VLOOKUP(A462,Base!$A:$F,6,FALSE)</f>
        <v>INDÚSTRIAS DE TRANSFORMAÇÃO</v>
      </c>
      <c r="G462" t="str">
        <f>VLOOKUP(B462,Base!$B:$F,5,FALSE)</f>
        <v>FABRICAÇÃO DE MÁQUINAS E EQUIPAMENTOS</v>
      </c>
      <c r="H462" t="str">
        <f>VLOOKUP(C462,Base!$C:$F,4,FALSE)</f>
        <v>Fabricação de motores, bombas, compressores e equipamentos de transmissão</v>
      </c>
      <c r="I462" t="str">
        <f>VLOOKUP(D462,Base!$D:$F,3,FALSE)</f>
        <v>Fabricação de compressores</v>
      </c>
      <c r="J462" t="str">
        <f>VLOOKUP(E462,Base!$E:$F,2,FALSE)</f>
        <v>Fabricação de compressores para uso não industrial, peças e acessórios</v>
      </c>
      <c r="K462" t="s">
        <v>2695</v>
      </c>
      <c r="L462">
        <f>IFERROR(VLOOKUP($K462,Base_Atividades!$E$1:$N$2398,MATCH(BancoAjustado!L$1,Base_Atividades!$E$1:$N$1,0),FALSE),0)</f>
        <v>1</v>
      </c>
      <c r="M462">
        <f>IFERROR(VLOOKUP($K462,Base_Atividades!$E$1:$N$2398,MATCH(BancoAjustado!M$1,Base_Atividades!$E$1:$N$1,0),FALSE),0)</f>
        <v>0</v>
      </c>
      <c r="N462">
        <f>IFERROR(VLOOKUP($K462,Base_Atividades!$E$1:$N$2398,MATCH(BancoAjustado!N$1,Base_Atividades!$E$1:$N$1,0),FALSE),0)</f>
        <v>0</v>
      </c>
    </row>
    <row r="463" spans="1:14" x14ac:dyDescent="0.25">
      <c r="A463" t="s">
        <v>2111</v>
      </c>
      <c r="B463" t="s">
        <v>2685</v>
      </c>
      <c r="C463" t="s">
        <v>2686</v>
      </c>
      <c r="D463" t="s">
        <v>2696</v>
      </c>
      <c r="E463" t="s">
        <v>2697</v>
      </c>
      <c r="F463" t="str">
        <f>VLOOKUP(A463,Base!$A:$F,6,FALSE)</f>
        <v>INDÚSTRIAS DE TRANSFORMAÇÃO</v>
      </c>
      <c r="G463" t="str">
        <f>VLOOKUP(B463,Base!$B:$F,5,FALSE)</f>
        <v>FABRICAÇÃO DE MÁQUINAS E EQUIPAMENTOS</v>
      </c>
      <c r="H463" t="str">
        <f>VLOOKUP(C463,Base!$C:$F,4,FALSE)</f>
        <v>Fabricação de motores, bombas, compressores e equipamentos de transmissão</v>
      </c>
      <c r="I463" t="str">
        <f>VLOOKUP(D463,Base!$D:$F,3,FALSE)</f>
        <v>Fabricação de equipamentos de transmissão para fins industriais</v>
      </c>
      <c r="J463" t="str">
        <f>VLOOKUP(E463,Base!$E:$F,2,FALSE)</f>
        <v>Fabricação de rolamentos para fins industriais</v>
      </c>
      <c r="K463" t="s">
        <v>2697</v>
      </c>
      <c r="L463">
        <f>IFERROR(VLOOKUP($K463,Base_Atividades!$E$1:$N$2398,MATCH(BancoAjustado!L$1,Base_Atividades!$E$1:$N$1,0),FALSE),0)</f>
        <v>1</v>
      </c>
      <c r="M463">
        <f>IFERROR(VLOOKUP($K463,Base_Atividades!$E$1:$N$2398,MATCH(BancoAjustado!M$1,Base_Atividades!$E$1:$N$1,0),FALSE),0)</f>
        <v>0</v>
      </c>
      <c r="N463">
        <f>IFERROR(VLOOKUP($K463,Base_Atividades!$E$1:$N$2398,MATCH(BancoAjustado!N$1,Base_Atividades!$E$1:$N$1,0),FALSE),0)</f>
        <v>0</v>
      </c>
    </row>
    <row r="464" spans="1:14" x14ac:dyDescent="0.25">
      <c r="A464" t="s">
        <v>2111</v>
      </c>
      <c r="B464" t="s">
        <v>2685</v>
      </c>
      <c r="C464" t="s">
        <v>2686</v>
      </c>
      <c r="D464" t="s">
        <v>2696</v>
      </c>
      <c r="E464" t="s">
        <v>2698</v>
      </c>
      <c r="F464" t="str">
        <f>VLOOKUP(A464,Base!$A:$F,6,FALSE)</f>
        <v>INDÚSTRIAS DE TRANSFORMAÇÃO</v>
      </c>
      <c r="G464" t="str">
        <f>VLOOKUP(B464,Base!$B:$F,5,FALSE)</f>
        <v>FABRICAÇÃO DE MÁQUINAS E EQUIPAMENTOS</v>
      </c>
      <c r="H464" t="str">
        <f>VLOOKUP(C464,Base!$C:$F,4,FALSE)</f>
        <v>Fabricação de motores, bombas, compressores e equipamentos de transmissão</v>
      </c>
      <c r="I464" t="str">
        <f>VLOOKUP(D464,Base!$D:$F,3,FALSE)</f>
        <v>Fabricação de equipamentos de transmissão para fins industriais</v>
      </c>
      <c r="J464" t="str">
        <f>VLOOKUP(E464,Base!$E:$F,2,FALSE)</f>
        <v>Fabricação de equipamentos de transmissão para fins industriais, exceto rolamentos</v>
      </c>
      <c r="K464" t="s">
        <v>2698</v>
      </c>
      <c r="L464">
        <f>IFERROR(VLOOKUP($K464,Base_Atividades!$E$1:$N$2398,MATCH(BancoAjustado!L$1,Base_Atividades!$E$1:$N$1,0),FALSE),0)</f>
        <v>1</v>
      </c>
      <c r="M464">
        <f>IFERROR(VLOOKUP($K464,Base_Atividades!$E$1:$N$2398,MATCH(BancoAjustado!M$1,Base_Atividades!$E$1:$N$1,0),FALSE),0)</f>
        <v>0</v>
      </c>
      <c r="N464">
        <f>IFERROR(VLOOKUP($K464,Base_Atividades!$E$1:$N$2398,MATCH(BancoAjustado!N$1,Base_Atividades!$E$1:$N$1,0),FALSE),0)</f>
        <v>0</v>
      </c>
    </row>
    <row r="465" spans="1:14" x14ac:dyDescent="0.25">
      <c r="A465" t="s">
        <v>2111</v>
      </c>
      <c r="B465" t="s">
        <v>2685</v>
      </c>
      <c r="C465" t="s">
        <v>2699</v>
      </c>
      <c r="D465" t="s">
        <v>2700</v>
      </c>
      <c r="E465" t="s">
        <v>2701</v>
      </c>
      <c r="F465" t="str">
        <f>VLOOKUP(A465,Base!$A:$F,6,FALSE)</f>
        <v>INDÚSTRIAS DE TRANSFORMAÇÃO</v>
      </c>
      <c r="G465" t="str">
        <f>VLOOKUP(B465,Base!$B:$F,5,FALSE)</f>
        <v>FABRICAÇÃO DE MÁQUINAS E EQUIPAMENTOS</v>
      </c>
      <c r="H465" t="str">
        <f>VLOOKUP(C465,Base!$C:$F,4,FALSE)</f>
        <v>Fabricação de máquinas e equipamentos de uso geral</v>
      </c>
      <c r="I465" t="str">
        <f>VLOOKUP(D465,Base!$D:$F,3,FALSE)</f>
        <v>Fabricação de aparelhos e equipamentos para instalações térmicas</v>
      </c>
      <c r="J465" t="str">
        <f>VLOOKUP(E465,Base!$E:$F,2,FALSE)</f>
        <v>Fabricação de fornos industriais, aparelhos e equipamentos não elétricos para instalações térmicas, peças e acessórios</v>
      </c>
      <c r="K465" t="s">
        <v>2701</v>
      </c>
      <c r="L465">
        <f>IFERROR(VLOOKUP($K465,Base_Atividades!$E$1:$N$2398,MATCH(BancoAjustado!L$1,Base_Atividades!$E$1:$N$1,0),FALSE),0)</f>
        <v>1</v>
      </c>
      <c r="M465">
        <f>IFERROR(VLOOKUP($K465,Base_Atividades!$E$1:$N$2398,MATCH(BancoAjustado!M$1,Base_Atividades!$E$1:$N$1,0),FALSE),0)</f>
        <v>0</v>
      </c>
      <c r="N465">
        <f>IFERROR(VLOOKUP($K465,Base_Atividades!$E$1:$N$2398,MATCH(BancoAjustado!N$1,Base_Atividades!$E$1:$N$1,0),FALSE),0)</f>
        <v>0</v>
      </c>
    </row>
    <row r="466" spans="1:14" x14ac:dyDescent="0.25">
      <c r="A466" t="s">
        <v>2111</v>
      </c>
      <c r="B466" t="s">
        <v>2685</v>
      </c>
      <c r="C466" t="s">
        <v>2699</v>
      </c>
      <c r="D466" t="s">
        <v>2700</v>
      </c>
      <c r="E466" t="s">
        <v>2702</v>
      </c>
      <c r="F466" t="str">
        <f>VLOOKUP(A466,Base!$A:$F,6,FALSE)</f>
        <v>INDÚSTRIAS DE TRANSFORMAÇÃO</v>
      </c>
      <c r="G466" t="str">
        <f>VLOOKUP(B466,Base!$B:$F,5,FALSE)</f>
        <v>FABRICAÇÃO DE MÁQUINAS E EQUIPAMENTOS</v>
      </c>
      <c r="H466" t="str">
        <f>VLOOKUP(C466,Base!$C:$F,4,FALSE)</f>
        <v>Fabricação de máquinas e equipamentos de uso geral</v>
      </c>
      <c r="I466" t="str">
        <f>VLOOKUP(D466,Base!$D:$F,3,FALSE)</f>
        <v>Fabricação de aparelhos e equipamentos para instalações térmicas</v>
      </c>
      <c r="J466" t="str">
        <f>VLOOKUP(E466,Base!$E:$F,2,FALSE)</f>
        <v>Fabricação de estufas e fornos elétricos para fins industriais, peças e acessórios</v>
      </c>
      <c r="K466" t="s">
        <v>2702</v>
      </c>
      <c r="L466">
        <f>IFERROR(VLOOKUP($K466,Base_Atividades!$E$1:$N$2398,MATCH(BancoAjustado!L$1,Base_Atividades!$E$1:$N$1,0),FALSE),0)</f>
        <v>1</v>
      </c>
      <c r="M466">
        <f>IFERROR(VLOOKUP($K466,Base_Atividades!$E$1:$N$2398,MATCH(BancoAjustado!M$1,Base_Atividades!$E$1:$N$1,0),FALSE),0)</f>
        <v>0</v>
      </c>
      <c r="N466">
        <f>IFERROR(VLOOKUP($K466,Base_Atividades!$E$1:$N$2398,MATCH(BancoAjustado!N$1,Base_Atividades!$E$1:$N$1,0),FALSE),0)</f>
        <v>0</v>
      </c>
    </row>
    <row r="467" spans="1:14" x14ac:dyDescent="0.25">
      <c r="A467" t="s">
        <v>2111</v>
      </c>
      <c r="B467" t="s">
        <v>2685</v>
      </c>
      <c r="C467" t="s">
        <v>2699</v>
      </c>
      <c r="D467" t="s">
        <v>2703</v>
      </c>
      <c r="E467" t="s">
        <v>2704</v>
      </c>
      <c r="F467" t="str">
        <f>VLOOKUP(A467,Base!$A:$F,6,FALSE)</f>
        <v>INDÚSTRIAS DE TRANSFORMAÇÃO</v>
      </c>
      <c r="G467" t="str">
        <f>VLOOKUP(B467,Base!$B:$F,5,FALSE)</f>
        <v>FABRICAÇÃO DE MÁQUINAS E EQUIPAMENTOS</v>
      </c>
      <c r="H467" t="str">
        <f>VLOOKUP(C467,Base!$C:$F,4,FALSE)</f>
        <v>Fabricação de máquinas e equipamentos de uso geral</v>
      </c>
      <c r="I467" t="str">
        <f>VLOOKUP(D467,Base!$D:$F,3,FALSE)</f>
        <v>Fabricação de máquinas, equipamentos e aparelhos para transporte e elevação de cargas e pessoas</v>
      </c>
      <c r="J467" t="str">
        <f>VLOOKUP(E467,Base!$E:$F,2,FALSE)</f>
        <v>Fabricação de máquinas, equipamentos e aparelhos para transporte e elevação de pessoas, peças e acessórios</v>
      </c>
      <c r="K467" t="s">
        <v>2704</v>
      </c>
      <c r="L467">
        <f>IFERROR(VLOOKUP($K467,Base_Atividades!$E$1:$N$2398,MATCH(BancoAjustado!L$1,Base_Atividades!$E$1:$N$1,0),FALSE),0)</f>
        <v>1</v>
      </c>
      <c r="M467">
        <f>IFERROR(VLOOKUP($K467,Base_Atividades!$E$1:$N$2398,MATCH(BancoAjustado!M$1,Base_Atividades!$E$1:$N$1,0),FALSE),0)</f>
        <v>0</v>
      </c>
      <c r="N467">
        <f>IFERROR(VLOOKUP($K467,Base_Atividades!$E$1:$N$2398,MATCH(BancoAjustado!N$1,Base_Atividades!$E$1:$N$1,0),FALSE),0)</f>
        <v>0</v>
      </c>
    </row>
    <row r="468" spans="1:14" x14ac:dyDescent="0.25">
      <c r="A468" t="s">
        <v>2111</v>
      </c>
      <c r="B468" t="s">
        <v>2685</v>
      </c>
      <c r="C468" t="s">
        <v>2699</v>
      </c>
      <c r="D468" t="s">
        <v>2703</v>
      </c>
      <c r="E468" t="s">
        <v>2705</v>
      </c>
      <c r="F468" t="str">
        <f>VLOOKUP(A468,Base!$A:$F,6,FALSE)</f>
        <v>INDÚSTRIAS DE TRANSFORMAÇÃO</v>
      </c>
      <c r="G468" t="str">
        <f>VLOOKUP(B468,Base!$B:$F,5,FALSE)</f>
        <v>FABRICAÇÃO DE MÁQUINAS E EQUIPAMENTOS</v>
      </c>
      <c r="H468" t="str">
        <f>VLOOKUP(C468,Base!$C:$F,4,FALSE)</f>
        <v>Fabricação de máquinas e equipamentos de uso geral</v>
      </c>
      <c r="I468" t="str">
        <f>VLOOKUP(D468,Base!$D:$F,3,FALSE)</f>
        <v>Fabricação de máquinas, equipamentos e aparelhos para transporte e elevação de cargas e pessoas</v>
      </c>
      <c r="J468" t="str">
        <f>VLOOKUP(E468,Base!$E:$F,2,FALSE)</f>
        <v>Fabricação de máquinas, equipamentos e aparelhos para transporte e elevação de cargas, peças e acessórios</v>
      </c>
      <c r="K468" t="s">
        <v>2705</v>
      </c>
      <c r="L468">
        <f>IFERROR(VLOOKUP($K468,Base_Atividades!$E$1:$N$2398,MATCH(BancoAjustado!L$1,Base_Atividades!$E$1:$N$1,0),FALSE),0)</f>
        <v>1</v>
      </c>
      <c r="M468">
        <f>IFERROR(VLOOKUP($K468,Base_Atividades!$E$1:$N$2398,MATCH(BancoAjustado!M$1,Base_Atividades!$E$1:$N$1,0),FALSE),0)</f>
        <v>0</v>
      </c>
      <c r="N468">
        <f>IFERROR(VLOOKUP($K468,Base_Atividades!$E$1:$N$2398,MATCH(BancoAjustado!N$1,Base_Atividades!$E$1:$N$1,0),FALSE),0)</f>
        <v>0</v>
      </c>
    </row>
    <row r="469" spans="1:14" x14ac:dyDescent="0.25">
      <c r="A469" t="s">
        <v>2111</v>
      </c>
      <c r="B469" t="s">
        <v>2685</v>
      </c>
      <c r="C469" t="s">
        <v>2699</v>
      </c>
      <c r="D469" t="s">
        <v>2706</v>
      </c>
      <c r="E469" t="s">
        <v>2707</v>
      </c>
      <c r="F469" t="str">
        <f>VLOOKUP(A469,Base!$A:$F,6,FALSE)</f>
        <v>INDÚSTRIAS DE TRANSFORMAÇÃO</v>
      </c>
      <c r="G469" t="str">
        <f>VLOOKUP(B469,Base!$B:$F,5,FALSE)</f>
        <v>FABRICAÇÃO DE MÁQUINAS E EQUIPAMENTOS</v>
      </c>
      <c r="H469" t="str">
        <f>VLOOKUP(C469,Base!$C:$F,4,FALSE)</f>
        <v>Fabricação de máquinas e equipamentos de uso geral</v>
      </c>
      <c r="I469" t="str">
        <f>VLOOKUP(D469,Base!$D:$F,3,FALSE)</f>
        <v>Fabricação de máquinas e aparelhos de refrigeração e ventilação para uso industrial e comercial</v>
      </c>
      <c r="J469" t="str">
        <f>VLOOKUP(E469,Base!$E:$F,2,FALSE)</f>
        <v>Fabricação de máquinas e aparelhos de refrigeração e ventilação para uso industrial e comercial, peças e acessórios</v>
      </c>
      <c r="K469" t="s">
        <v>2707</v>
      </c>
      <c r="L469">
        <f>IFERROR(VLOOKUP($K469,Base_Atividades!$E$1:$N$2398,MATCH(BancoAjustado!L$1,Base_Atividades!$E$1:$N$1,0),FALSE),0)</f>
        <v>1</v>
      </c>
      <c r="M469">
        <f>IFERROR(VLOOKUP($K469,Base_Atividades!$E$1:$N$2398,MATCH(BancoAjustado!M$1,Base_Atividades!$E$1:$N$1,0),FALSE),0)</f>
        <v>0</v>
      </c>
      <c r="N469">
        <f>IFERROR(VLOOKUP($K469,Base_Atividades!$E$1:$N$2398,MATCH(BancoAjustado!N$1,Base_Atividades!$E$1:$N$1,0),FALSE),0)</f>
        <v>0</v>
      </c>
    </row>
    <row r="470" spans="1:14" x14ac:dyDescent="0.25">
      <c r="A470" t="s">
        <v>2111</v>
      </c>
      <c r="B470" t="s">
        <v>2685</v>
      </c>
      <c r="C470" t="s">
        <v>2699</v>
      </c>
      <c r="D470" t="s">
        <v>2708</v>
      </c>
      <c r="E470" t="s">
        <v>2709</v>
      </c>
      <c r="F470" t="str">
        <f>VLOOKUP(A470,Base!$A:$F,6,FALSE)</f>
        <v>INDÚSTRIAS DE TRANSFORMAÇÃO</v>
      </c>
      <c r="G470" t="str">
        <f>VLOOKUP(B470,Base!$B:$F,5,FALSE)</f>
        <v>FABRICAÇÃO DE MÁQUINAS E EQUIPAMENTOS</v>
      </c>
      <c r="H470" t="str">
        <f>VLOOKUP(C470,Base!$C:$F,4,FALSE)</f>
        <v>Fabricação de máquinas e equipamentos de uso geral</v>
      </c>
      <c r="I470" t="str">
        <f>VLOOKUP(D470,Base!$D:$F,3,FALSE)</f>
        <v>Fabricação de aparelhos e equipamentos de ar condicionado</v>
      </c>
      <c r="J470" t="str">
        <f>VLOOKUP(E470,Base!$E:$F,2,FALSE)</f>
        <v>Fabricação de aparelhos e equipamentos de ar condicionado para uso industrial</v>
      </c>
      <c r="K470" t="s">
        <v>2709</v>
      </c>
      <c r="L470">
        <f>IFERROR(VLOOKUP($K470,Base_Atividades!$E$1:$N$2398,MATCH(BancoAjustado!L$1,Base_Atividades!$E$1:$N$1,0),FALSE),0)</f>
        <v>1</v>
      </c>
      <c r="M470">
        <f>IFERROR(VLOOKUP($K470,Base_Atividades!$E$1:$N$2398,MATCH(BancoAjustado!M$1,Base_Atividades!$E$1:$N$1,0),FALSE),0)</f>
        <v>0</v>
      </c>
      <c r="N470">
        <f>IFERROR(VLOOKUP($K470,Base_Atividades!$E$1:$N$2398,MATCH(BancoAjustado!N$1,Base_Atividades!$E$1:$N$1,0),FALSE),0)</f>
        <v>0</v>
      </c>
    </row>
    <row r="471" spans="1:14" x14ac:dyDescent="0.25">
      <c r="A471" t="s">
        <v>2111</v>
      </c>
      <c r="B471" t="s">
        <v>2685</v>
      </c>
      <c r="C471" t="s">
        <v>2699</v>
      </c>
      <c r="D471" t="s">
        <v>2708</v>
      </c>
      <c r="E471" t="s">
        <v>2710</v>
      </c>
      <c r="F471" t="str">
        <f>VLOOKUP(A471,Base!$A:$F,6,FALSE)</f>
        <v>INDÚSTRIAS DE TRANSFORMAÇÃO</v>
      </c>
      <c r="G471" t="str">
        <f>VLOOKUP(B471,Base!$B:$F,5,FALSE)</f>
        <v>FABRICAÇÃO DE MÁQUINAS E EQUIPAMENTOS</v>
      </c>
      <c r="H471" t="str">
        <f>VLOOKUP(C471,Base!$C:$F,4,FALSE)</f>
        <v>Fabricação de máquinas e equipamentos de uso geral</v>
      </c>
      <c r="I471" t="str">
        <f>VLOOKUP(D471,Base!$D:$F,3,FALSE)</f>
        <v>Fabricação de aparelhos e equipamentos de ar condicionado</v>
      </c>
      <c r="J471" t="str">
        <f>VLOOKUP(E471,Base!$E:$F,2,FALSE)</f>
        <v>Fabricação de aparelhos e equipamentos de ar condicionado para uso não industrial</v>
      </c>
      <c r="K471" t="s">
        <v>2710</v>
      </c>
      <c r="L471">
        <f>IFERROR(VLOOKUP($K471,Base_Atividades!$E$1:$N$2398,MATCH(BancoAjustado!L$1,Base_Atividades!$E$1:$N$1,0),FALSE),0)</f>
        <v>1</v>
      </c>
      <c r="M471">
        <f>IFERROR(VLOOKUP($K471,Base_Atividades!$E$1:$N$2398,MATCH(BancoAjustado!M$1,Base_Atividades!$E$1:$N$1,0),FALSE),0)</f>
        <v>0</v>
      </c>
      <c r="N471">
        <f>IFERROR(VLOOKUP($K471,Base_Atividades!$E$1:$N$2398,MATCH(BancoAjustado!N$1,Base_Atividades!$E$1:$N$1,0),FALSE),0)</f>
        <v>0</v>
      </c>
    </row>
    <row r="472" spans="1:14" x14ac:dyDescent="0.25">
      <c r="A472" t="s">
        <v>2111</v>
      </c>
      <c r="B472" t="s">
        <v>2685</v>
      </c>
      <c r="C472" t="s">
        <v>2699</v>
      </c>
      <c r="D472" t="s">
        <v>2711</v>
      </c>
      <c r="E472" t="s">
        <v>2712</v>
      </c>
      <c r="F472" t="str">
        <f>VLOOKUP(A472,Base!$A:$F,6,FALSE)</f>
        <v>INDÚSTRIAS DE TRANSFORMAÇÃO</v>
      </c>
      <c r="G472" t="str">
        <f>VLOOKUP(B472,Base!$B:$F,5,FALSE)</f>
        <v>FABRICAÇÃO DE MÁQUINAS E EQUIPAMENTOS</v>
      </c>
      <c r="H472" t="str">
        <f>VLOOKUP(C472,Base!$C:$F,4,FALSE)</f>
        <v>Fabricação de máquinas e equipamentos de uso geral</v>
      </c>
      <c r="I472" t="str">
        <f>VLOOKUP(D472,Base!$D:$F,3,FALSE)</f>
        <v>Fabricação de máquinas e equipamentos para saneamento básico e ambiental</v>
      </c>
      <c r="J472" t="str">
        <f>VLOOKUP(E472,Base!$E:$F,2,FALSE)</f>
        <v>Fabricação de máquinas e equipamentos para saneamento básico e ambiental, peças e acessórios</v>
      </c>
      <c r="K472" t="s">
        <v>2712</v>
      </c>
      <c r="L472">
        <f>IFERROR(VLOOKUP($K472,Base_Atividades!$E$1:$N$2398,MATCH(BancoAjustado!L$1,Base_Atividades!$E$1:$N$1,0),FALSE),0)</f>
        <v>1</v>
      </c>
      <c r="M472">
        <f>IFERROR(VLOOKUP($K472,Base_Atividades!$E$1:$N$2398,MATCH(BancoAjustado!M$1,Base_Atividades!$E$1:$N$1,0),FALSE),0)</f>
        <v>0</v>
      </c>
      <c r="N472">
        <f>IFERROR(VLOOKUP($K472,Base_Atividades!$E$1:$N$2398,MATCH(BancoAjustado!N$1,Base_Atividades!$E$1:$N$1,0),FALSE),0)</f>
        <v>0</v>
      </c>
    </row>
    <row r="473" spans="1:14" x14ac:dyDescent="0.25">
      <c r="A473" t="s">
        <v>2111</v>
      </c>
      <c r="B473" t="s">
        <v>2685</v>
      </c>
      <c r="C473" t="s">
        <v>2699</v>
      </c>
      <c r="D473" t="s">
        <v>2713</v>
      </c>
      <c r="E473" t="s">
        <v>2714</v>
      </c>
      <c r="F473" t="str">
        <f>VLOOKUP(A473,Base!$A:$F,6,FALSE)</f>
        <v>INDÚSTRIAS DE TRANSFORMAÇÃO</v>
      </c>
      <c r="G473" t="str">
        <f>VLOOKUP(B473,Base!$B:$F,5,FALSE)</f>
        <v>FABRICAÇÃO DE MÁQUINAS E EQUIPAMENTOS</v>
      </c>
      <c r="H473" t="str">
        <f>VLOOKUP(C473,Base!$C:$F,4,FALSE)</f>
        <v>Fabricação de máquinas e equipamentos de uso geral</v>
      </c>
      <c r="I473" t="str">
        <f>VLOOKUP(D473,Base!$D:$F,3,FALSE)</f>
        <v>Fabricação de máquinas e equipamentos de uso geral não especificados anteriormente</v>
      </c>
      <c r="J473" t="str">
        <f>VLOOKUP(E473,Base!$E:$F,2,FALSE)</f>
        <v>Fabricação de máquinas de escrever, calcular e outros equipamentos não eletrônicos para escritório, peças e acessórios</v>
      </c>
      <c r="K473" t="s">
        <v>2714</v>
      </c>
      <c r="L473">
        <f>IFERROR(VLOOKUP($K473,Base_Atividades!$E$1:$N$2398,MATCH(BancoAjustado!L$1,Base_Atividades!$E$1:$N$1,0),FALSE),0)</f>
        <v>1</v>
      </c>
      <c r="M473">
        <f>IFERROR(VLOOKUP($K473,Base_Atividades!$E$1:$N$2398,MATCH(BancoAjustado!M$1,Base_Atividades!$E$1:$N$1,0),FALSE),0)</f>
        <v>0</v>
      </c>
      <c r="N473">
        <f>IFERROR(VLOOKUP($K473,Base_Atividades!$E$1:$N$2398,MATCH(BancoAjustado!N$1,Base_Atividades!$E$1:$N$1,0),FALSE),0)</f>
        <v>0</v>
      </c>
    </row>
    <row r="474" spans="1:14" x14ac:dyDescent="0.25">
      <c r="A474" t="s">
        <v>2111</v>
      </c>
      <c r="B474" t="s">
        <v>2685</v>
      </c>
      <c r="C474" t="s">
        <v>2699</v>
      </c>
      <c r="D474" t="s">
        <v>2713</v>
      </c>
      <c r="E474" t="s">
        <v>2715</v>
      </c>
      <c r="F474" t="str">
        <f>VLOOKUP(A474,Base!$A:$F,6,FALSE)</f>
        <v>INDÚSTRIAS DE TRANSFORMAÇÃO</v>
      </c>
      <c r="G474" t="str">
        <f>VLOOKUP(B474,Base!$B:$F,5,FALSE)</f>
        <v>FABRICAÇÃO DE MÁQUINAS E EQUIPAMENTOS</v>
      </c>
      <c r="H474" t="str">
        <f>VLOOKUP(C474,Base!$C:$F,4,FALSE)</f>
        <v>Fabricação de máquinas e equipamentos de uso geral</v>
      </c>
      <c r="I474" t="str">
        <f>VLOOKUP(D474,Base!$D:$F,3,FALSE)</f>
        <v>Fabricação de máquinas e equipamentos de uso geral não especificados anteriormente</v>
      </c>
      <c r="J474" t="str">
        <f>VLOOKUP(E474,Base!$E:$F,2,FALSE)</f>
        <v>Fabricação de outras máquinas e equipamentos de uso geral não especificados anteriormente, peças e acessórios</v>
      </c>
      <c r="K474" t="s">
        <v>2715</v>
      </c>
      <c r="L474">
        <f>IFERROR(VLOOKUP($K474,Base_Atividades!$E$1:$N$2398,MATCH(BancoAjustado!L$1,Base_Atividades!$E$1:$N$1,0),FALSE),0)</f>
        <v>1</v>
      </c>
      <c r="M474">
        <f>IFERROR(VLOOKUP($K474,Base_Atividades!$E$1:$N$2398,MATCH(BancoAjustado!M$1,Base_Atividades!$E$1:$N$1,0),FALSE),0)</f>
        <v>0</v>
      </c>
      <c r="N474">
        <f>IFERROR(VLOOKUP($K474,Base_Atividades!$E$1:$N$2398,MATCH(BancoAjustado!N$1,Base_Atividades!$E$1:$N$1,0),FALSE),0)</f>
        <v>0</v>
      </c>
    </row>
    <row r="475" spans="1:14" x14ac:dyDescent="0.25">
      <c r="A475" t="s">
        <v>2111</v>
      </c>
      <c r="B475" t="s">
        <v>2685</v>
      </c>
      <c r="C475" t="s">
        <v>2716</v>
      </c>
      <c r="D475" t="s">
        <v>2717</v>
      </c>
      <c r="E475" t="s">
        <v>2718</v>
      </c>
      <c r="F475" t="str">
        <f>VLOOKUP(A475,Base!$A:$F,6,FALSE)</f>
        <v>INDÚSTRIAS DE TRANSFORMAÇÃO</v>
      </c>
      <c r="G475" t="str">
        <f>VLOOKUP(B475,Base!$B:$F,5,FALSE)</f>
        <v>FABRICAÇÃO DE MÁQUINAS E EQUIPAMENTOS</v>
      </c>
      <c r="H475" t="str">
        <f>VLOOKUP(C475,Base!$C:$F,4,FALSE)</f>
        <v>Fabricação de tratores e de máquinas e equipamentos para a agricultura e pecuária</v>
      </c>
      <c r="I475" t="str">
        <f>VLOOKUP(D475,Base!$D:$F,3,FALSE)</f>
        <v>Fabricação de tratores agrícolas</v>
      </c>
      <c r="J475" t="str">
        <f>VLOOKUP(E475,Base!$E:$F,2,FALSE)</f>
        <v>Fabricação de tratores agrícolas, peças e acessórios</v>
      </c>
      <c r="K475" t="s">
        <v>2718</v>
      </c>
      <c r="L475">
        <f>IFERROR(VLOOKUP($K475,Base_Atividades!$E$1:$N$2398,MATCH(BancoAjustado!L$1,Base_Atividades!$E$1:$N$1,0),FALSE),0)</f>
        <v>1</v>
      </c>
      <c r="M475">
        <f>IFERROR(VLOOKUP($K475,Base_Atividades!$E$1:$N$2398,MATCH(BancoAjustado!M$1,Base_Atividades!$E$1:$N$1,0),FALSE),0)</f>
        <v>0</v>
      </c>
      <c r="N475">
        <f>IFERROR(VLOOKUP($K475,Base_Atividades!$E$1:$N$2398,MATCH(BancoAjustado!N$1,Base_Atividades!$E$1:$N$1,0),FALSE),0)</f>
        <v>0</v>
      </c>
    </row>
    <row r="476" spans="1:14" x14ac:dyDescent="0.25">
      <c r="A476" t="s">
        <v>2111</v>
      </c>
      <c r="B476" t="s">
        <v>2685</v>
      </c>
      <c r="C476" t="s">
        <v>2716</v>
      </c>
      <c r="D476" t="s">
        <v>2719</v>
      </c>
      <c r="E476" t="s">
        <v>2720</v>
      </c>
      <c r="F476" t="str">
        <f>VLOOKUP(A476,Base!$A:$F,6,FALSE)</f>
        <v>INDÚSTRIAS DE TRANSFORMAÇÃO</v>
      </c>
      <c r="G476" t="str">
        <f>VLOOKUP(B476,Base!$B:$F,5,FALSE)</f>
        <v>FABRICAÇÃO DE MÁQUINAS E EQUIPAMENTOS</v>
      </c>
      <c r="H476" t="str">
        <f>VLOOKUP(C476,Base!$C:$F,4,FALSE)</f>
        <v>Fabricação de tratores e de máquinas e equipamentos para a agricultura e pecuária</v>
      </c>
      <c r="I476" t="str">
        <f>VLOOKUP(D476,Base!$D:$F,3,FALSE)</f>
        <v>Fabricação de equipamentos para irrigação agrícola</v>
      </c>
      <c r="J476" t="str">
        <f>VLOOKUP(E476,Base!$E:$F,2,FALSE)</f>
        <v>Fabricação de equipamentos para irrigação agrícola, peças e acessórios</v>
      </c>
      <c r="K476" t="s">
        <v>2720</v>
      </c>
      <c r="L476">
        <f>IFERROR(VLOOKUP($K476,Base_Atividades!$E$1:$N$2398,MATCH(BancoAjustado!L$1,Base_Atividades!$E$1:$N$1,0),FALSE),0)</f>
        <v>1</v>
      </c>
      <c r="M476">
        <f>IFERROR(VLOOKUP($K476,Base_Atividades!$E$1:$N$2398,MATCH(BancoAjustado!M$1,Base_Atividades!$E$1:$N$1,0),FALSE),0)</f>
        <v>0</v>
      </c>
      <c r="N476">
        <f>IFERROR(VLOOKUP($K476,Base_Atividades!$E$1:$N$2398,MATCH(BancoAjustado!N$1,Base_Atividades!$E$1:$N$1,0),FALSE),0)</f>
        <v>0</v>
      </c>
    </row>
    <row r="477" spans="1:14" x14ac:dyDescent="0.25">
      <c r="A477" t="s">
        <v>2111</v>
      </c>
      <c r="B477" t="s">
        <v>2685</v>
      </c>
      <c r="C477" t="s">
        <v>2716</v>
      </c>
      <c r="D477" t="s">
        <v>2721</v>
      </c>
      <c r="E477" t="s">
        <v>2722</v>
      </c>
      <c r="F477" t="str">
        <f>VLOOKUP(A477,Base!$A:$F,6,FALSE)</f>
        <v>INDÚSTRIAS DE TRANSFORMAÇÃO</v>
      </c>
      <c r="G477" t="str">
        <f>VLOOKUP(B477,Base!$B:$F,5,FALSE)</f>
        <v>FABRICAÇÃO DE MÁQUINAS E EQUIPAMENTOS</v>
      </c>
      <c r="H477" t="str">
        <f>VLOOKUP(C477,Base!$C:$F,4,FALSE)</f>
        <v>Fabricação de tratores e de máquinas e equipamentos para a agricultura e pecuária</v>
      </c>
      <c r="I477" t="str">
        <f>VLOOKUP(D477,Base!$D:$F,3,FALSE)</f>
        <v>Fabricação de máquinas e equipamentos para a agricultura e pecuária, exceto para irrigação</v>
      </c>
      <c r="J477" t="str">
        <f>VLOOKUP(E477,Base!$E:$F,2,FALSE)</f>
        <v>Fabricação de máquinas e equipamentos para a agricultura e pecuária, peças e acessórios, exceto para irrigação</v>
      </c>
      <c r="K477" t="s">
        <v>2722</v>
      </c>
      <c r="L477">
        <f>IFERROR(VLOOKUP($K477,Base_Atividades!$E$1:$N$2398,MATCH(BancoAjustado!L$1,Base_Atividades!$E$1:$N$1,0),FALSE),0)</f>
        <v>1</v>
      </c>
      <c r="M477">
        <f>IFERROR(VLOOKUP($K477,Base_Atividades!$E$1:$N$2398,MATCH(BancoAjustado!M$1,Base_Atividades!$E$1:$N$1,0),FALSE),0)</f>
        <v>0</v>
      </c>
      <c r="N477">
        <f>IFERROR(VLOOKUP($K477,Base_Atividades!$E$1:$N$2398,MATCH(BancoAjustado!N$1,Base_Atividades!$E$1:$N$1,0),FALSE),0)</f>
        <v>0</v>
      </c>
    </row>
    <row r="478" spans="1:14" x14ac:dyDescent="0.25">
      <c r="A478" t="s">
        <v>2111</v>
      </c>
      <c r="B478" t="s">
        <v>2685</v>
      </c>
      <c r="C478" t="s">
        <v>2723</v>
      </c>
      <c r="D478" t="s">
        <v>2724</v>
      </c>
      <c r="E478" t="s">
        <v>2725</v>
      </c>
      <c r="F478" t="str">
        <f>VLOOKUP(A478,Base!$A:$F,6,FALSE)</f>
        <v>INDÚSTRIAS DE TRANSFORMAÇÃO</v>
      </c>
      <c r="G478" t="str">
        <f>VLOOKUP(B478,Base!$B:$F,5,FALSE)</f>
        <v>FABRICAÇÃO DE MÁQUINAS E EQUIPAMENTOS</v>
      </c>
      <c r="H478" t="str">
        <f>VLOOKUP(C478,Base!$C:$F,4,FALSE)</f>
        <v>Fabricação de máquinas-ferramenta</v>
      </c>
      <c r="I478" t="str">
        <f>VLOOKUP(D478,Base!$D:$F,3,FALSE)</f>
        <v>Fabricação de máquinas-ferramenta</v>
      </c>
      <c r="J478" t="str">
        <f>VLOOKUP(E478,Base!$E:$F,2,FALSE)</f>
        <v>Fabricação de máquinas-ferramenta, peças e acessórios</v>
      </c>
      <c r="K478" t="s">
        <v>2725</v>
      </c>
      <c r="L478">
        <f>IFERROR(VLOOKUP($K478,Base_Atividades!$E$1:$N$2398,MATCH(BancoAjustado!L$1,Base_Atividades!$E$1:$N$1,0),FALSE),0)</f>
        <v>1</v>
      </c>
      <c r="M478">
        <f>IFERROR(VLOOKUP($K478,Base_Atividades!$E$1:$N$2398,MATCH(BancoAjustado!M$1,Base_Atividades!$E$1:$N$1,0),FALSE),0)</f>
        <v>0</v>
      </c>
      <c r="N478">
        <f>IFERROR(VLOOKUP($K478,Base_Atividades!$E$1:$N$2398,MATCH(BancoAjustado!N$1,Base_Atividades!$E$1:$N$1,0),FALSE),0)</f>
        <v>0</v>
      </c>
    </row>
    <row r="479" spans="1:14" x14ac:dyDescent="0.25">
      <c r="A479" t="s">
        <v>2111</v>
      </c>
      <c r="B479" t="s">
        <v>2685</v>
      </c>
      <c r="C479" t="s">
        <v>2726</v>
      </c>
      <c r="D479" t="s">
        <v>2727</v>
      </c>
      <c r="E479" t="s">
        <v>2728</v>
      </c>
      <c r="F479" t="str">
        <f>VLOOKUP(A479,Base!$A:$F,6,FALSE)</f>
        <v>INDÚSTRIAS DE TRANSFORMAÇÃO</v>
      </c>
      <c r="G479" t="str">
        <f>VLOOKUP(B479,Base!$B:$F,5,FALSE)</f>
        <v>FABRICAÇÃO DE MÁQUINAS E EQUIPAMENTOS</v>
      </c>
      <c r="H479" t="str">
        <f>VLOOKUP(C479,Base!$C:$F,4,FALSE)</f>
        <v>Fabricação de máquinas e equipamentos de uso na extração mineral e na construção</v>
      </c>
      <c r="I479" t="str">
        <f>VLOOKUP(D479,Base!$D:$F,3,FALSE)</f>
        <v>Fabricação de máquinas e equipamentos para a prospecção e extração de petróleo</v>
      </c>
      <c r="J479" t="str">
        <f>VLOOKUP(E479,Base!$E:$F,2,FALSE)</f>
        <v>Fabricação de máquinas e equipamentos para a prospecção e extração de petróleo, peças e acessórios</v>
      </c>
      <c r="K479" t="s">
        <v>2728</v>
      </c>
      <c r="L479">
        <f>IFERROR(VLOOKUP($K479,Base_Atividades!$E$1:$N$2398,MATCH(BancoAjustado!L$1,Base_Atividades!$E$1:$N$1,0),FALSE),0)</f>
        <v>0</v>
      </c>
      <c r="M479">
        <f>IFERROR(VLOOKUP($K479,Base_Atividades!$E$1:$N$2398,MATCH(BancoAjustado!M$1,Base_Atividades!$E$1:$N$1,0),FALSE),0)</f>
        <v>0</v>
      </c>
      <c r="N479">
        <f>IFERROR(VLOOKUP($K479,Base_Atividades!$E$1:$N$2398,MATCH(BancoAjustado!N$1,Base_Atividades!$E$1:$N$1,0),FALSE),0)</f>
        <v>0</v>
      </c>
    </row>
    <row r="480" spans="1:14" x14ac:dyDescent="0.25">
      <c r="A480" t="s">
        <v>2111</v>
      </c>
      <c r="B480" t="s">
        <v>2685</v>
      </c>
      <c r="C480" t="s">
        <v>2726</v>
      </c>
      <c r="D480" t="s">
        <v>2729</v>
      </c>
      <c r="E480" t="s">
        <v>2730</v>
      </c>
      <c r="F480" t="str">
        <f>VLOOKUP(A480,Base!$A:$F,6,FALSE)</f>
        <v>INDÚSTRIAS DE TRANSFORMAÇÃO</v>
      </c>
      <c r="G480" t="str">
        <f>VLOOKUP(B480,Base!$B:$F,5,FALSE)</f>
        <v>FABRICAÇÃO DE MÁQUINAS E EQUIPAMENTOS</v>
      </c>
      <c r="H480" t="str">
        <f>VLOOKUP(C480,Base!$C:$F,4,FALSE)</f>
        <v>Fabricação de máquinas e equipamentos de uso na extração mineral e na construção</v>
      </c>
      <c r="I480" t="str">
        <f>VLOOKUP(D480,Base!$D:$F,3,FALSE)</f>
        <v>Fabricação de outras máquinas e equipamentos para uso na extração mineral, exceto na extração de petróleo</v>
      </c>
      <c r="J480" t="str">
        <f>VLOOKUP(E480,Base!$E:$F,2,FALSE)</f>
        <v>Fabricação de outras máquinas e equipamentos para uso na extração mineral, peças e acessórios, exceto na extração de petróleo</v>
      </c>
      <c r="K480" t="s">
        <v>2730</v>
      </c>
      <c r="L480">
        <f>IFERROR(VLOOKUP($K480,Base_Atividades!$E$1:$N$2398,MATCH(BancoAjustado!L$1,Base_Atividades!$E$1:$N$1,0),FALSE),0)</f>
        <v>0</v>
      </c>
      <c r="M480">
        <f>IFERROR(VLOOKUP($K480,Base_Atividades!$E$1:$N$2398,MATCH(BancoAjustado!M$1,Base_Atividades!$E$1:$N$1,0),FALSE),0)</f>
        <v>0</v>
      </c>
      <c r="N480">
        <f>IFERROR(VLOOKUP($K480,Base_Atividades!$E$1:$N$2398,MATCH(BancoAjustado!N$1,Base_Atividades!$E$1:$N$1,0),FALSE),0)</f>
        <v>0</v>
      </c>
    </row>
    <row r="481" spans="1:14" x14ac:dyDescent="0.25">
      <c r="A481" t="s">
        <v>2111</v>
      </c>
      <c r="B481" t="s">
        <v>2685</v>
      </c>
      <c r="C481" t="s">
        <v>2726</v>
      </c>
      <c r="D481" t="s">
        <v>2731</v>
      </c>
      <c r="E481" t="s">
        <v>2732</v>
      </c>
      <c r="F481" t="str">
        <f>VLOOKUP(A481,Base!$A:$F,6,FALSE)</f>
        <v>INDÚSTRIAS DE TRANSFORMAÇÃO</v>
      </c>
      <c r="G481" t="str">
        <f>VLOOKUP(B481,Base!$B:$F,5,FALSE)</f>
        <v>FABRICAÇÃO DE MÁQUINAS E EQUIPAMENTOS</v>
      </c>
      <c r="H481" t="str">
        <f>VLOOKUP(C481,Base!$C:$F,4,FALSE)</f>
        <v>Fabricação de máquinas e equipamentos de uso na extração mineral e na construção</v>
      </c>
      <c r="I481" t="str">
        <f>VLOOKUP(D481,Base!$D:$F,3,FALSE)</f>
        <v>Fabricação de tratores, exceto agrícolas</v>
      </c>
      <c r="J481" t="str">
        <f>VLOOKUP(E481,Base!$E:$F,2,FALSE)</f>
        <v>Fabricação de tratores, peças e acessórios, exceto agrícolas</v>
      </c>
      <c r="K481" t="s">
        <v>2732</v>
      </c>
      <c r="L481">
        <f>IFERROR(VLOOKUP($K481,Base_Atividades!$E$1:$N$2398,MATCH(BancoAjustado!L$1,Base_Atividades!$E$1:$N$1,0),FALSE),0)</f>
        <v>1</v>
      </c>
      <c r="M481">
        <f>IFERROR(VLOOKUP($K481,Base_Atividades!$E$1:$N$2398,MATCH(BancoAjustado!M$1,Base_Atividades!$E$1:$N$1,0),FALSE),0)</f>
        <v>0</v>
      </c>
      <c r="N481">
        <f>IFERROR(VLOOKUP($K481,Base_Atividades!$E$1:$N$2398,MATCH(BancoAjustado!N$1,Base_Atividades!$E$1:$N$1,0),FALSE),0)</f>
        <v>0</v>
      </c>
    </row>
    <row r="482" spans="1:14" x14ac:dyDescent="0.25">
      <c r="A482" t="s">
        <v>2111</v>
      </c>
      <c r="B482" t="s">
        <v>2685</v>
      </c>
      <c r="C482" t="s">
        <v>2726</v>
      </c>
      <c r="D482" t="s">
        <v>2733</v>
      </c>
      <c r="E482" t="s">
        <v>2734</v>
      </c>
      <c r="F482" t="str">
        <f>VLOOKUP(A482,Base!$A:$F,6,FALSE)</f>
        <v>INDÚSTRIAS DE TRANSFORMAÇÃO</v>
      </c>
      <c r="G482" t="str">
        <f>VLOOKUP(B482,Base!$B:$F,5,FALSE)</f>
        <v>FABRICAÇÃO DE MÁQUINAS E EQUIPAMENTOS</v>
      </c>
      <c r="H482" t="str">
        <f>VLOOKUP(C482,Base!$C:$F,4,FALSE)</f>
        <v>Fabricação de máquinas e equipamentos de uso na extração mineral e na construção</v>
      </c>
      <c r="I482" t="str">
        <f>VLOOKUP(D482,Base!$D:$F,3,FALSE)</f>
        <v>Fabricação de máquinas e equipamentos para terraplenagem, pavimentação e construção, exceto tratores</v>
      </c>
      <c r="J482" t="str">
        <f>VLOOKUP(E482,Base!$E:$F,2,FALSE)</f>
        <v>Fabricação de máquinas e equipamentos para terraplenagem, pavimentação e construção, peças e acessórios, exceto tratores</v>
      </c>
      <c r="K482" t="s">
        <v>2734</v>
      </c>
      <c r="L482">
        <f>IFERROR(VLOOKUP($K482,Base_Atividades!$E$1:$N$2398,MATCH(BancoAjustado!L$1,Base_Atividades!$E$1:$N$1,0),FALSE),0)</f>
        <v>1</v>
      </c>
      <c r="M482">
        <f>IFERROR(VLOOKUP($K482,Base_Atividades!$E$1:$N$2398,MATCH(BancoAjustado!M$1,Base_Atividades!$E$1:$N$1,0),FALSE),0)</f>
        <v>0</v>
      </c>
      <c r="N482">
        <f>IFERROR(VLOOKUP($K482,Base_Atividades!$E$1:$N$2398,MATCH(BancoAjustado!N$1,Base_Atividades!$E$1:$N$1,0),FALSE),0)</f>
        <v>0</v>
      </c>
    </row>
    <row r="483" spans="1:14" x14ac:dyDescent="0.25">
      <c r="A483" t="s">
        <v>2111</v>
      </c>
      <c r="B483" t="s">
        <v>2685</v>
      </c>
      <c r="C483" t="s">
        <v>2735</v>
      </c>
      <c r="D483" t="s">
        <v>2736</v>
      </c>
      <c r="E483" t="s">
        <v>2737</v>
      </c>
      <c r="F483" t="str">
        <f>VLOOKUP(A483,Base!$A:$F,6,FALSE)</f>
        <v>INDÚSTRIAS DE TRANSFORMAÇÃO</v>
      </c>
      <c r="G483" t="str">
        <f>VLOOKUP(B483,Base!$B:$F,5,FALSE)</f>
        <v>FABRICAÇÃO DE MÁQUINAS E EQUIPAMENTOS</v>
      </c>
      <c r="H483" t="str">
        <f>VLOOKUP(C483,Base!$C:$F,4,FALSE)</f>
        <v>Fabricação de máquinas e equipamentos de uso industrial específico</v>
      </c>
      <c r="I483" t="str">
        <f>VLOOKUP(D483,Base!$D:$F,3,FALSE)</f>
        <v>Fabricação de máquinas para a indústria metalúrgica, exceto máquinas-ferramenta</v>
      </c>
      <c r="J483" t="str">
        <f>VLOOKUP(E483,Base!$E:$F,2,FALSE)</f>
        <v>Fabricação de máquinas para a indústria metalúrgica, peças e acessórios, exceto máquinas-ferramenta</v>
      </c>
      <c r="K483" t="s">
        <v>2737</v>
      </c>
      <c r="L483">
        <f>IFERROR(VLOOKUP($K483,Base_Atividades!$E$1:$N$2398,MATCH(BancoAjustado!L$1,Base_Atividades!$E$1:$N$1,0),FALSE),0)</f>
        <v>1</v>
      </c>
      <c r="M483">
        <f>IFERROR(VLOOKUP($K483,Base_Atividades!$E$1:$N$2398,MATCH(BancoAjustado!M$1,Base_Atividades!$E$1:$N$1,0),FALSE),0)</f>
        <v>0</v>
      </c>
      <c r="N483">
        <f>IFERROR(VLOOKUP($K483,Base_Atividades!$E$1:$N$2398,MATCH(BancoAjustado!N$1,Base_Atividades!$E$1:$N$1,0),FALSE),0)</f>
        <v>0</v>
      </c>
    </row>
    <row r="484" spans="1:14" x14ac:dyDescent="0.25">
      <c r="A484" t="s">
        <v>2111</v>
      </c>
      <c r="B484" t="s">
        <v>2685</v>
      </c>
      <c r="C484" t="s">
        <v>2735</v>
      </c>
      <c r="D484" t="s">
        <v>2738</v>
      </c>
      <c r="E484" t="s">
        <v>2739</v>
      </c>
      <c r="F484" t="str">
        <f>VLOOKUP(A484,Base!$A:$F,6,FALSE)</f>
        <v>INDÚSTRIAS DE TRANSFORMAÇÃO</v>
      </c>
      <c r="G484" t="str">
        <f>VLOOKUP(B484,Base!$B:$F,5,FALSE)</f>
        <v>FABRICAÇÃO DE MÁQUINAS E EQUIPAMENTOS</v>
      </c>
      <c r="H484" t="str">
        <f>VLOOKUP(C484,Base!$C:$F,4,FALSE)</f>
        <v>Fabricação de máquinas e equipamentos de uso industrial específico</v>
      </c>
      <c r="I484" t="str">
        <f>VLOOKUP(D484,Base!$D:$F,3,FALSE)</f>
        <v>Fabricação de máquinas e equipamentos para as indústrias de alimentos, bebidas e fumo</v>
      </c>
      <c r="J484" t="str">
        <f>VLOOKUP(E484,Base!$E:$F,2,FALSE)</f>
        <v>Fabricação de máquinas e equipamentos para as indústrias de alimentos, bebidas e fumo, peças e acessórios</v>
      </c>
      <c r="K484" t="s">
        <v>2739</v>
      </c>
      <c r="L484">
        <f>IFERROR(VLOOKUP($K484,Base_Atividades!$E$1:$N$2398,MATCH(BancoAjustado!L$1,Base_Atividades!$E$1:$N$1,0),FALSE),0)</f>
        <v>1</v>
      </c>
      <c r="M484">
        <f>IFERROR(VLOOKUP($K484,Base_Atividades!$E$1:$N$2398,MATCH(BancoAjustado!M$1,Base_Atividades!$E$1:$N$1,0),FALSE),0)</f>
        <v>0</v>
      </c>
      <c r="N484">
        <f>IFERROR(VLOOKUP($K484,Base_Atividades!$E$1:$N$2398,MATCH(BancoAjustado!N$1,Base_Atividades!$E$1:$N$1,0),FALSE),0)</f>
        <v>0</v>
      </c>
    </row>
    <row r="485" spans="1:14" x14ac:dyDescent="0.25">
      <c r="A485" t="s">
        <v>2111</v>
      </c>
      <c r="B485" t="s">
        <v>2685</v>
      </c>
      <c r="C485" t="s">
        <v>2735</v>
      </c>
      <c r="D485" t="s">
        <v>2740</v>
      </c>
      <c r="E485" t="s">
        <v>2741</v>
      </c>
      <c r="F485" t="str">
        <f>VLOOKUP(A485,Base!$A:$F,6,FALSE)</f>
        <v>INDÚSTRIAS DE TRANSFORMAÇÃO</v>
      </c>
      <c r="G485" t="str">
        <f>VLOOKUP(B485,Base!$B:$F,5,FALSE)</f>
        <v>FABRICAÇÃO DE MÁQUINAS E EQUIPAMENTOS</v>
      </c>
      <c r="H485" t="str">
        <f>VLOOKUP(C485,Base!$C:$F,4,FALSE)</f>
        <v>Fabricação de máquinas e equipamentos de uso industrial específico</v>
      </c>
      <c r="I485" t="str">
        <f>VLOOKUP(D485,Base!$D:$F,3,FALSE)</f>
        <v>Fabricação de máquinas e equipamentos para a indústria têxtil</v>
      </c>
      <c r="J485" t="str">
        <f>VLOOKUP(E485,Base!$E:$F,2,FALSE)</f>
        <v>Fabricação de máquinas e equipamentos para a indústria têxtil, peças e acessórios</v>
      </c>
      <c r="K485" t="s">
        <v>2741</v>
      </c>
      <c r="L485">
        <f>IFERROR(VLOOKUP($K485,Base_Atividades!$E$1:$N$2398,MATCH(BancoAjustado!L$1,Base_Atividades!$E$1:$N$1,0),FALSE),0)</f>
        <v>1</v>
      </c>
      <c r="M485">
        <f>IFERROR(VLOOKUP($K485,Base_Atividades!$E$1:$N$2398,MATCH(BancoAjustado!M$1,Base_Atividades!$E$1:$N$1,0),FALSE),0)</f>
        <v>0</v>
      </c>
      <c r="N485">
        <f>IFERROR(VLOOKUP($K485,Base_Atividades!$E$1:$N$2398,MATCH(BancoAjustado!N$1,Base_Atividades!$E$1:$N$1,0),FALSE),0)</f>
        <v>0</v>
      </c>
    </row>
    <row r="486" spans="1:14" x14ac:dyDescent="0.25">
      <c r="A486" t="s">
        <v>2111</v>
      </c>
      <c r="B486" t="s">
        <v>2685</v>
      </c>
      <c r="C486" t="s">
        <v>2735</v>
      </c>
      <c r="D486" t="s">
        <v>2742</v>
      </c>
      <c r="E486" t="s">
        <v>2743</v>
      </c>
      <c r="F486" t="str">
        <f>VLOOKUP(A486,Base!$A:$F,6,FALSE)</f>
        <v>INDÚSTRIAS DE TRANSFORMAÇÃO</v>
      </c>
      <c r="G486" t="str">
        <f>VLOOKUP(B486,Base!$B:$F,5,FALSE)</f>
        <v>FABRICAÇÃO DE MÁQUINAS E EQUIPAMENTOS</v>
      </c>
      <c r="H486" t="str">
        <f>VLOOKUP(C486,Base!$C:$F,4,FALSE)</f>
        <v>Fabricação de máquinas e equipamentos de uso industrial específico</v>
      </c>
      <c r="I486" t="str">
        <f>VLOOKUP(D486,Base!$D:$F,3,FALSE)</f>
        <v>Fabricação de máquinas e equipamentos para as indústrias do vestuário, do couro e de calçados</v>
      </c>
      <c r="J486" t="str">
        <f>VLOOKUP(E486,Base!$E:$F,2,FALSE)</f>
        <v>Fabricação de máquinas e equipamentos para as indústrias do vestuário, do couro e de calçados, peças e acessórios</v>
      </c>
      <c r="K486" t="s">
        <v>2743</v>
      </c>
      <c r="L486">
        <f>IFERROR(VLOOKUP($K486,Base_Atividades!$E$1:$N$2398,MATCH(BancoAjustado!L$1,Base_Atividades!$E$1:$N$1,0),FALSE),0)</f>
        <v>1</v>
      </c>
      <c r="M486">
        <f>IFERROR(VLOOKUP($K486,Base_Atividades!$E$1:$N$2398,MATCH(BancoAjustado!M$1,Base_Atividades!$E$1:$N$1,0),FALSE),0)</f>
        <v>0</v>
      </c>
      <c r="N486">
        <f>IFERROR(VLOOKUP($K486,Base_Atividades!$E$1:$N$2398,MATCH(BancoAjustado!N$1,Base_Atividades!$E$1:$N$1,0),FALSE),0)</f>
        <v>0</v>
      </c>
    </row>
    <row r="487" spans="1:14" x14ac:dyDescent="0.25">
      <c r="A487" t="s">
        <v>2111</v>
      </c>
      <c r="B487" t="s">
        <v>2685</v>
      </c>
      <c r="C487" t="s">
        <v>2735</v>
      </c>
      <c r="D487" t="s">
        <v>2744</v>
      </c>
      <c r="E487" t="s">
        <v>2745</v>
      </c>
      <c r="F487" t="str">
        <f>VLOOKUP(A487,Base!$A:$F,6,FALSE)</f>
        <v>INDÚSTRIAS DE TRANSFORMAÇÃO</v>
      </c>
      <c r="G487" t="str">
        <f>VLOOKUP(B487,Base!$B:$F,5,FALSE)</f>
        <v>FABRICAÇÃO DE MÁQUINAS E EQUIPAMENTOS</v>
      </c>
      <c r="H487" t="str">
        <f>VLOOKUP(C487,Base!$C:$F,4,FALSE)</f>
        <v>Fabricação de máquinas e equipamentos de uso industrial específico</v>
      </c>
      <c r="I487" t="str">
        <f>VLOOKUP(D487,Base!$D:$F,3,FALSE)</f>
        <v>Fabricação de máquinas e equipamentos para as indústrias de celulose, papel e papelão e artefatos</v>
      </c>
      <c r="J487" t="str">
        <f>VLOOKUP(E487,Base!$E:$F,2,FALSE)</f>
        <v>Fabricação de máquinas e equipamentos para as indústrias de celulose, papel e papelão e artefatos, peças e acessórios</v>
      </c>
      <c r="K487" t="s">
        <v>2745</v>
      </c>
      <c r="L487">
        <f>IFERROR(VLOOKUP($K487,Base_Atividades!$E$1:$N$2398,MATCH(BancoAjustado!L$1,Base_Atividades!$E$1:$N$1,0),FALSE),0)</f>
        <v>0</v>
      </c>
      <c r="M487">
        <f>IFERROR(VLOOKUP($K487,Base_Atividades!$E$1:$N$2398,MATCH(BancoAjustado!M$1,Base_Atividades!$E$1:$N$1,0),FALSE),0)</f>
        <v>0</v>
      </c>
      <c r="N487">
        <f>IFERROR(VLOOKUP($K487,Base_Atividades!$E$1:$N$2398,MATCH(BancoAjustado!N$1,Base_Atividades!$E$1:$N$1,0),FALSE),0)</f>
        <v>0</v>
      </c>
    </row>
    <row r="488" spans="1:14" x14ac:dyDescent="0.25">
      <c r="A488" t="s">
        <v>2111</v>
      </c>
      <c r="B488" t="s">
        <v>2685</v>
      </c>
      <c r="C488" t="s">
        <v>2735</v>
      </c>
      <c r="D488" t="s">
        <v>2746</v>
      </c>
      <c r="E488" t="s">
        <v>2747</v>
      </c>
      <c r="F488" t="str">
        <f>VLOOKUP(A488,Base!$A:$F,6,FALSE)</f>
        <v>INDÚSTRIAS DE TRANSFORMAÇÃO</v>
      </c>
      <c r="G488" t="str">
        <f>VLOOKUP(B488,Base!$B:$F,5,FALSE)</f>
        <v>FABRICAÇÃO DE MÁQUINAS E EQUIPAMENTOS</v>
      </c>
      <c r="H488" t="str">
        <f>VLOOKUP(C488,Base!$C:$F,4,FALSE)</f>
        <v>Fabricação de máquinas e equipamentos de uso industrial específico</v>
      </c>
      <c r="I488" t="str">
        <f>VLOOKUP(D488,Base!$D:$F,3,FALSE)</f>
        <v>Fabricação de máquinas e equipamentos para a indústria do plástico</v>
      </c>
      <c r="J488" t="str">
        <f>VLOOKUP(E488,Base!$E:$F,2,FALSE)</f>
        <v>Fabricação de máquinas e equipamentos para a indústria do plástico, peças e acessórios</v>
      </c>
      <c r="K488" t="s">
        <v>2747</v>
      </c>
      <c r="L488">
        <f>IFERROR(VLOOKUP($K488,Base_Atividades!$E$1:$N$2398,MATCH(BancoAjustado!L$1,Base_Atividades!$E$1:$N$1,0),FALSE),0)</f>
        <v>1</v>
      </c>
      <c r="M488">
        <f>IFERROR(VLOOKUP($K488,Base_Atividades!$E$1:$N$2398,MATCH(BancoAjustado!M$1,Base_Atividades!$E$1:$N$1,0),FALSE),0)</f>
        <v>0</v>
      </c>
      <c r="N488">
        <f>IFERROR(VLOOKUP($K488,Base_Atividades!$E$1:$N$2398,MATCH(BancoAjustado!N$1,Base_Atividades!$E$1:$N$1,0),FALSE),0)</f>
        <v>0</v>
      </c>
    </row>
    <row r="489" spans="1:14" x14ac:dyDescent="0.25">
      <c r="A489" t="s">
        <v>2111</v>
      </c>
      <c r="B489" t="s">
        <v>2685</v>
      </c>
      <c r="C489" t="s">
        <v>2735</v>
      </c>
      <c r="D489" t="s">
        <v>2748</v>
      </c>
      <c r="E489" t="s">
        <v>2749</v>
      </c>
      <c r="F489" t="str">
        <f>VLOOKUP(A489,Base!$A:$F,6,FALSE)</f>
        <v>INDÚSTRIAS DE TRANSFORMAÇÃO</v>
      </c>
      <c r="G489" t="str">
        <f>VLOOKUP(B489,Base!$B:$F,5,FALSE)</f>
        <v>FABRICAÇÃO DE MÁQUINAS E EQUIPAMENTOS</v>
      </c>
      <c r="H489" t="str">
        <f>VLOOKUP(C489,Base!$C:$F,4,FALSE)</f>
        <v>Fabricação de máquinas e equipamentos de uso industrial específico</v>
      </c>
      <c r="I489" t="str">
        <f>VLOOKUP(D489,Base!$D:$F,3,FALSE)</f>
        <v>Fabricação de máquinas e equipamentos para uso industrial específico não especificados anteriormente</v>
      </c>
      <c r="J489" t="str">
        <f>VLOOKUP(E489,Base!$E:$F,2,FALSE)</f>
        <v>Fabricação de máquinas e equipamentos para uso industrial específico não especificados anteriormente, peças e acessórios</v>
      </c>
      <c r="K489" t="s">
        <v>2749</v>
      </c>
      <c r="L489">
        <f>IFERROR(VLOOKUP($K489,Base_Atividades!$E$1:$N$2398,MATCH(BancoAjustado!L$1,Base_Atividades!$E$1:$N$1,0),FALSE),0)</f>
        <v>1</v>
      </c>
      <c r="M489">
        <f>IFERROR(VLOOKUP($K489,Base_Atividades!$E$1:$N$2398,MATCH(BancoAjustado!M$1,Base_Atividades!$E$1:$N$1,0),FALSE),0)</f>
        <v>0</v>
      </c>
      <c r="N489">
        <f>IFERROR(VLOOKUP($K489,Base_Atividades!$E$1:$N$2398,MATCH(BancoAjustado!N$1,Base_Atividades!$E$1:$N$1,0),FALSE),0)</f>
        <v>0</v>
      </c>
    </row>
    <row r="490" spans="1:14" x14ac:dyDescent="0.25">
      <c r="A490" t="s">
        <v>2111</v>
      </c>
      <c r="B490" t="s">
        <v>2750</v>
      </c>
      <c r="C490" t="s">
        <v>2751</v>
      </c>
      <c r="D490" t="s">
        <v>2752</v>
      </c>
      <c r="E490" t="s">
        <v>2753</v>
      </c>
      <c r="F490" t="str">
        <f>VLOOKUP(A490,Base!$A:$F,6,FALSE)</f>
        <v>INDÚSTRIAS DE TRANSFORMAÇÃO</v>
      </c>
      <c r="G490" t="str">
        <f>VLOOKUP(B490,Base!$B:$F,5,FALSE)</f>
        <v>FABRICAÇÃO DE VEÍCULOS AUTOMOTORES, REBOQUES E CARROCERIAS</v>
      </c>
      <c r="H490" t="str">
        <f>VLOOKUP(C490,Base!$C:$F,4,FALSE)</f>
        <v>Fabricação de automóveis, camionetas e utilitários</v>
      </c>
      <c r="I490" t="str">
        <f>VLOOKUP(D490,Base!$D:$F,3,FALSE)</f>
        <v>Fabricação de automóveis, camionetas e utilitários</v>
      </c>
      <c r="J490" t="str">
        <f>VLOOKUP(E490,Base!$E:$F,2,FALSE)</f>
        <v>Fabricação de automóveis, camionetas e utilitários</v>
      </c>
      <c r="K490" t="s">
        <v>2753</v>
      </c>
      <c r="L490">
        <f>IFERROR(VLOOKUP($K490,Base_Atividades!$E$1:$N$2398,MATCH(BancoAjustado!L$1,Base_Atividades!$E$1:$N$1,0),FALSE),0)</f>
        <v>0</v>
      </c>
      <c r="M490">
        <f>IFERROR(VLOOKUP($K490,Base_Atividades!$E$1:$N$2398,MATCH(BancoAjustado!M$1,Base_Atividades!$E$1:$N$1,0),FALSE),0)</f>
        <v>0</v>
      </c>
      <c r="N490">
        <f>IFERROR(VLOOKUP($K490,Base_Atividades!$E$1:$N$2398,MATCH(BancoAjustado!N$1,Base_Atividades!$E$1:$N$1,0),FALSE),0)</f>
        <v>0</v>
      </c>
    </row>
    <row r="491" spans="1:14" x14ac:dyDescent="0.25">
      <c r="A491" t="s">
        <v>2111</v>
      </c>
      <c r="B491" t="s">
        <v>2750</v>
      </c>
      <c r="C491" t="s">
        <v>2751</v>
      </c>
      <c r="D491" t="s">
        <v>2752</v>
      </c>
      <c r="E491" t="s">
        <v>2754</v>
      </c>
      <c r="F491" t="str">
        <f>VLOOKUP(A491,Base!$A:$F,6,FALSE)</f>
        <v>INDÚSTRIAS DE TRANSFORMAÇÃO</v>
      </c>
      <c r="G491" t="str">
        <f>VLOOKUP(B491,Base!$B:$F,5,FALSE)</f>
        <v>FABRICAÇÃO DE VEÍCULOS AUTOMOTORES, REBOQUES E CARROCERIAS</v>
      </c>
      <c r="H491" t="str">
        <f>VLOOKUP(C491,Base!$C:$F,4,FALSE)</f>
        <v>Fabricação de automóveis, camionetas e utilitários</v>
      </c>
      <c r="I491" t="str">
        <f>VLOOKUP(D491,Base!$D:$F,3,FALSE)</f>
        <v>Fabricação de automóveis, camionetas e utilitários</v>
      </c>
      <c r="J491" t="str">
        <f>VLOOKUP(E491,Base!$E:$F,2,FALSE)</f>
        <v>Fabricação de chassis com motor para automóveis, camionetas e utilitários</v>
      </c>
      <c r="K491" t="s">
        <v>2754</v>
      </c>
      <c r="L491">
        <f>IFERROR(VLOOKUP($K491,Base_Atividades!$E$1:$N$2398,MATCH(BancoAjustado!L$1,Base_Atividades!$E$1:$N$1,0),FALSE),0)</f>
        <v>0</v>
      </c>
      <c r="M491">
        <f>IFERROR(VLOOKUP($K491,Base_Atividades!$E$1:$N$2398,MATCH(BancoAjustado!M$1,Base_Atividades!$E$1:$N$1,0),FALSE),0)</f>
        <v>0</v>
      </c>
      <c r="N491">
        <f>IFERROR(VLOOKUP($K491,Base_Atividades!$E$1:$N$2398,MATCH(BancoAjustado!N$1,Base_Atividades!$E$1:$N$1,0),FALSE),0)</f>
        <v>0</v>
      </c>
    </row>
    <row r="492" spans="1:14" x14ac:dyDescent="0.25">
      <c r="A492" t="s">
        <v>2111</v>
      </c>
      <c r="B492" t="s">
        <v>2750</v>
      </c>
      <c r="C492" t="s">
        <v>2751</v>
      </c>
      <c r="D492" t="s">
        <v>2752</v>
      </c>
      <c r="E492" t="s">
        <v>2755</v>
      </c>
      <c r="F492" t="str">
        <f>VLOOKUP(A492,Base!$A:$F,6,FALSE)</f>
        <v>INDÚSTRIAS DE TRANSFORMAÇÃO</v>
      </c>
      <c r="G492" t="str">
        <f>VLOOKUP(B492,Base!$B:$F,5,FALSE)</f>
        <v>FABRICAÇÃO DE VEÍCULOS AUTOMOTORES, REBOQUES E CARROCERIAS</v>
      </c>
      <c r="H492" t="str">
        <f>VLOOKUP(C492,Base!$C:$F,4,FALSE)</f>
        <v>Fabricação de automóveis, camionetas e utilitários</v>
      </c>
      <c r="I492" t="str">
        <f>VLOOKUP(D492,Base!$D:$F,3,FALSE)</f>
        <v>Fabricação de automóveis, camionetas e utilitários</v>
      </c>
      <c r="J492" t="str">
        <f>VLOOKUP(E492,Base!$E:$F,2,FALSE)</f>
        <v>Fabricação de motores para automóveis, camionetas e utilitários</v>
      </c>
      <c r="K492" t="s">
        <v>2755</v>
      </c>
      <c r="L492">
        <f>IFERROR(VLOOKUP($K492,Base_Atividades!$E$1:$N$2398,MATCH(BancoAjustado!L$1,Base_Atividades!$E$1:$N$1,0),FALSE),0)</f>
        <v>0</v>
      </c>
      <c r="M492">
        <f>IFERROR(VLOOKUP($K492,Base_Atividades!$E$1:$N$2398,MATCH(BancoAjustado!M$1,Base_Atividades!$E$1:$N$1,0),FALSE),0)</f>
        <v>0</v>
      </c>
      <c r="N492">
        <f>IFERROR(VLOOKUP($K492,Base_Atividades!$E$1:$N$2398,MATCH(BancoAjustado!N$1,Base_Atividades!$E$1:$N$1,0),FALSE),0)</f>
        <v>0</v>
      </c>
    </row>
    <row r="493" spans="1:14" x14ac:dyDescent="0.25">
      <c r="A493" t="s">
        <v>2111</v>
      </c>
      <c r="B493" t="s">
        <v>2750</v>
      </c>
      <c r="C493" t="s">
        <v>2756</v>
      </c>
      <c r="D493" t="s">
        <v>2757</v>
      </c>
      <c r="E493" t="s">
        <v>2758</v>
      </c>
      <c r="F493" t="str">
        <f>VLOOKUP(A493,Base!$A:$F,6,FALSE)</f>
        <v>INDÚSTRIAS DE TRANSFORMAÇÃO</v>
      </c>
      <c r="G493" t="str">
        <f>VLOOKUP(B493,Base!$B:$F,5,FALSE)</f>
        <v>FABRICAÇÃO DE VEÍCULOS AUTOMOTORES, REBOQUES E CARROCERIAS</v>
      </c>
      <c r="H493" t="str">
        <f>VLOOKUP(C493,Base!$C:$F,4,FALSE)</f>
        <v>Fabricação de caminhões e ônibus</v>
      </c>
      <c r="I493" t="str">
        <f>VLOOKUP(D493,Base!$D:$F,3,FALSE)</f>
        <v>Fabricação de caminhões e ônibus</v>
      </c>
      <c r="J493" t="str">
        <f>VLOOKUP(E493,Base!$E:$F,2,FALSE)</f>
        <v>Fabricação de caminhões e ônibus</v>
      </c>
      <c r="K493" t="s">
        <v>2758</v>
      </c>
      <c r="L493">
        <f>IFERROR(VLOOKUP($K493,Base_Atividades!$E$1:$N$2398,MATCH(BancoAjustado!L$1,Base_Atividades!$E$1:$N$1,0),FALSE),0)</f>
        <v>0</v>
      </c>
      <c r="M493">
        <f>IFERROR(VLOOKUP($K493,Base_Atividades!$E$1:$N$2398,MATCH(BancoAjustado!M$1,Base_Atividades!$E$1:$N$1,0),FALSE),0)</f>
        <v>0</v>
      </c>
      <c r="N493">
        <f>IFERROR(VLOOKUP($K493,Base_Atividades!$E$1:$N$2398,MATCH(BancoAjustado!N$1,Base_Atividades!$E$1:$N$1,0),FALSE),0)</f>
        <v>0</v>
      </c>
    </row>
    <row r="494" spans="1:14" x14ac:dyDescent="0.25">
      <c r="A494" t="s">
        <v>2111</v>
      </c>
      <c r="B494" t="s">
        <v>2750</v>
      </c>
      <c r="C494" t="s">
        <v>2756</v>
      </c>
      <c r="D494" t="s">
        <v>2757</v>
      </c>
      <c r="E494" t="s">
        <v>2759</v>
      </c>
      <c r="F494" t="str">
        <f>VLOOKUP(A494,Base!$A:$F,6,FALSE)</f>
        <v>INDÚSTRIAS DE TRANSFORMAÇÃO</v>
      </c>
      <c r="G494" t="str">
        <f>VLOOKUP(B494,Base!$B:$F,5,FALSE)</f>
        <v>FABRICAÇÃO DE VEÍCULOS AUTOMOTORES, REBOQUES E CARROCERIAS</v>
      </c>
      <c r="H494" t="str">
        <f>VLOOKUP(C494,Base!$C:$F,4,FALSE)</f>
        <v>Fabricação de caminhões e ônibus</v>
      </c>
      <c r="I494" t="str">
        <f>VLOOKUP(D494,Base!$D:$F,3,FALSE)</f>
        <v>Fabricação de caminhões e ônibus</v>
      </c>
      <c r="J494" t="str">
        <f>VLOOKUP(E494,Base!$E:$F,2,FALSE)</f>
        <v>Fabricação de motores para caminhões e ônibus</v>
      </c>
      <c r="K494" t="s">
        <v>2759</v>
      </c>
      <c r="L494">
        <f>IFERROR(VLOOKUP($K494,Base_Atividades!$E$1:$N$2398,MATCH(BancoAjustado!L$1,Base_Atividades!$E$1:$N$1,0),FALSE),0)</f>
        <v>0</v>
      </c>
      <c r="M494">
        <f>IFERROR(VLOOKUP($K494,Base_Atividades!$E$1:$N$2398,MATCH(BancoAjustado!M$1,Base_Atividades!$E$1:$N$1,0),FALSE),0)</f>
        <v>0</v>
      </c>
      <c r="N494">
        <f>IFERROR(VLOOKUP($K494,Base_Atividades!$E$1:$N$2398,MATCH(BancoAjustado!N$1,Base_Atividades!$E$1:$N$1,0),FALSE),0)</f>
        <v>0</v>
      </c>
    </row>
    <row r="495" spans="1:14" x14ac:dyDescent="0.25">
      <c r="A495" t="s">
        <v>2111</v>
      </c>
      <c r="B495" t="s">
        <v>2750</v>
      </c>
      <c r="C495" t="s">
        <v>2760</v>
      </c>
      <c r="D495" t="s">
        <v>2761</v>
      </c>
      <c r="E495" t="s">
        <v>2762</v>
      </c>
      <c r="F495" t="str">
        <f>VLOOKUP(A495,Base!$A:$F,6,FALSE)</f>
        <v>INDÚSTRIAS DE TRANSFORMAÇÃO</v>
      </c>
      <c r="G495" t="str">
        <f>VLOOKUP(B495,Base!$B:$F,5,FALSE)</f>
        <v>FABRICAÇÃO DE VEÍCULOS AUTOMOTORES, REBOQUES E CARROCERIAS</v>
      </c>
      <c r="H495" t="str">
        <f>VLOOKUP(C495,Base!$C:$F,4,FALSE)</f>
        <v>Fabricação de cabines, carrocerias e reboques para veículos automotores</v>
      </c>
      <c r="I495" t="str">
        <f>VLOOKUP(D495,Base!$D:$F,3,FALSE)</f>
        <v>Fabricação de cabines, carrocerias e reboques para veículos automotores</v>
      </c>
      <c r="J495" t="str">
        <f>VLOOKUP(E495,Base!$E:$F,2,FALSE)</f>
        <v>Fabricação de cabines, carrocerias e reboques para caminhões</v>
      </c>
      <c r="K495" t="s">
        <v>2762</v>
      </c>
      <c r="L495">
        <f>IFERROR(VLOOKUP($K495,Base_Atividades!$E$1:$N$2398,MATCH(BancoAjustado!L$1,Base_Atividades!$E$1:$N$1,0),FALSE),0)</f>
        <v>0</v>
      </c>
      <c r="M495">
        <f>IFERROR(VLOOKUP($K495,Base_Atividades!$E$1:$N$2398,MATCH(BancoAjustado!M$1,Base_Atividades!$E$1:$N$1,0),FALSE),0)</f>
        <v>0</v>
      </c>
      <c r="N495">
        <f>IFERROR(VLOOKUP($K495,Base_Atividades!$E$1:$N$2398,MATCH(BancoAjustado!N$1,Base_Atividades!$E$1:$N$1,0),FALSE),0)</f>
        <v>0</v>
      </c>
    </row>
    <row r="496" spans="1:14" x14ac:dyDescent="0.25">
      <c r="A496" t="s">
        <v>2111</v>
      </c>
      <c r="B496" t="s">
        <v>2750</v>
      </c>
      <c r="C496" t="s">
        <v>2760</v>
      </c>
      <c r="D496" t="s">
        <v>2761</v>
      </c>
      <c r="E496" t="s">
        <v>2763</v>
      </c>
      <c r="F496" t="str">
        <f>VLOOKUP(A496,Base!$A:$F,6,FALSE)</f>
        <v>INDÚSTRIAS DE TRANSFORMAÇÃO</v>
      </c>
      <c r="G496" t="str">
        <f>VLOOKUP(B496,Base!$B:$F,5,FALSE)</f>
        <v>FABRICAÇÃO DE VEÍCULOS AUTOMOTORES, REBOQUES E CARROCERIAS</v>
      </c>
      <c r="H496" t="str">
        <f>VLOOKUP(C496,Base!$C:$F,4,FALSE)</f>
        <v>Fabricação de cabines, carrocerias e reboques para veículos automotores</v>
      </c>
      <c r="I496" t="str">
        <f>VLOOKUP(D496,Base!$D:$F,3,FALSE)</f>
        <v>Fabricação de cabines, carrocerias e reboques para veículos automotores</v>
      </c>
      <c r="J496" t="str">
        <f>VLOOKUP(E496,Base!$E:$F,2,FALSE)</f>
        <v>Fabricação de carrocerias para ônibus</v>
      </c>
      <c r="K496" t="s">
        <v>2763</v>
      </c>
      <c r="L496">
        <f>IFERROR(VLOOKUP($K496,Base_Atividades!$E$1:$N$2398,MATCH(BancoAjustado!L$1,Base_Atividades!$E$1:$N$1,0),FALSE),0)</f>
        <v>0</v>
      </c>
      <c r="M496">
        <f>IFERROR(VLOOKUP($K496,Base_Atividades!$E$1:$N$2398,MATCH(BancoAjustado!M$1,Base_Atividades!$E$1:$N$1,0),FALSE),0)</f>
        <v>0</v>
      </c>
      <c r="N496">
        <f>IFERROR(VLOOKUP($K496,Base_Atividades!$E$1:$N$2398,MATCH(BancoAjustado!N$1,Base_Atividades!$E$1:$N$1,0),FALSE),0)</f>
        <v>0</v>
      </c>
    </row>
    <row r="497" spans="1:14" x14ac:dyDescent="0.25">
      <c r="A497" t="s">
        <v>2111</v>
      </c>
      <c r="B497" t="s">
        <v>2750</v>
      </c>
      <c r="C497" t="s">
        <v>2760</v>
      </c>
      <c r="D497" t="s">
        <v>2761</v>
      </c>
      <c r="E497" t="s">
        <v>2764</v>
      </c>
      <c r="F497" t="str">
        <f>VLOOKUP(A497,Base!$A:$F,6,FALSE)</f>
        <v>INDÚSTRIAS DE TRANSFORMAÇÃO</v>
      </c>
      <c r="G497" t="str">
        <f>VLOOKUP(B497,Base!$B:$F,5,FALSE)</f>
        <v>FABRICAÇÃO DE VEÍCULOS AUTOMOTORES, REBOQUES E CARROCERIAS</v>
      </c>
      <c r="H497" t="str">
        <f>VLOOKUP(C497,Base!$C:$F,4,FALSE)</f>
        <v>Fabricação de cabines, carrocerias e reboques para veículos automotores</v>
      </c>
      <c r="I497" t="str">
        <f>VLOOKUP(D497,Base!$D:$F,3,FALSE)</f>
        <v>Fabricação de cabines, carrocerias e reboques para veículos automotores</v>
      </c>
      <c r="J497" t="str">
        <f>VLOOKUP(E497,Base!$E:$F,2,FALSE)</f>
        <v>Fabricação de cabines, carrocerias e reboques para outros veículos automotores, exceto caminhões e ônibus</v>
      </c>
      <c r="K497" t="s">
        <v>2764</v>
      </c>
      <c r="L497">
        <f>IFERROR(VLOOKUP($K497,Base_Atividades!$E$1:$N$2398,MATCH(BancoAjustado!L$1,Base_Atividades!$E$1:$N$1,0),FALSE),0)</f>
        <v>0</v>
      </c>
      <c r="M497">
        <f>IFERROR(VLOOKUP($K497,Base_Atividades!$E$1:$N$2398,MATCH(BancoAjustado!M$1,Base_Atividades!$E$1:$N$1,0),FALSE),0)</f>
        <v>0</v>
      </c>
      <c r="N497">
        <f>IFERROR(VLOOKUP($K497,Base_Atividades!$E$1:$N$2398,MATCH(BancoAjustado!N$1,Base_Atividades!$E$1:$N$1,0),FALSE),0)</f>
        <v>0</v>
      </c>
    </row>
    <row r="498" spans="1:14" x14ac:dyDescent="0.25">
      <c r="A498" t="s">
        <v>2111</v>
      </c>
      <c r="B498" t="s">
        <v>2750</v>
      </c>
      <c r="C498" t="s">
        <v>2765</v>
      </c>
      <c r="D498" t="s">
        <v>2766</v>
      </c>
      <c r="E498" t="s">
        <v>2767</v>
      </c>
      <c r="F498" t="str">
        <f>VLOOKUP(A498,Base!$A:$F,6,FALSE)</f>
        <v>INDÚSTRIAS DE TRANSFORMAÇÃO</v>
      </c>
      <c r="G498" t="str">
        <f>VLOOKUP(B498,Base!$B:$F,5,FALSE)</f>
        <v>FABRICAÇÃO DE VEÍCULOS AUTOMOTORES, REBOQUES E CARROCERIAS</v>
      </c>
      <c r="H498" t="str">
        <f>VLOOKUP(C498,Base!$C:$F,4,FALSE)</f>
        <v>Fabricação de peças e acessórios para veículos automotores</v>
      </c>
      <c r="I498" t="str">
        <f>VLOOKUP(D498,Base!$D:$F,3,FALSE)</f>
        <v>Fabricação de peças e acessórios para o sistema motor de veículos automotores</v>
      </c>
      <c r="J498" t="str">
        <f>VLOOKUP(E498,Base!$E:$F,2,FALSE)</f>
        <v>Fabricação de peças e acessórios para o sistema motor de veículos automotores</v>
      </c>
      <c r="K498" t="s">
        <v>2767</v>
      </c>
      <c r="L498">
        <f>IFERROR(VLOOKUP($K498,Base_Atividades!$E$1:$N$2398,MATCH(BancoAjustado!L$1,Base_Atividades!$E$1:$N$1,0),FALSE),0)</f>
        <v>0</v>
      </c>
      <c r="M498">
        <f>IFERROR(VLOOKUP($K498,Base_Atividades!$E$1:$N$2398,MATCH(BancoAjustado!M$1,Base_Atividades!$E$1:$N$1,0),FALSE),0)</f>
        <v>0</v>
      </c>
      <c r="N498">
        <f>IFERROR(VLOOKUP($K498,Base_Atividades!$E$1:$N$2398,MATCH(BancoAjustado!N$1,Base_Atividades!$E$1:$N$1,0),FALSE),0)</f>
        <v>0</v>
      </c>
    </row>
    <row r="499" spans="1:14" x14ac:dyDescent="0.25">
      <c r="A499" t="s">
        <v>2111</v>
      </c>
      <c r="B499" t="s">
        <v>2750</v>
      </c>
      <c r="C499" t="s">
        <v>2765</v>
      </c>
      <c r="D499" t="s">
        <v>2768</v>
      </c>
      <c r="E499" t="s">
        <v>2769</v>
      </c>
      <c r="F499" t="str">
        <f>VLOOKUP(A499,Base!$A:$F,6,FALSE)</f>
        <v>INDÚSTRIAS DE TRANSFORMAÇÃO</v>
      </c>
      <c r="G499" t="str">
        <f>VLOOKUP(B499,Base!$B:$F,5,FALSE)</f>
        <v>FABRICAÇÃO DE VEÍCULOS AUTOMOTORES, REBOQUES E CARROCERIAS</v>
      </c>
      <c r="H499" t="str">
        <f>VLOOKUP(C499,Base!$C:$F,4,FALSE)</f>
        <v>Fabricação de peças e acessórios para veículos automotores</v>
      </c>
      <c r="I499" t="str">
        <f>VLOOKUP(D499,Base!$D:$F,3,FALSE)</f>
        <v>Fabricação de peças e acessórios para os sistemas de marcha e transmissão de veículos automotores</v>
      </c>
      <c r="J499" t="str">
        <f>VLOOKUP(E499,Base!$E:$F,2,FALSE)</f>
        <v>Fabricação de peças e acessórios para os sistemas de marcha e transmissão de veículos automotores</v>
      </c>
      <c r="K499" t="s">
        <v>2769</v>
      </c>
      <c r="L499">
        <f>IFERROR(VLOOKUP($K499,Base_Atividades!$E$1:$N$2398,MATCH(BancoAjustado!L$1,Base_Atividades!$E$1:$N$1,0),FALSE),0)</f>
        <v>0</v>
      </c>
      <c r="M499">
        <f>IFERROR(VLOOKUP($K499,Base_Atividades!$E$1:$N$2398,MATCH(BancoAjustado!M$1,Base_Atividades!$E$1:$N$1,0),FALSE),0)</f>
        <v>0</v>
      </c>
      <c r="N499">
        <f>IFERROR(VLOOKUP($K499,Base_Atividades!$E$1:$N$2398,MATCH(BancoAjustado!N$1,Base_Atividades!$E$1:$N$1,0),FALSE),0)</f>
        <v>0</v>
      </c>
    </row>
    <row r="500" spans="1:14" x14ac:dyDescent="0.25">
      <c r="A500" t="s">
        <v>2111</v>
      </c>
      <c r="B500" t="s">
        <v>2750</v>
      </c>
      <c r="C500" t="s">
        <v>2765</v>
      </c>
      <c r="D500" t="s">
        <v>2770</v>
      </c>
      <c r="E500" t="s">
        <v>2771</v>
      </c>
      <c r="F500" t="str">
        <f>VLOOKUP(A500,Base!$A:$F,6,FALSE)</f>
        <v>INDÚSTRIAS DE TRANSFORMAÇÃO</v>
      </c>
      <c r="G500" t="str">
        <f>VLOOKUP(B500,Base!$B:$F,5,FALSE)</f>
        <v>FABRICAÇÃO DE VEÍCULOS AUTOMOTORES, REBOQUES E CARROCERIAS</v>
      </c>
      <c r="H500" t="str">
        <f>VLOOKUP(C500,Base!$C:$F,4,FALSE)</f>
        <v>Fabricação de peças e acessórios para veículos automotores</v>
      </c>
      <c r="I500" t="str">
        <f>VLOOKUP(D500,Base!$D:$F,3,FALSE)</f>
        <v>Fabricação de peças e acessórios para o sistema de freios de veículos automotores</v>
      </c>
      <c r="J500" t="str">
        <f>VLOOKUP(E500,Base!$E:$F,2,FALSE)</f>
        <v>Fabricação de peças e acessórios para o sistema de freios de veículos automotores</v>
      </c>
      <c r="K500" t="s">
        <v>2771</v>
      </c>
      <c r="L500">
        <f>IFERROR(VLOOKUP($K500,Base_Atividades!$E$1:$N$2398,MATCH(BancoAjustado!L$1,Base_Atividades!$E$1:$N$1,0),FALSE),0)</f>
        <v>0</v>
      </c>
      <c r="M500">
        <f>IFERROR(VLOOKUP($K500,Base_Atividades!$E$1:$N$2398,MATCH(BancoAjustado!M$1,Base_Atividades!$E$1:$N$1,0),FALSE),0)</f>
        <v>0</v>
      </c>
      <c r="N500">
        <f>IFERROR(VLOOKUP($K500,Base_Atividades!$E$1:$N$2398,MATCH(BancoAjustado!N$1,Base_Atividades!$E$1:$N$1,0),FALSE),0)</f>
        <v>0</v>
      </c>
    </row>
    <row r="501" spans="1:14" x14ac:dyDescent="0.25">
      <c r="A501" t="s">
        <v>2111</v>
      </c>
      <c r="B501" t="s">
        <v>2750</v>
      </c>
      <c r="C501" t="s">
        <v>2765</v>
      </c>
      <c r="D501" t="s">
        <v>2772</v>
      </c>
      <c r="E501" t="s">
        <v>2773</v>
      </c>
      <c r="F501" t="str">
        <f>VLOOKUP(A501,Base!$A:$F,6,FALSE)</f>
        <v>INDÚSTRIAS DE TRANSFORMAÇÃO</v>
      </c>
      <c r="G501" t="str">
        <f>VLOOKUP(B501,Base!$B:$F,5,FALSE)</f>
        <v>FABRICAÇÃO DE VEÍCULOS AUTOMOTORES, REBOQUES E CARROCERIAS</v>
      </c>
      <c r="H501" t="str">
        <f>VLOOKUP(C501,Base!$C:$F,4,FALSE)</f>
        <v>Fabricação de peças e acessórios para veículos automotores</v>
      </c>
      <c r="I501" t="str">
        <f>VLOOKUP(D501,Base!$D:$F,3,FALSE)</f>
        <v>Fabricação de peças e acessórios para o sistema de direção e suspensão de veículos automotores</v>
      </c>
      <c r="J501" t="str">
        <f>VLOOKUP(E501,Base!$E:$F,2,FALSE)</f>
        <v>Fabricação de peças e acessórios para o sistema de direção e suspensão de veículos automotores</v>
      </c>
      <c r="K501" t="s">
        <v>2773</v>
      </c>
      <c r="L501">
        <f>IFERROR(VLOOKUP($K501,Base_Atividades!$E$1:$N$2398,MATCH(BancoAjustado!L$1,Base_Atividades!$E$1:$N$1,0),FALSE),0)</f>
        <v>0</v>
      </c>
      <c r="M501">
        <f>IFERROR(VLOOKUP($K501,Base_Atividades!$E$1:$N$2398,MATCH(BancoAjustado!M$1,Base_Atividades!$E$1:$N$1,0),FALSE),0)</f>
        <v>0</v>
      </c>
      <c r="N501">
        <f>IFERROR(VLOOKUP($K501,Base_Atividades!$E$1:$N$2398,MATCH(BancoAjustado!N$1,Base_Atividades!$E$1:$N$1,0),FALSE),0)</f>
        <v>0</v>
      </c>
    </row>
    <row r="502" spans="1:14" x14ac:dyDescent="0.25">
      <c r="A502" t="s">
        <v>2111</v>
      </c>
      <c r="B502" t="s">
        <v>2750</v>
      </c>
      <c r="C502" t="s">
        <v>2765</v>
      </c>
      <c r="D502" t="s">
        <v>2774</v>
      </c>
      <c r="E502" t="s">
        <v>2775</v>
      </c>
      <c r="F502" t="str">
        <f>VLOOKUP(A502,Base!$A:$F,6,FALSE)</f>
        <v>INDÚSTRIAS DE TRANSFORMAÇÃO</v>
      </c>
      <c r="G502" t="str">
        <f>VLOOKUP(B502,Base!$B:$F,5,FALSE)</f>
        <v>FABRICAÇÃO DE VEÍCULOS AUTOMOTORES, REBOQUES E CARROCERIAS</v>
      </c>
      <c r="H502" t="str">
        <f>VLOOKUP(C502,Base!$C:$F,4,FALSE)</f>
        <v>Fabricação de peças e acessórios para veículos automotores</v>
      </c>
      <c r="I502" t="str">
        <f>VLOOKUP(D502,Base!$D:$F,3,FALSE)</f>
        <v>Fabricação de material elétrico e eletrônico para veículos automotores, exceto baterias</v>
      </c>
      <c r="J502" t="str">
        <f>VLOOKUP(E502,Base!$E:$F,2,FALSE)</f>
        <v>Fabricação de material elétrico e eletrônico para veículos automotores, exceto baterias</v>
      </c>
      <c r="K502" t="s">
        <v>2775</v>
      </c>
      <c r="L502">
        <f>IFERROR(VLOOKUP($K502,Base_Atividades!$E$1:$N$2398,MATCH(BancoAjustado!L$1,Base_Atividades!$E$1:$N$1,0),FALSE),0)</f>
        <v>0</v>
      </c>
      <c r="M502">
        <f>IFERROR(VLOOKUP($K502,Base_Atividades!$E$1:$N$2398,MATCH(BancoAjustado!M$1,Base_Atividades!$E$1:$N$1,0),FALSE),0)</f>
        <v>0</v>
      </c>
      <c r="N502">
        <f>IFERROR(VLOOKUP($K502,Base_Atividades!$E$1:$N$2398,MATCH(BancoAjustado!N$1,Base_Atividades!$E$1:$N$1,0),FALSE),0)</f>
        <v>0</v>
      </c>
    </row>
    <row r="503" spans="1:14" x14ac:dyDescent="0.25">
      <c r="A503" t="s">
        <v>2111</v>
      </c>
      <c r="B503" t="s">
        <v>2750</v>
      </c>
      <c r="C503" t="s">
        <v>2765</v>
      </c>
      <c r="D503" t="s">
        <v>2776</v>
      </c>
      <c r="E503" t="s">
        <v>2777</v>
      </c>
      <c r="F503" t="str">
        <f>VLOOKUP(A503,Base!$A:$F,6,FALSE)</f>
        <v>INDÚSTRIAS DE TRANSFORMAÇÃO</v>
      </c>
      <c r="G503" t="str">
        <f>VLOOKUP(B503,Base!$B:$F,5,FALSE)</f>
        <v>FABRICAÇÃO DE VEÍCULOS AUTOMOTORES, REBOQUES E CARROCERIAS</v>
      </c>
      <c r="H503" t="str">
        <f>VLOOKUP(C503,Base!$C:$F,4,FALSE)</f>
        <v>Fabricação de peças e acessórios para veículos automotores</v>
      </c>
      <c r="I503" t="str">
        <f>VLOOKUP(D503,Base!$D:$F,3,FALSE)</f>
        <v>Fabricação de peças e acessórios para veículos automotores não especificados anteriormente</v>
      </c>
      <c r="J503" t="str">
        <f>VLOOKUP(E503,Base!$E:$F,2,FALSE)</f>
        <v>Fabricação de bancos e estofados para veículos automotores</v>
      </c>
      <c r="K503" t="s">
        <v>2777</v>
      </c>
      <c r="L503">
        <f>IFERROR(VLOOKUP($K503,Base_Atividades!$E$1:$N$2398,MATCH(BancoAjustado!L$1,Base_Atividades!$E$1:$N$1,0),FALSE),0)</f>
        <v>0</v>
      </c>
      <c r="M503">
        <f>IFERROR(VLOOKUP($K503,Base_Atividades!$E$1:$N$2398,MATCH(BancoAjustado!M$1,Base_Atividades!$E$1:$N$1,0),FALSE),0)</f>
        <v>0</v>
      </c>
      <c r="N503">
        <f>IFERROR(VLOOKUP($K503,Base_Atividades!$E$1:$N$2398,MATCH(BancoAjustado!N$1,Base_Atividades!$E$1:$N$1,0),FALSE),0)</f>
        <v>0</v>
      </c>
    </row>
    <row r="504" spans="1:14" x14ac:dyDescent="0.25">
      <c r="A504" t="s">
        <v>2111</v>
      </c>
      <c r="B504" t="s">
        <v>2750</v>
      </c>
      <c r="C504" t="s">
        <v>2765</v>
      </c>
      <c r="D504" t="s">
        <v>2776</v>
      </c>
      <c r="E504" t="s">
        <v>2778</v>
      </c>
      <c r="F504" t="str">
        <f>VLOOKUP(A504,Base!$A:$F,6,FALSE)</f>
        <v>INDÚSTRIAS DE TRANSFORMAÇÃO</v>
      </c>
      <c r="G504" t="str">
        <f>VLOOKUP(B504,Base!$B:$F,5,FALSE)</f>
        <v>FABRICAÇÃO DE VEÍCULOS AUTOMOTORES, REBOQUES E CARROCERIAS</v>
      </c>
      <c r="H504" t="str">
        <f>VLOOKUP(C504,Base!$C:$F,4,FALSE)</f>
        <v>Fabricação de peças e acessórios para veículos automotores</v>
      </c>
      <c r="I504" t="str">
        <f>VLOOKUP(D504,Base!$D:$F,3,FALSE)</f>
        <v>Fabricação de peças e acessórios para veículos automotores não especificados anteriormente</v>
      </c>
      <c r="J504" t="str">
        <f>VLOOKUP(E504,Base!$E:$F,2,FALSE)</f>
        <v>Fabricação de outras peças e acessórios para veículos automotores não especificadas anteriormente</v>
      </c>
      <c r="K504" t="s">
        <v>2778</v>
      </c>
      <c r="L504">
        <f>IFERROR(VLOOKUP($K504,Base_Atividades!$E$1:$N$2398,MATCH(BancoAjustado!L$1,Base_Atividades!$E$1:$N$1,0),FALSE),0)</f>
        <v>0</v>
      </c>
      <c r="M504">
        <f>IFERROR(VLOOKUP($K504,Base_Atividades!$E$1:$N$2398,MATCH(BancoAjustado!M$1,Base_Atividades!$E$1:$N$1,0),FALSE),0)</f>
        <v>0</v>
      </c>
      <c r="N504">
        <f>IFERROR(VLOOKUP($K504,Base_Atividades!$E$1:$N$2398,MATCH(BancoAjustado!N$1,Base_Atividades!$E$1:$N$1,0),FALSE),0)</f>
        <v>0</v>
      </c>
    </row>
    <row r="505" spans="1:14" x14ac:dyDescent="0.25">
      <c r="A505" t="s">
        <v>2111</v>
      </c>
      <c r="B505" t="s">
        <v>2750</v>
      </c>
      <c r="C505" t="s">
        <v>2779</v>
      </c>
      <c r="D505" t="s">
        <v>2780</v>
      </c>
      <c r="E505" t="s">
        <v>2781</v>
      </c>
      <c r="F505" t="str">
        <f>VLOOKUP(A505,Base!$A:$F,6,FALSE)</f>
        <v>INDÚSTRIAS DE TRANSFORMAÇÃO</v>
      </c>
      <c r="G505" t="str">
        <f>VLOOKUP(B505,Base!$B:$F,5,FALSE)</f>
        <v>FABRICAÇÃO DE VEÍCULOS AUTOMOTORES, REBOQUES E CARROCERIAS</v>
      </c>
      <c r="H505" t="str">
        <f>VLOOKUP(C505,Base!$C:$F,4,FALSE)</f>
        <v>Recondicionamento e recuperação de motores para veículos automotores</v>
      </c>
      <c r="I505" t="str">
        <f>VLOOKUP(D505,Base!$D:$F,3,FALSE)</f>
        <v>Recondicionamento e recuperação de motores para veículos automotores</v>
      </c>
      <c r="J505" t="str">
        <f>VLOOKUP(E505,Base!$E:$F,2,FALSE)</f>
        <v>Recondicionamento e recuperação de motores para veículos automotores</v>
      </c>
      <c r="K505" t="s">
        <v>2781</v>
      </c>
      <c r="L505">
        <f>IFERROR(VLOOKUP($K505,Base_Atividades!$E$1:$N$2398,MATCH(BancoAjustado!L$1,Base_Atividades!$E$1:$N$1,0),FALSE),0)</f>
        <v>0</v>
      </c>
      <c r="M505">
        <f>IFERROR(VLOOKUP($K505,Base_Atividades!$E$1:$N$2398,MATCH(BancoAjustado!M$1,Base_Atividades!$E$1:$N$1,0),FALSE),0)</f>
        <v>0</v>
      </c>
      <c r="N505">
        <f>IFERROR(VLOOKUP($K505,Base_Atividades!$E$1:$N$2398,MATCH(BancoAjustado!N$1,Base_Atividades!$E$1:$N$1,0),FALSE),0)</f>
        <v>0</v>
      </c>
    </row>
    <row r="506" spans="1:14" x14ac:dyDescent="0.25">
      <c r="A506" t="s">
        <v>2111</v>
      </c>
      <c r="B506" t="s">
        <v>2782</v>
      </c>
      <c r="C506" t="s">
        <v>2783</v>
      </c>
      <c r="D506" t="s">
        <v>2784</v>
      </c>
      <c r="E506" t="s">
        <v>2785</v>
      </c>
      <c r="F506" t="str">
        <f>VLOOKUP(A506,Base!$A:$F,6,FALSE)</f>
        <v>INDÚSTRIAS DE TRANSFORMAÇÃO</v>
      </c>
      <c r="G506" t="str">
        <f>VLOOKUP(B506,Base!$B:$F,5,FALSE)</f>
        <v>FABRICAÇÃO DE OUTROS EQUIPAMENTOS DE TRANSPORTE, EXCETO VEÍCULOS AUTOMOTORES</v>
      </c>
      <c r="H506" t="str">
        <f>VLOOKUP(C506,Base!$C:$F,4,FALSE)</f>
        <v>Construção de embarcações</v>
      </c>
      <c r="I506" t="str">
        <f>VLOOKUP(D506,Base!$D:$F,3,FALSE)</f>
        <v>Construção de embarcações e estruturas flutuantes</v>
      </c>
      <c r="J506" t="str">
        <f>VLOOKUP(E506,Base!$E:$F,2,FALSE)</f>
        <v>Construção de embarcações de grande porte</v>
      </c>
      <c r="K506" t="s">
        <v>2785</v>
      </c>
      <c r="L506">
        <f>IFERROR(VLOOKUP($K506,Base_Atividades!$E$1:$N$2398,MATCH(BancoAjustado!L$1,Base_Atividades!$E$1:$N$1,0),FALSE),0)</f>
        <v>1</v>
      </c>
      <c r="M506">
        <f>IFERROR(VLOOKUP($K506,Base_Atividades!$E$1:$N$2398,MATCH(BancoAjustado!M$1,Base_Atividades!$E$1:$N$1,0),FALSE),0)</f>
        <v>0</v>
      </c>
      <c r="N506">
        <f>IFERROR(VLOOKUP($K506,Base_Atividades!$E$1:$N$2398,MATCH(BancoAjustado!N$1,Base_Atividades!$E$1:$N$1,0),FALSE),0)</f>
        <v>0</v>
      </c>
    </row>
    <row r="507" spans="1:14" x14ac:dyDescent="0.25">
      <c r="A507" t="s">
        <v>2111</v>
      </c>
      <c r="B507" t="s">
        <v>2782</v>
      </c>
      <c r="C507" t="s">
        <v>2783</v>
      </c>
      <c r="D507" t="s">
        <v>2784</v>
      </c>
      <c r="E507" t="s">
        <v>2786</v>
      </c>
      <c r="F507" t="str">
        <f>VLOOKUP(A507,Base!$A:$F,6,FALSE)</f>
        <v>INDÚSTRIAS DE TRANSFORMAÇÃO</v>
      </c>
      <c r="G507" t="str">
        <f>VLOOKUP(B507,Base!$B:$F,5,FALSE)</f>
        <v>FABRICAÇÃO DE OUTROS EQUIPAMENTOS DE TRANSPORTE, EXCETO VEÍCULOS AUTOMOTORES</v>
      </c>
      <c r="H507" t="str">
        <f>VLOOKUP(C507,Base!$C:$F,4,FALSE)</f>
        <v>Construção de embarcações</v>
      </c>
      <c r="I507" t="str">
        <f>VLOOKUP(D507,Base!$D:$F,3,FALSE)</f>
        <v>Construção de embarcações e estruturas flutuantes</v>
      </c>
      <c r="J507" t="str">
        <f>VLOOKUP(E507,Base!$E:$F,2,FALSE)</f>
        <v>Construção de embarcações para uso comercial e para usos especiais, exceto de grande porte</v>
      </c>
      <c r="K507" t="s">
        <v>2786</v>
      </c>
      <c r="L507">
        <f>IFERROR(VLOOKUP($K507,Base_Atividades!$E$1:$N$2398,MATCH(BancoAjustado!L$1,Base_Atividades!$E$1:$N$1,0),FALSE),0)</f>
        <v>1</v>
      </c>
      <c r="M507">
        <f>IFERROR(VLOOKUP($K507,Base_Atividades!$E$1:$N$2398,MATCH(BancoAjustado!M$1,Base_Atividades!$E$1:$N$1,0),FALSE),0)</f>
        <v>0</v>
      </c>
      <c r="N507">
        <f>IFERROR(VLOOKUP($K507,Base_Atividades!$E$1:$N$2398,MATCH(BancoAjustado!N$1,Base_Atividades!$E$1:$N$1,0),FALSE),0)</f>
        <v>0</v>
      </c>
    </row>
    <row r="508" spans="1:14" x14ac:dyDescent="0.25">
      <c r="A508" t="s">
        <v>2111</v>
      </c>
      <c r="B508" t="s">
        <v>2782</v>
      </c>
      <c r="C508" t="s">
        <v>2783</v>
      </c>
      <c r="D508" t="s">
        <v>2787</v>
      </c>
      <c r="E508" t="s">
        <v>2788</v>
      </c>
      <c r="F508" t="str">
        <f>VLOOKUP(A508,Base!$A:$F,6,FALSE)</f>
        <v>INDÚSTRIAS DE TRANSFORMAÇÃO</v>
      </c>
      <c r="G508" t="str">
        <f>VLOOKUP(B508,Base!$B:$F,5,FALSE)</f>
        <v>FABRICAÇÃO DE OUTROS EQUIPAMENTOS DE TRANSPORTE, EXCETO VEÍCULOS AUTOMOTORES</v>
      </c>
      <c r="H508" t="str">
        <f>VLOOKUP(C508,Base!$C:$F,4,FALSE)</f>
        <v>Construção de embarcações</v>
      </c>
      <c r="I508" t="str">
        <f>VLOOKUP(D508,Base!$D:$F,3,FALSE)</f>
        <v>Construção de embarcações para esporte e lazer</v>
      </c>
      <c r="J508" t="str">
        <f>VLOOKUP(E508,Base!$E:$F,2,FALSE)</f>
        <v>Construção de embarcações para esporte e lazer</v>
      </c>
      <c r="K508" t="s">
        <v>2788</v>
      </c>
      <c r="L508">
        <f>IFERROR(VLOOKUP($K508,Base_Atividades!$E$1:$N$2398,MATCH(BancoAjustado!L$1,Base_Atividades!$E$1:$N$1,0),FALSE),0)</f>
        <v>1</v>
      </c>
      <c r="M508">
        <f>IFERROR(VLOOKUP($K508,Base_Atividades!$E$1:$N$2398,MATCH(BancoAjustado!M$1,Base_Atividades!$E$1:$N$1,0),FALSE),0)</f>
        <v>0</v>
      </c>
      <c r="N508">
        <f>IFERROR(VLOOKUP($K508,Base_Atividades!$E$1:$N$2398,MATCH(BancoAjustado!N$1,Base_Atividades!$E$1:$N$1,0),FALSE),0)</f>
        <v>0</v>
      </c>
    </row>
    <row r="509" spans="1:14" x14ac:dyDescent="0.25">
      <c r="A509" t="s">
        <v>2111</v>
      </c>
      <c r="B509" t="s">
        <v>2782</v>
      </c>
      <c r="C509" t="s">
        <v>2789</v>
      </c>
      <c r="D509" t="s">
        <v>2790</v>
      </c>
      <c r="E509" t="s">
        <v>2791</v>
      </c>
      <c r="F509" t="str">
        <f>VLOOKUP(A509,Base!$A:$F,6,FALSE)</f>
        <v>INDÚSTRIAS DE TRANSFORMAÇÃO</v>
      </c>
      <c r="G509" t="str">
        <f>VLOOKUP(B509,Base!$B:$F,5,FALSE)</f>
        <v>FABRICAÇÃO DE OUTROS EQUIPAMENTOS DE TRANSPORTE, EXCETO VEÍCULOS AUTOMOTORES</v>
      </c>
      <c r="H509" t="str">
        <f>VLOOKUP(C509,Base!$C:$F,4,FALSE)</f>
        <v>Fabricação de veículos ferroviários</v>
      </c>
      <c r="I509" t="str">
        <f>VLOOKUP(D509,Base!$D:$F,3,FALSE)</f>
        <v>Fabricação de locomotivas, vagões e outros materiais rodantes</v>
      </c>
      <c r="J509" t="str">
        <f>VLOOKUP(E509,Base!$E:$F,2,FALSE)</f>
        <v>Fabricação de locomotivas, vagões e outros materiais rodantes</v>
      </c>
      <c r="K509" t="s">
        <v>2791</v>
      </c>
      <c r="L509">
        <f>IFERROR(VLOOKUP($K509,Base_Atividades!$E$1:$N$2398,MATCH(BancoAjustado!L$1,Base_Atividades!$E$1:$N$1,0),FALSE),0)</f>
        <v>1</v>
      </c>
      <c r="M509">
        <f>IFERROR(VLOOKUP($K509,Base_Atividades!$E$1:$N$2398,MATCH(BancoAjustado!M$1,Base_Atividades!$E$1:$N$1,0),FALSE),0)</f>
        <v>0</v>
      </c>
      <c r="N509">
        <f>IFERROR(VLOOKUP($K509,Base_Atividades!$E$1:$N$2398,MATCH(BancoAjustado!N$1,Base_Atividades!$E$1:$N$1,0),FALSE),0)</f>
        <v>0</v>
      </c>
    </row>
    <row r="510" spans="1:14" x14ac:dyDescent="0.25">
      <c r="A510" t="s">
        <v>2111</v>
      </c>
      <c r="B510" t="s">
        <v>2782</v>
      </c>
      <c r="C510" t="s">
        <v>2789</v>
      </c>
      <c r="D510" t="s">
        <v>2792</v>
      </c>
      <c r="E510" t="s">
        <v>2793</v>
      </c>
      <c r="F510" t="str">
        <f>VLOOKUP(A510,Base!$A:$F,6,FALSE)</f>
        <v>INDÚSTRIAS DE TRANSFORMAÇÃO</v>
      </c>
      <c r="G510" t="str">
        <f>VLOOKUP(B510,Base!$B:$F,5,FALSE)</f>
        <v>FABRICAÇÃO DE OUTROS EQUIPAMENTOS DE TRANSPORTE, EXCETO VEÍCULOS AUTOMOTORES</v>
      </c>
      <c r="H510" t="str">
        <f>VLOOKUP(C510,Base!$C:$F,4,FALSE)</f>
        <v>Fabricação de veículos ferroviários</v>
      </c>
      <c r="I510" t="str">
        <f>VLOOKUP(D510,Base!$D:$F,3,FALSE)</f>
        <v>Fabricação de peças e acessórios para veículos ferroviários</v>
      </c>
      <c r="J510" t="str">
        <f>VLOOKUP(E510,Base!$E:$F,2,FALSE)</f>
        <v>Fabricação de peças e acessórios para veículos ferroviários</v>
      </c>
      <c r="K510" t="s">
        <v>2793</v>
      </c>
      <c r="L510">
        <f>IFERROR(VLOOKUP($K510,Base_Atividades!$E$1:$N$2398,MATCH(BancoAjustado!L$1,Base_Atividades!$E$1:$N$1,0),FALSE),0)</f>
        <v>1</v>
      </c>
      <c r="M510">
        <f>IFERROR(VLOOKUP($K510,Base_Atividades!$E$1:$N$2398,MATCH(BancoAjustado!M$1,Base_Atividades!$E$1:$N$1,0),FALSE),0)</f>
        <v>0</v>
      </c>
      <c r="N510">
        <f>IFERROR(VLOOKUP($K510,Base_Atividades!$E$1:$N$2398,MATCH(BancoAjustado!N$1,Base_Atividades!$E$1:$N$1,0),FALSE),0)</f>
        <v>0</v>
      </c>
    </row>
    <row r="511" spans="1:14" x14ac:dyDescent="0.25">
      <c r="A511" t="s">
        <v>2111</v>
      </c>
      <c r="B511" t="s">
        <v>2782</v>
      </c>
      <c r="C511" t="s">
        <v>2794</v>
      </c>
      <c r="D511" t="s">
        <v>2795</v>
      </c>
      <c r="E511" t="s">
        <v>2796</v>
      </c>
      <c r="F511" t="str">
        <f>VLOOKUP(A511,Base!$A:$F,6,FALSE)</f>
        <v>INDÚSTRIAS DE TRANSFORMAÇÃO</v>
      </c>
      <c r="G511" t="str">
        <f>VLOOKUP(B511,Base!$B:$F,5,FALSE)</f>
        <v>FABRICAÇÃO DE OUTROS EQUIPAMENTOS DE TRANSPORTE, EXCETO VEÍCULOS AUTOMOTORES</v>
      </c>
      <c r="H511" t="str">
        <f>VLOOKUP(C511,Base!$C:$F,4,FALSE)</f>
        <v>Fabricação de aeronaves</v>
      </c>
      <c r="I511" t="str">
        <f>VLOOKUP(D511,Base!$D:$F,3,FALSE)</f>
        <v>Fabricação de aeronaves</v>
      </c>
      <c r="J511" t="str">
        <f>VLOOKUP(E511,Base!$E:$F,2,FALSE)</f>
        <v>Fabricação de aeronaves</v>
      </c>
      <c r="K511" t="s">
        <v>2796</v>
      </c>
      <c r="L511">
        <f>IFERROR(VLOOKUP($K511,Base_Atividades!$E$1:$N$2398,MATCH(BancoAjustado!L$1,Base_Atividades!$E$1:$N$1,0),FALSE),0)</f>
        <v>1</v>
      </c>
      <c r="M511">
        <f>IFERROR(VLOOKUP($K511,Base_Atividades!$E$1:$N$2398,MATCH(BancoAjustado!M$1,Base_Atividades!$E$1:$N$1,0),FALSE),0)</f>
        <v>0</v>
      </c>
      <c r="N511">
        <f>IFERROR(VLOOKUP($K511,Base_Atividades!$E$1:$N$2398,MATCH(BancoAjustado!N$1,Base_Atividades!$E$1:$N$1,0),FALSE),0)</f>
        <v>0</v>
      </c>
    </row>
    <row r="512" spans="1:14" x14ac:dyDescent="0.25">
      <c r="A512" t="s">
        <v>2111</v>
      </c>
      <c r="B512" t="s">
        <v>2782</v>
      </c>
      <c r="C512" t="s">
        <v>2794</v>
      </c>
      <c r="D512" t="s">
        <v>2797</v>
      </c>
      <c r="E512" t="s">
        <v>2798</v>
      </c>
      <c r="F512" t="str">
        <f>VLOOKUP(A512,Base!$A:$F,6,FALSE)</f>
        <v>INDÚSTRIAS DE TRANSFORMAÇÃO</v>
      </c>
      <c r="G512" t="str">
        <f>VLOOKUP(B512,Base!$B:$F,5,FALSE)</f>
        <v>FABRICAÇÃO DE OUTROS EQUIPAMENTOS DE TRANSPORTE, EXCETO VEÍCULOS AUTOMOTORES</v>
      </c>
      <c r="H512" t="str">
        <f>VLOOKUP(C512,Base!$C:$F,4,FALSE)</f>
        <v>Fabricação de aeronaves</v>
      </c>
      <c r="I512" t="str">
        <f>VLOOKUP(D512,Base!$D:$F,3,FALSE)</f>
        <v>Fabricação de turbinas, motores e outros componentes e peças para aeronaves</v>
      </c>
      <c r="J512" t="str">
        <f>VLOOKUP(E512,Base!$E:$F,2,FALSE)</f>
        <v>Fabricação de turbinas, motores e outros componentes e peças para aeronaves</v>
      </c>
      <c r="K512" t="s">
        <v>2798</v>
      </c>
      <c r="L512">
        <f>IFERROR(VLOOKUP($K512,Base_Atividades!$E$1:$N$2398,MATCH(BancoAjustado!L$1,Base_Atividades!$E$1:$N$1,0),FALSE),0)</f>
        <v>1</v>
      </c>
      <c r="M512">
        <f>IFERROR(VLOOKUP($K512,Base_Atividades!$E$1:$N$2398,MATCH(BancoAjustado!M$1,Base_Atividades!$E$1:$N$1,0),FALSE),0)</f>
        <v>0</v>
      </c>
      <c r="N512">
        <f>IFERROR(VLOOKUP($K512,Base_Atividades!$E$1:$N$2398,MATCH(BancoAjustado!N$1,Base_Atividades!$E$1:$N$1,0),FALSE),0)</f>
        <v>0</v>
      </c>
    </row>
    <row r="513" spans="1:14" x14ac:dyDescent="0.25">
      <c r="A513" t="s">
        <v>2111</v>
      </c>
      <c r="B513" t="s">
        <v>2782</v>
      </c>
      <c r="C513" t="s">
        <v>2799</v>
      </c>
      <c r="D513" t="s">
        <v>2800</v>
      </c>
      <c r="E513" t="s">
        <v>2801</v>
      </c>
      <c r="F513" t="str">
        <f>VLOOKUP(A513,Base!$A:$F,6,FALSE)</f>
        <v>INDÚSTRIAS DE TRANSFORMAÇÃO</v>
      </c>
      <c r="G513" t="str">
        <f>VLOOKUP(B513,Base!$B:$F,5,FALSE)</f>
        <v>FABRICAÇÃO DE OUTROS EQUIPAMENTOS DE TRANSPORTE, EXCETO VEÍCULOS AUTOMOTORES</v>
      </c>
      <c r="H513" t="str">
        <f>VLOOKUP(C513,Base!$C:$F,4,FALSE)</f>
        <v>Fabricação de veículos militares de combate</v>
      </c>
      <c r="I513" t="str">
        <f>VLOOKUP(D513,Base!$D:$F,3,FALSE)</f>
        <v>Fabricação de veículos militares de combate</v>
      </c>
      <c r="J513" t="str">
        <f>VLOOKUP(E513,Base!$E:$F,2,FALSE)</f>
        <v>Fabricação de veículos militares de combate</v>
      </c>
      <c r="K513" t="s">
        <v>2801</v>
      </c>
      <c r="L513">
        <f>IFERROR(VLOOKUP($K513,Base_Atividades!$E$1:$N$2398,MATCH(BancoAjustado!L$1,Base_Atividades!$E$1:$N$1,0),FALSE),0)</f>
        <v>0</v>
      </c>
      <c r="M513">
        <f>IFERROR(VLOOKUP($K513,Base_Atividades!$E$1:$N$2398,MATCH(BancoAjustado!M$1,Base_Atividades!$E$1:$N$1,0),FALSE),0)</f>
        <v>0</v>
      </c>
      <c r="N513">
        <f>IFERROR(VLOOKUP($K513,Base_Atividades!$E$1:$N$2398,MATCH(BancoAjustado!N$1,Base_Atividades!$E$1:$N$1,0),FALSE),0)</f>
        <v>0</v>
      </c>
    </row>
    <row r="514" spans="1:14" x14ac:dyDescent="0.25">
      <c r="A514" t="s">
        <v>2111</v>
      </c>
      <c r="B514" t="s">
        <v>2782</v>
      </c>
      <c r="C514" t="s">
        <v>2802</v>
      </c>
      <c r="D514" t="s">
        <v>2803</v>
      </c>
      <c r="E514" t="s">
        <v>2804</v>
      </c>
      <c r="F514" t="str">
        <f>VLOOKUP(A514,Base!$A:$F,6,FALSE)</f>
        <v>INDÚSTRIAS DE TRANSFORMAÇÃO</v>
      </c>
      <c r="G514" t="str">
        <f>VLOOKUP(B514,Base!$B:$F,5,FALSE)</f>
        <v>FABRICAÇÃO DE OUTROS EQUIPAMENTOS DE TRANSPORTE, EXCETO VEÍCULOS AUTOMOTORES</v>
      </c>
      <c r="H514" t="str">
        <f>VLOOKUP(C514,Base!$C:$F,4,FALSE)</f>
        <v>Fabricação de equipamentos de transporte não especificados anteriormente</v>
      </c>
      <c r="I514" t="str">
        <f>VLOOKUP(D514,Base!$D:$F,3,FALSE)</f>
        <v>Fabricação de motocicletas</v>
      </c>
      <c r="J514" t="str">
        <f>VLOOKUP(E514,Base!$E:$F,2,FALSE)</f>
        <v>Fabricação de motocicletas</v>
      </c>
      <c r="K514" t="s">
        <v>2804</v>
      </c>
      <c r="L514">
        <f>IFERROR(VLOOKUP($K514,Base_Atividades!$E$1:$N$2398,MATCH(BancoAjustado!L$1,Base_Atividades!$E$1:$N$1,0),FALSE),0)</f>
        <v>0</v>
      </c>
      <c r="M514">
        <f>IFERROR(VLOOKUP($K514,Base_Atividades!$E$1:$N$2398,MATCH(BancoAjustado!M$1,Base_Atividades!$E$1:$N$1,0),FALSE),0)</f>
        <v>0</v>
      </c>
      <c r="N514">
        <f>IFERROR(VLOOKUP($K514,Base_Atividades!$E$1:$N$2398,MATCH(BancoAjustado!N$1,Base_Atividades!$E$1:$N$1,0),FALSE),0)</f>
        <v>0</v>
      </c>
    </row>
    <row r="515" spans="1:14" x14ac:dyDescent="0.25">
      <c r="A515" t="s">
        <v>2111</v>
      </c>
      <c r="B515" t="s">
        <v>2782</v>
      </c>
      <c r="C515" t="s">
        <v>2802</v>
      </c>
      <c r="D515" t="s">
        <v>2803</v>
      </c>
      <c r="E515" t="s">
        <v>2805</v>
      </c>
      <c r="F515" t="str">
        <f>VLOOKUP(A515,Base!$A:$F,6,FALSE)</f>
        <v>INDÚSTRIAS DE TRANSFORMAÇÃO</v>
      </c>
      <c r="G515" t="str">
        <f>VLOOKUP(B515,Base!$B:$F,5,FALSE)</f>
        <v>FABRICAÇÃO DE OUTROS EQUIPAMENTOS DE TRANSPORTE, EXCETO VEÍCULOS AUTOMOTORES</v>
      </c>
      <c r="H515" t="str">
        <f>VLOOKUP(C515,Base!$C:$F,4,FALSE)</f>
        <v>Fabricação de equipamentos de transporte não especificados anteriormente</v>
      </c>
      <c r="I515" t="str">
        <f>VLOOKUP(D515,Base!$D:$F,3,FALSE)</f>
        <v>Fabricação de motocicletas</v>
      </c>
      <c r="J515" t="str">
        <f>VLOOKUP(E515,Base!$E:$F,2,FALSE)</f>
        <v>Fabricação de peças e acessórios para motocicletas</v>
      </c>
      <c r="K515" t="s">
        <v>2805</v>
      </c>
      <c r="L515">
        <f>IFERROR(VLOOKUP($K515,Base_Atividades!$E$1:$N$2398,MATCH(BancoAjustado!L$1,Base_Atividades!$E$1:$N$1,0),FALSE),0)</f>
        <v>0</v>
      </c>
      <c r="M515">
        <f>IFERROR(VLOOKUP($K515,Base_Atividades!$E$1:$N$2398,MATCH(BancoAjustado!M$1,Base_Atividades!$E$1:$N$1,0),FALSE),0)</f>
        <v>0</v>
      </c>
      <c r="N515">
        <f>IFERROR(VLOOKUP($K515,Base_Atividades!$E$1:$N$2398,MATCH(BancoAjustado!N$1,Base_Atividades!$E$1:$N$1,0),FALSE),0)</f>
        <v>0</v>
      </c>
    </row>
    <row r="516" spans="1:14" x14ac:dyDescent="0.25">
      <c r="A516" t="s">
        <v>2111</v>
      </c>
      <c r="B516" t="s">
        <v>2782</v>
      </c>
      <c r="C516" t="s">
        <v>2802</v>
      </c>
      <c r="D516" t="s">
        <v>2806</v>
      </c>
      <c r="E516" t="s">
        <v>2807</v>
      </c>
      <c r="F516" t="str">
        <f>VLOOKUP(A516,Base!$A:$F,6,FALSE)</f>
        <v>INDÚSTRIAS DE TRANSFORMAÇÃO</v>
      </c>
      <c r="G516" t="str">
        <f>VLOOKUP(B516,Base!$B:$F,5,FALSE)</f>
        <v>FABRICAÇÃO DE OUTROS EQUIPAMENTOS DE TRANSPORTE, EXCETO VEÍCULOS AUTOMOTORES</v>
      </c>
      <c r="H516" t="str">
        <f>VLOOKUP(C516,Base!$C:$F,4,FALSE)</f>
        <v>Fabricação de equipamentos de transporte não especificados anteriormente</v>
      </c>
      <c r="I516" t="str">
        <f>VLOOKUP(D516,Base!$D:$F,3,FALSE)</f>
        <v>Fabricação de bicicletas e triciclos não motorizados</v>
      </c>
      <c r="J516" t="str">
        <f>VLOOKUP(E516,Base!$E:$F,2,FALSE)</f>
        <v>Fabricação de bicicletas e triciclos não motorizados, peças e acessórios</v>
      </c>
      <c r="K516" t="s">
        <v>2807</v>
      </c>
      <c r="L516">
        <f>IFERROR(VLOOKUP($K516,Base_Atividades!$E$1:$N$2398,MATCH(BancoAjustado!L$1,Base_Atividades!$E$1:$N$1,0),FALSE),0)</f>
        <v>0</v>
      </c>
      <c r="M516">
        <f>IFERROR(VLOOKUP($K516,Base_Atividades!$E$1:$N$2398,MATCH(BancoAjustado!M$1,Base_Atividades!$E$1:$N$1,0),FALSE),0)</f>
        <v>0</v>
      </c>
      <c r="N516">
        <f>IFERROR(VLOOKUP($K516,Base_Atividades!$E$1:$N$2398,MATCH(BancoAjustado!N$1,Base_Atividades!$E$1:$N$1,0),FALSE),0)</f>
        <v>0</v>
      </c>
    </row>
    <row r="517" spans="1:14" x14ac:dyDescent="0.25">
      <c r="A517" t="s">
        <v>2111</v>
      </c>
      <c r="B517" t="s">
        <v>2782</v>
      </c>
      <c r="C517" t="s">
        <v>2802</v>
      </c>
      <c r="D517" t="s">
        <v>2808</v>
      </c>
      <c r="E517" t="s">
        <v>2809</v>
      </c>
      <c r="F517" t="str">
        <f>VLOOKUP(A517,Base!$A:$F,6,FALSE)</f>
        <v>INDÚSTRIAS DE TRANSFORMAÇÃO</v>
      </c>
      <c r="G517" t="str">
        <f>VLOOKUP(B517,Base!$B:$F,5,FALSE)</f>
        <v>FABRICAÇÃO DE OUTROS EQUIPAMENTOS DE TRANSPORTE, EXCETO VEÍCULOS AUTOMOTORES</v>
      </c>
      <c r="H517" t="str">
        <f>VLOOKUP(C517,Base!$C:$F,4,FALSE)</f>
        <v>Fabricação de equipamentos de transporte não especificados anteriormente</v>
      </c>
      <c r="I517" t="str">
        <f>VLOOKUP(D517,Base!$D:$F,3,FALSE)</f>
        <v>Fabricação de equipamentos de transporte não especificados anteriormente</v>
      </c>
      <c r="J517" t="str">
        <f>VLOOKUP(E517,Base!$E:$F,2,FALSE)</f>
        <v>Fabricação de equipamentos de transporte não especificados anteriormente</v>
      </c>
      <c r="K517" t="s">
        <v>2809</v>
      </c>
      <c r="L517">
        <f>IFERROR(VLOOKUP($K517,Base_Atividades!$E$1:$N$2398,MATCH(BancoAjustado!L$1,Base_Atividades!$E$1:$N$1,0),FALSE),0)</f>
        <v>0</v>
      </c>
      <c r="M517">
        <f>IFERROR(VLOOKUP($K517,Base_Atividades!$E$1:$N$2398,MATCH(BancoAjustado!M$1,Base_Atividades!$E$1:$N$1,0),FALSE),0)</f>
        <v>0</v>
      </c>
      <c r="N517">
        <f>IFERROR(VLOOKUP($K517,Base_Atividades!$E$1:$N$2398,MATCH(BancoAjustado!N$1,Base_Atividades!$E$1:$N$1,0),FALSE),0)</f>
        <v>0</v>
      </c>
    </row>
    <row r="518" spans="1:14" x14ac:dyDescent="0.25">
      <c r="A518" t="s">
        <v>2111</v>
      </c>
      <c r="B518" t="s">
        <v>2810</v>
      </c>
      <c r="C518" t="s">
        <v>2811</v>
      </c>
      <c r="D518" t="s">
        <v>2812</v>
      </c>
      <c r="E518" t="s">
        <v>2813</v>
      </c>
      <c r="F518" t="str">
        <f>VLOOKUP(A518,Base!$A:$F,6,FALSE)</f>
        <v>INDÚSTRIAS DE TRANSFORMAÇÃO</v>
      </c>
      <c r="G518" t="str">
        <f>VLOOKUP(B518,Base!$B:$F,5,FALSE)</f>
        <v>FABRICAÇÃO DE MÓVEIS</v>
      </c>
      <c r="H518" t="str">
        <f>VLOOKUP(C518,Base!$C:$F,4,FALSE)</f>
        <v>Fabricação de móveis</v>
      </c>
      <c r="I518" t="str">
        <f>VLOOKUP(D518,Base!$D:$F,3,FALSE)</f>
        <v>Fabricação de móveis com predominância de madeira</v>
      </c>
      <c r="J518" t="str">
        <f>VLOOKUP(E518,Base!$E:$F,2,FALSE)</f>
        <v>Fabricação de móveis com predominância de madeira</v>
      </c>
      <c r="K518" t="s">
        <v>2813</v>
      </c>
      <c r="L518">
        <f>IFERROR(VLOOKUP($K518,Base_Atividades!$E$1:$N$2398,MATCH(BancoAjustado!L$1,Base_Atividades!$E$1:$N$1,0),FALSE),0)</f>
        <v>1</v>
      </c>
      <c r="M518">
        <f>IFERROR(VLOOKUP($K518,Base_Atividades!$E$1:$N$2398,MATCH(BancoAjustado!M$1,Base_Atividades!$E$1:$N$1,0),FALSE),0)</f>
        <v>0</v>
      </c>
      <c r="N518">
        <f>IFERROR(VLOOKUP($K518,Base_Atividades!$E$1:$N$2398,MATCH(BancoAjustado!N$1,Base_Atividades!$E$1:$N$1,0),FALSE),0)</f>
        <v>0</v>
      </c>
    </row>
    <row r="519" spans="1:14" x14ac:dyDescent="0.25">
      <c r="A519" t="s">
        <v>2111</v>
      </c>
      <c r="B519" t="s">
        <v>2810</v>
      </c>
      <c r="C519" t="s">
        <v>2811</v>
      </c>
      <c r="D519" t="s">
        <v>2814</v>
      </c>
      <c r="E519" t="s">
        <v>2815</v>
      </c>
      <c r="F519" t="str">
        <f>VLOOKUP(A519,Base!$A:$F,6,FALSE)</f>
        <v>INDÚSTRIAS DE TRANSFORMAÇÃO</v>
      </c>
      <c r="G519" t="str">
        <f>VLOOKUP(B519,Base!$B:$F,5,FALSE)</f>
        <v>FABRICAÇÃO DE MÓVEIS</v>
      </c>
      <c r="H519" t="str">
        <f>VLOOKUP(C519,Base!$C:$F,4,FALSE)</f>
        <v>Fabricação de móveis</v>
      </c>
      <c r="I519" t="str">
        <f>VLOOKUP(D519,Base!$D:$F,3,FALSE)</f>
        <v>Fabricação de móveis com predominância de metal</v>
      </c>
      <c r="J519" t="str">
        <f>VLOOKUP(E519,Base!$E:$F,2,FALSE)</f>
        <v>Fabricação de móveis com predominância de metal</v>
      </c>
      <c r="K519" t="s">
        <v>2815</v>
      </c>
      <c r="L519">
        <f>IFERROR(VLOOKUP($K519,Base_Atividades!$E$1:$N$2398,MATCH(BancoAjustado!L$1,Base_Atividades!$E$1:$N$1,0),FALSE),0)</f>
        <v>1</v>
      </c>
      <c r="M519">
        <f>IFERROR(VLOOKUP($K519,Base_Atividades!$E$1:$N$2398,MATCH(BancoAjustado!M$1,Base_Atividades!$E$1:$N$1,0),FALSE),0)</f>
        <v>0</v>
      </c>
      <c r="N519">
        <f>IFERROR(VLOOKUP($K519,Base_Atividades!$E$1:$N$2398,MATCH(BancoAjustado!N$1,Base_Atividades!$E$1:$N$1,0),FALSE),0)</f>
        <v>0</v>
      </c>
    </row>
    <row r="520" spans="1:14" x14ac:dyDescent="0.25">
      <c r="A520" t="s">
        <v>2111</v>
      </c>
      <c r="B520" t="s">
        <v>2810</v>
      </c>
      <c r="C520" t="s">
        <v>2811</v>
      </c>
      <c r="D520" t="s">
        <v>2816</v>
      </c>
      <c r="E520" t="s">
        <v>2817</v>
      </c>
      <c r="F520" t="str">
        <f>VLOOKUP(A520,Base!$A:$F,6,FALSE)</f>
        <v>INDÚSTRIAS DE TRANSFORMAÇÃO</v>
      </c>
      <c r="G520" t="str">
        <f>VLOOKUP(B520,Base!$B:$F,5,FALSE)</f>
        <v>FABRICAÇÃO DE MÓVEIS</v>
      </c>
      <c r="H520" t="str">
        <f>VLOOKUP(C520,Base!$C:$F,4,FALSE)</f>
        <v>Fabricação de móveis</v>
      </c>
      <c r="I520" t="str">
        <f>VLOOKUP(D520,Base!$D:$F,3,FALSE)</f>
        <v>Fabricação de móveis de outros materiais, exceto madeira e metal</v>
      </c>
      <c r="J520" t="str">
        <f>VLOOKUP(E520,Base!$E:$F,2,FALSE)</f>
        <v>Fabricação de móveis de outros materiais, exceto madeira e metal</v>
      </c>
      <c r="K520" t="s">
        <v>2817</v>
      </c>
      <c r="L520">
        <f>IFERROR(VLOOKUP($K520,Base_Atividades!$E$1:$N$2398,MATCH(BancoAjustado!L$1,Base_Atividades!$E$1:$N$1,0),FALSE),0)</f>
        <v>1</v>
      </c>
      <c r="M520">
        <f>IFERROR(VLOOKUP($K520,Base_Atividades!$E$1:$N$2398,MATCH(BancoAjustado!M$1,Base_Atividades!$E$1:$N$1,0),FALSE),0)</f>
        <v>0</v>
      </c>
      <c r="N520">
        <f>IFERROR(VLOOKUP($K520,Base_Atividades!$E$1:$N$2398,MATCH(BancoAjustado!N$1,Base_Atividades!$E$1:$N$1,0),FALSE),0)</f>
        <v>0</v>
      </c>
    </row>
    <row r="521" spans="1:14" x14ac:dyDescent="0.25">
      <c r="A521" t="s">
        <v>2111</v>
      </c>
      <c r="B521" t="s">
        <v>2810</v>
      </c>
      <c r="C521" t="s">
        <v>2811</v>
      </c>
      <c r="D521" t="s">
        <v>2818</v>
      </c>
      <c r="E521" t="s">
        <v>2819</v>
      </c>
      <c r="F521" t="str">
        <f>VLOOKUP(A521,Base!$A:$F,6,FALSE)</f>
        <v>INDÚSTRIAS DE TRANSFORMAÇÃO</v>
      </c>
      <c r="G521" t="str">
        <f>VLOOKUP(B521,Base!$B:$F,5,FALSE)</f>
        <v>FABRICAÇÃO DE MÓVEIS</v>
      </c>
      <c r="H521" t="str">
        <f>VLOOKUP(C521,Base!$C:$F,4,FALSE)</f>
        <v>Fabricação de móveis</v>
      </c>
      <c r="I521" t="str">
        <f>VLOOKUP(D521,Base!$D:$F,3,FALSE)</f>
        <v>Fabricação de colchões</v>
      </c>
      <c r="J521" t="str">
        <f>VLOOKUP(E521,Base!$E:$F,2,FALSE)</f>
        <v>Fabricação de colchões</v>
      </c>
      <c r="K521" t="s">
        <v>2819</v>
      </c>
      <c r="L521">
        <f>IFERROR(VLOOKUP($K521,Base_Atividades!$E$1:$N$2398,MATCH(BancoAjustado!L$1,Base_Atividades!$E$1:$N$1,0),FALSE),0)</f>
        <v>1</v>
      </c>
      <c r="M521">
        <f>IFERROR(VLOOKUP($K521,Base_Atividades!$E$1:$N$2398,MATCH(BancoAjustado!M$1,Base_Atividades!$E$1:$N$1,0),FALSE),0)</f>
        <v>0</v>
      </c>
      <c r="N521">
        <f>IFERROR(VLOOKUP($K521,Base_Atividades!$E$1:$N$2398,MATCH(BancoAjustado!N$1,Base_Atividades!$E$1:$N$1,0),FALSE),0)</f>
        <v>0</v>
      </c>
    </row>
    <row r="522" spans="1:14" x14ac:dyDescent="0.25">
      <c r="A522" t="s">
        <v>2111</v>
      </c>
      <c r="B522" t="s">
        <v>2820</v>
      </c>
      <c r="C522" t="s">
        <v>2821</v>
      </c>
      <c r="D522" t="s">
        <v>2822</v>
      </c>
      <c r="E522" t="s">
        <v>2823</v>
      </c>
      <c r="F522" t="str">
        <f>VLOOKUP(A522,Base!$A:$F,6,FALSE)</f>
        <v>INDÚSTRIAS DE TRANSFORMAÇÃO</v>
      </c>
      <c r="G522" t="str">
        <f>VLOOKUP(B522,Base!$B:$F,5,FALSE)</f>
        <v>FABRICAÇÃO DE PRODUTOS DIVERSOS</v>
      </c>
      <c r="H522" t="str">
        <f>VLOOKUP(C522,Base!$C:$F,4,FALSE)</f>
        <v>Fabricação de artigos de joalheria, bijuteria e semelhantes</v>
      </c>
      <c r="I522" t="str">
        <f>VLOOKUP(D522,Base!$D:$F,3,FALSE)</f>
        <v>Lapidação de gemas e fabricação de artefatos de ourivesaria e joalheria</v>
      </c>
      <c r="J522" t="str">
        <f>VLOOKUP(E522,Base!$E:$F,2,FALSE)</f>
        <v>Lapidação de gemas</v>
      </c>
      <c r="K522" t="s">
        <v>2823</v>
      </c>
      <c r="L522">
        <f>IFERROR(VLOOKUP($K522,Base_Atividades!$E$1:$N$2398,MATCH(BancoAjustado!L$1,Base_Atividades!$E$1:$N$1,0),FALSE),0)</f>
        <v>1</v>
      </c>
      <c r="M522">
        <f>IFERROR(VLOOKUP($K522,Base_Atividades!$E$1:$N$2398,MATCH(BancoAjustado!M$1,Base_Atividades!$E$1:$N$1,0),FALSE),0)</f>
        <v>0</v>
      </c>
      <c r="N522">
        <f>IFERROR(VLOOKUP($K522,Base_Atividades!$E$1:$N$2398,MATCH(BancoAjustado!N$1,Base_Atividades!$E$1:$N$1,0),FALSE),0)</f>
        <v>0</v>
      </c>
    </row>
    <row r="523" spans="1:14" x14ac:dyDescent="0.25">
      <c r="A523" t="s">
        <v>2111</v>
      </c>
      <c r="B523" t="s">
        <v>2820</v>
      </c>
      <c r="C523" t="s">
        <v>2821</v>
      </c>
      <c r="D523" t="s">
        <v>2822</v>
      </c>
      <c r="E523" t="s">
        <v>2824</v>
      </c>
      <c r="F523" t="str">
        <f>VLOOKUP(A523,Base!$A:$F,6,FALSE)</f>
        <v>INDÚSTRIAS DE TRANSFORMAÇÃO</v>
      </c>
      <c r="G523" t="str">
        <f>VLOOKUP(B523,Base!$B:$F,5,FALSE)</f>
        <v>FABRICAÇÃO DE PRODUTOS DIVERSOS</v>
      </c>
      <c r="H523" t="str">
        <f>VLOOKUP(C523,Base!$C:$F,4,FALSE)</f>
        <v>Fabricação de artigos de joalheria, bijuteria e semelhantes</v>
      </c>
      <c r="I523" t="str">
        <f>VLOOKUP(D523,Base!$D:$F,3,FALSE)</f>
        <v>Lapidação de gemas e fabricação de artefatos de ourivesaria e joalheria</v>
      </c>
      <c r="J523" t="str">
        <f>VLOOKUP(E523,Base!$E:$F,2,FALSE)</f>
        <v>Fabricação de artefatos de joalheria e ourivesaria</v>
      </c>
      <c r="K523" t="s">
        <v>2824</v>
      </c>
      <c r="L523">
        <f>IFERROR(VLOOKUP($K523,Base_Atividades!$E$1:$N$2398,MATCH(BancoAjustado!L$1,Base_Atividades!$E$1:$N$1,0),FALSE),0)</f>
        <v>1</v>
      </c>
      <c r="M523">
        <f>IFERROR(VLOOKUP($K523,Base_Atividades!$E$1:$N$2398,MATCH(BancoAjustado!M$1,Base_Atividades!$E$1:$N$1,0),FALSE),0)</f>
        <v>0</v>
      </c>
      <c r="N523">
        <f>IFERROR(VLOOKUP($K523,Base_Atividades!$E$1:$N$2398,MATCH(BancoAjustado!N$1,Base_Atividades!$E$1:$N$1,0),FALSE),0)</f>
        <v>0</v>
      </c>
    </row>
    <row r="524" spans="1:14" x14ac:dyDescent="0.25">
      <c r="A524" t="s">
        <v>2111</v>
      </c>
      <c r="B524" t="s">
        <v>2820</v>
      </c>
      <c r="C524" t="s">
        <v>2821</v>
      </c>
      <c r="D524" t="s">
        <v>2822</v>
      </c>
      <c r="E524" t="s">
        <v>2825</v>
      </c>
      <c r="F524" t="str">
        <f>VLOOKUP(A524,Base!$A:$F,6,FALSE)</f>
        <v>INDÚSTRIAS DE TRANSFORMAÇÃO</v>
      </c>
      <c r="G524" t="str">
        <f>VLOOKUP(B524,Base!$B:$F,5,FALSE)</f>
        <v>FABRICAÇÃO DE PRODUTOS DIVERSOS</v>
      </c>
      <c r="H524" t="str">
        <f>VLOOKUP(C524,Base!$C:$F,4,FALSE)</f>
        <v>Fabricação de artigos de joalheria, bijuteria e semelhantes</v>
      </c>
      <c r="I524" t="str">
        <f>VLOOKUP(D524,Base!$D:$F,3,FALSE)</f>
        <v>Lapidação de gemas e fabricação de artefatos de ourivesaria e joalheria</v>
      </c>
      <c r="J524" t="str">
        <f>VLOOKUP(E524,Base!$E:$F,2,FALSE)</f>
        <v>Cunhagem de moedas e medalhas</v>
      </c>
      <c r="K524" t="s">
        <v>2825</v>
      </c>
      <c r="L524">
        <f>IFERROR(VLOOKUP($K524,Base_Atividades!$E$1:$N$2398,MATCH(BancoAjustado!L$1,Base_Atividades!$E$1:$N$1,0),FALSE),0)</f>
        <v>1</v>
      </c>
      <c r="M524">
        <f>IFERROR(VLOOKUP($K524,Base_Atividades!$E$1:$N$2398,MATCH(BancoAjustado!M$1,Base_Atividades!$E$1:$N$1,0),FALSE),0)</f>
        <v>0</v>
      </c>
      <c r="N524">
        <f>IFERROR(VLOOKUP($K524,Base_Atividades!$E$1:$N$2398,MATCH(BancoAjustado!N$1,Base_Atividades!$E$1:$N$1,0),FALSE),0)</f>
        <v>0</v>
      </c>
    </row>
    <row r="525" spans="1:14" x14ac:dyDescent="0.25">
      <c r="A525" t="s">
        <v>2111</v>
      </c>
      <c r="B525" t="s">
        <v>2820</v>
      </c>
      <c r="C525" t="s">
        <v>2821</v>
      </c>
      <c r="D525" t="s">
        <v>2826</v>
      </c>
      <c r="E525" t="s">
        <v>2827</v>
      </c>
      <c r="F525" t="str">
        <f>VLOOKUP(A525,Base!$A:$F,6,FALSE)</f>
        <v>INDÚSTRIAS DE TRANSFORMAÇÃO</v>
      </c>
      <c r="G525" t="str">
        <f>VLOOKUP(B525,Base!$B:$F,5,FALSE)</f>
        <v>FABRICAÇÃO DE PRODUTOS DIVERSOS</v>
      </c>
      <c r="H525" t="str">
        <f>VLOOKUP(C525,Base!$C:$F,4,FALSE)</f>
        <v>Fabricação de artigos de joalheria, bijuteria e semelhantes</v>
      </c>
      <c r="I525" t="str">
        <f>VLOOKUP(D525,Base!$D:$F,3,FALSE)</f>
        <v>Fabricação de bijuterias e artefatos semelhantes</v>
      </c>
      <c r="J525" t="str">
        <f>VLOOKUP(E525,Base!$E:$F,2,FALSE)</f>
        <v>Fabricação de bijuterias e artefatos semelhantes</v>
      </c>
      <c r="K525" t="s">
        <v>2827</v>
      </c>
      <c r="L525">
        <f>IFERROR(VLOOKUP($K525,Base_Atividades!$E$1:$N$2398,MATCH(BancoAjustado!L$1,Base_Atividades!$E$1:$N$1,0),FALSE),0)</f>
        <v>1</v>
      </c>
      <c r="M525">
        <f>IFERROR(VLOOKUP($K525,Base_Atividades!$E$1:$N$2398,MATCH(BancoAjustado!M$1,Base_Atividades!$E$1:$N$1,0),FALSE),0)</f>
        <v>0</v>
      </c>
      <c r="N525">
        <f>IFERROR(VLOOKUP($K525,Base_Atividades!$E$1:$N$2398,MATCH(BancoAjustado!N$1,Base_Atividades!$E$1:$N$1,0),FALSE),0)</f>
        <v>0</v>
      </c>
    </row>
    <row r="526" spans="1:14" x14ac:dyDescent="0.25">
      <c r="A526" t="s">
        <v>2111</v>
      </c>
      <c r="B526" t="s">
        <v>2820</v>
      </c>
      <c r="C526" t="s">
        <v>2828</v>
      </c>
      <c r="D526" t="s">
        <v>2829</v>
      </c>
      <c r="E526" t="s">
        <v>2830</v>
      </c>
      <c r="F526" t="str">
        <f>VLOOKUP(A526,Base!$A:$F,6,FALSE)</f>
        <v>INDÚSTRIAS DE TRANSFORMAÇÃO</v>
      </c>
      <c r="G526" t="str">
        <f>VLOOKUP(B526,Base!$B:$F,5,FALSE)</f>
        <v>FABRICAÇÃO DE PRODUTOS DIVERSOS</v>
      </c>
      <c r="H526" t="str">
        <f>VLOOKUP(C526,Base!$C:$F,4,FALSE)</f>
        <v>Fabricação de instrumentos musicais</v>
      </c>
      <c r="I526" t="str">
        <f>VLOOKUP(D526,Base!$D:$F,3,FALSE)</f>
        <v>Fabricação de instrumentos musicais</v>
      </c>
      <c r="J526" t="str">
        <f>VLOOKUP(E526,Base!$E:$F,2,FALSE)</f>
        <v>Fabricação de instrumentos musicais, peças e acessórios</v>
      </c>
      <c r="K526" t="s">
        <v>2830</v>
      </c>
      <c r="L526">
        <f>IFERROR(VLOOKUP($K526,Base_Atividades!$E$1:$N$2398,MATCH(BancoAjustado!L$1,Base_Atividades!$E$1:$N$1,0),FALSE),0)</f>
        <v>1</v>
      </c>
      <c r="M526">
        <f>IFERROR(VLOOKUP($K526,Base_Atividades!$E$1:$N$2398,MATCH(BancoAjustado!M$1,Base_Atividades!$E$1:$N$1,0),FALSE),0)</f>
        <v>0</v>
      </c>
      <c r="N526">
        <f>IFERROR(VLOOKUP($K526,Base_Atividades!$E$1:$N$2398,MATCH(BancoAjustado!N$1,Base_Atividades!$E$1:$N$1,0),FALSE),0)</f>
        <v>0</v>
      </c>
    </row>
    <row r="527" spans="1:14" x14ac:dyDescent="0.25">
      <c r="A527" t="s">
        <v>2111</v>
      </c>
      <c r="B527" t="s">
        <v>2820</v>
      </c>
      <c r="C527" t="s">
        <v>2831</v>
      </c>
      <c r="D527" t="s">
        <v>2832</v>
      </c>
      <c r="E527" t="s">
        <v>2833</v>
      </c>
      <c r="F527" t="str">
        <f>VLOOKUP(A527,Base!$A:$F,6,FALSE)</f>
        <v>INDÚSTRIAS DE TRANSFORMAÇÃO</v>
      </c>
      <c r="G527" t="str">
        <f>VLOOKUP(B527,Base!$B:$F,5,FALSE)</f>
        <v>FABRICAÇÃO DE PRODUTOS DIVERSOS</v>
      </c>
      <c r="H527" t="str">
        <f>VLOOKUP(C527,Base!$C:$F,4,FALSE)</f>
        <v>Fabricação de artefatos para pesca e esporte</v>
      </c>
      <c r="I527" t="str">
        <f>VLOOKUP(D527,Base!$D:$F,3,FALSE)</f>
        <v>Fabricação de artefatos para pesca e esporte</v>
      </c>
      <c r="J527" t="str">
        <f>VLOOKUP(E527,Base!$E:$F,2,FALSE)</f>
        <v>Fabricação de artefatos para pesca e esporte</v>
      </c>
      <c r="K527" t="s">
        <v>2833</v>
      </c>
      <c r="L527">
        <f>IFERROR(VLOOKUP($K527,Base_Atividades!$E$1:$N$2398,MATCH(BancoAjustado!L$1,Base_Atividades!$E$1:$N$1,0),FALSE),0)</f>
        <v>1</v>
      </c>
      <c r="M527">
        <f>IFERROR(VLOOKUP($K527,Base_Atividades!$E$1:$N$2398,MATCH(BancoAjustado!M$1,Base_Atividades!$E$1:$N$1,0),FALSE),0)</f>
        <v>0</v>
      </c>
      <c r="N527">
        <f>IFERROR(VLOOKUP($K527,Base_Atividades!$E$1:$N$2398,MATCH(BancoAjustado!N$1,Base_Atividades!$E$1:$N$1,0),FALSE),0)</f>
        <v>0</v>
      </c>
    </row>
    <row r="528" spans="1:14" x14ac:dyDescent="0.25">
      <c r="A528" t="s">
        <v>2111</v>
      </c>
      <c r="B528" t="s">
        <v>2820</v>
      </c>
      <c r="C528" t="s">
        <v>2834</v>
      </c>
      <c r="D528" t="s">
        <v>2835</v>
      </c>
      <c r="E528" t="s">
        <v>2836</v>
      </c>
      <c r="F528" t="str">
        <f>VLOOKUP(A528,Base!$A:$F,6,FALSE)</f>
        <v>INDÚSTRIAS DE TRANSFORMAÇÃO</v>
      </c>
      <c r="G528" t="str">
        <f>VLOOKUP(B528,Base!$B:$F,5,FALSE)</f>
        <v>FABRICAÇÃO DE PRODUTOS DIVERSOS</v>
      </c>
      <c r="H528" t="str">
        <f>VLOOKUP(C528,Base!$C:$F,4,FALSE)</f>
        <v>Fabricação de brinquedos e jogos recreativos</v>
      </c>
      <c r="I528" t="str">
        <f>VLOOKUP(D528,Base!$D:$F,3,FALSE)</f>
        <v>Fabricação de brinquedos e jogos recreativos</v>
      </c>
      <c r="J528" t="str">
        <f>VLOOKUP(E528,Base!$E:$F,2,FALSE)</f>
        <v>Fabricação de jogos eletrônicos</v>
      </c>
      <c r="K528" t="s">
        <v>2836</v>
      </c>
      <c r="L528">
        <f>IFERROR(VLOOKUP($K528,Base_Atividades!$E$1:$N$2398,MATCH(BancoAjustado!L$1,Base_Atividades!$E$1:$N$1,0),FALSE),0)</f>
        <v>1</v>
      </c>
      <c r="M528">
        <f>IFERROR(VLOOKUP($K528,Base_Atividades!$E$1:$N$2398,MATCH(BancoAjustado!M$1,Base_Atividades!$E$1:$N$1,0),FALSE),0)</f>
        <v>0</v>
      </c>
      <c r="N528">
        <f>IFERROR(VLOOKUP($K528,Base_Atividades!$E$1:$N$2398,MATCH(BancoAjustado!N$1,Base_Atividades!$E$1:$N$1,0),FALSE),0)</f>
        <v>0</v>
      </c>
    </row>
    <row r="529" spans="1:14" x14ac:dyDescent="0.25">
      <c r="A529" t="s">
        <v>2111</v>
      </c>
      <c r="B529" t="s">
        <v>2820</v>
      </c>
      <c r="C529" t="s">
        <v>2834</v>
      </c>
      <c r="D529" t="s">
        <v>2835</v>
      </c>
      <c r="E529" t="s">
        <v>2837</v>
      </c>
      <c r="F529" t="str">
        <f>VLOOKUP(A529,Base!$A:$F,6,FALSE)</f>
        <v>INDÚSTRIAS DE TRANSFORMAÇÃO</v>
      </c>
      <c r="G529" t="str">
        <f>VLOOKUP(B529,Base!$B:$F,5,FALSE)</f>
        <v>FABRICAÇÃO DE PRODUTOS DIVERSOS</v>
      </c>
      <c r="H529" t="str">
        <f>VLOOKUP(C529,Base!$C:$F,4,FALSE)</f>
        <v>Fabricação de brinquedos e jogos recreativos</v>
      </c>
      <c r="I529" t="str">
        <f>VLOOKUP(D529,Base!$D:$F,3,FALSE)</f>
        <v>Fabricação de brinquedos e jogos recreativos</v>
      </c>
      <c r="J529" t="str">
        <f>VLOOKUP(E529,Base!$E:$F,2,FALSE)</f>
        <v>Fabricação de mesas de bilhar, de sinuca e acessórios não associada à locação</v>
      </c>
      <c r="K529" t="s">
        <v>2837</v>
      </c>
      <c r="L529">
        <f>IFERROR(VLOOKUP($K529,Base_Atividades!$E$1:$N$2398,MATCH(BancoAjustado!L$1,Base_Atividades!$E$1:$N$1,0),FALSE),0)</f>
        <v>1</v>
      </c>
      <c r="M529">
        <f>IFERROR(VLOOKUP($K529,Base_Atividades!$E$1:$N$2398,MATCH(BancoAjustado!M$1,Base_Atividades!$E$1:$N$1,0),FALSE),0)</f>
        <v>0</v>
      </c>
      <c r="N529">
        <f>IFERROR(VLOOKUP($K529,Base_Atividades!$E$1:$N$2398,MATCH(BancoAjustado!N$1,Base_Atividades!$E$1:$N$1,0),FALSE),0)</f>
        <v>0</v>
      </c>
    </row>
    <row r="530" spans="1:14" x14ac:dyDescent="0.25">
      <c r="A530" t="s">
        <v>2111</v>
      </c>
      <c r="B530" t="s">
        <v>2820</v>
      </c>
      <c r="C530" t="s">
        <v>2834</v>
      </c>
      <c r="D530" t="s">
        <v>2835</v>
      </c>
      <c r="E530" t="s">
        <v>2838</v>
      </c>
      <c r="F530" t="str">
        <f>VLOOKUP(A530,Base!$A:$F,6,FALSE)</f>
        <v>INDÚSTRIAS DE TRANSFORMAÇÃO</v>
      </c>
      <c r="G530" t="str">
        <f>VLOOKUP(B530,Base!$B:$F,5,FALSE)</f>
        <v>FABRICAÇÃO DE PRODUTOS DIVERSOS</v>
      </c>
      <c r="H530" t="str">
        <f>VLOOKUP(C530,Base!$C:$F,4,FALSE)</f>
        <v>Fabricação de brinquedos e jogos recreativos</v>
      </c>
      <c r="I530" t="str">
        <f>VLOOKUP(D530,Base!$D:$F,3,FALSE)</f>
        <v>Fabricação de brinquedos e jogos recreativos</v>
      </c>
      <c r="J530" t="str">
        <f>VLOOKUP(E530,Base!$E:$F,2,FALSE)</f>
        <v>Fabricação de mesas de bilhar, de sinuca e acessórios associada à locação</v>
      </c>
      <c r="K530" t="s">
        <v>2838</v>
      </c>
      <c r="L530">
        <f>IFERROR(VLOOKUP($K530,Base_Atividades!$E$1:$N$2398,MATCH(BancoAjustado!L$1,Base_Atividades!$E$1:$N$1,0),FALSE),0)</f>
        <v>1</v>
      </c>
      <c r="M530">
        <f>IFERROR(VLOOKUP($K530,Base_Atividades!$E$1:$N$2398,MATCH(BancoAjustado!M$1,Base_Atividades!$E$1:$N$1,0),FALSE),0)</f>
        <v>0</v>
      </c>
      <c r="N530">
        <f>IFERROR(VLOOKUP($K530,Base_Atividades!$E$1:$N$2398,MATCH(BancoAjustado!N$1,Base_Atividades!$E$1:$N$1,0),FALSE),0)</f>
        <v>0</v>
      </c>
    </row>
    <row r="531" spans="1:14" x14ac:dyDescent="0.25">
      <c r="A531" t="s">
        <v>2111</v>
      </c>
      <c r="B531" t="s">
        <v>2820</v>
      </c>
      <c r="C531" t="s">
        <v>2834</v>
      </c>
      <c r="D531" t="s">
        <v>2835</v>
      </c>
      <c r="E531" t="s">
        <v>2839</v>
      </c>
      <c r="F531" t="str">
        <f>VLOOKUP(A531,Base!$A:$F,6,FALSE)</f>
        <v>INDÚSTRIAS DE TRANSFORMAÇÃO</v>
      </c>
      <c r="G531" t="str">
        <f>VLOOKUP(B531,Base!$B:$F,5,FALSE)</f>
        <v>FABRICAÇÃO DE PRODUTOS DIVERSOS</v>
      </c>
      <c r="H531" t="str">
        <f>VLOOKUP(C531,Base!$C:$F,4,FALSE)</f>
        <v>Fabricação de brinquedos e jogos recreativos</v>
      </c>
      <c r="I531" t="str">
        <f>VLOOKUP(D531,Base!$D:$F,3,FALSE)</f>
        <v>Fabricação de brinquedos e jogos recreativos</v>
      </c>
      <c r="J531" t="str">
        <f>VLOOKUP(E531,Base!$E:$F,2,FALSE)</f>
        <v>Fabricação de outros brinquedos e jogos recreativos não especificados anteriormente</v>
      </c>
      <c r="K531" t="s">
        <v>2839</v>
      </c>
      <c r="L531">
        <f>IFERROR(VLOOKUP($K531,Base_Atividades!$E$1:$N$2398,MATCH(BancoAjustado!L$1,Base_Atividades!$E$1:$N$1,0),FALSE),0)</f>
        <v>1</v>
      </c>
      <c r="M531">
        <f>IFERROR(VLOOKUP($K531,Base_Atividades!$E$1:$N$2398,MATCH(BancoAjustado!M$1,Base_Atividades!$E$1:$N$1,0),FALSE),0)</f>
        <v>0</v>
      </c>
      <c r="N531">
        <f>IFERROR(VLOOKUP($K531,Base_Atividades!$E$1:$N$2398,MATCH(BancoAjustado!N$1,Base_Atividades!$E$1:$N$1,0),FALSE),0)</f>
        <v>0</v>
      </c>
    </row>
    <row r="532" spans="1:14" x14ac:dyDescent="0.25">
      <c r="A532" t="s">
        <v>2111</v>
      </c>
      <c r="B532" t="s">
        <v>2820</v>
      </c>
      <c r="C532" t="s">
        <v>2840</v>
      </c>
      <c r="D532" t="s">
        <v>2841</v>
      </c>
      <c r="E532" t="s">
        <v>2842</v>
      </c>
      <c r="F532" t="str">
        <f>VLOOKUP(A532,Base!$A:$F,6,FALSE)</f>
        <v>INDÚSTRIAS DE TRANSFORMAÇÃO</v>
      </c>
      <c r="G532" t="str">
        <f>VLOOKUP(B532,Base!$B:$F,5,FALSE)</f>
        <v>FABRICAÇÃO DE PRODUTOS DIVERSOS</v>
      </c>
      <c r="H532" t="str">
        <f>VLOOKUP(C532,Base!$C:$F,4,FALSE)</f>
        <v>Fabricação de instrumentos e materiais para uso médico e odontológico e de artigos ópticos</v>
      </c>
      <c r="I532" t="str">
        <f>VLOOKUP(D532,Base!$D:$F,3,FALSE)</f>
        <v>Fabricação de instrumentos e materiais para uso médico e odontológico e de artigos ópticos</v>
      </c>
      <c r="J532" t="str">
        <f>VLOOKUP(E532,Base!$E:$F,2,FALSE)</f>
        <v>Fabricação de instrumentos não eletrônicos e utensílios para uso médico, cirúrgico, odontológico e de laboratório</v>
      </c>
      <c r="K532" t="s">
        <v>2842</v>
      </c>
      <c r="L532">
        <f>IFERROR(VLOOKUP($K532,Base_Atividades!$E$1:$N$2398,MATCH(BancoAjustado!L$1,Base_Atividades!$E$1:$N$1,0),FALSE),0)</f>
        <v>1</v>
      </c>
      <c r="M532">
        <f>IFERROR(VLOOKUP($K532,Base_Atividades!$E$1:$N$2398,MATCH(BancoAjustado!M$1,Base_Atividades!$E$1:$N$1,0),FALSE),0)</f>
        <v>0</v>
      </c>
      <c r="N532">
        <f>IFERROR(VLOOKUP($K532,Base_Atividades!$E$1:$N$2398,MATCH(BancoAjustado!N$1,Base_Atividades!$E$1:$N$1,0),FALSE),0)</f>
        <v>0</v>
      </c>
    </row>
    <row r="533" spans="1:14" x14ac:dyDescent="0.25">
      <c r="A533" t="s">
        <v>2111</v>
      </c>
      <c r="B533" t="s">
        <v>2820</v>
      </c>
      <c r="C533" t="s">
        <v>2840</v>
      </c>
      <c r="D533" t="s">
        <v>2841</v>
      </c>
      <c r="E533" t="s">
        <v>2843</v>
      </c>
      <c r="F533" t="str">
        <f>VLOOKUP(A533,Base!$A:$F,6,FALSE)</f>
        <v>INDÚSTRIAS DE TRANSFORMAÇÃO</v>
      </c>
      <c r="G533" t="str">
        <f>VLOOKUP(B533,Base!$B:$F,5,FALSE)</f>
        <v>FABRICAÇÃO DE PRODUTOS DIVERSOS</v>
      </c>
      <c r="H533" t="str">
        <f>VLOOKUP(C533,Base!$C:$F,4,FALSE)</f>
        <v>Fabricação de instrumentos e materiais para uso médico e odontológico e de artigos ópticos</v>
      </c>
      <c r="I533" t="str">
        <f>VLOOKUP(D533,Base!$D:$F,3,FALSE)</f>
        <v>Fabricação de instrumentos e materiais para uso médico e odontológico e de artigos ópticos</v>
      </c>
      <c r="J533" t="str">
        <f>VLOOKUP(E533,Base!$E:$F,2,FALSE)</f>
        <v>Fabricação de mobiliário para uso médico, cirúrgico, odontológico e de laboratório</v>
      </c>
      <c r="K533" t="s">
        <v>2843</v>
      </c>
      <c r="L533">
        <f>IFERROR(VLOOKUP($K533,Base_Atividades!$E$1:$N$2398,MATCH(BancoAjustado!L$1,Base_Atividades!$E$1:$N$1,0),FALSE),0)</f>
        <v>1</v>
      </c>
      <c r="M533">
        <f>IFERROR(VLOOKUP($K533,Base_Atividades!$E$1:$N$2398,MATCH(BancoAjustado!M$1,Base_Atividades!$E$1:$N$1,0),FALSE),0)</f>
        <v>0</v>
      </c>
      <c r="N533">
        <f>IFERROR(VLOOKUP($K533,Base_Atividades!$E$1:$N$2398,MATCH(BancoAjustado!N$1,Base_Atividades!$E$1:$N$1,0),FALSE),0)</f>
        <v>0</v>
      </c>
    </row>
    <row r="534" spans="1:14" x14ac:dyDescent="0.25">
      <c r="A534" t="s">
        <v>2111</v>
      </c>
      <c r="B534" t="s">
        <v>2820</v>
      </c>
      <c r="C534" t="s">
        <v>2840</v>
      </c>
      <c r="D534" t="s">
        <v>2841</v>
      </c>
      <c r="E534" t="s">
        <v>2844</v>
      </c>
      <c r="F534" t="str">
        <f>VLOOKUP(A534,Base!$A:$F,6,FALSE)</f>
        <v>INDÚSTRIAS DE TRANSFORMAÇÃO</v>
      </c>
      <c r="G534" t="str">
        <f>VLOOKUP(B534,Base!$B:$F,5,FALSE)</f>
        <v>FABRICAÇÃO DE PRODUTOS DIVERSOS</v>
      </c>
      <c r="H534" t="str">
        <f>VLOOKUP(C534,Base!$C:$F,4,FALSE)</f>
        <v>Fabricação de instrumentos e materiais para uso médico e odontológico e de artigos ópticos</v>
      </c>
      <c r="I534" t="str">
        <f>VLOOKUP(D534,Base!$D:$F,3,FALSE)</f>
        <v>Fabricação de instrumentos e materiais para uso médico e odontológico e de artigos ópticos</v>
      </c>
      <c r="J534" t="str">
        <f>VLOOKUP(E534,Base!$E:$F,2,FALSE)</f>
        <v>Fabricação de aparelhos e utensílios para correção de defeitos físicos e aparelhos ortopédicos em geral sob encomenda</v>
      </c>
      <c r="K534" t="s">
        <v>2844</v>
      </c>
      <c r="L534">
        <f>IFERROR(VLOOKUP($K534,Base_Atividades!$E$1:$N$2398,MATCH(BancoAjustado!L$1,Base_Atividades!$E$1:$N$1,0),FALSE),0)</f>
        <v>1</v>
      </c>
      <c r="M534">
        <f>IFERROR(VLOOKUP($K534,Base_Atividades!$E$1:$N$2398,MATCH(BancoAjustado!M$1,Base_Atividades!$E$1:$N$1,0),FALSE),0)</f>
        <v>0</v>
      </c>
      <c r="N534">
        <f>IFERROR(VLOOKUP($K534,Base_Atividades!$E$1:$N$2398,MATCH(BancoAjustado!N$1,Base_Atividades!$E$1:$N$1,0),FALSE),0)</f>
        <v>0</v>
      </c>
    </row>
    <row r="535" spans="1:14" x14ac:dyDescent="0.25">
      <c r="A535" t="s">
        <v>2111</v>
      </c>
      <c r="B535" t="s">
        <v>2820</v>
      </c>
      <c r="C535" t="s">
        <v>2840</v>
      </c>
      <c r="D535" t="s">
        <v>2841</v>
      </c>
      <c r="E535" t="s">
        <v>2845</v>
      </c>
      <c r="F535" t="str">
        <f>VLOOKUP(A535,Base!$A:$F,6,FALSE)</f>
        <v>INDÚSTRIAS DE TRANSFORMAÇÃO</v>
      </c>
      <c r="G535" t="str">
        <f>VLOOKUP(B535,Base!$B:$F,5,FALSE)</f>
        <v>FABRICAÇÃO DE PRODUTOS DIVERSOS</v>
      </c>
      <c r="H535" t="str">
        <f>VLOOKUP(C535,Base!$C:$F,4,FALSE)</f>
        <v>Fabricação de instrumentos e materiais para uso médico e odontológico e de artigos ópticos</v>
      </c>
      <c r="I535" t="str">
        <f>VLOOKUP(D535,Base!$D:$F,3,FALSE)</f>
        <v>Fabricação de instrumentos e materiais para uso médico e odontológico e de artigos ópticos</v>
      </c>
      <c r="J535" t="str">
        <f>VLOOKUP(E535,Base!$E:$F,2,FALSE)</f>
        <v>Fabricação de aparelhos e utensílios para correção de defeitos físicos e aparelhos ortopédicos em geral, exceto sob encomenda</v>
      </c>
      <c r="K535" t="s">
        <v>2845</v>
      </c>
      <c r="L535">
        <f>IFERROR(VLOOKUP($K535,Base_Atividades!$E$1:$N$2398,MATCH(BancoAjustado!L$1,Base_Atividades!$E$1:$N$1,0),FALSE),0)</f>
        <v>1</v>
      </c>
      <c r="M535">
        <f>IFERROR(VLOOKUP($K535,Base_Atividades!$E$1:$N$2398,MATCH(BancoAjustado!M$1,Base_Atividades!$E$1:$N$1,0),FALSE),0)</f>
        <v>0</v>
      </c>
      <c r="N535">
        <f>IFERROR(VLOOKUP($K535,Base_Atividades!$E$1:$N$2398,MATCH(BancoAjustado!N$1,Base_Atividades!$E$1:$N$1,0),FALSE),0)</f>
        <v>0</v>
      </c>
    </row>
    <row r="536" spans="1:14" x14ac:dyDescent="0.25">
      <c r="A536" t="s">
        <v>2111</v>
      </c>
      <c r="B536" t="s">
        <v>2820</v>
      </c>
      <c r="C536" t="s">
        <v>2840</v>
      </c>
      <c r="D536" t="s">
        <v>2841</v>
      </c>
      <c r="E536" t="s">
        <v>2846</v>
      </c>
      <c r="F536" t="str">
        <f>VLOOKUP(A536,Base!$A:$F,6,FALSE)</f>
        <v>INDÚSTRIAS DE TRANSFORMAÇÃO</v>
      </c>
      <c r="G536" t="str">
        <f>VLOOKUP(B536,Base!$B:$F,5,FALSE)</f>
        <v>FABRICAÇÃO DE PRODUTOS DIVERSOS</v>
      </c>
      <c r="H536" t="str">
        <f>VLOOKUP(C536,Base!$C:$F,4,FALSE)</f>
        <v>Fabricação de instrumentos e materiais para uso médico e odontológico e de artigos ópticos</v>
      </c>
      <c r="I536" t="str">
        <f>VLOOKUP(D536,Base!$D:$F,3,FALSE)</f>
        <v>Fabricação de instrumentos e materiais para uso médico e odontológico e de artigos ópticos</v>
      </c>
      <c r="J536" t="str">
        <f>VLOOKUP(E536,Base!$E:$F,2,FALSE)</f>
        <v>Fabricação de materiais para medicina e odontologia</v>
      </c>
      <c r="K536" t="s">
        <v>2846</v>
      </c>
      <c r="L536">
        <f>IFERROR(VLOOKUP($K536,Base_Atividades!$E$1:$N$2398,MATCH(BancoAjustado!L$1,Base_Atividades!$E$1:$N$1,0),FALSE),0)</f>
        <v>1</v>
      </c>
      <c r="M536">
        <f>IFERROR(VLOOKUP($K536,Base_Atividades!$E$1:$N$2398,MATCH(BancoAjustado!M$1,Base_Atividades!$E$1:$N$1,0),FALSE),0)</f>
        <v>0</v>
      </c>
      <c r="N536">
        <f>IFERROR(VLOOKUP($K536,Base_Atividades!$E$1:$N$2398,MATCH(BancoAjustado!N$1,Base_Atividades!$E$1:$N$1,0),FALSE),0)</f>
        <v>0</v>
      </c>
    </row>
    <row r="537" spans="1:14" x14ac:dyDescent="0.25">
      <c r="A537" t="s">
        <v>2111</v>
      </c>
      <c r="B537" t="s">
        <v>2820</v>
      </c>
      <c r="C537" t="s">
        <v>2840</v>
      </c>
      <c r="D537" t="s">
        <v>2841</v>
      </c>
      <c r="E537" t="s">
        <v>2847</v>
      </c>
      <c r="F537" t="str">
        <f>VLOOKUP(A537,Base!$A:$F,6,FALSE)</f>
        <v>INDÚSTRIAS DE TRANSFORMAÇÃO</v>
      </c>
      <c r="G537" t="str">
        <f>VLOOKUP(B537,Base!$B:$F,5,FALSE)</f>
        <v>FABRICAÇÃO DE PRODUTOS DIVERSOS</v>
      </c>
      <c r="H537" t="str">
        <f>VLOOKUP(C537,Base!$C:$F,4,FALSE)</f>
        <v>Fabricação de instrumentos e materiais para uso médico e odontológico e de artigos ópticos</v>
      </c>
      <c r="I537" t="str">
        <f>VLOOKUP(D537,Base!$D:$F,3,FALSE)</f>
        <v>Fabricação de instrumentos e materiais para uso médico e odontológico e de artigos ópticos</v>
      </c>
      <c r="J537" t="str">
        <f>VLOOKUP(E537,Base!$E:$F,2,FALSE)</f>
        <v>Serviços de prótese dentária</v>
      </c>
      <c r="K537" t="s">
        <v>2847</v>
      </c>
      <c r="L537">
        <f>IFERROR(VLOOKUP($K537,Base_Atividades!$E$1:$N$2398,MATCH(BancoAjustado!L$1,Base_Atividades!$E$1:$N$1,0),FALSE),0)</f>
        <v>1</v>
      </c>
      <c r="M537">
        <f>IFERROR(VLOOKUP($K537,Base_Atividades!$E$1:$N$2398,MATCH(BancoAjustado!M$1,Base_Atividades!$E$1:$N$1,0),FALSE),0)</f>
        <v>0</v>
      </c>
      <c r="N537">
        <f>IFERROR(VLOOKUP($K537,Base_Atividades!$E$1:$N$2398,MATCH(BancoAjustado!N$1,Base_Atividades!$E$1:$N$1,0),FALSE),0)</f>
        <v>0</v>
      </c>
    </row>
    <row r="538" spans="1:14" x14ac:dyDescent="0.25">
      <c r="A538" t="s">
        <v>2111</v>
      </c>
      <c r="B538" t="s">
        <v>2820</v>
      </c>
      <c r="C538" t="s">
        <v>2840</v>
      </c>
      <c r="D538" t="s">
        <v>2841</v>
      </c>
      <c r="E538" t="s">
        <v>2848</v>
      </c>
      <c r="F538" t="str">
        <f>VLOOKUP(A538,Base!$A:$F,6,FALSE)</f>
        <v>INDÚSTRIAS DE TRANSFORMAÇÃO</v>
      </c>
      <c r="G538" t="str">
        <f>VLOOKUP(B538,Base!$B:$F,5,FALSE)</f>
        <v>FABRICAÇÃO DE PRODUTOS DIVERSOS</v>
      </c>
      <c r="H538" t="str">
        <f>VLOOKUP(C538,Base!$C:$F,4,FALSE)</f>
        <v>Fabricação de instrumentos e materiais para uso médico e odontológico e de artigos ópticos</v>
      </c>
      <c r="I538" t="str">
        <f>VLOOKUP(D538,Base!$D:$F,3,FALSE)</f>
        <v>Fabricação de instrumentos e materiais para uso médico e odontológico e de artigos ópticos</v>
      </c>
      <c r="J538" t="str">
        <f>VLOOKUP(E538,Base!$E:$F,2,FALSE)</f>
        <v>Fabricação de artigos ópticos</v>
      </c>
      <c r="K538" t="s">
        <v>2848</v>
      </c>
      <c r="L538">
        <f>IFERROR(VLOOKUP($K538,Base_Atividades!$E$1:$N$2398,MATCH(BancoAjustado!L$1,Base_Atividades!$E$1:$N$1,0),FALSE),0)</f>
        <v>1</v>
      </c>
      <c r="M538">
        <f>IFERROR(VLOOKUP($K538,Base_Atividades!$E$1:$N$2398,MATCH(BancoAjustado!M$1,Base_Atividades!$E$1:$N$1,0),FALSE),0)</f>
        <v>0</v>
      </c>
      <c r="N538">
        <f>IFERROR(VLOOKUP($K538,Base_Atividades!$E$1:$N$2398,MATCH(BancoAjustado!N$1,Base_Atividades!$E$1:$N$1,0),FALSE),0)</f>
        <v>0</v>
      </c>
    </row>
    <row r="539" spans="1:14" x14ac:dyDescent="0.25">
      <c r="A539" t="s">
        <v>2111</v>
      </c>
      <c r="B539" t="s">
        <v>2820</v>
      </c>
      <c r="C539" t="s">
        <v>2840</v>
      </c>
      <c r="D539" t="s">
        <v>2841</v>
      </c>
      <c r="E539" t="s">
        <v>2849</v>
      </c>
      <c r="F539" t="str">
        <f>VLOOKUP(A539,Base!$A:$F,6,FALSE)</f>
        <v>INDÚSTRIAS DE TRANSFORMAÇÃO</v>
      </c>
      <c r="G539" t="str">
        <f>VLOOKUP(B539,Base!$B:$F,5,FALSE)</f>
        <v>FABRICAÇÃO DE PRODUTOS DIVERSOS</v>
      </c>
      <c r="H539" t="str">
        <f>VLOOKUP(C539,Base!$C:$F,4,FALSE)</f>
        <v>Fabricação de instrumentos e materiais para uso médico e odontológico e de artigos ópticos</v>
      </c>
      <c r="I539" t="str">
        <f>VLOOKUP(D539,Base!$D:$F,3,FALSE)</f>
        <v>Fabricação de instrumentos e materiais para uso médico e odontológico e de artigos ópticos</v>
      </c>
      <c r="J539" t="str">
        <f>VLOOKUP(E539,Base!$E:$F,2,FALSE)</f>
        <v>Serviço de laboratório óptico</v>
      </c>
      <c r="K539" t="s">
        <v>2849</v>
      </c>
      <c r="L539">
        <f>IFERROR(VLOOKUP($K539,Base_Atividades!$E$1:$N$2398,MATCH(BancoAjustado!L$1,Base_Atividades!$E$1:$N$1,0),FALSE),0)</f>
        <v>1</v>
      </c>
      <c r="M539">
        <f>IFERROR(VLOOKUP($K539,Base_Atividades!$E$1:$N$2398,MATCH(BancoAjustado!M$1,Base_Atividades!$E$1:$N$1,0),FALSE),0)</f>
        <v>0</v>
      </c>
      <c r="N539">
        <f>IFERROR(VLOOKUP($K539,Base_Atividades!$E$1:$N$2398,MATCH(BancoAjustado!N$1,Base_Atividades!$E$1:$N$1,0),FALSE),0)</f>
        <v>0</v>
      </c>
    </row>
    <row r="540" spans="1:14" x14ac:dyDescent="0.25">
      <c r="A540" t="s">
        <v>2111</v>
      </c>
      <c r="B540" t="s">
        <v>2820</v>
      </c>
      <c r="C540" t="s">
        <v>2850</v>
      </c>
      <c r="D540" t="s">
        <v>2851</v>
      </c>
      <c r="E540" t="s">
        <v>2852</v>
      </c>
      <c r="F540" t="str">
        <f>VLOOKUP(A540,Base!$A:$F,6,FALSE)</f>
        <v>INDÚSTRIAS DE TRANSFORMAÇÃO</v>
      </c>
      <c r="G540" t="str">
        <f>VLOOKUP(B540,Base!$B:$F,5,FALSE)</f>
        <v>FABRICAÇÃO DE PRODUTOS DIVERSOS</v>
      </c>
      <c r="H540" t="str">
        <f>VLOOKUP(C540,Base!$C:$F,4,FALSE)</f>
        <v>Fabricação de produtos diversos</v>
      </c>
      <c r="I540" t="str">
        <f>VLOOKUP(D540,Base!$D:$F,3,FALSE)</f>
        <v>Fabricação de escovas, pincéis e vassouras</v>
      </c>
      <c r="J540" t="str">
        <f>VLOOKUP(E540,Base!$E:$F,2,FALSE)</f>
        <v>Fabricação de escovas, pincéis e vassouras</v>
      </c>
      <c r="K540" t="s">
        <v>2852</v>
      </c>
      <c r="L540">
        <f>IFERROR(VLOOKUP($K540,Base_Atividades!$E$1:$N$2398,MATCH(BancoAjustado!L$1,Base_Atividades!$E$1:$N$1,0),FALSE),0)</f>
        <v>1</v>
      </c>
      <c r="M540">
        <f>IFERROR(VLOOKUP($K540,Base_Atividades!$E$1:$N$2398,MATCH(BancoAjustado!M$1,Base_Atividades!$E$1:$N$1,0),FALSE),0)</f>
        <v>0</v>
      </c>
      <c r="N540">
        <f>IFERROR(VLOOKUP($K540,Base_Atividades!$E$1:$N$2398,MATCH(BancoAjustado!N$1,Base_Atividades!$E$1:$N$1,0),FALSE),0)</f>
        <v>0</v>
      </c>
    </row>
    <row r="541" spans="1:14" x14ac:dyDescent="0.25">
      <c r="A541" t="s">
        <v>2111</v>
      </c>
      <c r="B541" t="s">
        <v>2820</v>
      </c>
      <c r="C541" t="s">
        <v>2850</v>
      </c>
      <c r="D541" t="s">
        <v>2853</v>
      </c>
      <c r="E541" t="s">
        <v>2854</v>
      </c>
      <c r="F541" t="str">
        <f>VLOOKUP(A541,Base!$A:$F,6,FALSE)</f>
        <v>INDÚSTRIAS DE TRANSFORMAÇÃO</v>
      </c>
      <c r="G541" t="str">
        <f>VLOOKUP(B541,Base!$B:$F,5,FALSE)</f>
        <v>FABRICAÇÃO DE PRODUTOS DIVERSOS</v>
      </c>
      <c r="H541" t="str">
        <f>VLOOKUP(C541,Base!$C:$F,4,FALSE)</f>
        <v>Fabricação de produtos diversos</v>
      </c>
      <c r="I541" t="str">
        <f>VLOOKUP(D541,Base!$D:$F,3,FALSE)</f>
        <v>Fabricação de equipamentos e acessórios para segurança e proteção pessoal e profissional</v>
      </c>
      <c r="J541" t="str">
        <f>VLOOKUP(E541,Base!$E:$F,2,FALSE)</f>
        <v>Fabricação de roupas de proteção e segurança e resistentes a fogo</v>
      </c>
      <c r="K541" t="s">
        <v>2854</v>
      </c>
      <c r="L541">
        <f>IFERROR(VLOOKUP($K541,Base_Atividades!$E$1:$N$2398,MATCH(BancoAjustado!L$1,Base_Atividades!$E$1:$N$1,0),FALSE),0)</f>
        <v>1</v>
      </c>
      <c r="M541">
        <f>IFERROR(VLOOKUP($K541,Base_Atividades!$E$1:$N$2398,MATCH(BancoAjustado!M$1,Base_Atividades!$E$1:$N$1,0),FALSE),0)</f>
        <v>0</v>
      </c>
      <c r="N541">
        <f>IFERROR(VLOOKUP($K541,Base_Atividades!$E$1:$N$2398,MATCH(BancoAjustado!N$1,Base_Atividades!$E$1:$N$1,0),FALSE),0)</f>
        <v>0</v>
      </c>
    </row>
    <row r="542" spans="1:14" x14ac:dyDescent="0.25">
      <c r="A542" t="s">
        <v>2111</v>
      </c>
      <c r="B542" t="s">
        <v>2820</v>
      </c>
      <c r="C542" t="s">
        <v>2850</v>
      </c>
      <c r="D542" t="s">
        <v>2853</v>
      </c>
      <c r="E542" t="s">
        <v>2855</v>
      </c>
      <c r="F542" t="str">
        <f>VLOOKUP(A542,Base!$A:$F,6,FALSE)</f>
        <v>INDÚSTRIAS DE TRANSFORMAÇÃO</v>
      </c>
      <c r="G542" t="str">
        <f>VLOOKUP(B542,Base!$B:$F,5,FALSE)</f>
        <v>FABRICAÇÃO DE PRODUTOS DIVERSOS</v>
      </c>
      <c r="H542" t="str">
        <f>VLOOKUP(C542,Base!$C:$F,4,FALSE)</f>
        <v>Fabricação de produtos diversos</v>
      </c>
      <c r="I542" t="str">
        <f>VLOOKUP(D542,Base!$D:$F,3,FALSE)</f>
        <v>Fabricação de equipamentos e acessórios para segurança e proteção pessoal e profissional</v>
      </c>
      <c r="J542" t="str">
        <f>VLOOKUP(E542,Base!$E:$F,2,FALSE)</f>
        <v>Fabricação de equipamentos e acessórios para segurança pessoal e profissional</v>
      </c>
      <c r="K542" t="s">
        <v>2855</v>
      </c>
      <c r="L542">
        <f>IFERROR(VLOOKUP($K542,Base_Atividades!$E$1:$N$2398,MATCH(BancoAjustado!L$1,Base_Atividades!$E$1:$N$1,0),FALSE),0)</f>
        <v>1</v>
      </c>
      <c r="M542">
        <f>IFERROR(VLOOKUP($K542,Base_Atividades!$E$1:$N$2398,MATCH(BancoAjustado!M$1,Base_Atividades!$E$1:$N$1,0),FALSE),0)</f>
        <v>0</v>
      </c>
      <c r="N542">
        <f>IFERROR(VLOOKUP($K542,Base_Atividades!$E$1:$N$2398,MATCH(BancoAjustado!N$1,Base_Atividades!$E$1:$N$1,0),FALSE),0)</f>
        <v>0</v>
      </c>
    </row>
    <row r="543" spans="1:14" x14ac:dyDescent="0.25">
      <c r="A543" t="s">
        <v>2111</v>
      </c>
      <c r="B543" t="s">
        <v>2820</v>
      </c>
      <c r="C543" t="s">
        <v>2850</v>
      </c>
      <c r="D543" t="s">
        <v>2856</v>
      </c>
      <c r="E543" t="s">
        <v>2857</v>
      </c>
      <c r="F543" t="str">
        <f>VLOOKUP(A543,Base!$A:$F,6,FALSE)</f>
        <v>INDÚSTRIAS DE TRANSFORMAÇÃO</v>
      </c>
      <c r="G543" t="str">
        <f>VLOOKUP(B543,Base!$B:$F,5,FALSE)</f>
        <v>FABRICAÇÃO DE PRODUTOS DIVERSOS</v>
      </c>
      <c r="H543" t="str">
        <f>VLOOKUP(C543,Base!$C:$F,4,FALSE)</f>
        <v>Fabricação de produtos diversos</v>
      </c>
      <c r="I543" t="str">
        <f>VLOOKUP(D543,Base!$D:$F,3,FALSE)</f>
        <v>Fabricação de produtos diversos não especificados anteriormente</v>
      </c>
      <c r="J543" t="str">
        <f>VLOOKUP(E543,Base!$E:$F,2,FALSE)</f>
        <v>Fabricação de guarda-chuvas e similares</v>
      </c>
      <c r="K543" t="s">
        <v>2857</v>
      </c>
      <c r="L543">
        <f>IFERROR(VLOOKUP($K543,Base_Atividades!$E$1:$N$2398,MATCH(BancoAjustado!L$1,Base_Atividades!$E$1:$N$1,0),FALSE),0)</f>
        <v>1</v>
      </c>
      <c r="M543">
        <f>IFERROR(VLOOKUP($K543,Base_Atividades!$E$1:$N$2398,MATCH(BancoAjustado!M$1,Base_Atividades!$E$1:$N$1,0),FALSE),0)</f>
        <v>0</v>
      </c>
      <c r="N543">
        <f>IFERROR(VLOOKUP($K543,Base_Atividades!$E$1:$N$2398,MATCH(BancoAjustado!N$1,Base_Atividades!$E$1:$N$1,0),FALSE),0)</f>
        <v>0</v>
      </c>
    </row>
    <row r="544" spans="1:14" x14ac:dyDescent="0.25">
      <c r="A544" t="s">
        <v>2111</v>
      </c>
      <c r="B544" t="s">
        <v>2820</v>
      </c>
      <c r="C544" t="s">
        <v>2850</v>
      </c>
      <c r="D544" t="s">
        <v>2856</v>
      </c>
      <c r="E544" t="s">
        <v>2858</v>
      </c>
      <c r="F544" t="str">
        <f>VLOOKUP(A544,Base!$A:$F,6,FALSE)</f>
        <v>INDÚSTRIAS DE TRANSFORMAÇÃO</v>
      </c>
      <c r="G544" t="str">
        <f>VLOOKUP(B544,Base!$B:$F,5,FALSE)</f>
        <v>FABRICAÇÃO DE PRODUTOS DIVERSOS</v>
      </c>
      <c r="H544" t="str">
        <f>VLOOKUP(C544,Base!$C:$F,4,FALSE)</f>
        <v>Fabricação de produtos diversos</v>
      </c>
      <c r="I544" t="str">
        <f>VLOOKUP(D544,Base!$D:$F,3,FALSE)</f>
        <v>Fabricação de produtos diversos não especificados anteriormente</v>
      </c>
      <c r="J544" t="str">
        <f>VLOOKUP(E544,Base!$E:$F,2,FALSE)</f>
        <v>Fabricação de canetas, lápis e outros artigos para escritório</v>
      </c>
      <c r="K544" t="s">
        <v>2858</v>
      </c>
      <c r="L544">
        <f>IFERROR(VLOOKUP($K544,Base_Atividades!$E$1:$N$2398,MATCH(BancoAjustado!L$1,Base_Atividades!$E$1:$N$1,0),FALSE),0)</f>
        <v>1</v>
      </c>
      <c r="M544">
        <f>IFERROR(VLOOKUP($K544,Base_Atividades!$E$1:$N$2398,MATCH(BancoAjustado!M$1,Base_Atividades!$E$1:$N$1,0),FALSE),0)</f>
        <v>0</v>
      </c>
      <c r="N544">
        <f>IFERROR(VLOOKUP($K544,Base_Atividades!$E$1:$N$2398,MATCH(BancoAjustado!N$1,Base_Atividades!$E$1:$N$1,0),FALSE),0)</f>
        <v>0</v>
      </c>
    </row>
    <row r="545" spans="1:14" x14ac:dyDescent="0.25">
      <c r="A545" t="s">
        <v>2111</v>
      </c>
      <c r="B545" t="s">
        <v>2820</v>
      </c>
      <c r="C545" t="s">
        <v>2850</v>
      </c>
      <c r="D545" t="s">
        <v>2856</v>
      </c>
      <c r="E545" t="s">
        <v>2859</v>
      </c>
      <c r="F545" t="str">
        <f>VLOOKUP(A545,Base!$A:$F,6,FALSE)</f>
        <v>INDÚSTRIAS DE TRANSFORMAÇÃO</v>
      </c>
      <c r="G545" t="str">
        <f>VLOOKUP(B545,Base!$B:$F,5,FALSE)</f>
        <v>FABRICAÇÃO DE PRODUTOS DIVERSOS</v>
      </c>
      <c r="H545" t="str">
        <f>VLOOKUP(C545,Base!$C:$F,4,FALSE)</f>
        <v>Fabricação de produtos diversos</v>
      </c>
      <c r="I545" t="str">
        <f>VLOOKUP(D545,Base!$D:$F,3,FALSE)</f>
        <v>Fabricação de produtos diversos não especificados anteriormente</v>
      </c>
      <c r="J545" t="str">
        <f>VLOOKUP(E545,Base!$E:$F,2,FALSE)</f>
        <v>Fabricação de letras, letreiros e placas de qualquer material, exceto luminosos</v>
      </c>
      <c r="K545" t="s">
        <v>2859</v>
      </c>
      <c r="L545">
        <f>IFERROR(VLOOKUP($K545,Base_Atividades!$E$1:$N$2398,MATCH(BancoAjustado!L$1,Base_Atividades!$E$1:$N$1,0),FALSE),0)</f>
        <v>1</v>
      </c>
      <c r="M545">
        <f>IFERROR(VLOOKUP($K545,Base_Atividades!$E$1:$N$2398,MATCH(BancoAjustado!M$1,Base_Atividades!$E$1:$N$1,0),FALSE),0)</f>
        <v>0</v>
      </c>
      <c r="N545">
        <f>IFERROR(VLOOKUP($K545,Base_Atividades!$E$1:$N$2398,MATCH(BancoAjustado!N$1,Base_Atividades!$E$1:$N$1,0),FALSE),0)</f>
        <v>0</v>
      </c>
    </row>
    <row r="546" spans="1:14" x14ac:dyDescent="0.25">
      <c r="A546" t="s">
        <v>2111</v>
      </c>
      <c r="B546" t="s">
        <v>2820</v>
      </c>
      <c r="C546" t="s">
        <v>2850</v>
      </c>
      <c r="D546" t="s">
        <v>2856</v>
      </c>
      <c r="E546" t="s">
        <v>2860</v>
      </c>
      <c r="F546" t="str">
        <f>VLOOKUP(A546,Base!$A:$F,6,FALSE)</f>
        <v>INDÚSTRIAS DE TRANSFORMAÇÃO</v>
      </c>
      <c r="G546" t="str">
        <f>VLOOKUP(B546,Base!$B:$F,5,FALSE)</f>
        <v>FABRICAÇÃO DE PRODUTOS DIVERSOS</v>
      </c>
      <c r="H546" t="str">
        <f>VLOOKUP(C546,Base!$C:$F,4,FALSE)</f>
        <v>Fabricação de produtos diversos</v>
      </c>
      <c r="I546" t="str">
        <f>VLOOKUP(D546,Base!$D:$F,3,FALSE)</f>
        <v>Fabricação de produtos diversos não especificados anteriormente</v>
      </c>
      <c r="J546" t="str">
        <f>VLOOKUP(E546,Base!$E:$F,2,FALSE)</f>
        <v>Fabricação de painéis e letreiros luminosos</v>
      </c>
      <c r="K546" t="s">
        <v>2860</v>
      </c>
      <c r="L546">
        <f>IFERROR(VLOOKUP($K546,Base_Atividades!$E$1:$N$2398,MATCH(BancoAjustado!L$1,Base_Atividades!$E$1:$N$1,0),FALSE),0)</f>
        <v>1</v>
      </c>
      <c r="M546">
        <f>IFERROR(VLOOKUP($K546,Base_Atividades!$E$1:$N$2398,MATCH(BancoAjustado!M$1,Base_Atividades!$E$1:$N$1,0),FALSE),0)</f>
        <v>0</v>
      </c>
      <c r="N546">
        <f>IFERROR(VLOOKUP($K546,Base_Atividades!$E$1:$N$2398,MATCH(BancoAjustado!N$1,Base_Atividades!$E$1:$N$1,0),FALSE),0)</f>
        <v>0</v>
      </c>
    </row>
    <row r="547" spans="1:14" x14ac:dyDescent="0.25">
      <c r="A547" t="s">
        <v>2111</v>
      </c>
      <c r="B547" t="s">
        <v>2820</v>
      </c>
      <c r="C547" t="s">
        <v>2850</v>
      </c>
      <c r="D547" t="s">
        <v>2856</v>
      </c>
      <c r="E547" t="s">
        <v>2861</v>
      </c>
      <c r="F547" t="str">
        <f>VLOOKUP(A547,Base!$A:$F,6,FALSE)</f>
        <v>INDÚSTRIAS DE TRANSFORMAÇÃO</v>
      </c>
      <c r="G547" t="str">
        <f>VLOOKUP(B547,Base!$B:$F,5,FALSE)</f>
        <v>FABRICAÇÃO DE PRODUTOS DIVERSOS</v>
      </c>
      <c r="H547" t="str">
        <f>VLOOKUP(C547,Base!$C:$F,4,FALSE)</f>
        <v>Fabricação de produtos diversos</v>
      </c>
      <c r="I547" t="str">
        <f>VLOOKUP(D547,Base!$D:$F,3,FALSE)</f>
        <v>Fabricação de produtos diversos não especificados anteriormente</v>
      </c>
      <c r="J547" t="str">
        <f>VLOOKUP(E547,Base!$E:$F,2,FALSE)</f>
        <v>Fabricação de aviamentos para costura</v>
      </c>
      <c r="K547" t="s">
        <v>2861</v>
      </c>
      <c r="L547">
        <f>IFERROR(VLOOKUP($K547,Base_Atividades!$E$1:$N$2398,MATCH(BancoAjustado!L$1,Base_Atividades!$E$1:$N$1,0),FALSE),0)</f>
        <v>1</v>
      </c>
      <c r="M547">
        <f>IFERROR(VLOOKUP($K547,Base_Atividades!$E$1:$N$2398,MATCH(BancoAjustado!M$1,Base_Atividades!$E$1:$N$1,0),FALSE),0)</f>
        <v>0</v>
      </c>
      <c r="N547">
        <f>IFERROR(VLOOKUP($K547,Base_Atividades!$E$1:$N$2398,MATCH(BancoAjustado!N$1,Base_Atividades!$E$1:$N$1,0),FALSE),0)</f>
        <v>0</v>
      </c>
    </row>
    <row r="548" spans="1:14" x14ac:dyDescent="0.25">
      <c r="A548" t="s">
        <v>2111</v>
      </c>
      <c r="B548" t="s">
        <v>2820</v>
      </c>
      <c r="C548" t="s">
        <v>2850</v>
      </c>
      <c r="D548" t="s">
        <v>2856</v>
      </c>
      <c r="E548" t="s">
        <v>2862</v>
      </c>
      <c r="F548" t="str">
        <f>VLOOKUP(A548,Base!$A:$F,6,FALSE)</f>
        <v>INDÚSTRIAS DE TRANSFORMAÇÃO</v>
      </c>
      <c r="G548" t="str">
        <f>VLOOKUP(B548,Base!$B:$F,5,FALSE)</f>
        <v>FABRICAÇÃO DE PRODUTOS DIVERSOS</v>
      </c>
      <c r="H548" t="str">
        <f>VLOOKUP(C548,Base!$C:$F,4,FALSE)</f>
        <v>Fabricação de produtos diversos</v>
      </c>
      <c r="I548" t="str">
        <f>VLOOKUP(D548,Base!$D:$F,3,FALSE)</f>
        <v>Fabricação de produtos diversos não especificados anteriormente</v>
      </c>
      <c r="J548" t="str">
        <f>VLOOKUP(E548,Base!$E:$F,2,FALSE)</f>
        <v>Fabricação de velas, inclusive decorativas</v>
      </c>
      <c r="K548" t="s">
        <v>2862</v>
      </c>
      <c r="L548">
        <f>IFERROR(VLOOKUP($K548,Base_Atividades!$E$1:$N$2398,MATCH(BancoAjustado!L$1,Base_Atividades!$E$1:$N$1,0),FALSE),0)</f>
        <v>1</v>
      </c>
      <c r="M548">
        <f>IFERROR(VLOOKUP($K548,Base_Atividades!$E$1:$N$2398,MATCH(BancoAjustado!M$1,Base_Atividades!$E$1:$N$1,0),FALSE),0)</f>
        <v>0</v>
      </c>
      <c r="N548">
        <f>IFERROR(VLOOKUP($K548,Base_Atividades!$E$1:$N$2398,MATCH(BancoAjustado!N$1,Base_Atividades!$E$1:$N$1,0),FALSE),0)</f>
        <v>0</v>
      </c>
    </row>
    <row r="549" spans="1:14" x14ac:dyDescent="0.25">
      <c r="A549" t="s">
        <v>2111</v>
      </c>
      <c r="B549" t="s">
        <v>2820</v>
      </c>
      <c r="C549" t="s">
        <v>2850</v>
      </c>
      <c r="D549" t="s">
        <v>2856</v>
      </c>
      <c r="E549" t="s">
        <v>2863</v>
      </c>
      <c r="F549" t="str">
        <f>VLOOKUP(A549,Base!$A:$F,6,FALSE)</f>
        <v>INDÚSTRIAS DE TRANSFORMAÇÃO</v>
      </c>
      <c r="G549" t="str">
        <f>VLOOKUP(B549,Base!$B:$F,5,FALSE)</f>
        <v>FABRICAÇÃO DE PRODUTOS DIVERSOS</v>
      </c>
      <c r="H549" t="str">
        <f>VLOOKUP(C549,Base!$C:$F,4,FALSE)</f>
        <v>Fabricação de produtos diversos</v>
      </c>
      <c r="I549" t="str">
        <f>VLOOKUP(D549,Base!$D:$F,3,FALSE)</f>
        <v>Fabricação de produtos diversos não especificados anteriormente</v>
      </c>
      <c r="J549" t="str">
        <f>VLOOKUP(E549,Base!$E:$F,2,FALSE)</f>
        <v>Fabricação de produtos diversos não especificados anteriormente</v>
      </c>
      <c r="K549" t="s">
        <v>2863</v>
      </c>
      <c r="L549">
        <f>IFERROR(VLOOKUP($K549,Base_Atividades!$E$1:$N$2398,MATCH(BancoAjustado!L$1,Base_Atividades!$E$1:$N$1,0),FALSE),0)</f>
        <v>1</v>
      </c>
      <c r="M549">
        <f>IFERROR(VLOOKUP($K549,Base_Atividades!$E$1:$N$2398,MATCH(BancoAjustado!M$1,Base_Atividades!$E$1:$N$1,0),FALSE),0)</f>
        <v>0</v>
      </c>
      <c r="N549">
        <f>IFERROR(VLOOKUP($K549,Base_Atividades!$E$1:$N$2398,MATCH(BancoAjustado!N$1,Base_Atividades!$E$1:$N$1,0),FALSE),0)</f>
        <v>0</v>
      </c>
    </row>
    <row r="550" spans="1:14" x14ac:dyDescent="0.25">
      <c r="A550" t="s">
        <v>2111</v>
      </c>
      <c r="B550">
        <v>33</v>
      </c>
      <c r="C550" t="s">
        <v>2864</v>
      </c>
      <c r="D550" t="s">
        <v>2865</v>
      </c>
      <c r="E550" t="s">
        <v>2866</v>
      </c>
      <c r="F550" t="str">
        <f>VLOOKUP(A550,Base!$A:$F,6,FALSE)</f>
        <v>INDÚSTRIAS DE TRANSFORMAÇÃO</v>
      </c>
      <c r="G550" t="str">
        <f>VLOOKUP(B550,Base!$B:$F,5,FALSE)</f>
        <v>MANUTENÇÃO, REPARAÇÃO E INSTALAÇÃO DE MÁQUINAS E EQUIPAMENTOS</v>
      </c>
      <c r="H550" t="str">
        <f>VLOOKUP(C550,Base!$C:$F,4,FALSE)</f>
        <v>Manutenção e reparação de máquinas e equipamentos</v>
      </c>
      <c r="I550" t="str">
        <f>VLOOKUP(D550,Base!$D:$F,3,FALSE)</f>
        <v>Manutenção e reparação de tanques, reservatórios metálicos e caldeiras, exceto para veículos</v>
      </c>
      <c r="J550" t="str">
        <f>VLOOKUP(E550,Base!$E:$F,2,FALSE)</f>
        <v>Manutenção e reparação de tanques, reservatórios metálicos e caldeiras, exceto para veículos</v>
      </c>
      <c r="K550" t="s">
        <v>2866</v>
      </c>
      <c r="L550">
        <f>IFERROR(VLOOKUP($K550,Base_Atividades!$E$1:$N$2398,MATCH(BancoAjustado!L$1,Base_Atividades!$E$1:$N$1,0),FALSE),0)</f>
        <v>1</v>
      </c>
      <c r="M550">
        <f>IFERROR(VLOOKUP($K550,Base_Atividades!$E$1:$N$2398,MATCH(BancoAjustado!M$1,Base_Atividades!$E$1:$N$1,0),FALSE),0)</f>
        <v>0</v>
      </c>
      <c r="N550">
        <f>IFERROR(VLOOKUP($K550,Base_Atividades!$E$1:$N$2398,MATCH(BancoAjustado!N$1,Base_Atividades!$E$1:$N$1,0),FALSE),0)</f>
        <v>0</v>
      </c>
    </row>
    <row r="551" spans="1:14" x14ac:dyDescent="0.25">
      <c r="A551" t="s">
        <v>2111</v>
      </c>
      <c r="B551">
        <v>33</v>
      </c>
      <c r="C551" t="s">
        <v>2864</v>
      </c>
      <c r="D551" t="s">
        <v>2867</v>
      </c>
      <c r="E551" t="s">
        <v>2868</v>
      </c>
      <c r="F551" t="str">
        <f>VLOOKUP(A551,Base!$A:$F,6,FALSE)</f>
        <v>INDÚSTRIAS DE TRANSFORMAÇÃO</v>
      </c>
      <c r="G551" t="str">
        <f>VLOOKUP(B551,Base!$B:$F,5,FALSE)</f>
        <v>MANUTENÇÃO, REPARAÇÃO E INSTALAÇÃO DE MÁQUINAS E EQUIPAMENTOS</v>
      </c>
      <c r="H551" t="str">
        <f>VLOOKUP(C551,Base!$C:$F,4,FALSE)</f>
        <v>Manutenção e reparação de máquinas e equipamentos</v>
      </c>
      <c r="I551" t="str">
        <f>VLOOKUP(D551,Base!$D:$F,3,FALSE)</f>
        <v>Manutenção e reparação de equipamentos eletrônicos e ópticos</v>
      </c>
      <c r="J551" t="str">
        <f>VLOOKUP(E551,Base!$E:$F,2,FALSE)</f>
        <v>Manutenção e reparação de aparelhos e instrumentos de medida, teste e controle</v>
      </c>
      <c r="K551" t="s">
        <v>2868</v>
      </c>
      <c r="L551">
        <f>IFERROR(VLOOKUP($K551,Base_Atividades!$E$1:$N$2398,MATCH(BancoAjustado!L$1,Base_Atividades!$E$1:$N$1,0),FALSE),0)</f>
        <v>1</v>
      </c>
      <c r="M551">
        <f>IFERROR(VLOOKUP($K551,Base_Atividades!$E$1:$N$2398,MATCH(BancoAjustado!M$1,Base_Atividades!$E$1:$N$1,0),FALSE),0)</f>
        <v>0</v>
      </c>
      <c r="N551">
        <f>IFERROR(VLOOKUP($K551,Base_Atividades!$E$1:$N$2398,MATCH(BancoAjustado!N$1,Base_Atividades!$E$1:$N$1,0),FALSE),0)</f>
        <v>0</v>
      </c>
    </row>
    <row r="552" spans="1:14" x14ac:dyDescent="0.25">
      <c r="A552" t="s">
        <v>2111</v>
      </c>
      <c r="B552">
        <v>33</v>
      </c>
      <c r="C552" t="s">
        <v>2864</v>
      </c>
      <c r="D552" t="s">
        <v>2867</v>
      </c>
      <c r="E552" t="s">
        <v>2869</v>
      </c>
      <c r="F552" t="str">
        <f>VLOOKUP(A552,Base!$A:$F,6,FALSE)</f>
        <v>INDÚSTRIAS DE TRANSFORMAÇÃO</v>
      </c>
      <c r="G552" t="str">
        <f>VLOOKUP(B552,Base!$B:$F,5,FALSE)</f>
        <v>MANUTENÇÃO, REPARAÇÃO E INSTALAÇÃO DE MÁQUINAS E EQUIPAMENTOS</v>
      </c>
      <c r="H552" t="str">
        <f>VLOOKUP(C552,Base!$C:$F,4,FALSE)</f>
        <v>Manutenção e reparação de máquinas e equipamentos</v>
      </c>
      <c r="I552" t="str">
        <f>VLOOKUP(D552,Base!$D:$F,3,FALSE)</f>
        <v>Manutenção e reparação de equipamentos eletrônicos e ópticos</v>
      </c>
      <c r="J552" t="str">
        <f>VLOOKUP(E552,Base!$E:$F,2,FALSE)</f>
        <v>Manutenção e reparação de aparelhos eletromédicos e eletroterapêuticos e equipamentos de irradiação</v>
      </c>
      <c r="K552" t="s">
        <v>2869</v>
      </c>
      <c r="L552">
        <f>IFERROR(VLOOKUP($K552,Base_Atividades!$E$1:$N$2398,MATCH(BancoAjustado!L$1,Base_Atividades!$E$1:$N$1,0),FALSE),0)</f>
        <v>1</v>
      </c>
      <c r="M552">
        <f>IFERROR(VLOOKUP($K552,Base_Atividades!$E$1:$N$2398,MATCH(BancoAjustado!M$1,Base_Atividades!$E$1:$N$1,0),FALSE),0)</f>
        <v>0</v>
      </c>
      <c r="N552">
        <f>IFERROR(VLOOKUP($K552,Base_Atividades!$E$1:$N$2398,MATCH(BancoAjustado!N$1,Base_Atividades!$E$1:$N$1,0),FALSE),0)</f>
        <v>0</v>
      </c>
    </row>
    <row r="553" spans="1:14" x14ac:dyDescent="0.25">
      <c r="A553" t="s">
        <v>2111</v>
      </c>
      <c r="B553">
        <v>33</v>
      </c>
      <c r="C553" t="s">
        <v>2864</v>
      </c>
      <c r="D553" t="s">
        <v>2867</v>
      </c>
      <c r="E553" t="s">
        <v>2870</v>
      </c>
      <c r="F553" t="str">
        <f>VLOOKUP(A553,Base!$A:$F,6,FALSE)</f>
        <v>INDÚSTRIAS DE TRANSFORMAÇÃO</v>
      </c>
      <c r="G553" t="str">
        <f>VLOOKUP(B553,Base!$B:$F,5,FALSE)</f>
        <v>MANUTENÇÃO, REPARAÇÃO E INSTALAÇÃO DE MÁQUINAS E EQUIPAMENTOS</v>
      </c>
      <c r="H553" t="str">
        <f>VLOOKUP(C553,Base!$C:$F,4,FALSE)</f>
        <v>Manutenção e reparação de máquinas e equipamentos</v>
      </c>
      <c r="I553" t="str">
        <f>VLOOKUP(D553,Base!$D:$F,3,FALSE)</f>
        <v>Manutenção e reparação de equipamentos eletrônicos e ópticos</v>
      </c>
      <c r="J553" t="str">
        <f>VLOOKUP(E553,Base!$E:$F,2,FALSE)</f>
        <v>Manutenção e reparação de equipamentos e instrumentos ópticos</v>
      </c>
      <c r="K553" t="s">
        <v>2870</v>
      </c>
      <c r="L553">
        <f>IFERROR(VLOOKUP($K553,Base_Atividades!$E$1:$N$2398,MATCH(BancoAjustado!L$1,Base_Atividades!$E$1:$N$1,0),FALSE),0)</f>
        <v>1</v>
      </c>
      <c r="M553">
        <f>IFERROR(VLOOKUP($K553,Base_Atividades!$E$1:$N$2398,MATCH(BancoAjustado!M$1,Base_Atividades!$E$1:$N$1,0),FALSE),0)</f>
        <v>0</v>
      </c>
      <c r="N553">
        <f>IFERROR(VLOOKUP($K553,Base_Atividades!$E$1:$N$2398,MATCH(BancoAjustado!N$1,Base_Atividades!$E$1:$N$1,0),FALSE),0)</f>
        <v>0</v>
      </c>
    </row>
    <row r="554" spans="1:14" x14ac:dyDescent="0.25">
      <c r="A554" t="s">
        <v>2111</v>
      </c>
      <c r="B554">
        <v>33</v>
      </c>
      <c r="C554" t="s">
        <v>2864</v>
      </c>
      <c r="D554" t="s">
        <v>2871</v>
      </c>
      <c r="E554" t="s">
        <v>2872</v>
      </c>
      <c r="F554" t="str">
        <f>VLOOKUP(A554,Base!$A:$F,6,FALSE)</f>
        <v>INDÚSTRIAS DE TRANSFORMAÇÃO</v>
      </c>
      <c r="G554" t="str">
        <f>VLOOKUP(B554,Base!$B:$F,5,FALSE)</f>
        <v>MANUTENÇÃO, REPARAÇÃO E INSTALAÇÃO DE MÁQUINAS E EQUIPAMENTOS</v>
      </c>
      <c r="H554" t="str">
        <f>VLOOKUP(C554,Base!$C:$F,4,FALSE)</f>
        <v>Manutenção e reparação de máquinas e equipamentos</v>
      </c>
      <c r="I554" t="str">
        <f>VLOOKUP(D554,Base!$D:$F,3,FALSE)</f>
        <v>Manutenção e reparação de máquinas e equipamentos elétricos</v>
      </c>
      <c r="J554" t="str">
        <f>VLOOKUP(E554,Base!$E:$F,2,FALSE)</f>
        <v>Manutenção e reparação de geradores, transformadores e motores elétricos</v>
      </c>
      <c r="K554" t="s">
        <v>2872</v>
      </c>
      <c r="L554">
        <f>IFERROR(VLOOKUP($K554,Base_Atividades!$E$1:$N$2398,MATCH(BancoAjustado!L$1,Base_Atividades!$E$1:$N$1,0),FALSE),0)</f>
        <v>1</v>
      </c>
      <c r="M554">
        <f>IFERROR(VLOOKUP($K554,Base_Atividades!$E$1:$N$2398,MATCH(BancoAjustado!M$1,Base_Atividades!$E$1:$N$1,0),FALSE),0)</f>
        <v>0</v>
      </c>
      <c r="N554">
        <f>IFERROR(VLOOKUP($K554,Base_Atividades!$E$1:$N$2398,MATCH(BancoAjustado!N$1,Base_Atividades!$E$1:$N$1,0),FALSE),0)</f>
        <v>0</v>
      </c>
    </row>
    <row r="555" spans="1:14" x14ac:dyDescent="0.25">
      <c r="A555" t="s">
        <v>2111</v>
      </c>
      <c r="B555">
        <v>33</v>
      </c>
      <c r="C555" t="s">
        <v>2864</v>
      </c>
      <c r="D555" t="s">
        <v>2871</v>
      </c>
      <c r="E555" t="s">
        <v>2873</v>
      </c>
      <c r="F555" t="str">
        <f>VLOOKUP(A555,Base!$A:$F,6,FALSE)</f>
        <v>INDÚSTRIAS DE TRANSFORMAÇÃO</v>
      </c>
      <c r="G555" t="str">
        <f>VLOOKUP(B555,Base!$B:$F,5,FALSE)</f>
        <v>MANUTENÇÃO, REPARAÇÃO E INSTALAÇÃO DE MÁQUINAS E EQUIPAMENTOS</v>
      </c>
      <c r="H555" t="str">
        <f>VLOOKUP(C555,Base!$C:$F,4,FALSE)</f>
        <v>Manutenção e reparação de máquinas e equipamentos</v>
      </c>
      <c r="I555" t="str">
        <f>VLOOKUP(D555,Base!$D:$F,3,FALSE)</f>
        <v>Manutenção e reparação de máquinas e equipamentos elétricos</v>
      </c>
      <c r="J555" t="str">
        <f>VLOOKUP(E555,Base!$E:$F,2,FALSE)</f>
        <v>Manutenção e reparação de baterias e acumuladores elétricos, exceto para veículos</v>
      </c>
      <c r="K555" t="s">
        <v>2873</v>
      </c>
      <c r="L555">
        <f>IFERROR(VLOOKUP($K555,Base_Atividades!$E$1:$N$2398,MATCH(BancoAjustado!L$1,Base_Atividades!$E$1:$N$1,0),FALSE),0)</f>
        <v>1</v>
      </c>
      <c r="M555">
        <f>IFERROR(VLOOKUP($K555,Base_Atividades!$E$1:$N$2398,MATCH(BancoAjustado!M$1,Base_Atividades!$E$1:$N$1,0),FALSE),0)</f>
        <v>0</v>
      </c>
      <c r="N555">
        <f>IFERROR(VLOOKUP($K555,Base_Atividades!$E$1:$N$2398,MATCH(BancoAjustado!N$1,Base_Atividades!$E$1:$N$1,0),FALSE),0)</f>
        <v>0</v>
      </c>
    </row>
    <row r="556" spans="1:14" x14ac:dyDescent="0.25">
      <c r="A556" t="s">
        <v>2111</v>
      </c>
      <c r="B556">
        <v>33</v>
      </c>
      <c r="C556" t="s">
        <v>2864</v>
      </c>
      <c r="D556" t="s">
        <v>2871</v>
      </c>
      <c r="E556" t="s">
        <v>2874</v>
      </c>
      <c r="F556" t="str">
        <f>VLOOKUP(A556,Base!$A:$F,6,FALSE)</f>
        <v>INDÚSTRIAS DE TRANSFORMAÇÃO</v>
      </c>
      <c r="G556" t="str">
        <f>VLOOKUP(B556,Base!$B:$F,5,FALSE)</f>
        <v>MANUTENÇÃO, REPARAÇÃO E INSTALAÇÃO DE MÁQUINAS E EQUIPAMENTOS</v>
      </c>
      <c r="H556" t="str">
        <f>VLOOKUP(C556,Base!$C:$F,4,FALSE)</f>
        <v>Manutenção e reparação de máquinas e equipamentos</v>
      </c>
      <c r="I556" t="str">
        <f>VLOOKUP(D556,Base!$D:$F,3,FALSE)</f>
        <v>Manutenção e reparação de máquinas e equipamentos elétricos</v>
      </c>
      <c r="J556" t="str">
        <f>VLOOKUP(E556,Base!$E:$F,2,FALSE)</f>
        <v>Manutenção e reparação de máquinas, aparelhos e materiais elétricos não especificados anteriormente</v>
      </c>
      <c r="K556" t="s">
        <v>2874</v>
      </c>
      <c r="L556">
        <f>IFERROR(VLOOKUP($K556,Base_Atividades!$E$1:$N$2398,MATCH(BancoAjustado!L$1,Base_Atividades!$E$1:$N$1,0),FALSE),0)</f>
        <v>1</v>
      </c>
      <c r="M556">
        <f>IFERROR(VLOOKUP($K556,Base_Atividades!$E$1:$N$2398,MATCH(BancoAjustado!M$1,Base_Atividades!$E$1:$N$1,0),FALSE),0)</f>
        <v>0</v>
      </c>
      <c r="N556">
        <f>IFERROR(VLOOKUP($K556,Base_Atividades!$E$1:$N$2398,MATCH(BancoAjustado!N$1,Base_Atividades!$E$1:$N$1,0),FALSE),0)</f>
        <v>0</v>
      </c>
    </row>
    <row r="557" spans="1:14" x14ac:dyDescent="0.25">
      <c r="A557" t="s">
        <v>2111</v>
      </c>
      <c r="B557">
        <v>33</v>
      </c>
      <c r="C557" t="s">
        <v>2864</v>
      </c>
      <c r="D557" t="s">
        <v>2875</v>
      </c>
      <c r="E557" t="s">
        <v>2876</v>
      </c>
      <c r="F557" t="str">
        <f>VLOOKUP(A557,Base!$A:$F,6,FALSE)</f>
        <v>INDÚSTRIAS DE TRANSFORMAÇÃO</v>
      </c>
      <c r="G557" t="str">
        <f>VLOOKUP(B557,Base!$B:$F,5,FALSE)</f>
        <v>MANUTENÇÃO, REPARAÇÃO E INSTALAÇÃO DE MÁQUINAS E EQUIPAMENTOS</v>
      </c>
      <c r="H557" t="str">
        <f>VLOOKUP(C557,Base!$C:$F,4,FALSE)</f>
        <v>Manutenção e reparação de máquinas e equipamentos</v>
      </c>
      <c r="I557" t="str">
        <f>VLOOKUP(D557,Base!$D:$F,3,FALSE)</f>
        <v>Manutenção e reparação de máquinas e equipamentos da indústria mecânica</v>
      </c>
      <c r="J557" t="str">
        <f>VLOOKUP(E557,Base!$E:$F,2,FALSE)</f>
        <v>Manutenção e reparação de máquinas motrizes não elétricas</v>
      </c>
      <c r="K557" t="s">
        <v>2876</v>
      </c>
      <c r="L557">
        <f>IFERROR(VLOOKUP($K557,Base_Atividades!$E$1:$N$2398,MATCH(BancoAjustado!L$1,Base_Atividades!$E$1:$N$1,0),FALSE),0)</f>
        <v>1</v>
      </c>
      <c r="M557">
        <f>IFERROR(VLOOKUP($K557,Base_Atividades!$E$1:$N$2398,MATCH(BancoAjustado!M$1,Base_Atividades!$E$1:$N$1,0),FALSE),0)</f>
        <v>0</v>
      </c>
      <c r="N557">
        <f>IFERROR(VLOOKUP($K557,Base_Atividades!$E$1:$N$2398,MATCH(BancoAjustado!N$1,Base_Atividades!$E$1:$N$1,0),FALSE),0)</f>
        <v>0</v>
      </c>
    </row>
    <row r="558" spans="1:14" x14ac:dyDescent="0.25">
      <c r="A558" t="s">
        <v>2111</v>
      </c>
      <c r="B558">
        <v>33</v>
      </c>
      <c r="C558" t="s">
        <v>2864</v>
      </c>
      <c r="D558" t="s">
        <v>2875</v>
      </c>
      <c r="E558" t="s">
        <v>2877</v>
      </c>
      <c r="F558" t="str">
        <f>VLOOKUP(A558,Base!$A:$F,6,FALSE)</f>
        <v>INDÚSTRIAS DE TRANSFORMAÇÃO</v>
      </c>
      <c r="G558" t="str">
        <f>VLOOKUP(B558,Base!$B:$F,5,FALSE)</f>
        <v>MANUTENÇÃO, REPARAÇÃO E INSTALAÇÃO DE MÁQUINAS E EQUIPAMENTOS</v>
      </c>
      <c r="H558" t="str">
        <f>VLOOKUP(C558,Base!$C:$F,4,FALSE)</f>
        <v>Manutenção e reparação de máquinas e equipamentos</v>
      </c>
      <c r="I558" t="str">
        <f>VLOOKUP(D558,Base!$D:$F,3,FALSE)</f>
        <v>Manutenção e reparação de máquinas e equipamentos da indústria mecânica</v>
      </c>
      <c r="J558" t="str">
        <f>VLOOKUP(E558,Base!$E:$F,2,FALSE)</f>
        <v>Manutenção e reparação de equipamentos hidráulicos e pneumáticos, exceto válvulas</v>
      </c>
      <c r="K558" t="s">
        <v>2877</v>
      </c>
      <c r="L558">
        <f>IFERROR(VLOOKUP($K558,Base_Atividades!$E$1:$N$2398,MATCH(BancoAjustado!L$1,Base_Atividades!$E$1:$N$1,0),FALSE),0)</f>
        <v>1</v>
      </c>
      <c r="M558">
        <f>IFERROR(VLOOKUP($K558,Base_Atividades!$E$1:$N$2398,MATCH(BancoAjustado!M$1,Base_Atividades!$E$1:$N$1,0),FALSE),0)</f>
        <v>0</v>
      </c>
      <c r="N558">
        <f>IFERROR(VLOOKUP($K558,Base_Atividades!$E$1:$N$2398,MATCH(BancoAjustado!N$1,Base_Atividades!$E$1:$N$1,0),FALSE),0)</f>
        <v>0</v>
      </c>
    </row>
    <row r="559" spans="1:14" x14ac:dyDescent="0.25">
      <c r="A559" t="s">
        <v>2111</v>
      </c>
      <c r="B559">
        <v>33</v>
      </c>
      <c r="C559" t="s">
        <v>2864</v>
      </c>
      <c r="D559" t="s">
        <v>2875</v>
      </c>
      <c r="E559" t="s">
        <v>2878</v>
      </c>
      <c r="F559" t="str">
        <f>VLOOKUP(A559,Base!$A:$F,6,FALSE)</f>
        <v>INDÚSTRIAS DE TRANSFORMAÇÃO</v>
      </c>
      <c r="G559" t="str">
        <f>VLOOKUP(B559,Base!$B:$F,5,FALSE)</f>
        <v>MANUTENÇÃO, REPARAÇÃO E INSTALAÇÃO DE MÁQUINAS E EQUIPAMENTOS</v>
      </c>
      <c r="H559" t="str">
        <f>VLOOKUP(C559,Base!$C:$F,4,FALSE)</f>
        <v>Manutenção e reparação de máquinas e equipamentos</v>
      </c>
      <c r="I559" t="str">
        <f>VLOOKUP(D559,Base!$D:$F,3,FALSE)</f>
        <v>Manutenção e reparação de máquinas e equipamentos da indústria mecânica</v>
      </c>
      <c r="J559" t="str">
        <f>VLOOKUP(E559,Base!$E:$F,2,FALSE)</f>
        <v>Manutenção e reparação de válvulas industriais</v>
      </c>
      <c r="K559" t="s">
        <v>2878</v>
      </c>
      <c r="L559">
        <f>IFERROR(VLOOKUP($K559,Base_Atividades!$E$1:$N$2398,MATCH(BancoAjustado!L$1,Base_Atividades!$E$1:$N$1,0),FALSE),0)</f>
        <v>1</v>
      </c>
      <c r="M559">
        <f>IFERROR(VLOOKUP($K559,Base_Atividades!$E$1:$N$2398,MATCH(BancoAjustado!M$1,Base_Atividades!$E$1:$N$1,0),FALSE),0)</f>
        <v>0</v>
      </c>
      <c r="N559">
        <f>IFERROR(VLOOKUP($K559,Base_Atividades!$E$1:$N$2398,MATCH(BancoAjustado!N$1,Base_Atividades!$E$1:$N$1,0),FALSE),0)</f>
        <v>0</v>
      </c>
    </row>
    <row r="560" spans="1:14" x14ac:dyDescent="0.25">
      <c r="A560" t="s">
        <v>2111</v>
      </c>
      <c r="B560">
        <v>33</v>
      </c>
      <c r="C560" t="s">
        <v>2864</v>
      </c>
      <c r="D560" t="s">
        <v>2875</v>
      </c>
      <c r="E560" t="s">
        <v>2879</v>
      </c>
      <c r="F560" t="str">
        <f>VLOOKUP(A560,Base!$A:$F,6,FALSE)</f>
        <v>INDÚSTRIAS DE TRANSFORMAÇÃO</v>
      </c>
      <c r="G560" t="str">
        <f>VLOOKUP(B560,Base!$B:$F,5,FALSE)</f>
        <v>MANUTENÇÃO, REPARAÇÃO E INSTALAÇÃO DE MÁQUINAS E EQUIPAMENTOS</v>
      </c>
      <c r="H560" t="str">
        <f>VLOOKUP(C560,Base!$C:$F,4,FALSE)</f>
        <v>Manutenção e reparação de máquinas e equipamentos</v>
      </c>
      <c r="I560" t="str">
        <f>VLOOKUP(D560,Base!$D:$F,3,FALSE)</f>
        <v>Manutenção e reparação de máquinas e equipamentos da indústria mecânica</v>
      </c>
      <c r="J560" t="str">
        <f>VLOOKUP(E560,Base!$E:$F,2,FALSE)</f>
        <v>Manutenção e reparação de compressores</v>
      </c>
      <c r="K560" t="s">
        <v>2879</v>
      </c>
      <c r="L560">
        <f>IFERROR(VLOOKUP($K560,Base_Atividades!$E$1:$N$2398,MATCH(BancoAjustado!L$1,Base_Atividades!$E$1:$N$1,0),FALSE),0)</f>
        <v>1</v>
      </c>
      <c r="M560">
        <f>IFERROR(VLOOKUP($K560,Base_Atividades!$E$1:$N$2398,MATCH(BancoAjustado!M$1,Base_Atividades!$E$1:$N$1,0),FALSE),0)</f>
        <v>0</v>
      </c>
      <c r="N560">
        <f>IFERROR(VLOOKUP($K560,Base_Atividades!$E$1:$N$2398,MATCH(BancoAjustado!N$1,Base_Atividades!$E$1:$N$1,0),FALSE),0)</f>
        <v>0</v>
      </c>
    </row>
    <row r="561" spans="1:14" x14ac:dyDescent="0.25">
      <c r="A561" t="s">
        <v>2111</v>
      </c>
      <c r="B561">
        <v>33</v>
      </c>
      <c r="C561" t="s">
        <v>2864</v>
      </c>
      <c r="D561" t="s">
        <v>2875</v>
      </c>
      <c r="E561" t="s">
        <v>2880</v>
      </c>
      <c r="F561" t="str">
        <f>VLOOKUP(A561,Base!$A:$F,6,FALSE)</f>
        <v>INDÚSTRIAS DE TRANSFORMAÇÃO</v>
      </c>
      <c r="G561" t="str">
        <f>VLOOKUP(B561,Base!$B:$F,5,FALSE)</f>
        <v>MANUTENÇÃO, REPARAÇÃO E INSTALAÇÃO DE MÁQUINAS E EQUIPAMENTOS</v>
      </c>
      <c r="H561" t="str">
        <f>VLOOKUP(C561,Base!$C:$F,4,FALSE)</f>
        <v>Manutenção e reparação de máquinas e equipamentos</v>
      </c>
      <c r="I561" t="str">
        <f>VLOOKUP(D561,Base!$D:$F,3,FALSE)</f>
        <v>Manutenção e reparação de máquinas e equipamentos da indústria mecânica</v>
      </c>
      <c r="J561" t="str">
        <f>VLOOKUP(E561,Base!$E:$F,2,FALSE)</f>
        <v>Manutenção e reparação de equipamentos de transmissão para fins industriais</v>
      </c>
      <c r="K561" t="s">
        <v>2880</v>
      </c>
      <c r="L561">
        <f>IFERROR(VLOOKUP($K561,Base_Atividades!$E$1:$N$2398,MATCH(BancoAjustado!L$1,Base_Atividades!$E$1:$N$1,0),FALSE),0)</f>
        <v>1</v>
      </c>
      <c r="M561">
        <f>IFERROR(VLOOKUP($K561,Base_Atividades!$E$1:$N$2398,MATCH(BancoAjustado!M$1,Base_Atividades!$E$1:$N$1,0),FALSE),0)</f>
        <v>0</v>
      </c>
      <c r="N561">
        <f>IFERROR(VLOOKUP($K561,Base_Atividades!$E$1:$N$2398,MATCH(BancoAjustado!N$1,Base_Atividades!$E$1:$N$1,0),FALSE),0)</f>
        <v>0</v>
      </c>
    </row>
    <row r="562" spans="1:14" x14ac:dyDescent="0.25">
      <c r="A562" t="s">
        <v>2111</v>
      </c>
      <c r="B562">
        <v>33</v>
      </c>
      <c r="C562" t="s">
        <v>2864</v>
      </c>
      <c r="D562" t="s">
        <v>2875</v>
      </c>
      <c r="E562" t="s">
        <v>2881</v>
      </c>
      <c r="F562" t="str">
        <f>VLOOKUP(A562,Base!$A:$F,6,FALSE)</f>
        <v>INDÚSTRIAS DE TRANSFORMAÇÃO</v>
      </c>
      <c r="G562" t="str">
        <f>VLOOKUP(B562,Base!$B:$F,5,FALSE)</f>
        <v>MANUTENÇÃO, REPARAÇÃO E INSTALAÇÃO DE MÁQUINAS E EQUIPAMENTOS</v>
      </c>
      <c r="H562" t="str">
        <f>VLOOKUP(C562,Base!$C:$F,4,FALSE)</f>
        <v>Manutenção e reparação de máquinas e equipamentos</v>
      </c>
      <c r="I562" t="str">
        <f>VLOOKUP(D562,Base!$D:$F,3,FALSE)</f>
        <v>Manutenção e reparação de máquinas e equipamentos da indústria mecânica</v>
      </c>
      <c r="J562" t="str">
        <f>VLOOKUP(E562,Base!$E:$F,2,FALSE)</f>
        <v>Manutenção e reparação de máquinas, aparelhos e equipamentos para instalações térmicas</v>
      </c>
      <c r="K562" t="s">
        <v>2881</v>
      </c>
      <c r="L562">
        <f>IFERROR(VLOOKUP($K562,Base_Atividades!$E$1:$N$2398,MATCH(BancoAjustado!L$1,Base_Atividades!$E$1:$N$1,0),FALSE),0)</f>
        <v>1</v>
      </c>
      <c r="M562">
        <f>IFERROR(VLOOKUP($K562,Base_Atividades!$E$1:$N$2398,MATCH(BancoAjustado!M$1,Base_Atividades!$E$1:$N$1,0),FALSE),0)</f>
        <v>0</v>
      </c>
      <c r="N562">
        <f>IFERROR(VLOOKUP($K562,Base_Atividades!$E$1:$N$2398,MATCH(BancoAjustado!N$1,Base_Atividades!$E$1:$N$1,0),FALSE),0)</f>
        <v>0</v>
      </c>
    </row>
    <row r="563" spans="1:14" x14ac:dyDescent="0.25">
      <c r="A563" t="s">
        <v>2111</v>
      </c>
      <c r="B563">
        <v>33</v>
      </c>
      <c r="C563" t="s">
        <v>2864</v>
      </c>
      <c r="D563" t="s">
        <v>2875</v>
      </c>
      <c r="E563" t="s">
        <v>2882</v>
      </c>
      <c r="F563" t="str">
        <f>VLOOKUP(A563,Base!$A:$F,6,FALSE)</f>
        <v>INDÚSTRIAS DE TRANSFORMAÇÃO</v>
      </c>
      <c r="G563" t="str">
        <f>VLOOKUP(B563,Base!$B:$F,5,FALSE)</f>
        <v>MANUTENÇÃO, REPARAÇÃO E INSTALAÇÃO DE MÁQUINAS E EQUIPAMENTOS</v>
      </c>
      <c r="H563" t="str">
        <f>VLOOKUP(C563,Base!$C:$F,4,FALSE)</f>
        <v>Manutenção e reparação de máquinas e equipamentos</v>
      </c>
      <c r="I563" t="str">
        <f>VLOOKUP(D563,Base!$D:$F,3,FALSE)</f>
        <v>Manutenção e reparação de máquinas e equipamentos da indústria mecânica</v>
      </c>
      <c r="J563" t="str">
        <f>VLOOKUP(E563,Base!$E:$F,2,FALSE)</f>
        <v>Manutenção e reparação de máquinas e aparelhos de refrigeração e ventilação para uso industrial e comercial</v>
      </c>
      <c r="K563" t="s">
        <v>2882</v>
      </c>
      <c r="L563">
        <f>IFERROR(VLOOKUP($K563,Base_Atividades!$E$1:$N$2398,MATCH(BancoAjustado!L$1,Base_Atividades!$E$1:$N$1,0),FALSE),0)</f>
        <v>1</v>
      </c>
      <c r="M563">
        <f>IFERROR(VLOOKUP($K563,Base_Atividades!$E$1:$N$2398,MATCH(BancoAjustado!M$1,Base_Atividades!$E$1:$N$1,0),FALSE),0)</f>
        <v>0</v>
      </c>
      <c r="N563">
        <f>IFERROR(VLOOKUP($K563,Base_Atividades!$E$1:$N$2398,MATCH(BancoAjustado!N$1,Base_Atividades!$E$1:$N$1,0),FALSE),0)</f>
        <v>0</v>
      </c>
    </row>
    <row r="564" spans="1:14" x14ac:dyDescent="0.25">
      <c r="A564" t="s">
        <v>2111</v>
      </c>
      <c r="B564">
        <v>33</v>
      </c>
      <c r="C564" t="s">
        <v>2864</v>
      </c>
      <c r="D564" t="s">
        <v>2875</v>
      </c>
      <c r="E564" t="s">
        <v>2883</v>
      </c>
      <c r="F564" t="str">
        <f>VLOOKUP(A564,Base!$A:$F,6,FALSE)</f>
        <v>INDÚSTRIAS DE TRANSFORMAÇÃO</v>
      </c>
      <c r="G564" t="str">
        <f>VLOOKUP(B564,Base!$B:$F,5,FALSE)</f>
        <v>MANUTENÇÃO, REPARAÇÃO E INSTALAÇÃO DE MÁQUINAS E EQUIPAMENTOS</v>
      </c>
      <c r="H564" t="str">
        <f>VLOOKUP(C564,Base!$C:$F,4,FALSE)</f>
        <v>Manutenção e reparação de máquinas e equipamentos</v>
      </c>
      <c r="I564" t="str">
        <f>VLOOKUP(D564,Base!$D:$F,3,FALSE)</f>
        <v>Manutenção e reparação de máquinas e equipamentos da indústria mecânica</v>
      </c>
      <c r="J564" t="str">
        <f>VLOOKUP(E564,Base!$E:$F,2,FALSE)</f>
        <v>Manutenção e reparação de máquinas, equipamentos e aparelhos para transporte e elevação de cargas</v>
      </c>
      <c r="K564" t="s">
        <v>2883</v>
      </c>
      <c r="L564">
        <f>IFERROR(VLOOKUP($K564,Base_Atividades!$E$1:$N$2398,MATCH(BancoAjustado!L$1,Base_Atividades!$E$1:$N$1,0),FALSE),0)</f>
        <v>1</v>
      </c>
      <c r="M564">
        <f>IFERROR(VLOOKUP($K564,Base_Atividades!$E$1:$N$2398,MATCH(BancoAjustado!M$1,Base_Atividades!$E$1:$N$1,0),FALSE),0)</f>
        <v>0</v>
      </c>
      <c r="N564">
        <f>IFERROR(VLOOKUP($K564,Base_Atividades!$E$1:$N$2398,MATCH(BancoAjustado!N$1,Base_Atividades!$E$1:$N$1,0),FALSE),0)</f>
        <v>0</v>
      </c>
    </row>
    <row r="565" spans="1:14" x14ac:dyDescent="0.25">
      <c r="A565" t="s">
        <v>2111</v>
      </c>
      <c r="B565">
        <v>33</v>
      </c>
      <c r="C565" t="s">
        <v>2864</v>
      </c>
      <c r="D565" t="s">
        <v>2875</v>
      </c>
      <c r="E565" t="s">
        <v>2884</v>
      </c>
      <c r="F565" t="str">
        <f>VLOOKUP(A565,Base!$A:$F,6,FALSE)</f>
        <v>INDÚSTRIAS DE TRANSFORMAÇÃO</v>
      </c>
      <c r="G565" t="str">
        <f>VLOOKUP(B565,Base!$B:$F,5,FALSE)</f>
        <v>MANUTENÇÃO, REPARAÇÃO E INSTALAÇÃO DE MÁQUINAS E EQUIPAMENTOS</v>
      </c>
      <c r="H565" t="str">
        <f>VLOOKUP(C565,Base!$C:$F,4,FALSE)</f>
        <v>Manutenção e reparação de máquinas e equipamentos</v>
      </c>
      <c r="I565" t="str">
        <f>VLOOKUP(D565,Base!$D:$F,3,FALSE)</f>
        <v>Manutenção e reparação de máquinas e equipamentos da indústria mecânica</v>
      </c>
      <c r="J565" t="str">
        <f>VLOOKUP(E565,Base!$E:$F,2,FALSE)</f>
        <v>Manutenção e reparação de máquinas de escrever, calcular e de outros equipamentos não eletrônicos para escritório</v>
      </c>
      <c r="K565" t="s">
        <v>2884</v>
      </c>
      <c r="L565">
        <f>IFERROR(VLOOKUP($K565,Base_Atividades!$E$1:$N$2398,MATCH(BancoAjustado!L$1,Base_Atividades!$E$1:$N$1,0),FALSE),0)</f>
        <v>1</v>
      </c>
      <c r="M565">
        <f>IFERROR(VLOOKUP($K565,Base_Atividades!$E$1:$N$2398,MATCH(BancoAjustado!M$1,Base_Atividades!$E$1:$N$1,0),FALSE),0)</f>
        <v>0</v>
      </c>
      <c r="N565">
        <f>IFERROR(VLOOKUP($K565,Base_Atividades!$E$1:$N$2398,MATCH(BancoAjustado!N$1,Base_Atividades!$E$1:$N$1,0),FALSE),0)</f>
        <v>0</v>
      </c>
    </row>
    <row r="566" spans="1:14" x14ac:dyDescent="0.25">
      <c r="A566" t="s">
        <v>2111</v>
      </c>
      <c r="B566">
        <v>33</v>
      </c>
      <c r="C566" t="s">
        <v>2864</v>
      </c>
      <c r="D566" t="s">
        <v>2875</v>
      </c>
      <c r="E566" t="s">
        <v>2885</v>
      </c>
      <c r="F566" t="str">
        <f>VLOOKUP(A566,Base!$A:$F,6,FALSE)</f>
        <v>INDÚSTRIAS DE TRANSFORMAÇÃO</v>
      </c>
      <c r="G566" t="str">
        <f>VLOOKUP(B566,Base!$B:$F,5,FALSE)</f>
        <v>MANUTENÇÃO, REPARAÇÃO E INSTALAÇÃO DE MÁQUINAS E EQUIPAMENTOS</v>
      </c>
      <c r="H566" t="str">
        <f>VLOOKUP(C566,Base!$C:$F,4,FALSE)</f>
        <v>Manutenção e reparação de máquinas e equipamentos</v>
      </c>
      <c r="I566" t="str">
        <f>VLOOKUP(D566,Base!$D:$F,3,FALSE)</f>
        <v>Manutenção e reparação de máquinas e equipamentos da indústria mecânica</v>
      </c>
      <c r="J566" t="str">
        <f>VLOOKUP(E566,Base!$E:$F,2,FALSE)</f>
        <v>Manutenção e reparação de máquinas e equipamentos para uso geral não especificados anteriormente</v>
      </c>
      <c r="K566" t="s">
        <v>2885</v>
      </c>
      <c r="L566">
        <f>IFERROR(VLOOKUP($K566,Base_Atividades!$E$1:$N$2398,MATCH(BancoAjustado!L$1,Base_Atividades!$E$1:$N$1,0),FALSE),0)</f>
        <v>1</v>
      </c>
      <c r="M566">
        <f>IFERROR(VLOOKUP($K566,Base_Atividades!$E$1:$N$2398,MATCH(BancoAjustado!M$1,Base_Atividades!$E$1:$N$1,0),FALSE),0)</f>
        <v>0</v>
      </c>
      <c r="N566">
        <f>IFERROR(VLOOKUP($K566,Base_Atividades!$E$1:$N$2398,MATCH(BancoAjustado!N$1,Base_Atividades!$E$1:$N$1,0),FALSE),0)</f>
        <v>0</v>
      </c>
    </row>
    <row r="567" spans="1:14" x14ac:dyDescent="0.25">
      <c r="A567" t="s">
        <v>2111</v>
      </c>
      <c r="B567">
        <v>33</v>
      </c>
      <c r="C567" t="s">
        <v>2864</v>
      </c>
      <c r="D567" t="s">
        <v>2875</v>
      </c>
      <c r="E567" t="s">
        <v>2886</v>
      </c>
      <c r="F567" t="str">
        <f>VLOOKUP(A567,Base!$A:$F,6,FALSE)</f>
        <v>INDÚSTRIAS DE TRANSFORMAÇÃO</v>
      </c>
      <c r="G567" t="str">
        <f>VLOOKUP(B567,Base!$B:$F,5,FALSE)</f>
        <v>MANUTENÇÃO, REPARAÇÃO E INSTALAÇÃO DE MÁQUINAS E EQUIPAMENTOS</v>
      </c>
      <c r="H567" t="str">
        <f>VLOOKUP(C567,Base!$C:$F,4,FALSE)</f>
        <v>Manutenção e reparação de máquinas e equipamentos</v>
      </c>
      <c r="I567" t="str">
        <f>VLOOKUP(D567,Base!$D:$F,3,FALSE)</f>
        <v>Manutenção e reparação de máquinas e equipamentos da indústria mecânica</v>
      </c>
      <c r="J567" t="str">
        <f>VLOOKUP(E567,Base!$E:$F,2,FALSE)</f>
        <v>Manutenção e reparação de máquinas e equipamentos para agricultura e pecuária</v>
      </c>
      <c r="K567" t="s">
        <v>2886</v>
      </c>
      <c r="L567">
        <f>IFERROR(VLOOKUP($K567,Base_Atividades!$E$1:$N$2398,MATCH(BancoAjustado!L$1,Base_Atividades!$E$1:$N$1,0),FALSE),0)</f>
        <v>1</v>
      </c>
      <c r="M567">
        <f>IFERROR(VLOOKUP($K567,Base_Atividades!$E$1:$N$2398,MATCH(BancoAjustado!M$1,Base_Atividades!$E$1:$N$1,0),FALSE),0)</f>
        <v>0</v>
      </c>
      <c r="N567">
        <f>IFERROR(VLOOKUP($K567,Base_Atividades!$E$1:$N$2398,MATCH(BancoAjustado!N$1,Base_Atividades!$E$1:$N$1,0),FALSE),0)</f>
        <v>0</v>
      </c>
    </row>
    <row r="568" spans="1:14" x14ac:dyDescent="0.25">
      <c r="A568" t="s">
        <v>2111</v>
      </c>
      <c r="B568">
        <v>33</v>
      </c>
      <c r="C568" t="s">
        <v>2864</v>
      </c>
      <c r="D568" t="s">
        <v>2875</v>
      </c>
      <c r="E568" t="s">
        <v>2887</v>
      </c>
      <c r="F568" t="str">
        <f>VLOOKUP(A568,Base!$A:$F,6,FALSE)</f>
        <v>INDÚSTRIAS DE TRANSFORMAÇÃO</v>
      </c>
      <c r="G568" t="str">
        <f>VLOOKUP(B568,Base!$B:$F,5,FALSE)</f>
        <v>MANUTENÇÃO, REPARAÇÃO E INSTALAÇÃO DE MÁQUINAS E EQUIPAMENTOS</v>
      </c>
      <c r="H568" t="str">
        <f>VLOOKUP(C568,Base!$C:$F,4,FALSE)</f>
        <v>Manutenção e reparação de máquinas e equipamentos</v>
      </c>
      <c r="I568" t="str">
        <f>VLOOKUP(D568,Base!$D:$F,3,FALSE)</f>
        <v>Manutenção e reparação de máquinas e equipamentos da indústria mecânica</v>
      </c>
      <c r="J568" t="str">
        <f>VLOOKUP(E568,Base!$E:$F,2,FALSE)</f>
        <v>Manutenção e reparação de tratores agrícolas</v>
      </c>
      <c r="K568" t="s">
        <v>2887</v>
      </c>
      <c r="L568">
        <f>IFERROR(VLOOKUP($K568,Base_Atividades!$E$1:$N$2398,MATCH(BancoAjustado!L$1,Base_Atividades!$E$1:$N$1,0),FALSE),0)</f>
        <v>1</v>
      </c>
      <c r="M568">
        <f>IFERROR(VLOOKUP($K568,Base_Atividades!$E$1:$N$2398,MATCH(BancoAjustado!M$1,Base_Atividades!$E$1:$N$1,0),FALSE),0)</f>
        <v>0</v>
      </c>
      <c r="N568">
        <f>IFERROR(VLOOKUP($K568,Base_Atividades!$E$1:$N$2398,MATCH(BancoAjustado!N$1,Base_Atividades!$E$1:$N$1,0),FALSE),0)</f>
        <v>0</v>
      </c>
    </row>
    <row r="569" spans="1:14" x14ac:dyDescent="0.25">
      <c r="A569" t="s">
        <v>2111</v>
      </c>
      <c r="B569">
        <v>33</v>
      </c>
      <c r="C569" t="s">
        <v>2864</v>
      </c>
      <c r="D569" t="s">
        <v>2875</v>
      </c>
      <c r="E569" t="s">
        <v>2888</v>
      </c>
      <c r="F569" t="str">
        <f>VLOOKUP(A569,Base!$A:$F,6,FALSE)</f>
        <v>INDÚSTRIAS DE TRANSFORMAÇÃO</v>
      </c>
      <c r="G569" t="str">
        <f>VLOOKUP(B569,Base!$B:$F,5,FALSE)</f>
        <v>MANUTENÇÃO, REPARAÇÃO E INSTALAÇÃO DE MÁQUINAS E EQUIPAMENTOS</v>
      </c>
      <c r="H569" t="str">
        <f>VLOOKUP(C569,Base!$C:$F,4,FALSE)</f>
        <v>Manutenção e reparação de máquinas e equipamentos</v>
      </c>
      <c r="I569" t="str">
        <f>VLOOKUP(D569,Base!$D:$F,3,FALSE)</f>
        <v>Manutenção e reparação de máquinas e equipamentos da indústria mecânica</v>
      </c>
      <c r="J569" t="str">
        <f>VLOOKUP(E569,Base!$E:$F,2,FALSE)</f>
        <v>Manutenção e reparação de máquinas-ferramenta</v>
      </c>
      <c r="K569" t="s">
        <v>2888</v>
      </c>
      <c r="L569">
        <f>IFERROR(VLOOKUP($K569,Base_Atividades!$E$1:$N$2398,MATCH(BancoAjustado!L$1,Base_Atividades!$E$1:$N$1,0),FALSE),0)</f>
        <v>1</v>
      </c>
      <c r="M569">
        <f>IFERROR(VLOOKUP($K569,Base_Atividades!$E$1:$N$2398,MATCH(BancoAjustado!M$1,Base_Atividades!$E$1:$N$1,0),FALSE),0)</f>
        <v>0</v>
      </c>
      <c r="N569">
        <f>IFERROR(VLOOKUP($K569,Base_Atividades!$E$1:$N$2398,MATCH(BancoAjustado!N$1,Base_Atividades!$E$1:$N$1,0),FALSE),0)</f>
        <v>0</v>
      </c>
    </row>
    <row r="570" spans="1:14" x14ac:dyDescent="0.25">
      <c r="A570" t="s">
        <v>2111</v>
      </c>
      <c r="B570">
        <v>33</v>
      </c>
      <c r="C570" t="s">
        <v>2864</v>
      </c>
      <c r="D570" t="s">
        <v>2875</v>
      </c>
      <c r="E570" t="s">
        <v>2889</v>
      </c>
      <c r="F570" t="str">
        <f>VLOOKUP(A570,Base!$A:$F,6,FALSE)</f>
        <v>INDÚSTRIAS DE TRANSFORMAÇÃO</v>
      </c>
      <c r="G570" t="str">
        <f>VLOOKUP(B570,Base!$B:$F,5,FALSE)</f>
        <v>MANUTENÇÃO, REPARAÇÃO E INSTALAÇÃO DE MÁQUINAS E EQUIPAMENTOS</v>
      </c>
      <c r="H570" t="str">
        <f>VLOOKUP(C570,Base!$C:$F,4,FALSE)</f>
        <v>Manutenção e reparação de máquinas e equipamentos</v>
      </c>
      <c r="I570" t="str">
        <f>VLOOKUP(D570,Base!$D:$F,3,FALSE)</f>
        <v>Manutenção e reparação de máquinas e equipamentos da indústria mecânica</v>
      </c>
      <c r="J570" t="str">
        <f>VLOOKUP(E570,Base!$E:$F,2,FALSE)</f>
        <v>Manutenção e reparação de máquinas e equipamentos para a prospecção e extração de petróleo</v>
      </c>
      <c r="K570" t="s">
        <v>2889</v>
      </c>
      <c r="L570">
        <f>IFERROR(VLOOKUP($K570,Base_Atividades!$E$1:$N$2398,MATCH(BancoAjustado!L$1,Base_Atividades!$E$1:$N$1,0),FALSE),0)</f>
        <v>1</v>
      </c>
      <c r="M570">
        <f>IFERROR(VLOOKUP($K570,Base_Atividades!$E$1:$N$2398,MATCH(BancoAjustado!M$1,Base_Atividades!$E$1:$N$1,0),FALSE),0)</f>
        <v>0</v>
      </c>
      <c r="N570">
        <f>IFERROR(VLOOKUP($K570,Base_Atividades!$E$1:$N$2398,MATCH(BancoAjustado!N$1,Base_Atividades!$E$1:$N$1,0),FALSE),0)</f>
        <v>0</v>
      </c>
    </row>
    <row r="571" spans="1:14" x14ac:dyDescent="0.25">
      <c r="A571" t="s">
        <v>2111</v>
      </c>
      <c r="B571">
        <v>33</v>
      </c>
      <c r="C571" t="s">
        <v>2864</v>
      </c>
      <c r="D571" t="s">
        <v>2875</v>
      </c>
      <c r="E571" t="s">
        <v>2890</v>
      </c>
      <c r="F571" t="str">
        <f>VLOOKUP(A571,Base!$A:$F,6,FALSE)</f>
        <v>INDÚSTRIAS DE TRANSFORMAÇÃO</v>
      </c>
      <c r="G571" t="str">
        <f>VLOOKUP(B571,Base!$B:$F,5,FALSE)</f>
        <v>MANUTENÇÃO, REPARAÇÃO E INSTALAÇÃO DE MÁQUINAS E EQUIPAMENTOS</v>
      </c>
      <c r="H571" t="str">
        <f>VLOOKUP(C571,Base!$C:$F,4,FALSE)</f>
        <v>Manutenção e reparação de máquinas e equipamentos</v>
      </c>
      <c r="I571" t="str">
        <f>VLOOKUP(D571,Base!$D:$F,3,FALSE)</f>
        <v>Manutenção e reparação de máquinas e equipamentos da indústria mecânica</v>
      </c>
      <c r="J571" t="str">
        <f>VLOOKUP(E571,Base!$E:$F,2,FALSE)</f>
        <v>Manutenção e reparação de máquinas e equipamentos para uso na extração mineral, exceto na extração de petróleo</v>
      </c>
      <c r="K571" t="s">
        <v>2890</v>
      </c>
      <c r="L571">
        <f>IFERROR(VLOOKUP($K571,Base_Atividades!$E$1:$N$2398,MATCH(BancoAjustado!L$1,Base_Atividades!$E$1:$N$1,0),FALSE),0)</f>
        <v>1</v>
      </c>
      <c r="M571">
        <f>IFERROR(VLOOKUP($K571,Base_Atividades!$E$1:$N$2398,MATCH(BancoAjustado!M$1,Base_Atividades!$E$1:$N$1,0),FALSE),0)</f>
        <v>0</v>
      </c>
      <c r="N571">
        <f>IFERROR(VLOOKUP($K571,Base_Atividades!$E$1:$N$2398,MATCH(BancoAjustado!N$1,Base_Atividades!$E$1:$N$1,0),FALSE),0)</f>
        <v>0</v>
      </c>
    </row>
    <row r="572" spans="1:14" x14ac:dyDescent="0.25">
      <c r="A572" t="s">
        <v>2111</v>
      </c>
      <c r="B572">
        <v>33</v>
      </c>
      <c r="C572" t="s">
        <v>2864</v>
      </c>
      <c r="D572" t="s">
        <v>2875</v>
      </c>
      <c r="E572" t="s">
        <v>2891</v>
      </c>
      <c r="F572" t="str">
        <f>VLOOKUP(A572,Base!$A:$F,6,FALSE)</f>
        <v>INDÚSTRIAS DE TRANSFORMAÇÃO</v>
      </c>
      <c r="G572" t="str">
        <f>VLOOKUP(B572,Base!$B:$F,5,FALSE)</f>
        <v>MANUTENÇÃO, REPARAÇÃO E INSTALAÇÃO DE MÁQUINAS E EQUIPAMENTOS</v>
      </c>
      <c r="H572" t="str">
        <f>VLOOKUP(C572,Base!$C:$F,4,FALSE)</f>
        <v>Manutenção e reparação de máquinas e equipamentos</v>
      </c>
      <c r="I572" t="str">
        <f>VLOOKUP(D572,Base!$D:$F,3,FALSE)</f>
        <v>Manutenção e reparação de máquinas e equipamentos da indústria mecânica</v>
      </c>
      <c r="J572" t="str">
        <f>VLOOKUP(E572,Base!$E:$F,2,FALSE)</f>
        <v>Manutenção e reparação de tratores, exceto agrícolas</v>
      </c>
      <c r="K572" t="s">
        <v>2891</v>
      </c>
      <c r="L572">
        <f>IFERROR(VLOOKUP($K572,Base_Atividades!$E$1:$N$2398,MATCH(BancoAjustado!L$1,Base_Atividades!$E$1:$N$1,0),FALSE),0)</f>
        <v>1</v>
      </c>
      <c r="M572">
        <f>IFERROR(VLOOKUP($K572,Base_Atividades!$E$1:$N$2398,MATCH(BancoAjustado!M$1,Base_Atividades!$E$1:$N$1,0),FALSE),0)</f>
        <v>0</v>
      </c>
      <c r="N572">
        <f>IFERROR(VLOOKUP($K572,Base_Atividades!$E$1:$N$2398,MATCH(BancoAjustado!N$1,Base_Atividades!$E$1:$N$1,0),FALSE),0)</f>
        <v>0</v>
      </c>
    </row>
    <row r="573" spans="1:14" x14ac:dyDescent="0.25">
      <c r="A573" t="s">
        <v>2111</v>
      </c>
      <c r="B573">
        <v>33</v>
      </c>
      <c r="C573" t="s">
        <v>2864</v>
      </c>
      <c r="D573" t="s">
        <v>2875</v>
      </c>
      <c r="E573" t="s">
        <v>2892</v>
      </c>
      <c r="F573" t="str">
        <f>VLOOKUP(A573,Base!$A:$F,6,FALSE)</f>
        <v>INDÚSTRIAS DE TRANSFORMAÇÃO</v>
      </c>
      <c r="G573" t="str">
        <f>VLOOKUP(B573,Base!$B:$F,5,FALSE)</f>
        <v>MANUTENÇÃO, REPARAÇÃO E INSTALAÇÃO DE MÁQUINAS E EQUIPAMENTOS</v>
      </c>
      <c r="H573" t="str">
        <f>VLOOKUP(C573,Base!$C:$F,4,FALSE)</f>
        <v>Manutenção e reparação de máquinas e equipamentos</v>
      </c>
      <c r="I573" t="str">
        <f>VLOOKUP(D573,Base!$D:$F,3,FALSE)</f>
        <v>Manutenção e reparação de máquinas e equipamentos da indústria mecânica</v>
      </c>
      <c r="J573" t="str">
        <f>VLOOKUP(E573,Base!$E:$F,2,FALSE)</f>
        <v>Manutenção e reparação de máquinas e equipamentos de terraplenagem, pavimentação e construção, exceto tratores</v>
      </c>
      <c r="K573" t="s">
        <v>2892</v>
      </c>
      <c r="L573">
        <f>IFERROR(VLOOKUP($K573,Base_Atividades!$E$1:$N$2398,MATCH(BancoAjustado!L$1,Base_Atividades!$E$1:$N$1,0),FALSE),0)</f>
        <v>1</v>
      </c>
      <c r="M573">
        <f>IFERROR(VLOOKUP($K573,Base_Atividades!$E$1:$N$2398,MATCH(BancoAjustado!M$1,Base_Atividades!$E$1:$N$1,0),FALSE),0)</f>
        <v>0</v>
      </c>
      <c r="N573">
        <f>IFERROR(VLOOKUP($K573,Base_Atividades!$E$1:$N$2398,MATCH(BancoAjustado!N$1,Base_Atividades!$E$1:$N$1,0),FALSE),0)</f>
        <v>0</v>
      </c>
    </row>
    <row r="574" spans="1:14" x14ac:dyDescent="0.25">
      <c r="A574" t="s">
        <v>2111</v>
      </c>
      <c r="B574">
        <v>33</v>
      </c>
      <c r="C574" t="s">
        <v>2864</v>
      </c>
      <c r="D574" t="s">
        <v>2875</v>
      </c>
      <c r="E574" t="s">
        <v>2893</v>
      </c>
      <c r="F574" t="str">
        <f>VLOOKUP(A574,Base!$A:$F,6,FALSE)</f>
        <v>INDÚSTRIAS DE TRANSFORMAÇÃO</v>
      </c>
      <c r="G574" t="str">
        <f>VLOOKUP(B574,Base!$B:$F,5,FALSE)</f>
        <v>MANUTENÇÃO, REPARAÇÃO E INSTALAÇÃO DE MÁQUINAS E EQUIPAMENTOS</v>
      </c>
      <c r="H574" t="str">
        <f>VLOOKUP(C574,Base!$C:$F,4,FALSE)</f>
        <v>Manutenção e reparação de máquinas e equipamentos</v>
      </c>
      <c r="I574" t="str">
        <f>VLOOKUP(D574,Base!$D:$F,3,FALSE)</f>
        <v>Manutenção e reparação de máquinas e equipamentos da indústria mecânica</v>
      </c>
      <c r="J574" t="str">
        <f>VLOOKUP(E574,Base!$E:$F,2,FALSE)</f>
        <v>Manutenção e reparação de máquinas para a indústria metalúrgica, exceto máquinas-ferramenta</v>
      </c>
      <c r="K574" t="s">
        <v>2893</v>
      </c>
      <c r="L574">
        <f>IFERROR(VLOOKUP($K574,Base_Atividades!$E$1:$N$2398,MATCH(BancoAjustado!L$1,Base_Atividades!$E$1:$N$1,0),FALSE),0)</f>
        <v>1</v>
      </c>
      <c r="M574">
        <f>IFERROR(VLOOKUP($K574,Base_Atividades!$E$1:$N$2398,MATCH(BancoAjustado!M$1,Base_Atividades!$E$1:$N$1,0),FALSE),0)</f>
        <v>0</v>
      </c>
      <c r="N574">
        <f>IFERROR(VLOOKUP($K574,Base_Atividades!$E$1:$N$2398,MATCH(BancoAjustado!N$1,Base_Atividades!$E$1:$N$1,0),FALSE),0)</f>
        <v>0</v>
      </c>
    </row>
    <row r="575" spans="1:14" x14ac:dyDescent="0.25">
      <c r="A575" t="s">
        <v>2111</v>
      </c>
      <c r="B575">
        <v>33</v>
      </c>
      <c r="C575" t="s">
        <v>2864</v>
      </c>
      <c r="D575" t="s">
        <v>2875</v>
      </c>
      <c r="E575" t="s">
        <v>2894</v>
      </c>
      <c r="F575" t="str">
        <f>VLOOKUP(A575,Base!$A:$F,6,FALSE)</f>
        <v>INDÚSTRIAS DE TRANSFORMAÇÃO</v>
      </c>
      <c r="G575" t="str">
        <f>VLOOKUP(B575,Base!$B:$F,5,FALSE)</f>
        <v>MANUTENÇÃO, REPARAÇÃO E INSTALAÇÃO DE MÁQUINAS E EQUIPAMENTOS</v>
      </c>
      <c r="H575" t="str">
        <f>VLOOKUP(C575,Base!$C:$F,4,FALSE)</f>
        <v>Manutenção e reparação de máquinas e equipamentos</v>
      </c>
      <c r="I575" t="str">
        <f>VLOOKUP(D575,Base!$D:$F,3,FALSE)</f>
        <v>Manutenção e reparação de máquinas e equipamentos da indústria mecânica</v>
      </c>
      <c r="J575" t="str">
        <f>VLOOKUP(E575,Base!$E:$F,2,FALSE)</f>
        <v>Manutenção e reparação de máquinas e equipamentos para as indústrias de alimentos, bebidas e fumo</v>
      </c>
      <c r="K575" t="s">
        <v>2894</v>
      </c>
      <c r="L575">
        <f>IFERROR(VLOOKUP($K575,Base_Atividades!$E$1:$N$2398,MATCH(BancoAjustado!L$1,Base_Atividades!$E$1:$N$1,0),FALSE),0)</f>
        <v>1</v>
      </c>
      <c r="M575">
        <f>IFERROR(VLOOKUP($K575,Base_Atividades!$E$1:$N$2398,MATCH(BancoAjustado!M$1,Base_Atividades!$E$1:$N$1,0),FALSE),0)</f>
        <v>0</v>
      </c>
      <c r="N575">
        <f>IFERROR(VLOOKUP($K575,Base_Atividades!$E$1:$N$2398,MATCH(BancoAjustado!N$1,Base_Atividades!$E$1:$N$1,0),FALSE),0)</f>
        <v>0</v>
      </c>
    </row>
    <row r="576" spans="1:14" x14ac:dyDescent="0.25">
      <c r="A576" t="s">
        <v>2111</v>
      </c>
      <c r="B576">
        <v>33</v>
      </c>
      <c r="C576" t="s">
        <v>2864</v>
      </c>
      <c r="D576" t="s">
        <v>2875</v>
      </c>
      <c r="E576" t="s">
        <v>2895</v>
      </c>
      <c r="F576" t="str">
        <f>VLOOKUP(A576,Base!$A:$F,6,FALSE)</f>
        <v>INDÚSTRIAS DE TRANSFORMAÇÃO</v>
      </c>
      <c r="G576" t="str">
        <f>VLOOKUP(B576,Base!$B:$F,5,FALSE)</f>
        <v>MANUTENÇÃO, REPARAÇÃO E INSTALAÇÃO DE MÁQUINAS E EQUIPAMENTOS</v>
      </c>
      <c r="H576" t="str">
        <f>VLOOKUP(C576,Base!$C:$F,4,FALSE)</f>
        <v>Manutenção e reparação de máquinas e equipamentos</v>
      </c>
      <c r="I576" t="str">
        <f>VLOOKUP(D576,Base!$D:$F,3,FALSE)</f>
        <v>Manutenção e reparação de máquinas e equipamentos da indústria mecânica</v>
      </c>
      <c r="J576" t="str">
        <f>VLOOKUP(E576,Base!$E:$F,2,FALSE)</f>
        <v>Manutenção e reparação de máquinas e equipamentos para a indústria têxtil, do vestuário, do couro e calçados</v>
      </c>
      <c r="K576" t="s">
        <v>2895</v>
      </c>
      <c r="L576">
        <f>IFERROR(VLOOKUP($K576,Base_Atividades!$E$1:$N$2398,MATCH(BancoAjustado!L$1,Base_Atividades!$E$1:$N$1,0),FALSE),0)</f>
        <v>1</v>
      </c>
      <c r="M576">
        <f>IFERROR(VLOOKUP($K576,Base_Atividades!$E$1:$N$2398,MATCH(BancoAjustado!M$1,Base_Atividades!$E$1:$N$1,0),FALSE),0)</f>
        <v>0</v>
      </c>
      <c r="N576">
        <f>IFERROR(VLOOKUP($K576,Base_Atividades!$E$1:$N$2398,MATCH(BancoAjustado!N$1,Base_Atividades!$E$1:$N$1,0),FALSE),0)</f>
        <v>0</v>
      </c>
    </row>
    <row r="577" spans="1:14" x14ac:dyDescent="0.25">
      <c r="A577" t="s">
        <v>2111</v>
      </c>
      <c r="B577">
        <v>33</v>
      </c>
      <c r="C577" t="s">
        <v>2864</v>
      </c>
      <c r="D577" t="s">
        <v>2875</v>
      </c>
      <c r="E577" t="s">
        <v>2896</v>
      </c>
      <c r="F577" t="str">
        <f>VLOOKUP(A577,Base!$A:$F,6,FALSE)</f>
        <v>INDÚSTRIAS DE TRANSFORMAÇÃO</v>
      </c>
      <c r="G577" t="str">
        <f>VLOOKUP(B577,Base!$B:$F,5,FALSE)</f>
        <v>MANUTENÇÃO, REPARAÇÃO E INSTALAÇÃO DE MÁQUINAS E EQUIPAMENTOS</v>
      </c>
      <c r="H577" t="str">
        <f>VLOOKUP(C577,Base!$C:$F,4,FALSE)</f>
        <v>Manutenção e reparação de máquinas e equipamentos</v>
      </c>
      <c r="I577" t="str">
        <f>VLOOKUP(D577,Base!$D:$F,3,FALSE)</f>
        <v>Manutenção e reparação de máquinas e equipamentos da indústria mecânica</v>
      </c>
      <c r="J577" t="str">
        <f>VLOOKUP(E577,Base!$E:$F,2,FALSE)</f>
        <v>Manutenção e reparação de máquinas e aparelhos para a indústria de celulose, papel e papelão e artefatos</v>
      </c>
      <c r="K577" t="s">
        <v>2896</v>
      </c>
      <c r="L577">
        <f>IFERROR(VLOOKUP($K577,Base_Atividades!$E$1:$N$2398,MATCH(BancoAjustado!L$1,Base_Atividades!$E$1:$N$1,0),FALSE),0)</f>
        <v>1</v>
      </c>
      <c r="M577">
        <f>IFERROR(VLOOKUP($K577,Base_Atividades!$E$1:$N$2398,MATCH(BancoAjustado!M$1,Base_Atividades!$E$1:$N$1,0),FALSE),0)</f>
        <v>0</v>
      </c>
      <c r="N577">
        <f>IFERROR(VLOOKUP($K577,Base_Atividades!$E$1:$N$2398,MATCH(BancoAjustado!N$1,Base_Atividades!$E$1:$N$1,0),FALSE),0)</f>
        <v>0</v>
      </c>
    </row>
    <row r="578" spans="1:14" x14ac:dyDescent="0.25">
      <c r="A578" t="s">
        <v>2111</v>
      </c>
      <c r="B578">
        <v>33</v>
      </c>
      <c r="C578" t="s">
        <v>2864</v>
      </c>
      <c r="D578" t="s">
        <v>2875</v>
      </c>
      <c r="E578" t="s">
        <v>2897</v>
      </c>
      <c r="F578" t="str">
        <f>VLOOKUP(A578,Base!$A:$F,6,FALSE)</f>
        <v>INDÚSTRIAS DE TRANSFORMAÇÃO</v>
      </c>
      <c r="G578" t="str">
        <f>VLOOKUP(B578,Base!$B:$F,5,FALSE)</f>
        <v>MANUTENÇÃO, REPARAÇÃO E INSTALAÇÃO DE MÁQUINAS E EQUIPAMENTOS</v>
      </c>
      <c r="H578" t="str">
        <f>VLOOKUP(C578,Base!$C:$F,4,FALSE)</f>
        <v>Manutenção e reparação de máquinas e equipamentos</v>
      </c>
      <c r="I578" t="str">
        <f>VLOOKUP(D578,Base!$D:$F,3,FALSE)</f>
        <v>Manutenção e reparação de máquinas e equipamentos da indústria mecânica</v>
      </c>
      <c r="J578" t="str">
        <f>VLOOKUP(E578,Base!$E:$F,2,FALSE)</f>
        <v>Manutenção e reparação de máquinas e aparelhos para a indústria do plástico</v>
      </c>
      <c r="K578" t="s">
        <v>2897</v>
      </c>
      <c r="L578">
        <f>IFERROR(VLOOKUP($K578,Base_Atividades!$E$1:$N$2398,MATCH(BancoAjustado!L$1,Base_Atividades!$E$1:$N$1,0),FALSE),0)</f>
        <v>1</v>
      </c>
      <c r="M578">
        <f>IFERROR(VLOOKUP($K578,Base_Atividades!$E$1:$N$2398,MATCH(BancoAjustado!M$1,Base_Atividades!$E$1:$N$1,0),FALSE),0)</f>
        <v>0</v>
      </c>
      <c r="N578">
        <f>IFERROR(VLOOKUP($K578,Base_Atividades!$E$1:$N$2398,MATCH(BancoAjustado!N$1,Base_Atividades!$E$1:$N$1,0),FALSE),0)</f>
        <v>0</v>
      </c>
    </row>
    <row r="579" spans="1:14" x14ac:dyDescent="0.25">
      <c r="A579" t="s">
        <v>2111</v>
      </c>
      <c r="B579">
        <v>33</v>
      </c>
      <c r="C579" t="s">
        <v>2864</v>
      </c>
      <c r="D579" t="s">
        <v>2875</v>
      </c>
      <c r="E579" t="s">
        <v>2898</v>
      </c>
      <c r="F579" t="str">
        <f>VLOOKUP(A579,Base!$A:$F,6,FALSE)</f>
        <v>INDÚSTRIAS DE TRANSFORMAÇÃO</v>
      </c>
      <c r="G579" t="str">
        <f>VLOOKUP(B579,Base!$B:$F,5,FALSE)</f>
        <v>MANUTENÇÃO, REPARAÇÃO E INSTALAÇÃO DE MÁQUINAS E EQUIPAMENTOS</v>
      </c>
      <c r="H579" t="str">
        <f>VLOOKUP(C579,Base!$C:$F,4,FALSE)</f>
        <v>Manutenção e reparação de máquinas e equipamentos</v>
      </c>
      <c r="I579" t="str">
        <f>VLOOKUP(D579,Base!$D:$F,3,FALSE)</f>
        <v>Manutenção e reparação de máquinas e equipamentos da indústria mecânica</v>
      </c>
      <c r="J579" t="str">
        <f>VLOOKUP(E579,Base!$E:$F,2,FALSE)</f>
        <v>Manutenção e reparação de outras máquinas e equipamentos para usos industriais não especificados anteriormente</v>
      </c>
      <c r="K579" t="s">
        <v>2898</v>
      </c>
      <c r="L579">
        <f>IFERROR(VLOOKUP($K579,Base_Atividades!$E$1:$N$2398,MATCH(BancoAjustado!L$1,Base_Atividades!$E$1:$N$1,0),FALSE),0)</f>
        <v>1</v>
      </c>
      <c r="M579">
        <f>IFERROR(VLOOKUP($K579,Base_Atividades!$E$1:$N$2398,MATCH(BancoAjustado!M$1,Base_Atividades!$E$1:$N$1,0),FALSE),0)</f>
        <v>0</v>
      </c>
      <c r="N579">
        <f>IFERROR(VLOOKUP($K579,Base_Atividades!$E$1:$N$2398,MATCH(BancoAjustado!N$1,Base_Atividades!$E$1:$N$1,0),FALSE),0)</f>
        <v>0</v>
      </c>
    </row>
    <row r="580" spans="1:14" x14ac:dyDescent="0.25">
      <c r="A580" t="s">
        <v>2111</v>
      </c>
      <c r="B580">
        <v>33</v>
      </c>
      <c r="C580" t="s">
        <v>2864</v>
      </c>
      <c r="D580" t="s">
        <v>2899</v>
      </c>
      <c r="E580" t="s">
        <v>2900</v>
      </c>
      <c r="F580" t="str">
        <f>VLOOKUP(A580,Base!$A:$F,6,FALSE)</f>
        <v>INDÚSTRIAS DE TRANSFORMAÇÃO</v>
      </c>
      <c r="G580" t="str">
        <f>VLOOKUP(B580,Base!$B:$F,5,FALSE)</f>
        <v>MANUTENÇÃO, REPARAÇÃO E INSTALAÇÃO DE MÁQUINAS E EQUIPAMENTOS</v>
      </c>
      <c r="H580" t="str">
        <f>VLOOKUP(C580,Base!$C:$F,4,FALSE)</f>
        <v>Manutenção e reparação de máquinas e equipamentos</v>
      </c>
      <c r="I580" t="str">
        <f>VLOOKUP(D580,Base!$D:$F,3,FALSE)</f>
        <v>Manutenção e reparação de veículos ferroviários</v>
      </c>
      <c r="J580" t="str">
        <f>VLOOKUP(E580,Base!$E:$F,2,FALSE)</f>
        <v>Manutenção e reparação de veículos ferroviários</v>
      </c>
      <c r="K580" t="s">
        <v>2900</v>
      </c>
      <c r="L580">
        <f>IFERROR(VLOOKUP($K580,Base_Atividades!$E$1:$N$2398,MATCH(BancoAjustado!L$1,Base_Atividades!$E$1:$N$1,0),FALSE),0)</f>
        <v>1</v>
      </c>
      <c r="M580">
        <f>IFERROR(VLOOKUP($K580,Base_Atividades!$E$1:$N$2398,MATCH(BancoAjustado!M$1,Base_Atividades!$E$1:$N$1,0),FALSE),0)</f>
        <v>0</v>
      </c>
      <c r="N580">
        <f>IFERROR(VLOOKUP($K580,Base_Atividades!$E$1:$N$2398,MATCH(BancoAjustado!N$1,Base_Atividades!$E$1:$N$1,0),FALSE),0)</f>
        <v>0</v>
      </c>
    </row>
    <row r="581" spans="1:14" x14ac:dyDescent="0.25">
      <c r="A581" t="s">
        <v>2111</v>
      </c>
      <c r="B581">
        <v>33</v>
      </c>
      <c r="C581" t="s">
        <v>2864</v>
      </c>
      <c r="D581" t="s">
        <v>2901</v>
      </c>
      <c r="E581" t="s">
        <v>2902</v>
      </c>
      <c r="F581" t="str">
        <f>VLOOKUP(A581,Base!$A:$F,6,FALSE)</f>
        <v>INDÚSTRIAS DE TRANSFORMAÇÃO</v>
      </c>
      <c r="G581" t="str">
        <f>VLOOKUP(B581,Base!$B:$F,5,FALSE)</f>
        <v>MANUTENÇÃO, REPARAÇÃO E INSTALAÇÃO DE MÁQUINAS E EQUIPAMENTOS</v>
      </c>
      <c r="H581" t="str">
        <f>VLOOKUP(C581,Base!$C:$F,4,FALSE)</f>
        <v>Manutenção e reparação de máquinas e equipamentos</v>
      </c>
      <c r="I581" t="str">
        <f>VLOOKUP(D581,Base!$D:$F,3,FALSE)</f>
        <v>Manutenção e reparação de aeronaves</v>
      </c>
      <c r="J581" t="str">
        <f>VLOOKUP(E581,Base!$E:$F,2,FALSE)</f>
        <v>Manutenção e reparação de aeronaves, exceto a manutenção na pista</v>
      </c>
      <c r="K581" t="s">
        <v>2902</v>
      </c>
      <c r="L581">
        <f>IFERROR(VLOOKUP($K581,Base_Atividades!$E$1:$N$2398,MATCH(BancoAjustado!L$1,Base_Atividades!$E$1:$N$1,0),FALSE),0)</f>
        <v>1</v>
      </c>
      <c r="M581">
        <f>IFERROR(VLOOKUP($K581,Base_Atividades!$E$1:$N$2398,MATCH(BancoAjustado!M$1,Base_Atividades!$E$1:$N$1,0),FALSE),0)</f>
        <v>0</v>
      </c>
      <c r="N581">
        <f>IFERROR(VLOOKUP($K581,Base_Atividades!$E$1:$N$2398,MATCH(BancoAjustado!N$1,Base_Atividades!$E$1:$N$1,0),FALSE),0)</f>
        <v>0</v>
      </c>
    </row>
    <row r="582" spans="1:14" x14ac:dyDescent="0.25">
      <c r="A582" t="s">
        <v>2111</v>
      </c>
      <c r="B582">
        <v>33</v>
      </c>
      <c r="C582" t="s">
        <v>2864</v>
      </c>
      <c r="D582" t="s">
        <v>2901</v>
      </c>
      <c r="E582" t="s">
        <v>2903</v>
      </c>
      <c r="F582" t="str">
        <f>VLOOKUP(A582,Base!$A:$F,6,FALSE)</f>
        <v>INDÚSTRIAS DE TRANSFORMAÇÃO</v>
      </c>
      <c r="G582" t="str">
        <f>VLOOKUP(B582,Base!$B:$F,5,FALSE)</f>
        <v>MANUTENÇÃO, REPARAÇÃO E INSTALAÇÃO DE MÁQUINAS E EQUIPAMENTOS</v>
      </c>
      <c r="H582" t="str">
        <f>VLOOKUP(C582,Base!$C:$F,4,FALSE)</f>
        <v>Manutenção e reparação de máquinas e equipamentos</v>
      </c>
      <c r="I582" t="str">
        <f>VLOOKUP(D582,Base!$D:$F,3,FALSE)</f>
        <v>Manutenção e reparação de aeronaves</v>
      </c>
      <c r="J582" t="str">
        <f>VLOOKUP(E582,Base!$E:$F,2,FALSE)</f>
        <v>Manutenção de aeronaves na pista</v>
      </c>
      <c r="K582" t="s">
        <v>2903</v>
      </c>
      <c r="L582">
        <f>IFERROR(VLOOKUP($K582,Base_Atividades!$E$1:$N$2398,MATCH(BancoAjustado!L$1,Base_Atividades!$E$1:$N$1,0),FALSE),0)</f>
        <v>1</v>
      </c>
      <c r="M582">
        <f>IFERROR(VLOOKUP($K582,Base_Atividades!$E$1:$N$2398,MATCH(BancoAjustado!M$1,Base_Atividades!$E$1:$N$1,0),FALSE),0)</f>
        <v>0</v>
      </c>
      <c r="N582">
        <f>IFERROR(VLOOKUP($K582,Base_Atividades!$E$1:$N$2398,MATCH(BancoAjustado!N$1,Base_Atividades!$E$1:$N$1,0),FALSE),0)</f>
        <v>0</v>
      </c>
    </row>
    <row r="583" spans="1:14" x14ac:dyDescent="0.25">
      <c r="A583" t="s">
        <v>2111</v>
      </c>
      <c r="B583">
        <v>33</v>
      </c>
      <c r="C583" t="s">
        <v>2864</v>
      </c>
      <c r="D583" t="s">
        <v>2904</v>
      </c>
      <c r="E583" t="s">
        <v>2905</v>
      </c>
      <c r="F583" t="str">
        <f>VLOOKUP(A583,Base!$A:$F,6,FALSE)</f>
        <v>INDÚSTRIAS DE TRANSFORMAÇÃO</v>
      </c>
      <c r="G583" t="str">
        <f>VLOOKUP(B583,Base!$B:$F,5,FALSE)</f>
        <v>MANUTENÇÃO, REPARAÇÃO E INSTALAÇÃO DE MÁQUINAS E EQUIPAMENTOS</v>
      </c>
      <c r="H583" t="str">
        <f>VLOOKUP(C583,Base!$C:$F,4,FALSE)</f>
        <v>Manutenção e reparação de máquinas e equipamentos</v>
      </c>
      <c r="I583" t="str">
        <f>VLOOKUP(D583,Base!$D:$F,3,FALSE)</f>
        <v>Manutenção e reparação de embarcações</v>
      </c>
      <c r="J583" t="str">
        <f>VLOOKUP(E583,Base!$E:$F,2,FALSE)</f>
        <v>Manutenção e reparação de embarcações e estruturas flutuantes</v>
      </c>
      <c r="K583" t="s">
        <v>2905</v>
      </c>
      <c r="L583">
        <f>IFERROR(VLOOKUP($K583,Base_Atividades!$E$1:$N$2398,MATCH(BancoAjustado!L$1,Base_Atividades!$E$1:$N$1,0),FALSE),0)</f>
        <v>1</v>
      </c>
      <c r="M583">
        <f>IFERROR(VLOOKUP($K583,Base_Atividades!$E$1:$N$2398,MATCH(BancoAjustado!M$1,Base_Atividades!$E$1:$N$1,0),FALSE),0)</f>
        <v>0</v>
      </c>
      <c r="N583">
        <f>IFERROR(VLOOKUP($K583,Base_Atividades!$E$1:$N$2398,MATCH(BancoAjustado!N$1,Base_Atividades!$E$1:$N$1,0),FALSE),0)</f>
        <v>0</v>
      </c>
    </row>
    <row r="584" spans="1:14" x14ac:dyDescent="0.25">
      <c r="A584" t="s">
        <v>2111</v>
      </c>
      <c r="B584">
        <v>33</v>
      </c>
      <c r="C584" t="s">
        <v>2864</v>
      </c>
      <c r="D584" t="s">
        <v>2904</v>
      </c>
      <c r="E584" t="s">
        <v>2906</v>
      </c>
      <c r="F584" t="str">
        <f>VLOOKUP(A584,Base!$A:$F,6,FALSE)</f>
        <v>INDÚSTRIAS DE TRANSFORMAÇÃO</v>
      </c>
      <c r="G584" t="str">
        <f>VLOOKUP(B584,Base!$B:$F,5,FALSE)</f>
        <v>MANUTENÇÃO, REPARAÇÃO E INSTALAÇÃO DE MÁQUINAS E EQUIPAMENTOS</v>
      </c>
      <c r="H584" t="str">
        <f>VLOOKUP(C584,Base!$C:$F,4,FALSE)</f>
        <v>Manutenção e reparação de máquinas e equipamentos</v>
      </c>
      <c r="I584" t="str">
        <f>VLOOKUP(D584,Base!$D:$F,3,FALSE)</f>
        <v>Manutenção e reparação de embarcações</v>
      </c>
      <c r="J584" t="str">
        <f>VLOOKUP(E584,Base!$E:$F,2,FALSE)</f>
        <v>Manutenção e reparação de embarcações para esporte e lazer</v>
      </c>
      <c r="K584" t="s">
        <v>2906</v>
      </c>
      <c r="L584">
        <f>IFERROR(VLOOKUP($K584,Base_Atividades!$E$1:$N$2398,MATCH(BancoAjustado!L$1,Base_Atividades!$E$1:$N$1,0),FALSE),0)</f>
        <v>1</v>
      </c>
      <c r="M584">
        <f>IFERROR(VLOOKUP($K584,Base_Atividades!$E$1:$N$2398,MATCH(BancoAjustado!M$1,Base_Atividades!$E$1:$N$1,0),FALSE),0)</f>
        <v>0</v>
      </c>
      <c r="N584">
        <f>IFERROR(VLOOKUP($K584,Base_Atividades!$E$1:$N$2398,MATCH(BancoAjustado!N$1,Base_Atividades!$E$1:$N$1,0),FALSE),0)</f>
        <v>0</v>
      </c>
    </row>
    <row r="585" spans="1:14" x14ac:dyDescent="0.25">
      <c r="A585" t="s">
        <v>2111</v>
      </c>
      <c r="B585">
        <v>33</v>
      </c>
      <c r="C585" t="s">
        <v>2864</v>
      </c>
      <c r="D585" t="s">
        <v>2907</v>
      </c>
      <c r="E585" t="s">
        <v>2908</v>
      </c>
      <c r="F585" t="str">
        <f>VLOOKUP(A585,Base!$A:$F,6,FALSE)</f>
        <v>INDÚSTRIAS DE TRANSFORMAÇÃO</v>
      </c>
      <c r="G585" t="str">
        <f>VLOOKUP(B585,Base!$B:$F,5,FALSE)</f>
        <v>MANUTENÇÃO, REPARAÇÃO E INSTALAÇÃO DE MÁQUINAS E EQUIPAMENTOS</v>
      </c>
      <c r="H585" t="str">
        <f>VLOOKUP(C585,Base!$C:$F,4,FALSE)</f>
        <v>Manutenção e reparação de máquinas e equipamentos</v>
      </c>
      <c r="I585" t="str">
        <f>VLOOKUP(D585,Base!$D:$F,3,FALSE)</f>
        <v>Manutenção e reparação de equipamentos e produtos não especificados anteriormente</v>
      </c>
      <c r="J585" t="str">
        <f>VLOOKUP(E585,Base!$E:$F,2,FALSE)</f>
        <v>Manutenção e reparação de equipamentos e produtos não especificados anteriormente</v>
      </c>
      <c r="K585" t="s">
        <v>2908</v>
      </c>
      <c r="L585">
        <f>IFERROR(VLOOKUP($K585,Base_Atividades!$E$1:$N$2398,MATCH(BancoAjustado!L$1,Base_Atividades!$E$1:$N$1,0),FALSE),0)</f>
        <v>1</v>
      </c>
      <c r="M585">
        <f>IFERROR(VLOOKUP($K585,Base_Atividades!$E$1:$N$2398,MATCH(BancoAjustado!M$1,Base_Atividades!$E$1:$N$1,0),FALSE),0)</f>
        <v>0</v>
      </c>
      <c r="N585">
        <f>IFERROR(VLOOKUP($K585,Base_Atividades!$E$1:$N$2398,MATCH(BancoAjustado!N$1,Base_Atividades!$E$1:$N$1,0),FALSE),0)</f>
        <v>0</v>
      </c>
    </row>
    <row r="586" spans="1:14" x14ac:dyDescent="0.25">
      <c r="A586" t="s">
        <v>2111</v>
      </c>
      <c r="B586">
        <v>33</v>
      </c>
      <c r="C586" t="s">
        <v>2909</v>
      </c>
      <c r="D586" t="s">
        <v>2910</v>
      </c>
      <c r="E586" t="s">
        <v>2911</v>
      </c>
      <c r="F586" t="str">
        <f>VLOOKUP(A586,Base!$A:$F,6,FALSE)</f>
        <v>INDÚSTRIAS DE TRANSFORMAÇÃO</v>
      </c>
      <c r="G586" t="str">
        <f>VLOOKUP(B586,Base!$B:$F,5,FALSE)</f>
        <v>MANUTENÇÃO, REPARAÇÃO E INSTALAÇÃO DE MÁQUINAS E EQUIPAMENTOS</v>
      </c>
      <c r="H586" t="str">
        <f>VLOOKUP(C586,Base!$C:$F,4,FALSE)</f>
        <v>Instalação de máquinas e equipamentos</v>
      </c>
      <c r="I586" t="str">
        <f>VLOOKUP(D586,Base!$D:$F,3,FALSE)</f>
        <v>Instalação de máquinas e equipamentos industriais</v>
      </c>
      <c r="J586" t="str">
        <f>VLOOKUP(E586,Base!$E:$F,2,FALSE)</f>
        <v>Instalação de máquinas e equipamentos industriais</v>
      </c>
      <c r="K586" t="s">
        <v>2911</v>
      </c>
      <c r="L586">
        <f>IFERROR(VLOOKUP($K586,Base_Atividades!$E$1:$N$2398,MATCH(BancoAjustado!L$1,Base_Atividades!$E$1:$N$1,0),FALSE),0)</f>
        <v>1</v>
      </c>
      <c r="M586">
        <f>IFERROR(VLOOKUP($K586,Base_Atividades!$E$1:$N$2398,MATCH(BancoAjustado!M$1,Base_Atividades!$E$1:$N$1,0),FALSE),0)</f>
        <v>0</v>
      </c>
      <c r="N586">
        <f>IFERROR(VLOOKUP($K586,Base_Atividades!$E$1:$N$2398,MATCH(BancoAjustado!N$1,Base_Atividades!$E$1:$N$1,0),FALSE),0)</f>
        <v>0</v>
      </c>
    </row>
    <row r="587" spans="1:14" x14ac:dyDescent="0.25">
      <c r="A587" t="s">
        <v>2111</v>
      </c>
      <c r="B587">
        <v>33</v>
      </c>
      <c r="C587" t="s">
        <v>2909</v>
      </c>
      <c r="D587" t="s">
        <v>2912</v>
      </c>
      <c r="E587" t="s">
        <v>2913</v>
      </c>
      <c r="F587" t="str">
        <f>VLOOKUP(A587,Base!$A:$F,6,FALSE)</f>
        <v>INDÚSTRIAS DE TRANSFORMAÇÃO</v>
      </c>
      <c r="G587" t="str">
        <f>VLOOKUP(B587,Base!$B:$F,5,FALSE)</f>
        <v>MANUTENÇÃO, REPARAÇÃO E INSTALAÇÃO DE MÁQUINAS E EQUIPAMENTOS</v>
      </c>
      <c r="H587" t="str">
        <f>VLOOKUP(C587,Base!$C:$F,4,FALSE)</f>
        <v>Instalação de máquinas e equipamentos</v>
      </c>
      <c r="I587" t="str">
        <f>VLOOKUP(D587,Base!$D:$F,3,FALSE)</f>
        <v>Instalação de equipamentos não especificados anteriormente</v>
      </c>
      <c r="J587" t="str">
        <f>VLOOKUP(E587,Base!$E:$F,2,FALSE)</f>
        <v>Serviços de montagem de móveis de qualquer material</v>
      </c>
      <c r="K587" t="s">
        <v>2913</v>
      </c>
      <c r="L587">
        <f>IFERROR(VLOOKUP($K587,Base_Atividades!$E$1:$N$2398,MATCH(BancoAjustado!L$1,Base_Atividades!$E$1:$N$1,0),FALSE),0)</f>
        <v>1</v>
      </c>
      <c r="M587">
        <f>IFERROR(VLOOKUP($K587,Base_Atividades!$E$1:$N$2398,MATCH(BancoAjustado!M$1,Base_Atividades!$E$1:$N$1,0),FALSE),0)</f>
        <v>0</v>
      </c>
      <c r="N587">
        <f>IFERROR(VLOOKUP($K587,Base_Atividades!$E$1:$N$2398,MATCH(BancoAjustado!N$1,Base_Atividades!$E$1:$N$1,0),FALSE),0)</f>
        <v>0</v>
      </c>
    </row>
    <row r="588" spans="1:14" x14ac:dyDescent="0.25">
      <c r="A588" t="s">
        <v>2111</v>
      </c>
      <c r="B588">
        <v>33</v>
      </c>
      <c r="C588" t="s">
        <v>2909</v>
      </c>
      <c r="D588" t="s">
        <v>2912</v>
      </c>
      <c r="E588" t="s">
        <v>2914</v>
      </c>
      <c r="F588" t="str">
        <f>VLOOKUP(A588,Base!$A:$F,6,FALSE)</f>
        <v>INDÚSTRIAS DE TRANSFORMAÇÃO</v>
      </c>
      <c r="G588" t="str">
        <f>VLOOKUP(B588,Base!$B:$F,5,FALSE)</f>
        <v>MANUTENÇÃO, REPARAÇÃO E INSTALAÇÃO DE MÁQUINAS E EQUIPAMENTOS</v>
      </c>
      <c r="H588" t="str">
        <f>VLOOKUP(C588,Base!$C:$F,4,FALSE)</f>
        <v>Instalação de máquinas e equipamentos</v>
      </c>
      <c r="I588" t="str">
        <f>VLOOKUP(D588,Base!$D:$F,3,FALSE)</f>
        <v>Instalação de equipamentos não especificados anteriormente</v>
      </c>
      <c r="J588" t="str">
        <f>VLOOKUP(E588,Base!$E:$F,2,FALSE)</f>
        <v>Instalação de outros equipamentos não especificados anteriormente</v>
      </c>
      <c r="K588" t="s">
        <v>2914</v>
      </c>
      <c r="L588">
        <f>IFERROR(VLOOKUP($K588,Base_Atividades!$E$1:$N$2398,MATCH(BancoAjustado!L$1,Base_Atividades!$E$1:$N$1,0),FALSE),0)</f>
        <v>1</v>
      </c>
      <c r="M588">
        <f>IFERROR(VLOOKUP($K588,Base_Atividades!$E$1:$N$2398,MATCH(BancoAjustado!M$1,Base_Atividades!$E$1:$N$1,0),FALSE),0)</f>
        <v>0</v>
      </c>
      <c r="N588">
        <f>IFERROR(VLOOKUP($K588,Base_Atividades!$E$1:$N$2398,MATCH(BancoAjustado!N$1,Base_Atividades!$E$1:$N$1,0),FALSE),0)</f>
        <v>0</v>
      </c>
    </row>
    <row r="589" spans="1:14" x14ac:dyDescent="0.25">
      <c r="A589" t="s">
        <v>2915</v>
      </c>
      <c r="B589">
        <v>35</v>
      </c>
      <c r="C589" t="s">
        <v>2916</v>
      </c>
      <c r="D589" t="s">
        <v>2917</v>
      </c>
      <c r="E589" t="s">
        <v>2918</v>
      </c>
      <c r="F589" t="str">
        <f>VLOOKUP(A589,Base!$A:$F,6,FALSE)</f>
        <v>ELETRICIDADE E GÁS</v>
      </c>
      <c r="G589" t="str">
        <f>VLOOKUP(B589,Base!$B:$F,5,FALSE)</f>
        <v>ELETRICIDADE, GÁS E OUTRAS UTILIDADES</v>
      </c>
      <c r="H589" t="str">
        <f>VLOOKUP(C589,Base!$C:$F,4,FALSE)</f>
        <v>Geração, transmissão e distribuição de energia elétrica</v>
      </c>
      <c r="I589" t="str">
        <f>VLOOKUP(D589,Base!$D:$F,3,FALSE)</f>
        <v>Geração de energia elétrica</v>
      </c>
      <c r="J589" t="str">
        <f>VLOOKUP(E589,Base!$E:$F,2,FALSE)</f>
        <v>Geração de energia elétrica</v>
      </c>
      <c r="K589" t="s">
        <v>2918</v>
      </c>
      <c r="L589">
        <f>IFERROR(VLOOKUP($K589,Base_Atividades!$E$1:$N$2398,MATCH(BancoAjustado!L$1,Base_Atividades!$E$1:$N$1,0),FALSE),0)</f>
        <v>0</v>
      </c>
      <c r="M589">
        <f>IFERROR(VLOOKUP($K589,Base_Atividades!$E$1:$N$2398,MATCH(BancoAjustado!M$1,Base_Atividades!$E$1:$N$1,0),FALSE),0)</f>
        <v>0</v>
      </c>
      <c r="N589">
        <f>IFERROR(VLOOKUP($K589,Base_Atividades!$E$1:$N$2398,MATCH(BancoAjustado!N$1,Base_Atividades!$E$1:$N$1,0),FALSE),0)</f>
        <v>0</v>
      </c>
    </row>
    <row r="590" spans="1:14" x14ac:dyDescent="0.25">
      <c r="A590" t="s">
        <v>2915</v>
      </c>
      <c r="B590">
        <v>35</v>
      </c>
      <c r="C590" t="s">
        <v>2916</v>
      </c>
      <c r="D590" t="s">
        <v>2917</v>
      </c>
      <c r="E590" t="s">
        <v>2919</v>
      </c>
      <c r="F590" t="str">
        <f>VLOOKUP(A590,Base!$A:$F,6,FALSE)</f>
        <v>ELETRICIDADE E GÁS</v>
      </c>
      <c r="G590" t="str">
        <f>VLOOKUP(B590,Base!$B:$F,5,FALSE)</f>
        <v>ELETRICIDADE, GÁS E OUTRAS UTILIDADES</v>
      </c>
      <c r="H590" t="str">
        <f>VLOOKUP(C590,Base!$C:$F,4,FALSE)</f>
        <v>Geração, transmissão e distribuição de energia elétrica</v>
      </c>
      <c r="I590" t="str">
        <f>VLOOKUP(D590,Base!$D:$F,3,FALSE)</f>
        <v>Geração de energia elétrica</v>
      </c>
      <c r="J590" t="str">
        <f>VLOOKUP(E590,Base!$E:$F,2,FALSE)</f>
        <v>Atividades de coordenação e controle da operação da geração e transmissão de energia elétrica</v>
      </c>
      <c r="K590" t="s">
        <v>2919</v>
      </c>
      <c r="L590">
        <f>IFERROR(VLOOKUP($K590,Base_Atividades!$E$1:$N$2398,MATCH(BancoAjustado!L$1,Base_Atividades!$E$1:$N$1,0),FALSE),0)</f>
        <v>0</v>
      </c>
      <c r="M590">
        <f>IFERROR(VLOOKUP($K590,Base_Atividades!$E$1:$N$2398,MATCH(BancoAjustado!M$1,Base_Atividades!$E$1:$N$1,0),FALSE),0)</f>
        <v>0</v>
      </c>
      <c r="N590">
        <f>IFERROR(VLOOKUP($K590,Base_Atividades!$E$1:$N$2398,MATCH(BancoAjustado!N$1,Base_Atividades!$E$1:$N$1,0),FALSE),0)</f>
        <v>0</v>
      </c>
    </row>
    <row r="591" spans="1:14" x14ac:dyDescent="0.25">
      <c r="A591" t="s">
        <v>2915</v>
      </c>
      <c r="B591">
        <v>35</v>
      </c>
      <c r="C591" t="s">
        <v>2916</v>
      </c>
      <c r="D591" t="s">
        <v>2920</v>
      </c>
      <c r="E591" t="s">
        <v>2921</v>
      </c>
      <c r="F591" t="str">
        <f>VLOOKUP(A591,Base!$A:$F,6,FALSE)</f>
        <v>ELETRICIDADE E GÁS</v>
      </c>
      <c r="G591" t="str">
        <f>VLOOKUP(B591,Base!$B:$F,5,FALSE)</f>
        <v>ELETRICIDADE, GÁS E OUTRAS UTILIDADES</v>
      </c>
      <c r="H591" t="str">
        <f>VLOOKUP(C591,Base!$C:$F,4,FALSE)</f>
        <v>Geração, transmissão e distribuição de energia elétrica</v>
      </c>
      <c r="I591" t="str">
        <f>VLOOKUP(D591,Base!$D:$F,3,FALSE)</f>
        <v>Transmissão de energia elétrica</v>
      </c>
      <c r="J591" t="str">
        <f>VLOOKUP(E591,Base!$E:$F,2,FALSE)</f>
        <v>Transmissão de energia elétrica</v>
      </c>
      <c r="K591" t="s">
        <v>2921</v>
      </c>
      <c r="L591">
        <f>IFERROR(VLOOKUP($K591,Base_Atividades!$E$1:$N$2398,MATCH(BancoAjustado!L$1,Base_Atividades!$E$1:$N$1,0),FALSE),0)</f>
        <v>0</v>
      </c>
      <c r="M591">
        <f>IFERROR(VLOOKUP($K591,Base_Atividades!$E$1:$N$2398,MATCH(BancoAjustado!M$1,Base_Atividades!$E$1:$N$1,0),FALSE),0)</f>
        <v>0</v>
      </c>
      <c r="N591">
        <f>IFERROR(VLOOKUP($K591,Base_Atividades!$E$1:$N$2398,MATCH(BancoAjustado!N$1,Base_Atividades!$E$1:$N$1,0),FALSE),0)</f>
        <v>0</v>
      </c>
    </row>
    <row r="592" spans="1:14" x14ac:dyDescent="0.25">
      <c r="A592" t="s">
        <v>2915</v>
      </c>
      <c r="B592">
        <v>35</v>
      </c>
      <c r="C592" t="s">
        <v>2916</v>
      </c>
      <c r="D592" t="s">
        <v>2922</v>
      </c>
      <c r="E592" t="s">
        <v>2923</v>
      </c>
      <c r="F592" t="str">
        <f>VLOOKUP(A592,Base!$A:$F,6,FALSE)</f>
        <v>ELETRICIDADE E GÁS</v>
      </c>
      <c r="G592" t="str">
        <f>VLOOKUP(B592,Base!$B:$F,5,FALSE)</f>
        <v>ELETRICIDADE, GÁS E OUTRAS UTILIDADES</v>
      </c>
      <c r="H592" t="str">
        <f>VLOOKUP(C592,Base!$C:$F,4,FALSE)</f>
        <v>Geração, transmissão e distribuição de energia elétrica</v>
      </c>
      <c r="I592" t="str">
        <f>VLOOKUP(D592,Base!$D:$F,3,FALSE)</f>
        <v>Comércio atacadista de energia elétrica</v>
      </c>
      <c r="J592" t="str">
        <f>VLOOKUP(E592,Base!$E:$F,2,FALSE)</f>
        <v>Comércio atacadista de energia elétrica</v>
      </c>
      <c r="K592" t="s">
        <v>2923</v>
      </c>
      <c r="L592">
        <f>IFERROR(VLOOKUP($K592,Base_Atividades!$E$1:$N$2398,MATCH(BancoAjustado!L$1,Base_Atividades!$E$1:$N$1,0),FALSE),0)</f>
        <v>0</v>
      </c>
      <c r="M592">
        <f>IFERROR(VLOOKUP($K592,Base_Atividades!$E$1:$N$2398,MATCH(BancoAjustado!M$1,Base_Atividades!$E$1:$N$1,0),FALSE),0)</f>
        <v>0</v>
      </c>
      <c r="N592">
        <f>IFERROR(VLOOKUP($K592,Base_Atividades!$E$1:$N$2398,MATCH(BancoAjustado!N$1,Base_Atividades!$E$1:$N$1,0),FALSE),0)</f>
        <v>0</v>
      </c>
    </row>
    <row r="593" spans="1:14" x14ac:dyDescent="0.25">
      <c r="A593" t="s">
        <v>2915</v>
      </c>
      <c r="B593">
        <v>35</v>
      </c>
      <c r="C593" t="s">
        <v>2916</v>
      </c>
      <c r="D593" t="s">
        <v>2924</v>
      </c>
      <c r="E593" t="s">
        <v>2925</v>
      </c>
      <c r="F593" t="str">
        <f>VLOOKUP(A593,Base!$A:$F,6,FALSE)</f>
        <v>ELETRICIDADE E GÁS</v>
      </c>
      <c r="G593" t="str">
        <f>VLOOKUP(B593,Base!$B:$F,5,FALSE)</f>
        <v>ELETRICIDADE, GÁS E OUTRAS UTILIDADES</v>
      </c>
      <c r="H593" t="str">
        <f>VLOOKUP(C593,Base!$C:$F,4,FALSE)</f>
        <v>Geração, transmissão e distribuição de energia elétrica</v>
      </c>
      <c r="I593" t="str">
        <f>VLOOKUP(D593,Base!$D:$F,3,FALSE)</f>
        <v>Distribuição de energia elétrica</v>
      </c>
      <c r="J593" t="str">
        <f>VLOOKUP(E593,Base!$E:$F,2,FALSE)</f>
        <v>Distribuição de energia elétrica</v>
      </c>
      <c r="K593" t="s">
        <v>2925</v>
      </c>
      <c r="L593">
        <f>IFERROR(VLOOKUP($K593,Base_Atividades!$E$1:$N$2398,MATCH(BancoAjustado!L$1,Base_Atividades!$E$1:$N$1,0),FALSE),0)</f>
        <v>0</v>
      </c>
      <c r="M593">
        <f>IFERROR(VLOOKUP($K593,Base_Atividades!$E$1:$N$2398,MATCH(BancoAjustado!M$1,Base_Atividades!$E$1:$N$1,0),FALSE),0)</f>
        <v>0</v>
      </c>
      <c r="N593">
        <f>IFERROR(VLOOKUP($K593,Base_Atividades!$E$1:$N$2398,MATCH(BancoAjustado!N$1,Base_Atividades!$E$1:$N$1,0),FALSE),0)</f>
        <v>0</v>
      </c>
    </row>
    <row r="594" spans="1:14" x14ac:dyDescent="0.25">
      <c r="A594" t="s">
        <v>2915</v>
      </c>
      <c r="B594">
        <v>35</v>
      </c>
      <c r="C594" t="s">
        <v>2926</v>
      </c>
      <c r="D594" t="s">
        <v>2927</v>
      </c>
      <c r="E594" t="s">
        <v>2928</v>
      </c>
      <c r="F594" t="str">
        <f>VLOOKUP(A594,Base!$A:$F,6,FALSE)</f>
        <v>ELETRICIDADE E GÁS</v>
      </c>
      <c r="G594" t="str">
        <f>VLOOKUP(B594,Base!$B:$F,5,FALSE)</f>
        <v>ELETRICIDADE, GÁS E OUTRAS UTILIDADES</v>
      </c>
      <c r="H594" t="str">
        <f>VLOOKUP(C594,Base!$C:$F,4,FALSE)</f>
        <v>Produção e distribuição de combustíveis gasosos por redes urbanas</v>
      </c>
      <c r="I594" t="str">
        <f>VLOOKUP(D594,Base!$D:$F,3,FALSE)</f>
        <v>Produção de gás; processamento de gás natural; distribuição de combustíveis gasosos por redes urbanas</v>
      </c>
      <c r="J594" t="str">
        <f>VLOOKUP(E594,Base!$E:$F,2,FALSE)</f>
        <v>Produção de gás; processamento de gás natural</v>
      </c>
      <c r="K594" t="s">
        <v>2928</v>
      </c>
      <c r="L594">
        <f>IFERROR(VLOOKUP($K594,Base_Atividades!$E$1:$N$2398,MATCH(BancoAjustado!L$1,Base_Atividades!$E$1:$N$1,0),FALSE),0)</f>
        <v>0</v>
      </c>
      <c r="M594">
        <f>IFERROR(VLOOKUP($K594,Base_Atividades!$E$1:$N$2398,MATCH(BancoAjustado!M$1,Base_Atividades!$E$1:$N$1,0),FALSE),0)</f>
        <v>0</v>
      </c>
      <c r="N594">
        <f>IFERROR(VLOOKUP($K594,Base_Atividades!$E$1:$N$2398,MATCH(BancoAjustado!N$1,Base_Atividades!$E$1:$N$1,0),FALSE),0)</f>
        <v>0</v>
      </c>
    </row>
    <row r="595" spans="1:14" x14ac:dyDescent="0.25">
      <c r="A595" t="s">
        <v>2915</v>
      </c>
      <c r="B595">
        <v>35</v>
      </c>
      <c r="C595" t="s">
        <v>2926</v>
      </c>
      <c r="D595" t="s">
        <v>2927</v>
      </c>
      <c r="E595" t="s">
        <v>2929</v>
      </c>
      <c r="F595" t="str">
        <f>VLOOKUP(A595,Base!$A:$F,6,FALSE)</f>
        <v>ELETRICIDADE E GÁS</v>
      </c>
      <c r="G595" t="str">
        <f>VLOOKUP(B595,Base!$B:$F,5,FALSE)</f>
        <v>ELETRICIDADE, GÁS E OUTRAS UTILIDADES</v>
      </c>
      <c r="H595" t="str">
        <f>VLOOKUP(C595,Base!$C:$F,4,FALSE)</f>
        <v>Produção e distribuição de combustíveis gasosos por redes urbanas</v>
      </c>
      <c r="I595" t="str">
        <f>VLOOKUP(D595,Base!$D:$F,3,FALSE)</f>
        <v>Produção de gás; processamento de gás natural; distribuição de combustíveis gasosos por redes urbanas</v>
      </c>
      <c r="J595" t="str">
        <f>VLOOKUP(E595,Base!$E:$F,2,FALSE)</f>
        <v>Distribuição de combustíveis gasosos por redes urbanas</v>
      </c>
      <c r="K595" t="s">
        <v>2929</v>
      </c>
      <c r="L595">
        <f>IFERROR(VLOOKUP($K595,Base_Atividades!$E$1:$N$2398,MATCH(BancoAjustado!L$1,Base_Atividades!$E$1:$N$1,0),FALSE),0)</f>
        <v>0</v>
      </c>
      <c r="M595">
        <f>IFERROR(VLOOKUP($K595,Base_Atividades!$E$1:$N$2398,MATCH(BancoAjustado!M$1,Base_Atividades!$E$1:$N$1,0),FALSE),0)</f>
        <v>0</v>
      </c>
      <c r="N595">
        <f>IFERROR(VLOOKUP($K595,Base_Atividades!$E$1:$N$2398,MATCH(BancoAjustado!N$1,Base_Atividades!$E$1:$N$1,0),FALSE),0)</f>
        <v>0</v>
      </c>
    </row>
    <row r="596" spans="1:14" x14ac:dyDescent="0.25">
      <c r="A596" t="s">
        <v>2915</v>
      </c>
      <c r="B596">
        <v>35</v>
      </c>
      <c r="C596" t="s">
        <v>2930</v>
      </c>
      <c r="D596" t="s">
        <v>2931</v>
      </c>
      <c r="E596" t="s">
        <v>2932</v>
      </c>
      <c r="F596" t="str">
        <f>VLOOKUP(A596,Base!$A:$F,6,FALSE)</f>
        <v>ELETRICIDADE E GÁS</v>
      </c>
      <c r="G596" t="str">
        <f>VLOOKUP(B596,Base!$B:$F,5,FALSE)</f>
        <v>ELETRICIDADE, GÁS E OUTRAS UTILIDADES</v>
      </c>
      <c r="H596" t="str">
        <f>VLOOKUP(C596,Base!$C:$F,4,FALSE)</f>
        <v>Produção e distribuição de vapor, água quente e ar
condicionado</v>
      </c>
      <c r="I596" t="str">
        <f>VLOOKUP(D596,Base!$D:$F,3,FALSE)</f>
        <v>Produção e distribuição de vapor, água quente e ar
condicionado</v>
      </c>
      <c r="J596" t="str">
        <f>VLOOKUP(E596,Base!$E:$F,2,FALSE)</f>
        <v>Produção e distribuição de vapor, água quente e ar condicionado</v>
      </c>
      <c r="K596" t="s">
        <v>2932</v>
      </c>
      <c r="L596">
        <f>IFERROR(VLOOKUP($K596,Base_Atividades!$E$1:$N$2398,MATCH(BancoAjustado!L$1,Base_Atividades!$E$1:$N$1,0),FALSE),0)</f>
        <v>0</v>
      </c>
      <c r="M596">
        <f>IFERROR(VLOOKUP($K596,Base_Atividades!$E$1:$N$2398,MATCH(BancoAjustado!M$1,Base_Atividades!$E$1:$N$1,0),FALSE),0)</f>
        <v>0</v>
      </c>
      <c r="N596">
        <f>IFERROR(VLOOKUP($K596,Base_Atividades!$E$1:$N$2398,MATCH(BancoAjustado!N$1,Base_Atividades!$E$1:$N$1,0),FALSE),0)</f>
        <v>0</v>
      </c>
    </row>
    <row r="597" spans="1:14" x14ac:dyDescent="0.25">
      <c r="A597" t="s">
        <v>2933</v>
      </c>
      <c r="B597">
        <v>36</v>
      </c>
      <c r="C597" t="s">
        <v>2934</v>
      </c>
      <c r="D597" t="s">
        <v>2935</v>
      </c>
      <c r="E597" t="s">
        <v>2936</v>
      </c>
      <c r="F597" t="str">
        <f>VLOOKUP(A597,Base!$A:$F,6,FALSE)</f>
        <v>ÁGUA, ESGOTO, ATIVIDADES DE GESTÃO DE RESÍDUOS E DESCONTAMINAÇÃO</v>
      </c>
      <c r="G597" t="str">
        <f>VLOOKUP(B597,Base!$B:$F,5,FALSE)</f>
        <v>CAPTAÇÃO, TRATAMENTO E DISTRIBUIÇÃO DE ÁGUA</v>
      </c>
      <c r="H597" t="str">
        <f>VLOOKUP(C597,Base!$C:$F,4,FALSE)</f>
        <v>Captação, tratamento e distribuição de água</v>
      </c>
      <c r="I597" t="str">
        <f>VLOOKUP(D597,Base!$D:$F,3,FALSE)</f>
        <v>Captação, tratamento e distribuição de água</v>
      </c>
      <c r="J597" t="str">
        <f>VLOOKUP(E597,Base!$E:$F,2,FALSE)</f>
        <v>Captação, tratamento e distribuição de água</v>
      </c>
      <c r="K597" t="s">
        <v>2936</v>
      </c>
      <c r="L597">
        <f>IFERROR(VLOOKUP($K597,Base_Atividades!$E$1:$N$2398,MATCH(BancoAjustado!L$1,Base_Atividades!$E$1:$N$1,0),FALSE),0)</f>
        <v>1</v>
      </c>
      <c r="M597">
        <f>IFERROR(VLOOKUP($K597,Base_Atividades!$E$1:$N$2398,MATCH(BancoAjustado!M$1,Base_Atividades!$E$1:$N$1,0),FALSE),0)</f>
        <v>0</v>
      </c>
      <c r="N597">
        <f>IFERROR(VLOOKUP($K597,Base_Atividades!$E$1:$N$2398,MATCH(BancoAjustado!N$1,Base_Atividades!$E$1:$N$1,0),FALSE),0)</f>
        <v>0</v>
      </c>
    </row>
    <row r="598" spans="1:14" x14ac:dyDescent="0.25">
      <c r="A598" t="s">
        <v>2933</v>
      </c>
      <c r="B598">
        <v>36</v>
      </c>
      <c r="C598" t="s">
        <v>2934</v>
      </c>
      <c r="D598" t="s">
        <v>2935</v>
      </c>
      <c r="E598" t="s">
        <v>2937</v>
      </c>
      <c r="F598" t="str">
        <f>VLOOKUP(A598,Base!$A:$F,6,FALSE)</f>
        <v>ÁGUA, ESGOTO, ATIVIDADES DE GESTÃO DE RESÍDUOS E DESCONTAMINAÇÃO</v>
      </c>
      <c r="G598" t="str">
        <f>VLOOKUP(B598,Base!$B:$F,5,FALSE)</f>
        <v>CAPTAÇÃO, TRATAMENTO E DISTRIBUIÇÃO DE ÁGUA</v>
      </c>
      <c r="H598" t="str">
        <f>VLOOKUP(C598,Base!$C:$F,4,FALSE)</f>
        <v>Captação, tratamento e distribuição de água</v>
      </c>
      <c r="I598" t="str">
        <f>VLOOKUP(D598,Base!$D:$F,3,FALSE)</f>
        <v>Captação, tratamento e distribuição de água</v>
      </c>
      <c r="J598" t="str">
        <f>VLOOKUP(E598,Base!$E:$F,2,FALSE)</f>
        <v>Distribuição de água por caminhões</v>
      </c>
      <c r="K598" t="s">
        <v>2937</v>
      </c>
      <c r="L598">
        <f>IFERROR(VLOOKUP($K598,Base_Atividades!$E$1:$N$2398,MATCH(BancoAjustado!L$1,Base_Atividades!$E$1:$N$1,0),FALSE),0)</f>
        <v>1</v>
      </c>
      <c r="M598">
        <f>IFERROR(VLOOKUP($K598,Base_Atividades!$E$1:$N$2398,MATCH(BancoAjustado!M$1,Base_Atividades!$E$1:$N$1,0),FALSE),0)</f>
        <v>0</v>
      </c>
      <c r="N598">
        <f>IFERROR(VLOOKUP($K598,Base_Atividades!$E$1:$N$2398,MATCH(BancoAjustado!N$1,Base_Atividades!$E$1:$N$1,0),FALSE),0)</f>
        <v>0</v>
      </c>
    </row>
    <row r="599" spans="1:14" x14ac:dyDescent="0.25">
      <c r="A599" t="s">
        <v>2933</v>
      </c>
      <c r="B599">
        <v>37</v>
      </c>
      <c r="C599" t="s">
        <v>2938</v>
      </c>
      <c r="D599" t="s">
        <v>2939</v>
      </c>
      <c r="E599" t="s">
        <v>2940</v>
      </c>
      <c r="F599" t="str">
        <f>VLOOKUP(A599,Base!$A:$F,6,FALSE)</f>
        <v>ÁGUA, ESGOTO, ATIVIDADES DE GESTÃO DE RESÍDUOS E DESCONTAMINAÇÃO</v>
      </c>
      <c r="G599" t="str">
        <f>VLOOKUP(B599,Base!$B:$F,5,FALSE)</f>
        <v>ESGOTO E ATIVIDADES RELACIONADAS</v>
      </c>
      <c r="H599" t="str">
        <f>VLOOKUP(C599,Base!$C:$F,4,FALSE)</f>
        <v>Esgoto e atividades relacionadas</v>
      </c>
      <c r="I599" t="str">
        <f>VLOOKUP(D599,Base!$D:$F,3,FALSE)</f>
        <v>Gestão de redes de esgoto</v>
      </c>
      <c r="J599" t="str">
        <f>VLOOKUP(E599,Base!$E:$F,2,FALSE)</f>
        <v>Gestão de redes de esgoto</v>
      </c>
      <c r="K599" t="s">
        <v>2940</v>
      </c>
      <c r="L599">
        <f>IFERROR(VLOOKUP($K599,Base_Atividades!$E$1:$N$2398,MATCH(BancoAjustado!L$1,Base_Atividades!$E$1:$N$1,0),FALSE),0)</f>
        <v>0</v>
      </c>
      <c r="M599">
        <f>IFERROR(VLOOKUP($K599,Base_Atividades!$E$1:$N$2398,MATCH(BancoAjustado!M$1,Base_Atividades!$E$1:$N$1,0),FALSE),0)</f>
        <v>0</v>
      </c>
      <c r="N599">
        <f>IFERROR(VLOOKUP($K599,Base_Atividades!$E$1:$N$2398,MATCH(BancoAjustado!N$1,Base_Atividades!$E$1:$N$1,0),FALSE),0)</f>
        <v>0</v>
      </c>
    </row>
    <row r="600" spans="1:14" x14ac:dyDescent="0.25">
      <c r="A600" t="s">
        <v>2933</v>
      </c>
      <c r="B600">
        <v>37</v>
      </c>
      <c r="C600" t="s">
        <v>2938</v>
      </c>
      <c r="D600" t="s">
        <v>2941</v>
      </c>
      <c r="E600" t="s">
        <v>2942</v>
      </c>
      <c r="F600" t="str">
        <f>VLOOKUP(A600,Base!$A:$F,6,FALSE)</f>
        <v>ÁGUA, ESGOTO, ATIVIDADES DE GESTÃO DE RESÍDUOS E DESCONTAMINAÇÃO</v>
      </c>
      <c r="G600" t="str">
        <f>VLOOKUP(B600,Base!$B:$F,5,FALSE)</f>
        <v>ESGOTO E ATIVIDADES RELACIONADAS</v>
      </c>
      <c r="H600" t="str">
        <f>VLOOKUP(C600,Base!$C:$F,4,FALSE)</f>
        <v>Esgoto e atividades relacionadas</v>
      </c>
      <c r="I600" t="str">
        <f>VLOOKUP(D600,Base!$D:$F,3,FALSE)</f>
        <v>Atividades relacionadas a esgoto, exceto a gestão de redes</v>
      </c>
      <c r="J600" t="str">
        <f>VLOOKUP(E600,Base!$E:$F,2,FALSE)</f>
        <v>Atividades relacionadas a esgoto, exceto a gestão de redes</v>
      </c>
      <c r="K600" t="s">
        <v>2942</v>
      </c>
      <c r="L600">
        <f>IFERROR(VLOOKUP($K600,Base_Atividades!$E$1:$N$2398,MATCH(BancoAjustado!L$1,Base_Atividades!$E$1:$N$1,0),FALSE),0)</f>
        <v>1</v>
      </c>
      <c r="M600">
        <f>IFERROR(VLOOKUP($K600,Base_Atividades!$E$1:$N$2398,MATCH(BancoAjustado!M$1,Base_Atividades!$E$1:$N$1,0),FALSE),0)</f>
        <v>0</v>
      </c>
      <c r="N600">
        <f>IFERROR(VLOOKUP($K600,Base_Atividades!$E$1:$N$2398,MATCH(BancoAjustado!N$1,Base_Atividades!$E$1:$N$1,0),FALSE),0)</f>
        <v>0</v>
      </c>
    </row>
    <row r="601" spans="1:14" x14ac:dyDescent="0.25">
      <c r="A601" t="s">
        <v>2933</v>
      </c>
      <c r="B601">
        <v>38</v>
      </c>
      <c r="C601" t="s">
        <v>2943</v>
      </c>
      <c r="D601" t="s">
        <v>2944</v>
      </c>
      <c r="E601" t="s">
        <v>2945</v>
      </c>
      <c r="F601" t="str">
        <f>VLOOKUP(A601,Base!$A:$F,6,FALSE)</f>
        <v>ÁGUA, ESGOTO, ATIVIDADES DE GESTÃO DE RESÍDUOS E DESCONTAMINAÇÃO</v>
      </c>
      <c r="G601" t="str">
        <f>VLOOKUP(B601,Base!$B:$F,5,FALSE)</f>
        <v>COLETA, TRATAMENTO E DISPOSIÇÃO DE RESÍDUOS; RECUPERAÇÃO DE MATERIAIS</v>
      </c>
      <c r="H601" t="str">
        <f>VLOOKUP(C601,Base!$C:$F,4,FALSE)</f>
        <v>Coleta de resíduos</v>
      </c>
      <c r="I601" t="str">
        <f>VLOOKUP(D601,Base!$D:$F,3,FALSE)</f>
        <v>Coleta de resíduos não perigosos</v>
      </c>
      <c r="J601" t="str">
        <f>VLOOKUP(E601,Base!$E:$F,2,FALSE)</f>
        <v>Coleta de resíduos não perigosos</v>
      </c>
      <c r="K601" t="s">
        <v>2945</v>
      </c>
      <c r="L601">
        <f>IFERROR(VLOOKUP($K601,Base_Atividades!$E$1:$N$2398,MATCH(BancoAjustado!L$1,Base_Atividades!$E$1:$N$1,0),FALSE),0)</f>
        <v>1</v>
      </c>
      <c r="M601">
        <f>IFERROR(VLOOKUP($K601,Base_Atividades!$E$1:$N$2398,MATCH(BancoAjustado!M$1,Base_Atividades!$E$1:$N$1,0),FALSE),0)</f>
        <v>0</v>
      </c>
      <c r="N601">
        <f>IFERROR(VLOOKUP($K601,Base_Atividades!$E$1:$N$2398,MATCH(BancoAjustado!N$1,Base_Atividades!$E$1:$N$1,0),FALSE),0)</f>
        <v>0</v>
      </c>
    </row>
    <row r="602" spans="1:14" x14ac:dyDescent="0.25">
      <c r="A602" t="s">
        <v>2933</v>
      </c>
      <c r="B602">
        <v>38</v>
      </c>
      <c r="C602" t="s">
        <v>2943</v>
      </c>
      <c r="D602" t="s">
        <v>2946</v>
      </c>
      <c r="E602" t="s">
        <v>2947</v>
      </c>
      <c r="F602" t="str">
        <f>VLOOKUP(A602,Base!$A:$F,6,FALSE)</f>
        <v>ÁGUA, ESGOTO, ATIVIDADES DE GESTÃO DE RESÍDUOS E DESCONTAMINAÇÃO</v>
      </c>
      <c r="G602" t="str">
        <f>VLOOKUP(B602,Base!$B:$F,5,FALSE)</f>
        <v>COLETA, TRATAMENTO E DISPOSIÇÃO DE RESÍDUOS; RECUPERAÇÃO DE MATERIAIS</v>
      </c>
      <c r="H602" t="str">
        <f>VLOOKUP(C602,Base!$C:$F,4,FALSE)</f>
        <v>Coleta de resíduos</v>
      </c>
      <c r="I602" t="str">
        <f>VLOOKUP(D602,Base!$D:$F,3,FALSE)</f>
        <v>Coleta de resíduos perigosos</v>
      </c>
      <c r="J602" t="str">
        <f>VLOOKUP(E602,Base!$E:$F,2,FALSE)</f>
        <v>Coleta de resíduos perigosos</v>
      </c>
      <c r="K602" t="s">
        <v>2947</v>
      </c>
      <c r="L602">
        <f>IFERROR(VLOOKUP($K602,Base_Atividades!$E$1:$N$2398,MATCH(BancoAjustado!L$1,Base_Atividades!$E$1:$N$1,0),FALSE),0)</f>
        <v>1</v>
      </c>
      <c r="M602">
        <f>IFERROR(VLOOKUP($K602,Base_Atividades!$E$1:$N$2398,MATCH(BancoAjustado!M$1,Base_Atividades!$E$1:$N$1,0),FALSE),0)</f>
        <v>0</v>
      </c>
      <c r="N602">
        <f>IFERROR(VLOOKUP($K602,Base_Atividades!$E$1:$N$2398,MATCH(BancoAjustado!N$1,Base_Atividades!$E$1:$N$1,0),FALSE),0)</f>
        <v>0</v>
      </c>
    </row>
    <row r="603" spans="1:14" x14ac:dyDescent="0.25">
      <c r="A603" t="s">
        <v>2933</v>
      </c>
      <c r="B603">
        <v>38</v>
      </c>
      <c r="C603" t="s">
        <v>2948</v>
      </c>
      <c r="D603" t="s">
        <v>2949</v>
      </c>
      <c r="E603" t="s">
        <v>2950</v>
      </c>
      <c r="F603" t="str">
        <f>VLOOKUP(A603,Base!$A:$F,6,FALSE)</f>
        <v>ÁGUA, ESGOTO, ATIVIDADES DE GESTÃO DE RESÍDUOS E DESCONTAMINAÇÃO</v>
      </c>
      <c r="G603" t="str">
        <f>VLOOKUP(B603,Base!$B:$F,5,FALSE)</f>
        <v>COLETA, TRATAMENTO E DISPOSIÇÃO DE RESÍDUOS; RECUPERAÇÃO DE MATERIAIS</v>
      </c>
      <c r="H603" t="str">
        <f>VLOOKUP(C603,Base!$C:$F,4,FALSE)</f>
        <v>Tratamento e disposição de resíduos</v>
      </c>
      <c r="I603" t="str">
        <f>VLOOKUP(D603,Base!$D:$F,3,FALSE)</f>
        <v>Tratamento e disposição de resíduos não perigosos</v>
      </c>
      <c r="J603" t="str">
        <f>VLOOKUP(E603,Base!$E:$F,2,FALSE)</f>
        <v>Tratamento e disposição de resíduos não perigosos</v>
      </c>
      <c r="K603" t="s">
        <v>2950</v>
      </c>
      <c r="L603">
        <f>IFERROR(VLOOKUP($K603,Base_Atividades!$E$1:$N$2398,MATCH(BancoAjustado!L$1,Base_Atividades!$E$1:$N$1,0),FALSE),0)</f>
        <v>1</v>
      </c>
      <c r="M603">
        <f>IFERROR(VLOOKUP($K603,Base_Atividades!$E$1:$N$2398,MATCH(BancoAjustado!M$1,Base_Atividades!$E$1:$N$1,0),FALSE),0)</f>
        <v>0</v>
      </c>
      <c r="N603">
        <f>IFERROR(VLOOKUP($K603,Base_Atividades!$E$1:$N$2398,MATCH(BancoAjustado!N$1,Base_Atividades!$E$1:$N$1,0),FALSE),0)</f>
        <v>0</v>
      </c>
    </row>
    <row r="604" spans="1:14" x14ac:dyDescent="0.25">
      <c r="A604" t="s">
        <v>2933</v>
      </c>
      <c r="B604">
        <v>38</v>
      </c>
      <c r="C604" t="s">
        <v>2948</v>
      </c>
      <c r="D604" t="s">
        <v>2951</v>
      </c>
      <c r="E604" t="s">
        <v>2952</v>
      </c>
      <c r="F604" t="str">
        <f>VLOOKUP(A604,Base!$A:$F,6,FALSE)</f>
        <v>ÁGUA, ESGOTO, ATIVIDADES DE GESTÃO DE RESÍDUOS E DESCONTAMINAÇÃO</v>
      </c>
      <c r="G604" t="str">
        <f>VLOOKUP(B604,Base!$B:$F,5,FALSE)</f>
        <v>COLETA, TRATAMENTO E DISPOSIÇÃO DE RESÍDUOS; RECUPERAÇÃO DE MATERIAIS</v>
      </c>
      <c r="H604" t="str">
        <f>VLOOKUP(C604,Base!$C:$F,4,FALSE)</f>
        <v>Tratamento e disposição de resíduos</v>
      </c>
      <c r="I604" t="str">
        <f>VLOOKUP(D604,Base!$D:$F,3,FALSE)</f>
        <v>Tratamento e disposição de resíduos perigosos</v>
      </c>
      <c r="J604" t="str">
        <f>VLOOKUP(E604,Base!$E:$F,2,FALSE)</f>
        <v>Tratamento e disposição de resíduos perigosos</v>
      </c>
      <c r="K604" t="s">
        <v>2952</v>
      </c>
      <c r="L604">
        <f>IFERROR(VLOOKUP($K604,Base_Atividades!$E$1:$N$2398,MATCH(BancoAjustado!L$1,Base_Atividades!$E$1:$N$1,0),FALSE),0)</f>
        <v>1</v>
      </c>
      <c r="M604">
        <f>IFERROR(VLOOKUP($K604,Base_Atividades!$E$1:$N$2398,MATCH(BancoAjustado!M$1,Base_Atividades!$E$1:$N$1,0),FALSE),0)</f>
        <v>0</v>
      </c>
      <c r="N604">
        <f>IFERROR(VLOOKUP($K604,Base_Atividades!$E$1:$N$2398,MATCH(BancoAjustado!N$1,Base_Atividades!$E$1:$N$1,0),FALSE),0)</f>
        <v>0</v>
      </c>
    </row>
    <row r="605" spans="1:14" x14ac:dyDescent="0.25">
      <c r="A605" t="s">
        <v>2933</v>
      </c>
      <c r="B605">
        <v>38</v>
      </c>
      <c r="C605" t="s">
        <v>2953</v>
      </c>
      <c r="D605" t="s">
        <v>2954</v>
      </c>
      <c r="E605" t="s">
        <v>2955</v>
      </c>
      <c r="F605" t="str">
        <f>VLOOKUP(A605,Base!$A:$F,6,FALSE)</f>
        <v>ÁGUA, ESGOTO, ATIVIDADES DE GESTÃO DE RESÍDUOS E DESCONTAMINAÇÃO</v>
      </c>
      <c r="G605" t="str">
        <f>VLOOKUP(B605,Base!$B:$F,5,FALSE)</f>
        <v>COLETA, TRATAMENTO E DISPOSIÇÃO DE RESÍDUOS; RECUPERAÇÃO DE MATERIAIS</v>
      </c>
      <c r="H605" t="str">
        <f>VLOOKUP(C605,Base!$C:$F,4,FALSE)</f>
        <v>Recuperação de materiais</v>
      </c>
      <c r="I605" t="str">
        <f>VLOOKUP(D605,Base!$D:$F,3,FALSE)</f>
        <v>Recuperação de materiais metálicos</v>
      </c>
      <c r="J605" t="str">
        <f>VLOOKUP(E605,Base!$E:$F,2,FALSE)</f>
        <v>Recuperação de sucatas de alumínio</v>
      </c>
      <c r="K605" t="s">
        <v>2955</v>
      </c>
      <c r="L605">
        <f>IFERROR(VLOOKUP($K605,Base_Atividades!$E$1:$N$2398,MATCH(BancoAjustado!L$1,Base_Atividades!$E$1:$N$1,0),FALSE),0)</f>
        <v>1</v>
      </c>
      <c r="M605">
        <f>IFERROR(VLOOKUP($K605,Base_Atividades!$E$1:$N$2398,MATCH(BancoAjustado!M$1,Base_Atividades!$E$1:$N$1,0),FALSE),0)</f>
        <v>0</v>
      </c>
      <c r="N605">
        <f>IFERROR(VLOOKUP($K605,Base_Atividades!$E$1:$N$2398,MATCH(BancoAjustado!N$1,Base_Atividades!$E$1:$N$1,0),FALSE),0)</f>
        <v>0</v>
      </c>
    </row>
    <row r="606" spans="1:14" x14ac:dyDescent="0.25">
      <c r="A606" t="s">
        <v>2933</v>
      </c>
      <c r="B606">
        <v>38</v>
      </c>
      <c r="C606" t="s">
        <v>2953</v>
      </c>
      <c r="D606" t="s">
        <v>2954</v>
      </c>
      <c r="E606" t="s">
        <v>2956</v>
      </c>
      <c r="F606" t="str">
        <f>VLOOKUP(A606,Base!$A:$F,6,FALSE)</f>
        <v>ÁGUA, ESGOTO, ATIVIDADES DE GESTÃO DE RESÍDUOS E DESCONTAMINAÇÃO</v>
      </c>
      <c r="G606" t="str">
        <f>VLOOKUP(B606,Base!$B:$F,5,FALSE)</f>
        <v>COLETA, TRATAMENTO E DISPOSIÇÃO DE RESÍDUOS; RECUPERAÇÃO DE MATERIAIS</v>
      </c>
      <c r="H606" t="str">
        <f>VLOOKUP(C606,Base!$C:$F,4,FALSE)</f>
        <v>Recuperação de materiais</v>
      </c>
      <c r="I606" t="str">
        <f>VLOOKUP(D606,Base!$D:$F,3,FALSE)</f>
        <v>Recuperação de materiais metálicos</v>
      </c>
      <c r="J606" t="str">
        <f>VLOOKUP(E606,Base!$E:$F,2,FALSE)</f>
        <v>Recuperação de materiais metálicos, exceto alumínio</v>
      </c>
      <c r="K606" t="s">
        <v>2956</v>
      </c>
      <c r="L606">
        <f>IFERROR(VLOOKUP($K606,Base_Atividades!$E$1:$N$2398,MATCH(BancoAjustado!L$1,Base_Atividades!$E$1:$N$1,0),FALSE),0)</f>
        <v>1</v>
      </c>
      <c r="M606">
        <f>IFERROR(VLOOKUP($K606,Base_Atividades!$E$1:$N$2398,MATCH(BancoAjustado!M$1,Base_Atividades!$E$1:$N$1,0),FALSE),0)</f>
        <v>0</v>
      </c>
      <c r="N606">
        <f>IFERROR(VLOOKUP($K606,Base_Atividades!$E$1:$N$2398,MATCH(BancoAjustado!N$1,Base_Atividades!$E$1:$N$1,0),FALSE),0)</f>
        <v>0</v>
      </c>
    </row>
    <row r="607" spans="1:14" x14ac:dyDescent="0.25">
      <c r="A607" t="s">
        <v>2933</v>
      </c>
      <c r="B607">
        <v>38</v>
      </c>
      <c r="C607" t="s">
        <v>2953</v>
      </c>
      <c r="D607" t="s">
        <v>2957</v>
      </c>
      <c r="E607" t="s">
        <v>2958</v>
      </c>
      <c r="F607" t="str">
        <f>VLOOKUP(A607,Base!$A:$F,6,FALSE)</f>
        <v>ÁGUA, ESGOTO, ATIVIDADES DE GESTÃO DE RESÍDUOS E DESCONTAMINAÇÃO</v>
      </c>
      <c r="G607" t="str">
        <f>VLOOKUP(B607,Base!$B:$F,5,FALSE)</f>
        <v>COLETA, TRATAMENTO E DISPOSIÇÃO DE RESÍDUOS; RECUPERAÇÃO DE MATERIAIS</v>
      </c>
      <c r="H607" t="str">
        <f>VLOOKUP(C607,Base!$C:$F,4,FALSE)</f>
        <v>Recuperação de materiais</v>
      </c>
      <c r="I607" t="str">
        <f>VLOOKUP(D607,Base!$D:$F,3,FALSE)</f>
        <v>Recuperação de materiais plásticos</v>
      </c>
      <c r="J607" t="str">
        <f>VLOOKUP(E607,Base!$E:$F,2,FALSE)</f>
        <v>Recuperação de materiais plásticos</v>
      </c>
      <c r="K607" t="s">
        <v>2958</v>
      </c>
      <c r="L607">
        <f>IFERROR(VLOOKUP($K607,Base_Atividades!$E$1:$N$2398,MATCH(BancoAjustado!L$1,Base_Atividades!$E$1:$N$1,0),FALSE),0)</f>
        <v>1</v>
      </c>
      <c r="M607">
        <f>IFERROR(VLOOKUP($K607,Base_Atividades!$E$1:$N$2398,MATCH(BancoAjustado!M$1,Base_Atividades!$E$1:$N$1,0),FALSE),0)</f>
        <v>0</v>
      </c>
      <c r="N607">
        <f>IFERROR(VLOOKUP($K607,Base_Atividades!$E$1:$N$2398,MATCH(BancoAjustado!N$1,Base_Atividades!$E$1:$N$1,0),FALSE),0)</f>
        <v>0</v>
      </c>
    </row>
    <row r="608" spans="1:14" x14ac:dyDescent="0.25">
      <c r="A608" t="s">
        <v>2933</v>
      </c>
      <c r="B608">
        <v>38</v>
      </c>
      <c r="C608" t="s">
        <v>2953</v>
      </c>
      <c r="D608" t="s">
        <v>2959</v>
      </c>
      <c r="E608" t="s">
        <v>2960</v>
      </c>
      <c r="F608" t="str">
        <f>VLOOKUP(A608,Base!$A:$F,6,FALSE)</f>
        <v>ÁGUA, ESGOTO, ATIVIDADES DE GESTÃO DE RESÍDUOS E DESCONTAMINAÇÃO</v>
      </c>
      <c r="G608" t="str">
        <f>VLOOKUP(B608,Base!$B:$F,5,FALSE)</f>
        <v>COLETA, TRATAMENTO E DISPOSIÇÃO DE RESÍDUOS; RECUPERAÇÃO DE MATERIAIS</v>
      </c>
      <c r="H608" t="str">
        <f>VLOOKUP(C608,Base!$C:$F,4,FALSE)</f>
        <v>Recuperação de materiais</v>
      </c>
      <c r="I608" t="str">
        <f>VLOOKUP(D608,Base!$D:$F,3,FALSE)</f>
        <v>Recuperação de materiais não especificados anteriormente</v>
      </c>
      <c r="J608" t="str">
        <f>VLOOKUP(E608,Base!$E:$F,2,FALSE)</f>
        <v>Usinas de compostagem</v>
      </c>
      <c r="K608" t="s">
        <v>2960</v>
      </c>
      <c r="L608">
        <f>IFERROR(VLOOKUP($K608,Base_Atividades!$E$1:$N$2398,MATCH(BancoAjustado!L$1,Base_Atividades!$E$1:$N$1,0),FALSE),0)</f>
        <v>1</v>
      </c>
      <c r="M608">
        <f>IFERROR(VLOOKUP($K608,Base_Atividades!$E$1:$N$2398,MATCH(BancoAjustado!M$1,Base_Atividades!$E$1:$N$1,0),FALSE),0)</f>
        <v>0</v>
      </c>
      <c r="N608">
        <f>IFERROR(VLOOKUP($K608,Base_Atividades!$E$1:$N$2398,MATCH(BancoAjustado!N$1,Base_Atividades!$E$1:$N$1,0),FALSE),0)</f>
        <v>0</v>
      </c>
    </row>
    <row r="609" spans="1:14" x14ac:dyDescent="0.25">
      <c r="A609" t="s">
        <v>2933</v>
      </c>
      <c r="B609">
        <v>38</v>
      </c>
      <c r="C609" t="s">
        <v>2953</v>
      </c>
      <c r="D609" t="s">
        <v>2959</v>
      </c>
      <c r="E609" t="s">
        <v>2961</v>
      </c>
      <c r="F609" t="str">
        <f>VLOOKUP(A609,Base!$A:$F,6,FALSE)</f>
        <v>ÁGUA, ESGOTO, ATIVIDADES DE GESTÃO DE RESÍDUOS E DESCONTAMINAÇÃO</v>
      </c>
      <c r="G609" t="str">
        <f>VLOOKUP(B609,Base!$B:$F,5,FALSE)</f>
        <v>COLETA, TRATAMENTO E DISPOSIÇÃO DE RESÍDUOS; RECUPERAÇÃO DE MATERIAIS</v>
      </c>
      <c r="H609" t="str">
        <f>VLOOKUP(C609,Base!$C:$F,4,FALSE)</f>
        <v>Recuperação de materiais</v>
      </c>
      <c r="I609" t="str">
        <f>VLOOKUP(D609,Base!$D:$F,3,FALSE)</f>
        <v>Recuperação de materiais não especificados anteriormente</v>
      </c>
      <c r="J609" t="str">
        <f>VLOOKUP(E609,Base!$E:$F,2,FALSE)</f>
        <v>Recuperação de materiais não especificados anteriormente</v>
      </c>
      <c r="K609" t="s">
        <v>2961</v>
      </c>
      <c r="L609">
        <f>IFERROR(VLOOKUP($K609,Base_Atividades!$E$1:$N$2398,MATCH(BancoAjustado!L$1,Base_Atividades!$E$1:$N$1,0),FALSE),0)</f>
        <v>1</v>
      </c>
      <c r="M609">
        <f>IFERROR(VLOOKUP($K609,Base_Atividades!$E$1:$N$2398,MATCH(BancoAjustado!M$1,Base_Atividades!$E$1:$N$1,0),FALSE),0)</f>
        <v>0</v>
      </c>
      <c r="N609">
        <f>IFERROR(VLOOKUP($K609,Base_Atividades!$E$1:$N$2398,MATCH(BancoAjustado!N$1,Base_Atividades!$E$1:$N$1,0),FALSE),0)</f>
        <v>0</v>
      </c>
    </row>
    <row r="610" spans="1:14" x14ac:dyDescent="0.25">
      <c r="A610" t="s">
        <v>2933</v>
      </c>
      <c r="B610">
        <v>39</v>
      </c>
      <c r="C610" t="s">
        <v>2962</v>
      </c>
      <c r="D610" t="s">
        <v>2963</v>
      </c>
      <c r="E610" t="s">
        <v>2964</v>
      </c>
      <c r="F610" t="str">
        <f>VLOOKUP(A610,Base!$A:$F,6,FALSE)</f>
        <v>ÁGUA, ESGOTO, ATIVIDADES DE GESTÃO DE RESÍDUOS E DESCONTAMINAÇÃO</v>
      </c>
      <c r="G610" t="str">
        <f>VLOOKUP(B610,Base!$B:$F,5,FALSE)</f>
        <v>DESCONTAMINAÇÃO E OUTROS SERVIÇOS DE GESTÃO DE RESÍDUOS</v>
      </c>
      <c r="H610" t="str">
        <f>VLOOKUP(C610,Base!$C:$F,4,FALSE)</f>
        <v>Descontaminação e outros serviços de gestão de resíduos</v>
      </c>
      <c r="I610" t="str">
        <f>VLOOKUP(D610,Base!$D:$F,3,FALSE)</f>
        <v>Descontaminação e outros serviços de gestão de resíduos</v>
      </c>
      <c r="J610" t="str">
        <f>VLOOKUP(E610,Base!$E:$F,2,FALSE)</f>
        <v>Descontaminação e outros serviços de gestão de resíduos</v>
      </c>
      <c r="K610" t="s">
        <v>2964</v>
      </c>
      <c r="L610">
        <f>IFERROR(VLOOKUP($K610,Base_Atividades!$E$1:$N$2398,MATCH(BancoAjustado!L$1,Base_Atividades!$E$1:$N$1,0),FALSE),0)</f>
        <v>1</v>
      </c>
      <c r="M610">
        <f>IFERROR(VLOOKUP($K610,Base_Atividades!$E$1:$N$2398,MATCH(BancoAjustado!M$1,Base_Atividades!$E$1:$N$1,0),FALSE),0)</f>
        <v>0</v>
      </c>
      <c r="N610">
        <f>IFERROR(VLOOKUP($K610,Base_Atividades!$E$1:$N$2398,MATCH(BancoAjustado!N$1,Base_Atividades!$E$1:$N$1,0),FALSE),0)</f>
        <v>0</v>
      </c>
    </row>
    <row r="611" spans="1:14" x14ac:dyDescent="0.25">
      <c r="A611" t="s">
        <v>2965</v>
      </c>
      <c r="B611">
        <v>41</v>
      </c>
      <c r="C611" t="s">
        <v>2966</v>
      </c>
      <c r="D611" t="s">
        <v>2967</v>
      </c>
      <c r="E611" t="s">
        <v>2968</v>
      </c>
      <c r="F611" t="str">
        <f>VLOOKUP(A611,Base!$A:$F,6,FALSE)</f>
        <v>CONSTRUÇÃO</v>
      </c>
      <c r="G611" t="str">
        <f>VLOOKUP(B611,Base!$B:$F,5,FALSE)</f>
        <v>CONSTRUÇÃO DE EDIFÍCIOS</v>
      </c>
      <c r="H611" t="str">
        <f>VLOOKUP(C611,Base!$C:$F,4,FALSE)</f>
        <v>Incorporação de empreendimentos imobiliários</v>
      </c>
      <c r="I611" t="str">
        <f>VLOOKUP(D611,Base!$D:$F,3,FALSE)</f>
        <v>Incorporação de empreendimentos imobiliários</v>
      </c>
      <c r="J611" t="str">
        <f>VLOOKUP(E611,Base!$E:$F,2,FALSE)</f>
        <v>Incorporação de empreendimentos imobiliários</v>
      </c>
      <c r="K611" t="s">
        <v>2968</v>
      </c>
      <c r="L611">
        <f>IFERROR(VLOOKUP($K611,Base_Atividades!$E$1:$N$2398,MATCH(BancoAjustado!L$1,Base_Atividades!$E$1:$N$1,0),FALSE),0)</f>
        <v>0</v>
      </c>
      <c r="M611">
        <f>IFERROR(VLOOKUP($K611,Base_Atividades!$E$1:$N$2398,MATCH(BancoAjustado!M$1,Base_Atividades!$E$1:$N$1,0),FALSE),0)</f>
        <v>0</v>
      </c>
      <c r="N611">
        <f>IFERROR(VLOOKUP($K611,Base_Atividades!$E$1:$N$2398,MATCH(BancoAjustado!N$1,Base_Atividades!$E$1:$N$1,0),FALSE),0)</f>
        <v>0</v>
      </c>
    </row>
    <row r="612" spans="1:14" x14ac:dyDescent="0.25">
      <c r="A612" t="s">
        <v>2965</v>
      </c>
      <c r="B612">
        <v>41</v>
      </c>
      <c r="C612" t="s">
        <v>2969</v>
      </c>
      <c r="D612" t="s">
        <v>2970</v>
      </c>
      <c r="E612" t="s">
        <v>2971</v>
      </c>
      <c r="F612" t="str">
        <f>VLOOKUP(A612,Base!$A:$F,6,FALSE)</f>
        <v>CONSTRUÇÃO</v>
      </c>
      <c r="G612" t="str">
        <f>VLOOKUP(B612,Base!$B:$F,5,FALSE)</f>
        <v>CONSTRUÇÃO DE EDIFÍCIOS</v>
      </c>
      <c r="H612" t="str">
        <f>VLOOKUP(C612,Base!$C:$F,4,FALSE)</f>
        <v>Construção de edifícios</v>
      </c>
      <c r="I612" t="str">
        <f>VLOOKUP(D612,Base!$D:$F,3,FALSE)</f>
        <v>Construção de edifícios</v>
      </c>
      <c r="J612" t="str">
        <f>VLOOKUP(E612,Base!$E:$F,2,FALSE)</f>
        <v>Construção de edifícios</v>
      </c>
      <c r="K612" t="s">
        <v>2971</v>
      </c>
      <c r="L612">
        <f>IFERROR(VLOOKUP($K612,Base_Atividades!$E$1:$N$2398,MATCH(BancoAjustado!L$1,Base_Atividades!$E$1:$N$1,0),FALSE),0)</f>
        <v>0</v>
      </c>
      <c r="M612">
        <f>IFERROR(VLOOKUP($K612,Base_Atividades!$E$1:$N$2398,MATCH(BancoAjustado!M$1,Base_Atividades!$E$1:$N$1,0),FALSE),0)</f>
        <v>0</v>
      </c>
      <c r="N612">
        <f>IFERROR(VLOOKUP($K612,Base_Atividades!$E$1:$N$2398,MATCH(BancoAjustado!N$1,Base_Atividades!$E$1:$N$1,0),FALSE),0)</f>
        <v>0</v>
      </c>
    </row>
    <row r="613" spans="1:14" x14ac:dyDescent="0.25">
      <c r="A613" t="s">
        <v>2965</v>
      </c>
      <c r="B613">
        <v>42</v>
      </c>
      <c r="C613" t="s">
        <v>2972</v>
      </c>
      <c r="D613" t="s">
        <v>2973</v>
      </c>
      <c r="E613" t="s">
        <v>2974</v>
      </c>
      <c r="F613" t="str">
        <f>VLOOKUP(A613,Base!$A:$F,6,FALSE)</f>
        <v>CONSTRUÇÃO</v>
      </c>
      <c r="G613" t="str">
        <f>VLOOKUP(B613,Base!$B:$F,5,FALSE)</f>
        <v>OBRAS DE INFRAESTRUTURA</v>
      </c>
      <c r="H613" t="str">
        <f>VLOOKUP(C613,Base!$C:$F,4,FALSE)</f>
        <v>Construção de rodovias, ferrovias, obras urbanas e obras-de-arte especiais</v>
      </c>
      <c r="I613" t="str">
        <f>VLOOKUP(D613,Base!$D:$F,3,FALSE)</f>
        <v>Construção de rodovias e ferrovias</v>
      </c>
      <c r="J613" t="str">
        <f>VLOOKUP(E613,Base!$E:$F,2,FALSE)</f>
        <v>Construção de rodovias e ferrovias</v>
      </c>
      <c r="K613" t="s">
        <v>2974</v>
      </c>
      <c r="L613">
        <f>IFERROR(VLOOKUP($K613,Base_Atividades!$E$1:$N$2398,MATCH(BancoAjustado!L$1,Base_Atividades!$E$1:$N$1,0),FALSE),0)</f>
        <v>0</v>
      </c>
      <c r="M613">
        <f>IFERROR(VLOOKUP($K613,Base_Atividades!$E$1:$N$2398,MATCH(BancoAjustado!M$1,Base_Atividades!$E$1:$N$1,0),FALSE),0)</f>
        <v>0</v>
      </c>
      <c r="N613">
        <f>IFERROR(VLOOKUP($K613,Base_Atividades!$E$1:$N$2398,MATCH(BancoAjustado!N$1,Base_Atividades!$E$1:$N$1,0),FALSE),0)</f>
        <v>0</v>
      </c>
    </row>
    <row r="614" spans="1:14" x14ac:dyDescent="0.25">
      <c r="A614" t="s">
        <v>2965</v>
      </c>
      <c r="B614">
        <v>42</v>
      </c>
      <c r="C614" t="s">
        <v>2972</v>
      </c>
      <c r="D614" t="s">
        <v>2973</v>
      </c>
      <c r="E614" t="s">
        <v>2975</v>
      </c>
      <c r="F614" t="str">
        <f>VLOOKUP(A614,Base!$A:$F,6,FALSE)</f>
        <v>CONSTRUÇÃO</v>
      </c>
      <c r="G614" t="str">
        <f>VLOOKUP(B614,Base!$B:$F,5,FALSE)</f>
        <v>OBRAS DE INFRAESTRUTURA</v>
      </c>
      <c r="H614" t="str">
        <f>VLOOKUP(C614,Base!$C:$F,4,FALSE)</f>
        <v>Construção de rodovias, ferrovias, obras urbanas e obras-de-arte especiais</v>
      </c>
      <c r="I614" t="str">
        <f>VLOOKUP(D614,Base!$D:$F,3,FALSE)</f>
        <v>Construção de rodovias e ferrovias</v>
      </c>
      <c r="J614" t="str">
        <f>VLOOKUP(E614,Base!$E:$F,2,FALSE)</f>
        <v>Pintura para sinalização em pistas rodoviárias e aeroportos</v>
      </c>
      <c r="K614" t="s">
        <v>2975</v>
      </c>
      <c r="L614">
        <f>IFERROR(VLOOKUP($K614,Base_Atividades!$E$1:$N$2398,MATCH(BancoAjustado!L$1,Base_Atividades!$E$1:$N$1,0),FALSE),0)</f>
        <v>0</v>
      </c>
      <c r="M614">
        <f>IFERROR(VLOOKUP($K614,Base_Atividades!$E$1:$N$2398,MATCH(BancoAjustado!M$1,Base_Atividades!$E$1:$N$1,0),FALSE),0)</f>
        <v>0</v>
      </c>
      <c r="N614">
        <f>IFERROR(VLOOKUP($K614,Base_Atividades!$E$1:$N$2398,MATCH(BancoAjustado!N$1,Base_Atividades!$E$1:$N$1,0),FALSE),0)</f>
        <v>0</v>
      </c>
    </row>
    <row r="615" spans="1:14" x14ac:dyDescent="0.25">
      <c r="A615" t="s">
        <v>2965</v>
      </c>
      <c r="B615">
        <v>42</v>
      </c>
      <c r="C615" t="s">
        <v>2972</v>
      </c>
      <c r="D615" t="s">
        <v>2976</v>
      </c>
      <c r="E615" t="s">
        <v>2977</v>
      </c>
      <c r="F615" t="str">
        <f>VLOOKUP(A615,Base!$A:$F,6,FALSE)</f>
        <v>CONSTRUÇÃO</v>
      </c>
      <c r="G615" t="str">
        <f>VLOOKUP(B615,Base!$B:$F,5,FALSE)</f>
        <v>OBRAS DE INFRAESTRUTURA</v>
      </c>
      <c r="H615" t="str">
        <f>VLOOKUP(C615,Base!$C:$F,4,FALSE)</f>
        <v>Construção de rodovias, ferrovias, obras urbanas e obras-de-arte especiais</v>
      </c>
      <c r="I615" t="str">
        <f>VLOOKUP(D615,Base!$D:$F,3,FALSE)</f>
        <v>Construção de obras de arte especiais</v>
      </c>
      <c r="J615" t="str">
        <f>VLOOKUP(E615,Base!$E:$F,2,FALSE)</f>
        <v>Construção de obras de arte especiais</v>
      </c>
      <c r="K615" t="s">
        <v>2977</v>
      </c>
      <c r="L615">
        <f>IFERROR(VLOOKUP($K615,Base_Atividades!$E$1:$N$2398,MATCH(BancoAjustado!L$1,Base_Atividades!$E$1:$N$1,0),FALSE),0)</f>
        <v>0</v>
      </c>
      <c r="M615">
        <f>IFERROR(VLOOKUP($K615,Base_Atividades!$E$1:$N$2398,MATCH(BancoAjustado!M$1,Base_Atividades!$E$1:$N$1,0),FALSE),0)</f>
        <v>0</v>
      </c>
      <c r="N615">
        <f>IFERROR(VLOOKUP($K615,Base_Atividades!$E$1:$N$2398,MATCH(BancoAjustado!N$1,Base_Atividades!$E$1:$N$1,0),FALSE),0)</f>
        <v>0</v>
      </c>
    </row>
    <row r="616" spans="1:14" x14ac:dyDescent="0.25">
      <c r="A616" t="s">
        <v>2965</v>
      </c>
      <c r="B616">
        <v>42</v>
      </c>
      <c r="C616" t="s">
        <v>2972</v>
      </c>
      <c r="D616" t="s">
        <v>2978</v>
      </c>
      <c r="E616" t="s">
        <v>2979</v>
      </c>
      <c r="F616" t="str">
        <f>VLOOKUP(A616,Base!$A:$F,6,FALSE)</f>
        <v>CONSTRUÇÃO</v>
      </c>
      <c r="G616" t="str">
        <f>VLOOKUP(B616,Base!$B:$F,5,FALSE)</f>
        <v>OBRAS DE INFRAESTRUTURA</v>
      </c>
      <c r="H616" t="str">
        <f>VLOOKUP(C616,Base!$C:$F,4,FALSE)</f>
        <v>Construção de rodovias, ferrovias, obras urbanas e obras-de-arte especiais</v>
      </c>
      <c r="I616" t="str">
        <f>VLOOKUP(D616,Base!$D:$F,3,FALSE)</f>
        <v>Obras de urbanização - ruas, praças e calçadas</v>
      </c>
      <c r="J616" t="str">
        <f>VLOOKUP(E616,Base!$E:$F,2,FALSE)</f>
        <v>Obras de urbanização - ruas, praças e calçadas</v>
      </c>
      <c r="K616" t="s">
        <v>2979</v>
      </c>
      <c r="L616">
        <f>IFERROR(VLOOKUP($K616,Base_Atividades!$E$1:$N$2398,MATCH(BancoAjustado!L$1,Base_Atividades!$E$1:$N$1,0),FALSE),0)</f>
        <v>0</v>
      </c>
      <c r="M616">
        <f>IFERROR(VLOOKUP($K616,Base_Atividades!$E$1:$N$2398,MATCH(BancoAjustado!M$1,Base_Atividades!$E$1:$N$1,0),FALSE),0)</f>
        <v>0</v>
      </c>
      <c r="N616">
        <f>IFERROR(VLOOKUP($K616,Base_Atividades!$E$1:$N$2398,MATCH(BancoAjustado!N$1,Base_Atividades!$E$1:$N$1,0),FALSE),0)</f>
        <v>0</v>
      </c>
    </row>
    <row r="617" spans="1:14" x14ac:dyDescent="0.25">
      <c r="A617" t="s">
        <v>2965</v>
      </c>
      <c r="B617">
        <v>42</v>
      </c>
      <c r="C617" t="s">
        <v>2980</v>
      </c>
      <c r="D617" t="s">
        <v>2981</v>
      </c>
      <c r="E617" t="s">
        <v>2982</v>
      </c>
      <c r="F617" t="str">
        <f>VLOOKUP(A617,Base!$A:$F,6,FALSE)</f>
        <v>CONSTRUÇÃO</v>
      </c>
      <c r="G617" t="str">
        <f>VLOOKUP(B617,Base!$B:$F,5,FALSE)</f>
        <v>OBRAS DE INFRAESTRUTURA</v>
      </c>
      <c r="H617" t="str">
        <f>VLOOKUP(C617,Base!$C:$F,4,FALSE)</f>
        <v>Obras de infraestrutura para energia elétrica, telecomunicações, água, esgoto e transporte por dutos</v>
      </c>
      <c r="I617" t="str">
        <f>VLOOKUP(D617,Base!$D:$F,3,FALSE)</f>
        <v>Obras para geração e distribuição de energia elétrica e para telecomunicações</v>
      </c>
      <c r="J617" t="str">
        <f>VLOOKUP(E617,Base!$E:$F,2,FALSE)</f>
        <v>Construção de barragens e represas para geração de energia 
elétrica</v>
      </c>
      <c r="K617" t="s">
        <v>2982</v>
      </c>
      <c r="L617">
        <f>IFERROR(VLOOKUP($K617,Base_Atividades!$E$1:$N$2398,MATCH(BancoAjustado!L$1,Base_Atividades!$E$1:$N$1,0),FALSE),0)</f>
        <v>0</v>
      </c>
      <c r="M617">
        <f>IFERROR(VLOOKUP($K617,Base_Atividades!$E$1:$N$2398,MATCH(BancoAjustado!M$1,Base_Atividades!$E$1:$N$1,0),FALSE),0)</f>
        <v>0</v>
      </c>
      <c r="N617">
        <f>IFERROR(VLOOKUP($K617,Base_Atividades!$E$1:$N$2398,MATCH(BancoAjustado!N$1,Base_Atividades!$E$1:$N$1,0),FALSE),0)</f>
        <v>0</v>
      </c>
    </row>
    <row r="618" spans="1:14" x14ac:dyDescent="0.25">
      <c r="A618" t="s">
        <v>2965</v>
      </c>
      <c r="B618">
        <v>42</v>
      </c>
      <c r="C618" t="s">
        <v>2980</v>
      </c>
      <c r="D618" t="s">
        <v>2981</v>
      </c>
      <c r="E618" t="s">
        <v>2983</v>
      </c>
      <c r="F618" t="str">
        <f>VLOOKUP(A618,Base!$A:$F,6,FALSE)</f>
        <v>CONSTRUÇÃO</v>
      </c>
      <c r="G618" t="str">
        <f>VLOOKUP(B618,Base!$B:$F,5,FALSE)</f>
        <v>OBRAS DE INFRAESTRUTURA</v>
      </c>
      <c r="H618" t="str">
        <f>VLOOKUP(C618,Base!$C:$F,4,FALSE)</f>
        <v>Obras de infraestrutura para energia elétrica, telecomunicações, água, esgoto e transporte por dutos</v>
      </c>
      <c r="I618" t="str">
        <f>VLOOKUP(D618,Base!$D:$F,3,FALSE)</f>
        <v>Obras para geração e distribuição de energia elétrica e para telecomunicações</v>
      </c>
      <c r="J618" t="str">
        <f>VLOOKUP(E618,Base!$E:$F,2,FALSE)</f>
        <v>Construção de estações e redes de distribuição de energia elétrica</v>
      </c>
      <c r="K618" t="s">
        <v>2983</v>
      </c>
      <c r="L618">
        <f>IFERROR(VLOOKUP($K618,Base_Atividades!$E$1:$N$2398,MATCH(BancoAjustado!L$1,Base_Atividades!$E$1:$N$1,0),FALSE),0)</f>
        <v>0</v>
      </c>
      <c r="M618">
        <f>IFERROR(VLOOKUP($K618,Base_Atividades!$E$1:$N$2398,MATCH(BancoAjustado!M$1,Base_Atividades!$E$1:$N$1,0),FALSE),0)</f>
        <v>0</v>
      </c>
      <c r="N618">
        <f>IFERROR(VLOOKUP($K618,Base_Atividades!$E$1:$N$2398,MATCH(BancoAjustado!N$1,Base_Atividades!$E$1:$N$1,0),FALSE),0)</f>
        <v>0</v>
      </c>
    </row>
    <row r="619" spans="1:14" x14ac:dyDescent="0.25">
      <c r="A619" t="s">
        <v>2965</v>
      </c>
      <c r="B619">
        <v>42</v>
      </c>
      <c r="C619" t="s">
        <v>2980</v>
      </c>
      <c r="D619" t="s">
        <v>2981</v>
      </c>
      <c r="E619" t="s">
        <v>2984</v>
      </c>
      <c r="F619" t="str">
        <f>VLOOKUP(A619,Base!$A:$F,6,FALSE)</f>
        <v>CONSTRUÇÃO</v>
      </c>
      <c r="G619" t="str">
        <f>VLOOKUP(B619,Base!$B:$F,5,FALSE)</f>
        <v>OBRAS DE INFRAESTRUTURA</v>
      </c>
      <c r="H619" t="str">
        <f>VLOOKUP(C619,Base!$C:$F,4,FALSE)</f>
        <v>Obras de infraestrutura para energia elétrica, telecomunicações, água, esgoto e transporte por dutos</v>
      </c>
      <c r="I619" t="str">
        <f>VLOOKUP(D619,Base!$D:$F,3,FALSE)</f>
        <v>Obras para geração e distribuição de energia elétrica e para telecomunicações</v>
      </c>
      <c r="J619" t="str">
        <f>VLOOKUP(E619,Base!$E:$F,2,FALSE)</f>
        <v>Manutenção de redes de distribuição de energia elétrica</v>
      </c>
      <c r="K619" t="s">
        <v>2984</v>
      </c>
      <c r="L619">
        <f>IFERROR(VLOOKUP($K619,Base_Atividades!$E$1:$N$2398,MATCH(BancoAjustado!L$1,Base_Atividades!$E$1:$N$1,0),FALSE),0)</f>
        <v>1</v>
      </c>
      <c r="M619">
        <f>IFERROR(VLOOKUP($K619,Base_Atividades!$E$1:$N$2398,MATCH(BancoAjustado!M$1,Base_Atividades!$E$1:$N$1,0),FALSE),0)</f>
        <v>0</v>
      </c>
      <c r="N619">
        <f>IFERROR(VLOOKUP($K619,Base_Atividades!$E$1:$N$2398,MATCH(BancoAjustado!N$1,Base_Atividades!$E$1:$N$1,0),FALSE),0)</f>
        <v>0</v>
      </c>
    </row>
    <row r="620" spans="1:14" x14ac:dyDescent="0.25">
      <c r="A620" t="s">
        <v>2965</v>
      </c>
      <c r="B620">
        <v>42</v>
      </c>
      <c r="C620" t="s">
        <v>2980</v>
      </c>
      <c r="D620" t="s">
        <v>2981</v>
      </c>
      <c r="E620" t="s">
        <v>2985</v>
      </c>
      <c r="F620" t="str">
        <f>VLOOKUP(A620,Base!$A:$F,6,FALSE)</f>
        <v>CONSTRUÇÃO</v>
      </c>
      <c r="G620" t="str">
        <f>VLOOKUP(B620,Base!$B:$F,5,FALSE)</f>
        <v>OBRAS DE INFRAESTRUTURA</v>
      </c>
      <c r="H620" t="str">
        <f>VLOOKUP(C620,Base!$C:$F,4,FALSE)</f>
        <v>Obras de infraestrutura para energia elétrica, telecomunicações, água, esgoto e transporte por dutos</v>
      </c>
      <c r="I620" t="str">
        <f>VLOOKUP(D620,Base!$D:$F,3,FALSE)</f>
        <v>Obras para geração e distribuição de energia elétrica e para telecomunicações</v>
      </c>
      <c r="J620" t="str">
        <f>VLOOKUP(E620,Base!$E:$F,2,FALSE)</f>
        <v>Construção de estações e redes de telecomunicações</v>
      </c>
      <c r="K620" t="s">
        <v>2985</v>
      </c>
      <c r="L620">
        <f>IFERROR(VLOOKUP($K620,Base_Atividades!$E$1:$N$2398,MATCH(BancoAjustado!L$1,Base_Atividades!$E$1:$N$1,0),FALSE),0)</f>
        <v>0</v>
      </c>
      <c r="M620">
        <f>IFERROR(VLOOKUP($K620,Base_Atividades!$E$1:$N$2398,MATCH(BancoAjustado!M$1,Base_Atividades!$E$1:$N$1,0),FALSE),0)</f>
        <v>0</v>
      </c>
      <c r="N620">
        <f>IFERROR(VLOOKUP($K620,Base_Atividades!$E$1:$N$2398,MATCH(BancoAjustado!N$1,Base_Atividades!$E$1:$N$1,0),FALSE),0)</f>
        <v>0</v>
      </c>
    </row>
    <row r="621" spans="1:14" x14ac:dyDescent="0.25">
      <c r="A621" t="s">
        <v>2965</v>
      </c>
      <c r="B621">
        <v>42</v>
      </c>
      <c r="C621" t="s">
        <v>2980</v>
      </c>
      <c r="D621" t="s">
        <v>2981</v>
      </c>
      <c r="E621" t="s">
        <v>2986</v>
      </c>
      <c r="F621" t="str">
        <f>VLOOKUP(A621,Base!$A:$F,6,FALSE)</f>
        <v>CONSTRUÇÃO</v>
      </c>
      <c r="G621" t="str">
        <f>VLOOKUP(B621,Base!$B:$F,5,FALSE)</f>
        <v>OBRAS DE INFRAESTRUTURA</v>
      </c>
      <c r="H621" t="str">
        <f>VLOOKUP(C621,Base!$C:$F,4,FALSE)</f>
        <v>Obras de infraestrutura para energia elétrica, telecomunicações, água, esgoto e transporte por dutos</v>
      </c>
      <c r="I621" t="str">
        <f>VLOOKUP(D621,Base!$D:$F,3,FALSE)</f>
        <v>Obras para geração e distribuição de energia elétrica e para telecomunicações</v>
      </c>
      <c r="J621" t="str">
        <f>VLOOKUP(E621,Base!$E:$F,2,FALSE)</f>
        <v>Manutenção de estações e redes de telecomunicações</v>
      </c>
      <c r="K621" t="s">
        <v>2986</v>
      </c>
      <c r="L621">
        <f>IFERROR(VLOOKUP($K621,Base_Atividades!$E$1:$N$2398,MATCH(BancoAjustado!L$1,Base_Atividades!$E$1:$N$1,0),FALSE),0)</f>
        <v>0</v>
      </c>
      <c r="M621">
        <f>IFERROR(VLOOKUP($K621,Base_Atividades!$E$1:$N$2398,MATCH(BancoAjustado!M$1,Base_Atividades!$E$1:$N$1,0),FALSE),0)</f>
        <v>0</v>
      </c>
      <c r="N621">
        <f>IFERROR(VLOOKUP($K621,Base_Atividades!$E$1:$N$2398,MATCH(BancoAjustado!N$1,Base_Atividades!$E$1:$N$1,0),FALSE),0)</f>
        <v>0</v>
      </c>
    </row>
    <row r="622" spans="1:14" x14ac:dyDescent="0.25">
      <c r="A622" t="s">
        <v>2965</v>
      </c>
      <c r="B622">
        <v>42</v>
      </c>
      <c r="C622" t="s">
        <v>2980</v>
      </c>
      <c r="D622" t="s">
        <v>2987</v>
      </c>
      <c r="E622" t="s">
        <v>2988</v>
      </c>
      <c r="F622" t="str">
        <f>VLOOKUP(A622,Base!$A:$F,6,FALSE)</f>
        <v>CONSTRUÇÃO</v>
      </c>
      <c r="G622" t="str">
        <f>VLOOKUP(B622,Base!$B:$F,5,FALSE)</f>
        <v>OBRAS DE INFRAESTRUTURA</v>
      </c>
      <c r="H622" t="str">
        <f>VLOOKUP(C622,Base!$C:$F,4,FALSE)</f>
        <v>Obras de infraestrutura para energia elétrica, telecomunicações, água, esgoto e transporte por dutos</v>
      </c>
      <c r="I622" t="str">
        <f>VLOOKUP(D622,Base!$D:$F,3,FALSE)</f>
        <v>Construção de redes de abastecimento de água, coleta de esgoto e construções correlatas</v>
      </c>
      <c r="J622" t="str">
        <f>VLOOKUP(E622,Base!$E:$F,2,FALSE)</f>
        <v>Construção de redes de abastecimento de água, coleta de esgoto e construções correlatas, exceto obras de irrigação</v>
      </c>
      <c r="K622" t="s">
        <v>2988</v>
      </c>
      <c r="L622">
        <f>IFERROR(VLOOKUP($K622,Base_Atividades!$E$1:$N$2398,MATCH(BancoAjustado!L$1,Base_Atividades!$E$1:$N$1,0),FALSE),0)</f>
        <v>0</v>
      </c>
      <c r="M622">
        <f>IFERROR(VLOOKUP($K622,Base_Atividades!$E$1:$N$2398,MATCH(BancoAjustado!M$1,Base_Atividades!$E$1:$N$1,0),FALSE),0)</f>
        <v>0</v>
      </c>
      <c r="N622">
        <f>IFERROR(VLOOKUP($K622,Base_Atividades!$E$1:$N$2398,MATCH(BancoAjustado!N$1,Base_Atividades!$E$1:$N$1,0),FALSE),0)</f>
        <v>0</v>
      </c>
    </row>
    <row r="623" spans="1:14" x14ac:dyDescent="0.25">
      <c r="A623" t="s">
        <v>2965</v>
      </c>
      <c r="B623">
        <v>42</v>
      </c>
      <c r="C623" t="s">
        <v>2980</v>
      </c>
      <c r="D623" t="s">
        <v>2987</v>
      </c>
      <c r="E623" t="s">
        <v>2989</v>
      </c>
      <c r="F623" t="str">
        <f>VLOOKUP(A623,Base!$A:$F,6,FALSE)</f>
        <v>CONSTRUÇÃO</v>
      </c>
      <c r="G623" t="str">
        <f>VLOOKUP(B623,Base!$B:$F,5,FALSE)</f>
        <v>OBRAS DE INFRAESTRUTURA</v>
      </c>
      <c r="H623" t="str">
        <f>VLOOKUP(C623,Base!$C:$F,4,FALSE)</f>
        <v>Obras de infraestrutura para energia elétrica, telecomunicações, água, esgoto e transporte por dutos</v>
      </c>
      <c r="I623" t="str">
        <f>VLOOKUP(D623,Base!$D:$F,3,FALSE)</f>
        <v>Construção de redes de abastecimento de água, coleta de esgoto e construções correlatas</v>
      </c>
      <c r="J623" t="str">
        <f>VLOOKUP(E623,Base!$E:$F,2,FALSE)</f>
        <v>Obras de irrigação</v>
      </c>
      <c r="K623" t="s">
        <v>2989</v>
      </c>
      <c r="L623">
        <f>IFERROR(VLOOKUP($K623,Base_Atividades!$E$1:$N$2398,MATCH(BancoAjustado!L$1,Base_Atividades!$E$1:$N$1,0),FALSE),0)</f>
        <v>1</v>
      </c>
      <c r="M623">
        <f>IFERROR(VLOOKUP($K623,Base_Atividades!$E$1:$N$2398,MATCH(BancoAjustado!M$1,Base_Atividades!$E$1:$N$1,0),FALSE),0)</f>
        <v>0</v>
      </c>
      <c r="N623">
        <f>IFERROR(VLOOKUP($K623,Base_Atividades!$E$1:$N$2398,MATCH(BancoAjustado!N$1,Base_Atividades!$E$1:$N$1,0),FALSE),0)</f>
        <v>0</v>
      </c>
    </row>
    <row r="624" spans="1:14" x14ac:dyDescent="0.25">
      <c r="A624" t="s">
        <v>2965</v>
      </c>
      <c r="B624">
        <v>42</v>
      </c>
      <c r="C624" t="s">
        <v>2980</v>
      </c>
      <c r="D624" t="s">
        <v>2990</v>
      </c>
      <c r="E624" t="s">
        <v>2991</v>
      </c>
      <c r="F624" t="str">
        <f>VLOOKUP(A624,Base!$A:$F,6,FALSE)</f>
        <v>CONSTRUÇÃO</v>
      </c>
      <c r="G624" t="str">
        <f>VLOOKUP(B624,Base!$B:$F,5,FALSE)</f>
        <v>OBRAS DE INFRAESTRUTURA</v>
      </c>
      <c r="H624" t="str">
        <f>VLOOKUP(C624,Base!$C:$F,4,FALSE)</f>
        <v>Obras de infraestrutura para energia elétrica, telecomunicações, água, esgoto e transporte por dutos</v>
      </c>
      <c r="I624" t="str">
        <f>VLOOKUP(D624,Base!$D:$F,3,FALSE)</f>
        <v>Construção de redes de transportes por dutos, exceto para água e esgoto</v>
      </c>
      <c r="J624" t="str">
        <f>VLOOKUP(E624,Base!$E:$F,2,FALSE)</f>
        <v>Construção de redes de transportes por dutos, exceto para água e esgoto</v>
      </c>
      <c r="K624" t="s">
        <v>2991</v>
      </c>
      <c r="L624">
        <f>IFERROR(VLOOKUP($K624,Base_Atividades!$E$1:$N$2398,MATCH(BancoAjustado!L$1,Base_Atividades!$E$1:$N$1,0),FALSE),0)</f>
        <v>0</v>
      </c>
      <c r="M624">
        <f>IFERROR(VLOOKUP($K624,Base_Atividades!$E$1:$N$2398,MATCH(BancoAjustado!M$1,Base_Atividades!$E$1:$N$1,0),FALSE),0)</f>
        <v>0</v>
      </c>
      <c r="N624">
        <f>IFERROR(VLOOKUP($K624,Base_Atividades!$E$1:$N$2398,MATCH(BancoAjustado!N$1,Base_Atividades!$E$1:$N$1,0),FALSE),0)</f>
        <v>0</v>
      </c>
    </row>
    <row r="625" spans="1:14" x14ac:dyDescent="0.25">
      <c r="A625" t="s">
        <v>2965</v>
      </c>
      <c r="B625">
        <v>42</v>
      </c>
      <c r="C625" t="s">
        <v>2992</v>
      </c>
      <c r="D625" t="s">
        <v>2993</v>
      </c>
      <c r="E625" t="s">
        <v>2994</v>
      </c>
      <c r="F625" t="str">
        <f>VLOOKUP(A625,Base!$A:$F,6,FALSE)</f>
        <v>CONSTRUÇÃO</v>
      </c>
      <c r="G625" t="str">
        <f>VLOOKUP(B625,Base!$B:$F,5,FALSE)</f>
        <v>OBRAS DE INFRAESTRUTURA</v>
      </c>
      <c r="H625" t="str">
        <f>VLOOKUP(C625,Base!$C:$F,4,FALSE)</f>
        <v>Construção de outras obras de infraestrutura</v>
      </c>
      <c r="I625" t="str">
        <f>VLOOKUP(D625,Base!$D:$F,3,FALSE)</f>
        <v>Obras portuárias, marítimas e fluviais</v>
      </c>
      <c r="J625" t="str">
        <f>VLOOKUP(E625,Base!$E:$F,2,FALSE)</f>
        <v>Obras portuárias, marítimas e fluviais</v>
      </c>
      <c r="K625" t="s">
        <v>2994</v>
      </c>
      <c r="L625">
        <f>IFERROR(VLOOKUP($K625,Base_Atividades!$E$1:$N$2398,MATCH(BancoAjustado!L$1,Base_Atividades!$E$1:$N$1,0),FALSE),0)</f>
        <v>0</v>
      </c>
      <c r="M625">
        <f>IFERROR(VLOOKUP($K625,Base_Atividades!$E$1:$N$2398,MATCH(BancoAjustado!M$1,Base_Atividades!$E$1:$N$1,0),FALSE),0)</f>
        <v>0</v>
      </c>
      <c r="N625">
        <f>IFERROR(VLOOKUP($K625,Base_Atividades!$E$1:$N$2398,MATCH(BancoAjustado!N$1,Base_Atividades!$E$1:$N$1,0),FALSE),0)</f>
        <v>0</v>
      </c>
    </row>
    <row r="626" spans="1:14" x14ac:dyDescent="0.25">
      <c r="A626" t="s">
        <v>2965</v>
      </c>
      <c r="B626">
        <v>42</v>
      </c>
      <c r="C626" t="s">
        <v>2992</v>
      </c>
      <c r="D626" t="s">
        <v>2995</v>
      </c>
      <c r="E626" t="s">
        <v>2996</v>
      </c>
      <c r="F626" t="str">
        <f>VLOOKUP(A626,Base!$A:$F,6,FALSE)</f>
        <v>CONSTRUÇÃO</v>
      </c>
      <c r="G626" t="str">
        <f>VLOOKUP(B626,Base!$B:$F,5,FALSE)</f>
        <v>OBRAS DE INFRAESTRUTURA</v>
      </c>
      <c r="H626" t="str">
        <f>VLOOKUP(C626,Base!$C:$F,4,FALSE)</f>
        <v>Construção de outras obras de infraestrutura</v>
      </c>
      <c r="I626" t="str">
        <f>VLOOKUP(D626,Base!$D:$F,3,FALSE)</f>
        <v>Montagem de instalações industriais e de estruturas metálicas</v>
      </c>
      <c r="J626" t="str">
        <f>VLOOKUP(E626,Base!$E:$F,2,FALSE)</f>
        <v>Montagem de estruturas metálicas</v>
      </c>
      <c r="K626" t="s">
        <v>2996</v>
      </c>
      <c r="L626">
        <f>IFERROR(VLOOKUP($K626,Base_Atividades!$E$1:$N$2398,MATCH(BancoAjustado!L$1,Base_Atividades!$E$1:$N$1,0),FALSE),0)</f>
        <v>1</v>
      </c>
      <c r="M626">
        <f>IFERROR(VLOOKUP($K626,Base_Atividades!$E$1:$N$2398,MATCH(BancoAjustado!M$1,Base_Atividades!$E$1:$N$1,0),FALSE),0)</f>
        <v>0</v>
      </c>
      <c r="N626">
        <f>IFERROR(VLOOKUP($K626,Base_Atividades!$E$1:$N$2398,MATCH(BancoAjustado!N$1,Base_Atividades!$E$1:$N$1,0),FALSE),0)</f>
        <v>0</v>
      </c>
    </row>
    <row r="627" spans="1:14" x14ac:dyDescent="0.25">
      <c r="A627" t="s">
        <v>2965</v>
      </c>
      <c r="B627">
        <v>42</v>
      </c>
      <c r="C627" t="s">
        <v>2992</v>
      </c>
      <c r="D627" t="s">
        <v>2995</v>
      </c>
      <c r="E627" t="s">
        <v>2997</v>
      </c>
      <c r="F627" t="str">
        <f>VLOOKUP(A627,Base!$A:$F,6,FALSE)</f>
        <v>CONSTRUÇÃO</v>
      </c>
      <c r="G627" t="str">
        <f>VLOOKUP(B627,Base!$B:$F,5,FALSE)</f>
        <v>OBRAS DE INFRAESTRUTURA</v>
      </c>
      <c r="H627" t="str">
        <f>VLOOKUP(C627,Base!$C:$F,4,FALSE)</f>
        <v>Construção de outras obras de infraestrutura</v>
      </c>
      <c r="I627" t="str">
        <f>VLOOKUP(D627,Base!$D:$F,3,FALSE)</f>
        <v>Montagem de instalações industriais e de estruturas metálicas</v>
      </c>
      <c r="J627" t="str">
        <f>VLOOKUP(E627,Base!$E:$F,2,FALSE)</f>
        <v>Obras de montagem industrial</v>
      </c>
      <c r="K627" t="s">
        <v>2997</v>
      </c>
      <c r="L627">
        <f>IFERROR(VLOOKUP($K627,Base_Atividades!$E$1:$N$2398,MATCH(BancoAjustado!L$1,Base_Atividades!$E$1:$N$1,0),FALSE),0)</f>
        <v>1</v>
      </c>
      <c r="M627">
        <f>IFERROR(VLOOKUP($K627,Base_Atividades!$E$1:$N$2398,MATCH(BancoAjustado!M$1,Base_Atividades!$E$1:$N$1,0),FALSE),0)</f>
        <v>0</v>
      </c>
      <c r="N627">
        <f>IFERROR(VLOOKUP($K627,Base_Atividades!$E$1:$N$2398,MATCH(BancoAjustado!N$1,Base_Atividades!$E$1:$N$1,0),FALSE),0)</f>
        <v>0</v>
      </c>
    </row>
    <row r="628" spans="1:14" x14ac:dyDescent="0.25">
      <c r="A628" t="s">
        <v>2965</v>
      </c>
      <c r="B628">
        <v>42</v>
      </c>
      <c r="C628" t="s">
        <v>2992</v>
      </c>
      <c r="D628" t="s">
        <v>2998</v>
      </c>
      <c r="E628" t="s">
        <v>2999</v>
      </c>
      <c r="F628" t="str">
        <f>VLOOKUP(A628,Base!$A:$F,6,FALSE)</f>
        <v>CONSTRUÇÃO</v>
      </c>
      <c r="G628" t="str">
        <f>VLOOKUP(B628,Base!$B:$F,5,FALSE)</f>
        <v>OBRAS DE INFRAESTRUTURA</v>
      </c>
      <c r="H628" t="str">
        <f>VLOOKUP(C628,Base!$C:$F,4,FALSE)</f>
        <v>Construção de outras obras de infraestrutura</v>
      </c>
      <c r="I628" t="str">
        <f>VLOOKUP(D628,Base!$D:$F,3,FALSE)</f>
        <v>Obras de engenharia civil não especificadas anteriormente</v>
      </c>
      <c r="J628" t="str">
        <f>VLOOKUP(E628,Base!$E:$F,2,FALSE)</f>
        <v>Construção de instalações esportivas e recreativas</v>
      </c>
      <c r="K628" t="s">
        <v>2999</v>
      </c>
      <c r="L628">
        <f>IFERROR(VLOOKUP($K628,Base_Atividades!$E$1:$N$2398,MATCH(BancoAjustado!L$1,Base_Atividades!$E$1:$N$1,0),FALSE),0)</f>
        <v>0</v>
      </c>
      <c r="M628">
        <f>IFERROR(VLOOKUP($K628,Base_Atividades!$E$1:$N$2398,MATCH(BancoAjustado!M$1,Base_Atividades!$E$1:$N$1,0),FALSE),0)</f>
        <v>0</v>
      </c>
      <c r="N628">
        <f>IFERROR(VLOOKUP($K628,Base_Atividades!$E$1:$N$2398,MATCH(BancoAjustado!N$1,Base_Atividades!$E$1:$N$1,0),FALSE),0)</f>
        <v>0</v>
      </c>
    </row>
    <row r="629" spans="1:14" x14ac:dyDescent="0.25">
      <c r="A629" t="s">
        <v>2965</v>
      </c>
      <c r="B629">
        <v>42</v>
      </c>
      <c r="C629" t="s">
        <v>2992</v>
      </c>
      <c r="D629" t="s">
        <v>2998</v>
      </c>
      <c r="E629" t="s">
        <v>3000</v>
      </c>
      <c r="F629" t="str">
        <f>VLOOKUP(A629,Base!$A:$F,6,FALSE)</f>
        <v>CONSTRUÇÃO</v>
      </c>
      <c r="G629" t="str">
        <f>VLOOKUP(B629,Base!$B:$F,5,FALSE)</f>
        <v>OBRAS DE INFRAESTRUTURA</v>
      </c>
      <c r="H629" t="str">
        <f>VLOOKUP(C629,Base!$C:$F,4,FALSE)</f>
        <v>Construção de outras obras de infraestrutura</v>
      </c>
      <c r="I629" t="str">
        <f>VLOOKUP(D629,Base!$D:$F,3,FALSE)</f>
        <v>Obras de engenharia civil não especificadas anteriormente</v>
      </c>
      <c r="J629" t="str">
        <f>VLOOKUP(E629,Base!$E:$F,2,FALSE)</f>
        <v>Outras obras de engenharia civil não especificadas anteriormente</v>
      </c>
      <c r="K629" t="s">
        <v>3000</v>
      </c>
      <c r="L629">
        <f>IFERROR(VLOOKUP($K629,Base_Atividades!$E$1:$N$2398,MATCH(BancoAjustado!L$1,Base_Atividades!$E$1:$N$1,0),FALSE),0)</f>
        <v>0</v>
      </c>
      <c r="M629">
        <f>IFERROR(VLOOKUP($K629,Base_Atividades!$E$1:$N$2398,MATCH(BancoAjustado!M$1,Base_Atividades!$E$1:$N$1,0),FALSE),0)</f>
        <v>0</v>
      </c>
      <c r="N629">
        <f>IFERROR(VLOOKUP($K629,Base_Atividades!$E$1:$N$2398,MATCH(BancoAjustado!N$1,Base_Atividades!$E$1:$N$1,0),FALSE),0)</f>
        <v>0</v>
      </c>
    </row>
    <row r="630" spans="1:14" x14ac:dyDescent="0.25">
      <c r="A630" t="s">
        <v>2965</v>
      </c>
      <c r="B630">
        <v>43</v>
      </c>
      <c r="C630" t="s">
        <v>3001</v>
      </c>
      <c r="D630" t="s">
        <v>3002</v>
      </c>
      <c r="E630" t="s">
        <v>3003</v>
      </c>
      <c r="F630" t="str">
        <f>VLOOKUP(A630,Base!$A:$F,6,FALSE)</f>
        <v>CONSTRUÇÃO</v>
      </c>
      <c r="G630" t="str">
        <f>VLOOKUP(B630,Base!$B:$F,5,FALSE)</f>
        <v>SERVIÇOS ESPECIALIZADOS PARA CONSTRUÇÃO</v>
      </c>
      <c r="H630" t="str">
        <f>VLOOKUP(C630,Base!$C:$F,4,FALSE)</f>
        <v>Demolição e preparação do terreno</v>
      </c>
      <c r="I630" t="str">
        <f>VLOOKUP(D630,Base!$D:$F,3,FALSE)</f>
        <v>Demolição e preparação de canteiros de obras</v>
      </c>
      <c r="J630" t="str">
        <f>VLOOKUP(E630,Base!$E:$F,2,FALSE)</f>
        <v>Demolição de edifícios e outras estruturas</v>
      </c>
      <c r="K630" t="s">
        <v>3003</v>
      </c>
      <c r="L630">
        <f>IFERROR(VLOOKUP($K630,Base_Atividades!$E$1:$N$2398,MATCH(BancoAjustado!L$1,Base_Atividades!$E$1:$N$1,0),FALSE),0)</f>
        <v>0</v>
      </c>
      <c r="M630">
        <f>IFERROR(VLOOKUP($K630,Base_Atividades!$E$1:$N$2398,MATCH(BancoAjustado!M$1,Base_Atividades!$E$1:$N$1,0),FALSE),0)</f>
        <v>0</v>
      </c>
      <c r="N630">
        <f>IFERROR(VLOOKUP($K630,Base_Atividades!$E$1:$N$2398,MATCH(BancoAjustado!N$1,Base_Atividades!$E$1:$N$1,0),FALSE),0)</f>
        <v>0</v>
      </c>
    </row>
    <row r="631" spans="1:14" x14ac:dyDescent="0.25">
      <c r="A631" t="s">
        <v>2965</v>
      </c>
      <c r="B631">
        <v>43</v>
      </c>
      <c r="C631" t="s">
        <v>3001</v>
      </c>
      <c r="D631" t="s">
        <v>3002</v>
      </c>
      <c r="E631" t="s">
        <v>3004</v>
      </c>
      <c r="F631" t="str">
        <f>VLOOKUP(A631,Base!$A:$F,6,FALSE)</f>
        <v>CONSTRUÇÃO</v>
      </c>
      <c r="G631" t="str">
        <f>VLOOKUP(B631,Base!$B:$F,5,FALSE)</f>
        <v>SERVIÇOS ESPECIALIZADOS PARA CONSTRUÇÃO</v>
      </c>
      <c r="H631" t="str">
        <f>VLOOKUP(C631,Base!$C:$F,4,FALSE)</f>
        <v>Demolição e preparação do terreno</v>
      </c>
      <c r="I631" t="str">
        <f>VLOOKUP(D631,Base!$D:$F,3,FALSE)</f>
        <v>Demolição e preparação de canteiros de obras</v>
      </c>
      <c r="J631" t="str">
        <f>VLOOKUP(E631,Base!$E:$F,2,FALSE)</f>
        <v>Preparação de canteiro e limpeza de terreno</v>
      </c>
      <c r="K631" t="s">
        <v>3004</v>
      </c>
      <c r="L631">
        <f>IFERROR(VLOOKUP($K631,Base_Atividades!$E$1:$N$2398,MATCH(BancoAjustado!L$1,Base_Atividades!$E$1:$N$1,0),FALSE),0)</f>
        <v>0</v>
      </c>
      <c r="M631">
        <f>IFERROR(VLOOKUP($K631,Base_Atividades!$E$1:$N$2398,MATCH(BancoAjustado!M$1,Base_Atividades!$E$1:$N$1,0),FALSE),0)</f>
        <v>0</v>
      </c>
      <c r="N631">
        <f>IFERROR(VLOOKUP($K631,Base_Atividades!$E$1:$N$2398,MATCH(BancoAjustado!N$1,Base_Atividades!$E$1:$N$1,0),FALSE),0)</f>
        <v>0</v>
      </c>
    </row>
    <row r="632" spans="1:14" x14ac:dyDescent="0.25">
      <c r="A632" t="s">
        <v>2965</v>
      </c>
      <c r="B632">
        <v>43</v>
      </c>
      <c r="C632" t="s">
        <v>3001</v>
      </c>
      <c r="D632" t="s">
        <v>3005</v>
      </c>
      <c r="E632" t="s">
        <v>3006</v>
      </c>
      <c r="F632" t="str">
        <f>VLOOKUP(A632,Base!$A:$F,6,FALSE)</f>
        <v>CONSTRUÇÃO</v>
      </c>
      <c r="G632" t="str">
        <f>VLOOKUP(B632,Base!$B:$F,5,FALSE)</f>
        <v>SERVIÇOS ESPECIALIZADOS PARA CONSTRUÇÃO</v>
      </c>
      <c r="H632" t="str">
        <f>VLOOKUP(C632,Base!$C:$F,4,FALSE)</f>
        <v>Demolição e preparação do terreno</v>
      </c>
      <c r="I632" t="str">
        <f>VLOOKUP(D632,Base!$D:$F,3,FALSE)</f>
        <v>Perfurações e sondagens</v>
      </c>
      <c r="J632" t="str">
        <f>VLOOKUP(E632,Base!$E:$F,2,FALSE)</f>
        <v>Perfurações e sondagens</v>
      </c>
      <c r="K632" t="s">
        <v>3006</v>
      </c>
      <c r="L632">
        <f>IFERROR(VLOOKUP($K632,Base_Atividades!$E$1:$N$2398,MATCH(BancoAjustado!L$1,Base_Atividades!$E$1:$N$1,0),FALSE),0)</f>
        <v>0</v>
      </c>
      <c r="M632">
        <f>IFERROR(VLOOKUP($K632,Base_Atividades!$E$1:$N$2398,MATCH(BancoAjustado!M$1,Base_Atividades!$E$1:$N$1,0),FALSE),0)</f>
        <v>0</v>
      </c>
      <c r="N632">
        <f>IFERROR(VLOOKUP($K632,Base_Atividades!$E$1:$N$2398,MATCH(BancoAjustado!N$1,Base_Atividades!$E$1:$N$1,0),FALSE),0)</f>
        <v>0</v>
      </c>
    </row>
    <row r="633" spans="1:14" x14ac:dyDescent="0.25">
      <c r="A633" t="s">
        <v>2965</v>
      </c>
      <c r="B633">
        <v>43</v>
      </c>
      <c r="C633" t="s">
        <v>3001</v>
      </c>
      <c r="D633" t="s">
        <v>3007</v>
      </c>
      <c r="E633" t="s">
        <v>3008</v>
      </c>
      <c r="F633" t="str">
        <f>VLOOKUP(A633,Base!$A:$F,6,FALSE)</f>
        <v>CONSTRUÇÃO</v>
      </c>
      <c r="G633" t="str">
        <f>VLOOKUP(B633,Base!$B:$F,5,FALSE)</f>
        <v>SERVIÇOS ESPECIALIZADOS PARA CONSTRUÇÃO</v>
      </c>
      <c r="H633" t="str">
        <f>VLOOKUP(C633,Base!$C:$F,4,FALSE)</f>
        <v>Demolição e preparação do terreno</v>
      </c>
      <c r="I633" t="str">
        <f>VLOOKUP(D633,Base!$D:$F,3,FALSE)</f>
        <v>Obras de terraplenagem</v>
      </c>
      <c r="J633" t="str">
        <f>VLOOKUP(E633,Base!$E:$F,2,FALSE)</f>
        <v>Obras de terraplenagem</v>
      </c>
      <c r="K633" t="s">
        <v>3008</v>
      </c>
      <c r="L633">
        <f>IFERROR(VLOOKUP($K633,Base_Atividades!$E$1:$N$2398,MATCH(BancoAjustado!L$1,Base_Atividades!$E$1:$N$1,0),FALSE),0)</f>
        <v>0</v>
      </c>
      <c r="M633">
        <f>IFERROR(VLOOKUP($K633,Base_Atividades!$E$1:$N$2398,MATCH(BancoAjustado!M$1,Base_Atividades!$E$1:$N$1,0),FALSE),0)</f>
        <v>0</v>
      </c>
      <c r="N633">
        <f>IFERROR(VLOOKUP($K633,Base_Atividades!$E$1:$N$2398,MATCH(BancoAjustado!N$1,Base_Atividades!$E$1:$N$1,0),FALSE),0)</f>
        <v>0</v>
      </c>
    </row>
    <row r="634" spans="1:14" x14ac:dyDescent="0.25">
      <c r="A634" t="s">
        <v>2965</v>
      </c>
      <c r="B634">
        <v>43</v>
      </c>
      <c r="C634" t="s">
        <v>3001</v>
      </c>
      <c r="D634" t="s">
        <v>3009</v>
      </c>
      <c r="E634" t="s">
        <v>3010</v>
      </c>
      <c r="F634" t="str">
        <f>VLOOKUP(A634,Base!$A:$F,6,FALSE)</f>
        <v>CONSTRUÇÃO</v>
      </c>
      <c r="G634" t="str">
        <f>VLOOKUP(B634,Base!$B:$F,5,FALSE)</f>
        <v>SERVIÇOS ESPECIALIZADOS PARA CONSTRUÇÃO</v>
      </c>
      <c r="H634" t="str">
        <f>VLOOKUP(C634,Base!$C:$F,4,FALSE)</f>
        <v>Demolição e preparação do terreno</v>
      </c>
      <c r="I634" t="str">
        <f>VLOOKUP(D634,Base!$D:$F,3,FALSE)</f>
        <v>Serviços de preparação do terreno não especificados anteriormente</v>
      </c>
      <c r="J634" t="str">
        <f>VLOOKUP(E634,Base!$E:$F,2,FALSE)</f>
        <v>Serviços de preparação do terreno não especificados anteriormente</v>
      </c>
      <c r="K634" t="s">
        <v>3010</v>
      </c>
      <c r="L634">
        <f>IFERROR(VLOOKUP($K634,Base_Atividades!$E$1:$N$2398,MATCH(BancoAjustado!L$1,Base_Atividades!$E$1:$N$1,0),FALSE),0)</f>
        <v>0</v>
      </c>
      <c r="M634">
        <f>IFERROR(VLOOKUP($K634,Base_Atividades!$E$1:$N$2398,MATCH(BancoAjustado!M$1,Base_Atividades!$E$1:$N$1,0),FALSE),0)</f>
        <v>0</v>
      </c>
      <c r="N634">
        <f>IFERROR(VLOOKUP($K634,Base_Atividades!$E$1:$N$2398,MATCH(BancoAjustado!N$1,Base_Atividades!$E$1:$N$1,0),FALSE),0)</f>
        <v>0</v>
      </c>
    </row>
    <row r="635" spans="1:14" x14ac:dyDescent="0.25">
      <c r="A635" t="s">
        <v>2965</v>
      </c>
      <c r="B635">
        <v>43</v>
      </c>
      <c r="C635" t="s">
        <v>3011</v>
      </c>
      <c r="D635" t="s">
        <v>3012</v>
      </c>
      <c r="E635" t="s">
        <v>3013</v>
      </c>
      <c r="F635" t="str">
        <f>VLOOKUP(A635,Base!$A:$F,6,FALSE)</f>
        <v>CONSTRUÇÃO</v>
      </c>
      <c r="G635" t="str">
        <f>VLOOKUP(B635,Base!$B:$F,5,FALSE)</f>
        <v>SERVIÇOS ESPECIALIZADOS PARA CONSTRUÇÃO</v>
      </c>
      <c r="H635" t="str">
        <f>VLOOKUP(C635,Base!$C:$F,4,FALSE)</f>
        <v>Instalações elétricas, hidráulicas e outras instalações em construções</v>
      </c>
      <c r="I635" t="str">
        <f>VLOOKUP(D635,Base!$D:$F,3,FALSE)</f>
        <v>Instalações elétricas</v>
      </c>
      <c r="J635" t="str">
        <f>VLOOKUP(E635,Base!$E:$F,2,FALSE)</f>
        <v>Instalação e manutenção elétrica</v>
      </c>
      <c r="K635" t="s">
        <v>3013</v>
      </c>
      <c r="L635">
        <f>IFERROR(VLOOKUP($K635,Base_Atividades!$E$1:$N$2398,MATCH(BancoAjustado!L$1,Base_Atividades!$E$1:$N$1,0),FALSE),0)</f>
        <v>0</v>
      </c>
      <c r="M635">
        <f>IFERROR(VLOOKUP($K635,Base_Atividades!$E$1:$N$2398,MATCH(BancoAjustado!M$1,Base_Atividades!$E$1:$N$1,0),FALSE),0)</f>
        <v>0</v>
      </c>
      <c r="N635">
        <f>IFERROR(VLOOKUP($K635,Base_Atividades!$E$1:$N$2398,MATCH(BancoAjustado!N$1,Base_Atividades!$E$1:$N$1,0),FALSE),0)</f>
        <v>0</v>
      </c>
    </row>
    <row r="636" spans="1:14" x14ac:dyDescent="0.25">
      <c r="A636" t="s">
        <v>2965</v>
      </c>
      <c r="B636">
        <v>43</v>
      </c>
      <c r="C636" t="s">
        <v>3011</v>
      </c>
      <c r="D636" t="s">
        <v>3014</v>
      </c>
      <c r="E636" t="s">
        <v>3015</v>
      </c>
      <c r="F636" t="str">
        <f>VLOOKUP(A636,Base!$A:$F,6,FALSE)</f>
        <v>CONSTRUÇÃO</v>
      </c>
      <c r="G636" t="str">
        <f>VLOOKUP(B636,Base!$B:$F,5,FALSE)</f>
        <v>SERVIÇOS ESPECIALIZADOS PARA CONSTRUÇÃO</v>
      </c>
      <c r="H636" t="str">
        <f>VLOOKUP(C636,Base!$C:$F,4,FALSE)</f>
        <v>Instalações elétricas, hidráulicas e outras instalações em construções</v>
      </c>
      <c r="I636" t="str">
        <f>VLOOKUP(D636,Base!$D:$F,3,FALSE)</f>
        <v>Instalações hidráulicas, de sistemas de ventilação e
refrigeração</v>
      </c>
      <c r="J636" t="str">
        <f>VLOOKUP(E636,Base!$E:$F,2,FALSE)</f>
        <v>Instalações hidráulicas, sanitárias e de gás</v>
      </c>
      <c r="K636" t="s">
        <v>3015</v>
      </c>
      <c r="L636">
        <f>IFERROR(VLOOKUP($K636,Base_Atividades!$E$1:$N$2398,MATCH(BancoAjustado!L$1,Base_Atividades!$E$1:$N$1,0),FALSE),0)</f>
        <v>0</v>
      </c>
      <c r="M636">
        <f>IFERROR(VLOOKUP($K636,Base_Atividades!$E$1:$N$2398,MATCH(BancoAjustado!M$1,Base_Atividades!$E$1:$N$1,0),FALSE),0)</f>
        <v>0</v>
      </c>
      <c r="N636">
        <f>IFERROR(VLOOKUP($K636,Base_Atividades!$E$1:$N$2398,MATCH(BancoAjustado!N$1,Base_Atividades!$E$1:$N$1,0),FALSE),0)</f>
        <v>0</v>
      </c>
    </row>
    <row r="637" spans="1:14" x14ac:dyDescent="0.25">
      <c r="A637" t="s">
        <v>2965</v>
      </c>
      <c r="B637">
        <v>43</v>
      </c>
      <c r="C637" t="s">
        <v>3011</v>
      </c>
      <c r="D637" t="s">
        <v>3014</v>
      </c>
      <c r="E637" t="s">
        <v>3016</v>
      </c>
      <c r="F637" t="str">
        <f>VLOOKUP(A637,Base!$A:$F,6,FALSE)</f>
        <v>CONSTRUÇÃO</v>
      </c>
      <c r="G637" t="str">
        <f>VLOOKUP(B637,Base!$B:$F,5,FALSE)</f>
        <v>SERVIÇOS ESPECIALIZADOS PARA CONSTRUÇÃO</v>
      </c>
      <c r="H637" t="str">
        <f>VLOOKUP(C637,Base!$C:$F,4,FALSE)</f>
        <v>Instalações elétricas, hidráulicas e outras instalações em construções</v>
      </c>
      <c r="I637" t="str">
        <f>VLOOKUP(D637,Base!$D:$F,3,FALSE)</f>
        <v>Instalações hidráulicas, de sistemas de ventilação e
refrigeração</v>
      </c>
      <c r="J637" t="str">
        <f>VLOOKUP(E637,Base!$E:$F,2,FALSE)</f>
        <v>Instalação e manutenção de sistemas centrais de ar condicionado, de ventilação e refrigeração</v>
      </c>
      <c r="K637" t="s">
        <v>3016</v>
      </c>
      <c r="L637">
        <f>IFERROR(VLOOKUP($K637,Base_Atividades!$E$1:$N$2398,MATCH(BancoAjustado!L$1,Base_Atividades!$E$1:$N$1,0),FALSE),0)</f>
        <v>0</v>
      </c>
      <c r="M637">
        <f>IFERROR(VLOOKUP($K637,Base_Atividades!$E$1:$N$2398,MATCH(BancoAjustado!M$1,Base_Atividades!$E$1:$N$1,0),FALSE),0)</f>
        <v>0</v>
      </c>
      <c r="N637">
        <f>IFERROR(VLOOKUP($K637,Base_Atividades!$E$1:$N$2398,MATCH(BancoAjustado!N$1,Base_Atividades!$E$1:$N$1,0),FALSE),0)</f>
        <v>0</v>
      </c>
    </row>
    <row r="638" spans="1:14" x14ac:dyDescent="0.25">
      <c r="A638" t="s">
        <v>2965</v>
      </c>
      <c r="B638">
        <v>43</v>
      </c>
      <c r="C638" t="s">
        <v>3011</v>
      </c>
      <c r="D638" t="s">
        <v>3014</v>
      </c>
      <c r="E638" t="s">
        <v>3017</v>
      </c>
      <c r="F638" t="str">
        <f>VLOOKUP(A638,Base!$A:$F,6,FALSE)</f>
        <v>CONSTRUÇÃO</v>
      </c>
      <c r="G638" t="str">
        <f>VLOOKUP(B638,Base!$B:$F,5,FALSE)</f>
        <v>SERVIÇOS ESPECIALIZADOS PARA CONSTRUÇÃO</v>
      </c>
      <c r="H638" t="str">
        <f>VLOOKUP(C638,Base!$C:$F,4,FALSE)</f>
        <v>Instalações elétricas, hidráulicas e outras instalações em construções</v>
      </c>
      <c r="I638" t="str">
        <f>VLOOKUP(D638,Base!$D:$F,3,FALSE)</f>
        <v>Instalações hidráulicas, de sistemas de ventilação e
refrigeração</v>
      </c>
      <c r="J638" t="str">
        <f>VLOOKUP(E638,Base!$E:$F,2,FALSE)</f>
        <v>Instalações de sistema de prevenção contra incêndio</v>
      </c>
      <c r="K638" t="s">
        <v>3017</v>
      </c>
      <c r="L638">
        <f>IFERROR(VLOOKUP($K638,Base_Atividades!$E$1:$N$2398,MATCH(BancoAjustado!L$1,Base_Atividades!$E$1:$N$1,0),FALSE),0)</f>
        <v>0</v>
      </c>
      <c r="M638">
        <f>IFERROR(VLOOKUP($K638,Base_Atividades!$E$1:$N$2398,MATCH(BancoAjustado!M$1,Base_Atividades!$E$1:$N$1,0),FALSE),0)</f>
        <v>0</v>
      </c>
      <c r="N638">
        <f>IFERROR(VLOOKUP($K638,Base_Atividades!$E$1:$N$2398,MATCH(BancoAjustado!N$1,Base_Atividades!$E$1:$N$1,0),FALSE),0)</f>
        <v>0</v>
      </c>
    </row>
    <row r="639" spans="1:14" x14ac:dyDescent="0.25">
      <c r="A639" t="s">
        <v>2965</v>
      </c>
      <c r="B639">
        <v>43</v>
      </c>
      <c r="C639" t="s">
        <v>3011</v>
      </c>
      <c r="D639" t="s">
        <v>3018</v>
      </c>
      <c r="E639" t="s">
        <v>3019</v>
      </c>
      <c r="F639" t="str">
        <f>VLOOKUP(A639,Base!$A:$F,6,FALSE)</f>
        <v>CONSTRUÇÃO</v>
      </c>
      <c r="G639" t="str">
        <f>VLOOKUP(B639,Base!$B:$F,5,FALSE)</f>
        <v>SERVIÇOS ESPECIALIZADOS PARA CONSTRUÇÃO</v>
      </c>
      <c r="H639" t="str">
        <f>VLOOKUP(C639,Base!$C:$F,4,FALSE)</f>
        <v>Instalações elétricas, hidráulicas e outras instalações em construções</v>
      </c>
      <c r="I639" t="str">
        <f>VLOOKUP(D639,Base!$D:$F,3,FALSE)</f>
        <v>Obras de instalações em construções não especificadas anteriormente</v>
      </c>
      <c r="J639" t="str">
        <f>VLOOKUP(E639,Base!$E:$F,2,FALSE)</f>
        <v>Instalação de painéis publicitários</v>
      </c>
      <c r="K639" t="s">
        <v>3019</v>
      </c>
      <c r="L639">
        <f>IFERROR(VLOOKUP($K639,Base_Atividades!$E$1:$N$2398,MATCH(BancoAjustado!L$1,Base_Atividades!$E$1:$N$1,0),FALSE),0)</f>
        <v>0</v>
      </c>
      <c r="M639">
        <f>IFERROR(VLOOKUP($K639,Base_Atividades!$E$1:$N$2398,MATCH(BancoAjustado!M$1,Base_Atividades!$E$1:$N$1,0),FALSE),0)</f>
        <v>0</v>
      </c>
      <c r="N639">
        <f>IFERROR(VLOOKUP($K639,Base_Atividades!$E$1:$N$2398,MATCH(BancoAjustado!N$1,Base_Atividades!$E$1:$N$1,0),FALSE),0)</f>
        <v>0</v>
      </c>
    </row>
    <row r="640" spans="1:14" x14ac:dyDescent="0.25">
      <c r="A640" t="s">
        <v>2965</v>
      </c>
      <c r="B640">
        <v>43</v>
      </c>
      <c r="C640" t="s">
        <v>3011</v>
      </c>
      <c r="D640" t="s">
        <v>3018</v>
      </c>
      <c r="E640" t="s">
        <v>3020</v>
      </c>
      <c r="F640" t="str">
        <f>VLOOKUP(A640,Base!$A:$F,6,FALSE)</f>
        <v>CONSTRUÇÃO</v>
      </c>
      <c r="G640" t="str">
        <f>VLOOKUP(B640,Base!$B:$F,5,FALSE)</f>
        <v>SERVIÇOS ESPECIALIZADOS PARA CONSTRUÇÃO</v>
      </c>
      <c r="H640" t="str">
        <f>VLOOKUP(C640,Base!$C:$F,4,FALSE)</f>
        <v>Instalações elétricas, hidráulicas e outras instalações em construções</v>
      </c>
      <c r="I640" t="str">
        <f>VLOOKUP(D640,Base!$D:$F,3,FALSE)</f>
        <v>Obras de instalações em construções não especificadas anteriormente</v>
      </c>
      <c r="J640" t="str">
        <f>VLOOKUP(E640,Base!$E:$F,2,FALSE)</f>
        <v>Instalação de equipamentos para orientação à navegação marítima, fluvial e lacustre</v>
      </c>
      <c r="K640" t="s">
        <v>3020</v>
      </c>
      <c r="L640">
        <f>IFERROR(VLOOKUP($K640,Base_Atividades!$E$1:$N$2398,MATCH(BancoAjustado!L$1,Base_Atividades!$E$1:$N$1,0),FALSE),0)</f>
        <v>0</v>
      </c>
      <c r="M640">
        <f>IFERROR(VLOOKUP($K640,Base_Atividades!$E$1:$N$2398,MATCH(BancoAjustado!M$1,Base_Atividades!$E$1:$N$1,0),FALSE),0)</f>
        <v>0</v>
      </c>
      <c r="N640">
        <f>IFERROR(VLOOKUP($K640,Base_Atividades!$E$1:$N$2398,MATCH(BancoAjustado!N$1,Base_Atividades!$E$1:$N$1,0),FALSE),0)</f>
        <v>0</v>
      </c>
    </row>
    <row r="641" spans="1:14" x14ac:dyDescent="0.25">
      <c r="A641" t="s">
        <v>2965</v>
      </c>
      <c r="B641">
        <v>43</v>
      </c>
      <c r="C641" t="s">
        <v>3011</v>
      </c>
      <c r="D641" t="s">
        <v>3018</v>
      </c>
      <c r="E641" t="s">
        <v>3021</v>
      </c>
      <c r="F641" t="str">
        <f>VLOOKUP(A641,Base!$A:$F,6,FALSE)</f>
        <v>CONSTRUÇÃO</v>
      </c>
      <c r="G641" t="str">
        <f>VLOOKUP(B641,Base!$B:$F,5,FALSE)</f>
        <v>SERVIÇOS ESPECIALIZADOS PARA CONSTRUÇÃO</v>
      </c>
      <c r="H641" t="str">
        <f>VLOOKUP(C641,Base!$C:$F,4,FALSE)</f>
        <v>Instalações elétricas, hidráulicas e outras instalações em construções</v>
      </c>
      <c r="I641" t="str">
        <f>VLOOKUP(D641,Base!$D:$F,3,FALSE)</f>
        <v>Obras de instalações em construções não especificadas anteriormente</v>
      </c>
      <c r="J641" t="str">
        <f>VLOOKUP(E641,Base!$E:$F,2,FALSE)</f>
        <v>Instalação, manutenção e reparação de elevadores, escadas e esteiras rolantes</v>
      </c>
      <c r="K641" t="s">
        <v>3021</v>
      </c>
      <c r="L641">
        <f>IFERROR(VLOOKUP($K641,Base_Atividades!$E$1:$N$2398,MATCH(BancoAjustado!L$1,Base_Atividades!$E$1:$N$1,0),FALSE),0)</f>
        <v>0</v>
      </c>
      <c r="M641">
        <f>IFERROR(VLOOKUP($K641,Base_Atividades!$E$1:$N$2398,MATCH(BancoAjustado!M$1,Base_Atividades!$E$1:$N$1,0),FALSE),0)</f>
        <v>0</v>
      </c>
      <c r="N641">
        <f>IFERROR(VLOOKUP($K641,Base_Atividades!$E$1:$N$2398,MATCH(BancoAjustado!N$1,Base_Atividades!$E$1:$N$1,0),FALSE),0)</f>
        <v>0</v>
      </c>
    </row>
    <row r="642" spans="1:14" x14ac:dyDescent="0.25">
      <c r="A642" t="s">
        <v>2965</v>
      </c>
      <c r="B642">
        <v>43</v>
      </c>
      <c r="C642" t="s">
        <v>3011</v>
      </c>
      <c r="D642" t="s">
        <v>3018</v>
      </c>
      <c r="E642" t="s">
        <v>3022</v>
      </c>
      <c r="F642" t="str">
        <f>VLOOKUP(A642,Base!$A:$F,6,FALSE)</f>
        <v>CONSTRUÇÃO</v>
      </c>
      <c r="G642" t="str">
        <f>VLOOKUP(B642,Base!$B:$F,5,FALSE)</f>
        <v>SERVIÇOS ESPECIALIZADOS PARA CONSTRUÇÃO</v>
      </c>
      <c r="H642" t="str">
        <f>VLOOKUP(C642,Base!$C:$F,4,FALSE)</f>
        <v>Instalações elétricas, hidráulicas e outras instalações em construções</v>
      </c>
      <c r="I642" t="str">
        <f>VLOOKUP(D642,Base!$D:$F,3,FALSE)</f>
        <v>Obras de instalações em construções não especificadas anteriormente</v>
      </c>
      <c r="J642" t="str">
        <f>VLOOKUP(E642,Base!$E:$F,2,FALSE)</f>
        <v>Montagem e instalação de sistemas e equipamentos de iluminação e sinalização em vias públicas, portos e aeroportos</v>
      </c>
      <c r="K642" t="s">
        <v>3022</v>
      </c>
      <c r="L642">
        <f>IFERROR(VLOOKUP($K642,Base_Atividades!$E$1:$N$2398,MATCH(BancoAjustado!L$1,Base_Atividades!$E$1:$N$1,0),FALSE),0)</f>
        <v>0</v>
      </c>
      <c r="M642">
        <f>IFERROR(VLOOKUP($K642,Base_Atividades!$E$1:$N$2398,MATCH(BancoAjustado!M$1,Base_Atividades!$E$1:$N$1,0),FALSE),0)</f>
        <v>0</v>
      </c>
      <c r="N642">
        <f>IFERROR(VLOOKUP($K642,Base_Atividades!$E$1:$N$2398,MATCH(BancoAjustado!N$1,Base_Atividades!$E$1:$N$1,0),FALSE),0)</f>
        <v>0</v>
      </c>
    </row>
    <row r="643" spans="1:14" x14ac:dyDescent="0.25">
      <c r="A643" t="s">
        <v>2965</v>
      </c>
      <c r="B643">
        <v>43</v>
      </c>
      <c r="C643" t="s">
        <v>3011</v>
      </c>
      <c r="D643" t="s">
        <v>3018</v>
      </c>
      <c r="E643" t="s">
        <v>3023</v>
      </c>
      <c r="F643" t="str">
        <f>VLOOKUP(A643,Base!$A:$F,6,FALSE)</f>
        <v>CONSTRUÇÃO</v>
      </c>
      <c r="G643" t="str">
        <f>VLOOKUP(B643,Base!$B:$F,5,FALSE)</f>
        <v>SERVIÇOS ESPECIALIZADOS PARA CONSTRUÇÃO</v>
      </c>
      <c r="H643" t="str">
        <f>VLOOKUP(C643,Base!$C:$F,4,FALSE)</f>
        <v>Instalações elétricas, hidráulicas e outras instalações em construções</v>
      </c>
      <c r="I643" t="str">
        <f>VLOOKUP(D643,Base!$D:$F,3,FALSE)</f>
        <v>Obras de instalações em construções não especificadas anteriormente</v>
      </c>
      <c r="J643" t="str">
        <f>VLOOKUP(E643,Base!$E:$F,2,FALSE)</f>
        <v>Tratamentos térmicos, acústicos ou de vibração</v>
      </c>
      <c r="K643" t="s">
        <v>3023</v>
      </c>
      <c r="L643">
        <f>IFERROR(VLOOKUP($K643,Base_Atividades!$E$1:$N$2398,MATCH(BancoAjustado!L$1,Base_Atividades!$E$1:$N$1,0),FALSE),0)</f>
        <v>0</v>
      </c>
      <c r="M643">
        <f>IFERROR(VLOOKUP($K643,Base_Atividades!$E$1:$N$2398,MATCH(BancoAjustado!M$1,Base_Atividades!$E$1:$N$1,0),FALSE),0)</f>
        <v>0</v>
      </c>
      <c r="N643">
        <f>IFERROR(VLOOKUP($K643,Base_Atividades!$E$1:$N$2398,MATCH(BancoAjustado!N$1,Base_Atividades!$E$1:$N$1,0),FALSE),0)</f>
        <v>0</v>
      </c>
    </row>
    <row r="644" spans="1:14" x14ac:dyDescent="0.25">
      <c r="A644" t="s">
        <v>2965</v>
      </c>
      <c r="B644">
        <v>43</v>
      </c>
      <c r="C644" t="s">
        <v>3011</v>
      </c>
      <c r="D644" t="s">
        <v>3018</v>
      </c>
      <c r="E644" t="s">
        <v>3024</v>
      </c>
      <c r="F644" t="str">
        <f>VLOOKUP(A644,Base!$A:$F,6,FALSE)</f>
        <v>CONSTRUÇÃO</v>
      </c>
      <c r="G644" t="str">
        <f>VLOOKUP(B644,Base!$B:$F,5,FALSE)</f>
        <v>SERVIÇOS ESPECIALIZADOS PARA CONSTRUÇÃO</v>
      </c>
      <c r="H644" t="str">
        <f>VLOOKUP(C644,Base!$C:$F,4,FALSE)</f>
        <v>Instalações elétricas, hidráulicas e outras instalações em construções</v>
      </c>
      <c r="I644" t="str">
        <f>VLOOKUP(D644,Base!$D:$F,3,FALSE)</f>
        <v>Obras de instalações em construções não especificadas anteriormente</v>
      </c>
      <c r="J644" t="str">
        <f>VLOOKUP(E644,Base!$E:$F,2,FALSE)</f>
        <v>Outras obras de instalações em construções não especificadas anteriormente</v>
      </c>
      <c r="K644" t="s">
        <v>3024</v>
      </c>
      <c r="L644">
        <f>IFERROR(VLOOKUP($K644,Base_Atividades!$E$1:$N$2398,MATCH(BancoAjustado!L$1,Base_Atividades!$E$1:$N$1,0),FALSE),0)</f>
        <v>0</v>
      </c>
      <c r="M644">
        <f>IFERROR(VLOOKUP($K644,Base_Atividades!$E$1:$N$2398,MATCH(BancoAjustado!M$1,Base_Atividades!$E$1:$N$1,0),FALSE),0)</f>
        <v>0</v>
      </c>
      <c r="N644">
        <f>IFERROR(VLOOKUP($K644,Base_Atividades!$E$1:$N$2398,MATCH(BancoAjustado!N$1,Base_Atividades!$E$1:$N$1,0),FALSE),0)</f>
        <v>0</v>
      </c>
    </row>
    <row r="645" spans="1:14" x14ac:dyDescent="0.25">
      <c r="A645" t="s">
        <v>2965</v>
      </c>
      <c r="B645">
        <v>43</v>
      </c>
      <c r="C645" t="s">
        <v>3025</v>
      </c>
      <c r="D645" t="s">
        <v>3026</v>
      </c>
      <c r="E645" t="s">
        <v>3027</v>
      </c>
      <c r="F645" t="str">
        <f>VLOOKUP(A645,Base!$A:$F,6,FALSE)</f>
        <v>CONSTRUÇÃO</v>
      </c>
      <c r="G645" t="str">
        <f>VLOOKUP(B645,Base!$B:$F,5,FALSE)</f>
        <v>SERVIÇOS ESPECIALIZADOS PARA CONSTRUÇÃO</v>
      </c>
      <c r="H645" t="str">
        <f>VLOOKUP(C645,Base!$C:$F,4,FALSE)</f>
        <v>Obras de acabamento</v>
      </c>
      <c r="I645" t="str">
        <f>VLOOKUP(D645,Base!$D:$F,3,FALSE)</f>
        <v>Obras de acabamento</v>
      </c>
      <c r="J645" t="str">
        <f>VLOOKUP(E645,Base!$E:$F,2,FALSE)</f>
        <v>Impermeabilização em obras de engenharia civil</v>
      </c>
      <c r="K645" t="s">
        <v>3027</v>
      </c>
      <c r="L645">
        <f>IFERROR(VLOOKUP($K645,Base_Atividades!$E$1:$N$2398,MATCH(BancoAjustado!L$1,Base_Atividades!$E$1:$N$1,0),FALSE),0)</f>
        <v>0</v>
      </c>
      <c r="M645">
        <f>IFERROR(VLOOKUP($K645,Base_Atividades!$E$1:$N$2398,MATCH(BancoAjustado!M$1,Base_Atividades!$E$1:$N$1,0),FALSE),0)</f>
        <v>0</v>
      </c>
      <c r="N645">
        <f>IFERROR(VLOOKUP($K645,Base_Atividades!$E$1:$N$2398,MATCH(BancoAjustado!N$1,Base_Atividades!$E$1:$N$1,0),FALSE),0)</f>
        <v>0</v>
      </c>
    </row>
    <row r="646" spans="1:14" x14ac:dyDescent="0.25">
      <c r="A646" t="s">
        <v>2965</v>
      </c>
      <c r="B646">
        <v>43</v>
      </c>
      <c r="C646" t="s">
        <v>3025</v>
      </c>
      <c r="D646" t="s">
        <v>3026</v>
      </c>
      <c r="E646" t="s">
        <v>3028</v>
      </c>
      <c r="F646" t="str">
        <f>VLOOKUP(A646,Base!$A:$F,6,FALSE)</f>
        <v>CONSTRUÇÃO</v>
      </c>
      <c r="G646" t="str">
        <f>VLOOKUP(B646,Base!$B:$F,5,FALSE)</f>
        <v>SERVIÇOS ESPECIALIZADOS PARA CONSTRUÇÃO</v>
      </c>
      <c r="H646" t="str">
        <f>VLOOKUP(C646,Base!$C:$F,4,FALSE)</f>
        <v>Obras de acabamento</v>
      </c>
      <c r="I646" t="str">
        <f>VLOOKUP(D646,Base!$D:$F,3,FALSE)</f>
        <v>Obras de acabamento</v>
      </c>
      <c r="J646" t="str">
        <f>VLOOKUP(E646,Base!$E:$F,2,FALSE)</f>
        <v>Instalação de portas, janelas, tetos, divisórias e armários embutidos de qualquer material</v>
      </c>
      <c r="K646" t="s">
        <v>3028</v>
      </c>
      <c r="L646">
        <f>IFERROR(VLOOKUP($K646,Base_Atividades!$E$1:$N$2398,MATCH(BancoAjustado!L$1,Base_Atividades!$E$1:$N$1,0),FALSE),0)</f>
        <v>0</v>
      </c>
      <c r="M646">
        <f>IFERROR(VLOOKUP($K646,Base_Atividades!$E$1:$N$2398,MATCH(BancoAjustado!M$1,Base_Atividades!$E$1:$N$1,0),FALSE),0)</f>
        <v>0</v>
      </c>
      <c r="N646">
        <f>IFERROR(VLOOKUP($K646,Base_Atividades!$E$1:$N$2398,MATCH(BancoAjustado!N$1,Base_Atividades!$E$1:$N$1,0),FALSE),0)</f>
        <v>0</v>
      </c>
    </row>
    <row r="647" spans="1:14" x14ac:dyDescent="0.25">
      <c r="A647" t="s">
        <v>2965</v>
      </c>
      <c r="B647">
        <v>43</v>
      </c>
      <c r="C647" t="s">
        <v>3025</v>
      </c>
      <c r="D647" t="s">
        <v>3026</v>
      </c>
      <c r="E647" t="s">
        <v>3029</v>
      </c>
      <c r="F647" t="str">
        <f>VLOOKUP(A647,Base!$A:$F,6,FALSE)</f>
        <v>CONSTRUÇÃO</v>
      </c>
      <c r="G647" t="str">
        <f>VLOOKUP(B647,Base!$B:$F,5,FALSE)</f>
        <v>SERVIÇOS ESPECIALIZADOS PARA CONSTRUÇÃO</v>
      </c>
      <c r="H647" t="str">
        <f>VLOOKUP(C647,Base!$C:$F,4,FALSE)</f>
        <v>Obras de acabamento</v>
      </c>
      <c r="I647" t="str">
        <f>VLOOKUP(D647,Base!$D:$F,3,FALSE)</f>
        <v>Obras de acabamento</v>
      </c>
      <c r="J647" t="str">
        <f>VLOOKUP(E647,Base!$E:$F,2,FALSE)</f>
        <v>Obras de acabamento em gesso e estuque</v>
      </c>
      <c r="K647" t="s">
        <v>3029</v>
      </c>
      <c r="L647">
        <f>IFERROR(VLOOKUP($K647,Base_Atividades!$E$1:$N$2398,MATCH(BancoAjustado!L$1,Base_Atividades!$E$1:$N$1,0),FALSE),0)</f>
        <v>0</v>
      </c>
      <c r="M647">
        <f>IFERROR(VLOOKUP($K647,Base_Atividades!$E$1:$N$2398,MATCH(BancoAjustado!M$1,Base_Atividades!$E$1:$N$1,0),FALSE),0)</f>
        <v>0</v>
      </c>
      <c r="N647">
        <f>IFERROR(VLOOKUP($K647,Base_Atividades!$E$1:$N$2398,MATCH(BancoAjustado!N$1,Base_Atividades!$E$1:$N$1,0),FALSE),0)</f>
        <v>0</v>
      </c>
    </row>
    <row r="648" spans="1:14" x14ac:dyDescent="0.25">
      <c r="A648" t="s">
        <v>2965</v>
      </c>
      <c r="B648">
        <v>43</v>
      </c>
      <c r="C648" t="s">
        <v>3025</v>
      </c>
      <c r="D648" t="s">
        <v>3026</v>
      </c>
      <c r="E648" t="s">
        <v>3030</v>
      </c>
      <c r="F648" t="str">
        <f>VLOOKUP(A648,Base!$A:$F,6,FALSE)</f>
        <v>CONSTRUÇÃO</v>
      </c>
      <c r="G648" t="str">
        <f>VLOOKUP(B648,Base!$B:$F,5,FALSE)</f>
        <v>SERVIÇOS ESPECIALIZADOS PARA CONSTRUÇÃO</v>
      </c>
      <c r="H648" t="str">
        <f>VLOOKUP(C648,Base!$C:$F,4,FALSE)</f>
        <v>Obras de acabamento</v>
      </c>
      <c r="I648" t="str">
        <f>VLOOKUP(D648,Base!$D:$F,3,FALSE)</f>
        <v>Obras de acabamento</v>
      </c>
      <c r="J648" t="str">
        <f>VLOOKUP(E648,Base!$E:$F,2,FALSE)</f>
        <v>Serviços de pintura de edifícios em geral</v>
      </c>
      <c r="K648" t="s">
        <v>3030</v>
      </c>
      <c r="L648">
        <f>IFERROR(VLOOKUP($K648,Base_Atividades!$E$1:$N$2398,MATCH(BancoAjustado!L$1,Base_Atividades!$E$1:$N$1,0),FALSE),0)</f>
        <v>0</v>
      </c>
      <c r="M648">
        <f>IFERROR(VLOOKUP($K648,Base_Atividades!$E$1:$N$2398,MATCH(BancoAjustado!M$1,Base_Atividades!$E$1:$N$1,0),FALSE),0)</f>
        <v>0</v>
      </c>
      <c r="N648">
        <f>IFERROR(VLOOKUP($K648,Base_Atividades!$E$1:$N$2398,MATCH(BancoAjustado!N$1,Base_Atividades!$E$1:$N$1,0),FALSE),0)</f>
        <v>0</v>
      </c>
    </row>
    <row r="649" spans="1:14" x14ac:dyDescent="0.25">
      <c r="A649" t="s">
        <v>2965</v>
      </c>
      <c r="B649">
        <v>43</v>
      </c>
      <c r="C649" t="s">
        <v>3025</v>
      </c>
      <c r="D649" t="s">
        <v>3026</v>
      </c>
      <c r="E649" t="s">
        <v>3031</v>
      </c>
      <c r="F649" t="str">
        <f>VLOOKUP(A649,Base!$A:$F,6,FALSE)</f>
        <v>CONSTRUÇÃO</v>
      </c>
      <c r="G649" t="str">
        <f>VLOOKUP(B649,Base!$B:$F,5,FALSE)</f>
        <v>SERVIÇOS ESPECIALIZADOS PARA CONSTRUÇÃO</v>
      </c>
      <c r="H649" t="str">
        <f>VLOOKUP(C649,Base!$C:$F,4,FALSE)</f>
        <v>Obras de acabamento</v>
      </c>
      <c r="I649" t="str">
        <f>VLOOKUP(D649,Base!$D:$F,3,FALSE)</f>
        <v>Obras de acabamento</v>
      </c>
      <c r="J649" t="str">
        <f>VLOOKUP(E649,Base!$E:$F,2,FALSE)</f>
        <v>Aplicação de revestimentos e de resinas em interiores e exteriores</v>
      </c>
      <c r="K649" t="s">
        <v>3031</v>
      </c>
      <c r="L649">
        <f>IFERROR(VLOOKUP($K649,Base_Atividades!$E$1:$N$2398,MATCH(BancoAjustado!L$1,Base_Atividades!$E$1:$N$1,0),FALSE),0)</f>
        <v>0</v>
      </c>
      <c r="M649">
        <f>IFERROR(VLOOKUP($K649,Base_Atividades!$E$1:$N$2398,MATCH(BancoAjustado!M$1,Base_Atividades!$E$1:$N$1,0),FALSE),0)</f>
        <v>0</v>
      </c>
      <c r="N649">
        <f>IFERROR(VLOOKUP($K649,Base_Atividades!$E$1:$N$2398,MATCH(BancoAjustado!N$1,Base_Atividades!$E$1:$N$1,0),FALSE),0)</f>
        <v>0</v>
      </c>
    </row>
    <row r="650" spans="1:14" x14ac:dyDescent="0.25">
      <c r="A650" t="s">
        <v>2965</v>
      </c>
      <c r="B650">
        <v>43</v>
      </c>
      <c r="C650" t="s">
        <v>3025</v>
      </c>
      <c r="D650" t="s">
        <v>3026</v>
      </c>
      <c r="E650" t="s">
        <v>3032</v>
      </c>
      <c r="F650" t="str">
        <f>VLOOKUP(A650,Base!$A:$F,6,FALSE)</f>
        <v>CONSTRUÇÃO</v>
      </c>
      <c r="G650" t="str">
        <f>VLOOKUP(B650,Base!$B:$F,5,FALSE)</f>
        <v>SERVIÇOS ESPECIALIZADOS PARA CONSTRUÇÃO</v>
      </c>
      <c r="H650" t="str">
        <f>VLOOKUP(C650,Base!$C:$F,4,FALSE)</f>
        <v>Obras de acabamento</v>
      </c>
      <c r="I650" t="str">
        <f>VLOOKUP(D650,Base!$D:$F,3,FALSE)</f>
        <v>Obras de acabamento</v>
      </c>
      <c r="J650" t="str">
        <f>VLOOKUP(E650,Base!$E:$F,2,FALSE)</f>
        <v>Outras obras de acabamento da construção</v>
      </c>
      <c r="K650" t="s">
        <v>3032</v>
      </c>
      <c r="L650">
        <f>IFERROR(VLOOKUP($K650,Base_Atividades!$E$1:$N$2398,MATCH(BancoAjustado!L$1,Base_Atividades!$E$1:$N$1,0),FALSE),0)</f>
        <v>0</v>
      </c>
      <c r="M650">
        <f>IFERROR(VLOOKUP($K650,Base_Atividades!$E$1:$N$2398,MATCH(BancoAjustado!M$1,Base_Atividades!$E$1:$N$1,0),FALSE),0)</f>
        <v>0</v>
      </c>
      <c r="N650">
        <f>IFERROR(VLOOKUP($K650,Base_Atividades!$E$1:$N$2398,MATCH(BancoAjustado!N$1,Base_Atividades!$E$1:$N$1,0),FALSE),0)</f>
        <v>0</v>
      </c>
    </row>
    <row r="651" spans="1:14" x14ac:dyDescent="0.25">
      <c r="A651" t="s">
        <v>2965</v>
      </c>
      <c r="B651">
        <v>43</v>
      </c>
      <c r="C651" t="s">
        <v>3033</v>
      </c>
      <c r="D651" t="s">
        <v>3034</v>
      </c>
      <c r="E651" t="s">
        <v>3035</v>
      </c>
      <c r="F651" t="str">
        <f>VLOOKUP(A651,Base!$A:$F,6,FALSE)</f>
        <v>CONSTRUÇÃO</v>
      </c>
      <c r="G651" t="str">
        <f>VLOOKUP(B651,Base!$B:$F,5,FALSE)</f>
        <v>SERVIÇOS ESPECIALIZADOS PARA CONSTRUÇÃO</v>
      </c>
      <c r="H651" t="str">
        <f>VLOOKUP(C651,Base!$C:$F,4,FALSE)</f>
        <v>Outros serviços especializados para construção</v>
      </c>
      <c r="I651" t="str">
        <f>VLOOKUP(D651,Base!$D:$F,3,FALSE)</f>
        <v>Obras de fundações</v>
      </c>
      <c r="J651" t="str">
        <f>VLOOKUP(E651,Base!$E:$F,2,FALSE)</f>
        <v>Obras de fundações</v>
      </c>
      <c r="K651" t="s">
        <v>3035</v>
      </c>
      <c r="L651">
        <f>IFERROR(VLOOKUP($K651,Base_Atividades!$E$1:$N$2398,MATCH(BancoAjustado!L$1,Base_Atividades!$E$1:$N$1,0),FALSE),0)</f>
        <v>0</v>
      </c>
      <c r="M651">
        <f>IFERROR(VLOOKUP($K651,Base_Atividades!$E$1:$N$2398,MATCH(BancoAjustado!M$1,Base_Atividades!$E$1:$N$1,0),FALSE),0)</f>
        <v>0</v>
      </c>
      <c r="N651">
        <f>IFERROR(VLOOKUP($K651,Base_Atividades!$E$1:$N$2398,MATCH(BancoAjustado!N$1,Base_Atividades!$E$1:$N$1,0),FALSE),0)</f>
        <v>0</v>
      </c>
    </row>
    <row r="652" spans="1:14" x14ac:dyDescent="0.25">
      <c r="A652" t="s">
        <v>2965</v>
      </c>
      <c r="B652">
        <v>43</v>
      </c>
      <c r="C652" t="s">
        <v>3033</v>
      </c>
      <c r="D652" t="s">
        <v>3036</v>
      </c>
      <c r="E652" t="s">
        <v>3037</v>
      </c>
      <c r="F652" t="str">
        <f>VLOOKUP(A652,Base!$A:$F,6,FALSE)</f>
        <v>CONSTRUÇÃO</v>
      </c>
      <c r="G652" t="str">
        <f>VLOOKUP(B652,Base!$B:$F,5,FALSE)</f>
        <v>SERVIÇOS ESPECIALIZADOS PARA CONSTRUÇÃO</v>
      </c>
      <c r="H652" t="str">
        <f>VLOOKUP(C652,Base!$C:$F,4,FALSE)</f>
        <v>Outros serviços especializados para construção</v>
      </c>
      <c r="I652" t="str">
        <f>VLOOKUP(D652,Base!$D:$F,3,FALSE)</f>
        <v>Serviços especializados para construção não especificados anteriormente</v>
      </c>
      <c r="J652" t="str">
        <f>VLOOKUP(E652,Base!$E:$F,2,FALSE)</f>
        <v>Administração de obras</v>
      </c>
      <c r="K652" t="s">
        <v>3037</v>
      </c>
      <c r="L652">
        <f>IFERROR(VLOOKUP($K652,Base_Atividades!$E$1:$N$2398,MATCH(BancoAjustado!L$1,Base_Atividades!$E$1:$N$1,0),FALSE),0)</f>
        <v>0</v>
      </c>
      <c r="M652">
        <f>IFERROR(VLOOKUP($K652,Base_Atividades!$E$1:$N$2398,MATCH(BancoAjustado!M$1,Base_Atividades!$E$1:$N$1,0),FALSE),0)</f>
        <v>0</v>
      </c>
      <c r="N652">
        <f>IFERROR(VLOOKUP($K652,Base_Atividades!$E$1:$N$2398,MATCH(BancoAjustado!N$1,Base_Atividades!$E$1:$N$1,0),FALSE),0)</f>
        <v>0</v>
      </c>
    </row>
    <row r="653" spans="1:14" x14ac:dyDescent="0.25">
      <c r="A653" t="s">
        <v>2965</v>
      </c>
      <c r="B653">
        <v>43</v>
      </c>
      <c r="C653" t="s">
        <v>3033</v>
      </c>
      <c r="D653" t="s">
        <v>3036</v>
      </c>
      <c r="E653" t="s">
        <v>3038</v>
      </c>
      <c r="F653" t="str">
        <f>VLOOKUP(A653,Base!$A:$F,6,FALSE)</f>
        <v>CONSTRUÇÃO</v>
      </c>
      <c r="G653" t="str">
        <f>VLOOKUP(B653,Base!$B:$F,5,FALSE)</f>
        <v>SERVIÇOS ESPECIALIZADOS PARA CONSTRUÇÃO</v>
      </c>
      <c r="H653" t="str">
        <f>VLOOKUP(C653,Base!$C:$F,4,FALSE)</f>
        <v>Outros serviços especializados para construção</v>
      </c>
      <c r="I653" t="str">
        <f>VLOOKUP(D653,Base!$D:$F,3,FALSE)</f>
        <v>Serviços especializados para construção não especificados anteriormente</v>
      </c>
      <c r="J653" t="str">
        <f>VLOOKUP(E653,Base!$E:$F,2,FALSE)</f>
        <v>Montagem e desmontagem de andaimes e outras estruturas temporárias</v>
      </c>
      <c r="K653" t="s">
        <v>3038</v>
      </c>
      <c r="L653">
        <f>IFERROR(VLOOKUP($K653,Base_Atividades!$E$1:$N$2398,MATCH(BancoAjustado!L$1,Base_Atividades!$E$1:$N$1,0),FALSE),0)</f>
        <v>0</v>
      </c>
      <c r="M653">
        <f>IFERROR(VLOOKUP($K653,Base_Atividades!$E$1:$N$2398,MATCH(BancoAjustado!M$1,Base_Atividades!$E$1:$N$1,0),FALSE),0)</f>
        <v>0</v>
      </c>
      <c r="N653">
        <f>IFERROR(VLOOKUP($K653,Base_Atividades!$E$1:$N$2398,MATCH(BancoAjustado!N$1,Base_Atividades!$E$1:$N$1,0),FALSE),0)</f>
        <v>0</v>
      </c>
    </row>
    <row r="654" spans="1:14" x14ac:dyDescent="0.25">
      <c r="A654" t="s">
        <v>2965</v>
      </c>
      <c r="B654">
        <v>43</v>
      </c>
      <c r="C654" t="s">
        <v>3033</v>
      </c>
      <c r="D654" t="s">
        <v>3036</v>
      </c>
      <c r="E654" t="s">
        <v>3039</v>
      </c>
      <c r="F654" t="str">
        <f>VLOOKUP(A654,Base!$A:$F,6,FALSE)</f>
        <v>CONSTRUÇÃO</v>
      </c>
      <c r="G654" t="str">
        <f>VLOOKUP(B654,Base!$B:$F,5,FALSE)</f>
        <v>SERVIÇOS ESPECIALIZADOS PARA CONSTRUÇÃO</v>
      </c>
      <c r="H654" t="str">
        <f>VLOOKUP(C654,Base!$C:$F,4,FALSE)</f>
        <v>Outros serviços especializados para construção</v>
      </c>
      <c r="I654" t="str">
        <f>VLOOKUP(D654,Base!$D:$F,3,FALSE)</f>
        <v>Serviços especializados para construção não especificados anteriormente</v>
      </c>
      <c r="J654" t="str">
        <f>VLOOKUP(E654,Base!$E:$F,2,FALSE)</f>
        <v>Obras de alvenaria</v>
      </c>
      <c r="K654" t="s">
        <v>3039</v>
      </c>
      <c r="L654">
        <f>IFERROR(VLOOKUP($K654,Base_Atividades!$E$1:$N$2398,MATCH(BancoAjustado!L$1,Base_Atividades!$E$1:$N$1,0),FALSE),0)</f>
        <v>0</v>
      </c>
      <c r="M654">
        <f>IFERROR(VLOOKUP($K654,Base_Atividades!$E$1:$N$2398,MATCH(BancoAjustado!M$1,Base_Atividades!$E$1:$N$1,0),FALSE),0)</f>
        <v>0</v>
      </c>
      <c r="N654">
        <f>IFERROR(VLOOKUP($K654,Base_Atividades!$E$1:$N$2398,MATCH(BancoAjustado!N$1,Base_Atividades!$E$1:$N$1,0),FALSE),0)</f>
        <v>0</v>
      </c>
    </row>
    <row r="655" spans="1:14" x14ac:dyDescent="0.25">
      <c r="A655" t="s">
        <v>2965</v>
      </c>
      <c r="B655">
        <v>43</v>
      </c>
      <c r="C655" t="s">
        <v>3033</v>
      </c>
      <c r="D655" t="s">
        <v>3036</v>
      </c>
      <c r="E655" t="s">
        <v>3040</v>
      </c>
      <c r="F655" t="str">
        <f>VLOOKUP(A655,Base!$A:$F,6,FALSE)</f>
        <v>CONSTRUÇÃO</v>
      </c>
      <c r="G655" t="str">
        <f>VLOOKUP(B655,Base!$B:$F,5,FALSE)</f>
        <v>SERVIÇOS ESPECIALIZADOS PARA CONSTRUÇÃO</v>
      </c>
      <c r="H655" t="str">
        <f>VLOOKUP(C655,Base!$C:$F,4,FALSE)</f>
        <v>Outros serviços especializados para construção</v>
      </c>
      <c r="I655" t="str">
        <f>VLOOKUP(D655,Base!$D:$F,3,FALSE)</f>
        <v>Serviços especializados para construção não especificados anteriormente</v>
      </c>
      <c r="J655" t="str">
        <f>VLOOKUP(E655,Base!$E:$F,2,FALSE)</f>
        <v>Serviços de operação e fornecimento de equipamentos para transporte e elevação de cargas e pessoas para uso em obras</v>
      </c>
      <c r="K655" t="s">
        <v>3040</v>
      </c>
      <c r="L655">
        <f>IFERROR(VLOOKUP($K655,Base_Atividades!$E$1:$N$2398,MATCH(BancoAjustado!L$1,Base_Atividades!$E$1:$N$1,0),FALSE),0)</f>
        <v>0</v>
      </c>
      <c r="M655">
        <f>IFERROR(VLOOKUP($K655,Base_Atividades!$E$1:$N$2398,MATCH(BancoAjustado!M$1,Base_Atividades!$E$1:$N$1,0),FALSE),0)</f>
        <v>0</v>
      </c>
      <c r="N655">
        <f>IFERROR(VLOOKUP($K655,Base_Atividades!$E$1:$N$2398,MATCH(BancoAjustado!N$1,Base_Atividades!$E$1:$N$1,0),FALSE),0)</f>
        <v>0</v>
      </c>
    </row>
    <row r="656" spans="1:14" x14ac:dyDescent="0.25">
      <c r="A656" t="s">
        <v>2965</v>
      </c>
      <c r="B656">
        <v>43</v>
      </c>
      <c r="C656" t="s">
        <v>3033</v>
      </c>
      <c r="D656" t="s">
        <v>3036</v>
      </c>
      <c r="E656" t="s">
        <v>3041</v>
      </c>
      <c r="F656" t="str">
        <f>VLOOKUP(A656,Base!$A:$F,6,FALSE)</f>
        <v>CONSTRUÇÃO</v>
      </c>
      <c r="G656" t="str">
        <f>VLOOKUP(B656,Base!$B:$F,5,FALSE)</f>
        <v>SERVIÇOS ESPECIALIZADOS PARA CONSTRUÇÃO</v>
      </c>
      <c r="H656" t="str">
        <f>VLOOKUP(C656,Base!$C:$F,4,FALSE)</f>
        <v>Outros serviços especializados para construção</v>
      </c>
      <c r="I656" t="str">
        <f>VLOOKUP(D656,Base!$D:$F,3,FALSE)</f>
        <v>Serviços especializados para construção não especificados anteriormente</v>
      </c>
      <c r="J656" t="str">
        <f>VLOOKUP(E656,Base!$E:$F,2,FALSE)</f>
        <v>Perfuração e construção de poços de água</v>
      </c>
      <c r="K656" t="s">
        <v>3041</v>
      </c>
      <c r="L656">
        <f>IFERROR(VLOOKUP($K656,Base_Atividades!$E$1:$N$2398,MATCH(BancoAjustado!L$1,Base_Atividades!$E$1:$N$1,0),FALSE),0)</f>
        <v>1</v>
      </c>
      <c r="M656">
        <f>IFERROR(VLOOKUP($K656,Base_Atividades!$E$1:$N$2398,MATCH(BancoAjustado!M$1,Base_Atividades!$E$1:$N$1,0),FALSE),0)</f>
        <v>0</v>
      </c>
      <c r="N656">
        <f>IFERROR(VLOOKUP($K656,Base_Atividades!$E$1:$N$2398,MATCH(BancoAjustado!N$1,Base_Atividades!$E$1:$N$1,0),FALSE),0)</f>
        <v>0</v>
      </c>
    </row>
    <row r="657" spans="1:14" x14ac:dyDescent="0.25">
      <c r="A657" t="s">
        <v>2965</v>
      </c>
      <c r="B657">
        <v>43</v>
      </c>
      <c r="C657" t="s">
        <v>3033</v>
      </c>
      <c r="D657" t="s">
        <v>3036</v>
      </c>
      <c r="E657" t="s">
        <v>3042</v>
      </c>
      <c r="F657" t="str">
        <f>VLOOKUP(A657,Base!$A:$F,6,FALSE)</f>
        <v>CONSTRUÇÃO</v>
      </c>
      <c r="G657" t="str">
        <f>VLOOKUP(B657,Base!$B:$F,5,FALSE)</f>
        <v>SERVIÇOS ESPECIALIZADOS PARA CONSTRUÇÃO</v>
      </c>
      <c r="H657" t="str">
        <f>VLOOKUP(C657,Base!$C:$F,4,FALSE)</f>
        <v>Outros serviços especializados para construção</v>
      </c>
      <c r="I657" t="str">
        <f>VLOOKUP(D657,Base!$D:$F,3,FALSE)</f>
        <v>Serviços especializados para construção não especificados anteriormente</v>
      </c>
      <c r="J657" t="str">
        <f>VLOOKUP(E657,Base!$E:$F,2,FALSE)</f>
        <v>Serviços especializados para construção não especificados anteriormente</v>
      </c>
      <c r="K657" t="s">
        <v>3042</v>
      </c>
      <c r="L657">
        <f>IFERROR(VLOOKUP($K657,Base_Atividades!$E$1:$N$2398,MATCH(BancoAjustado!L$1,Base_Atividades!$E$1:$N$1,0),FALSE),0)</f>
        <v>0</v>
      </c>
      <c r="M657">
        <f>IFERROR(VLOOKUP($K657,Base_Atividades!$E$1:$N$2398,MATCH(BancoAjustado!M$1,Base_Atividades!$E$1:$N$1,0),FALSE),0)</f>
        <v>0</v>
      </c>
      <c r="N657">
        <f>IFERROR(VLOOKUP($K657,Base_Atividades!$E$1:$N$2398,MATCH(BancoAjustado!N$1,Base_Atividades!$E$1:$N$1,0),FALSE),0)</f>
        <v>0</v>
      </c>
    </row>
    <row r="658" spans="1:14" x14ac:dyDescent="0.25">
      <c r="A658" t="s">
        <v>3043</v>
      </c>
      <c r="B658">
        <v>45</v>
      </c>
      <c r="C658" t="s">
        <v>3044</v>
      </c>
      <c r="D658" t="s">
        <v>3045</v>
      </c>
      <c r="E658" t="s">
        <v>3046</v>
      </c>
      <c r="F658" t="str">
        <f>VLOOKUP(A658,Base!$A:$F,6,FALSE)</f>
        <v>COMÉRCIO; REPARAÇÃO DE VEÍCULOS AUTOMOTORES E MOTOCICLETAS</v>
      </c>
      <c r="G658" t="str">
        <f>VLOOKUP(B658,Base!$B:$F,5,FALSE)</f>
        <v>COMÉRCIO E REPARAÇÃO DE VEÍCULOS AUTOMOTORES E MOTOCICLETAS</v>
      </c>
      <c r="H658" t="str">
        <f>VLOOKUP(C658,Base!$C:$F,4,FALSE)</f>
        <v>Comércio de veículos automotores</v>
      </c>
      <c r="I658" t="str">
        <f>VLOOKUP(D658,Base!$D:$F,3,FALSE)</f>
        <v>Comércio a varejo e por atacado de veículos automotores</v>
      </c>
      <c r="J658" t="str">
        <f>VLOOKUP(E658,Base!$E:$F,2,FALSE)</f>
        <v>Comércio a varejo de automóveis, camionetas e utilitários novos</v>
      </c>
      <c r="K658" t="s">
        <v>3046</v>
      </c>
      <c r="L658">
        <f>IFERROR(VLOOKUP($K658,Base_Atividades!$E$1:$N$2398,MATCH(BancoAjustado!L$1,Base_Atividades!$E$1:$N$1,0),FALSE),0)</f>
        <v>0</v>
      </c>
      <c r="M658">
        <f>IFERROR(VLOOKUP($K658,Base_Atividades!$E$1:$N$2398,MATCH(BancoAjustado!M$1,Base_Atividades!$E$1:$N$1,0),FALSE),0)</f>
        <v>0</v>
      </c>
      <c r="N658">
        <f>IFERROR(VLOOKUP($K658,Base_Atividades!$E$1:$N$2398,MATCH(BancoAjustado!N$1,Base_Atividades!$E$1:$N$1,0),FALSE),0)</f>
        <v>0</v>
      </c>
    </row>
    <row r="659" spans="1:14" x14ac:dyDescent="0.25">
      <c r="A659" t="s">
        <v>3043</v>
      </c>
      <c r="B659">
        <v>45</v>
      </c>
      <c r="C659" t="s">
        <v>3044</v>
      </c>
      <c r="D659" t="s">
        <v>3045</v>
      </c>
      <c r="E659" t="s">
        <v>3047</v>
      </c>
      <c r="F659" t="str">
        <f>VLOOKUP(A659,Base!$A:$F,6,FALSE)</f>
        <v>COMÉRCIO; REPARAÇÃO DE VEÍCULOS AUTOMOTORES E MOTOCICLETAS</v>
      </c>
      <c r="G659" t="str">
        <f>VLOOKUP(B659,Base!$B:$F,5,FALSE)</f>
        <v>COMÉRCIO E REPARAÇÃO DE VEÍCULOS AUTOMOTORES E MOTOCICLETAS</v>
      </c>
      <c r="H659" t="str">
        <f>VLOOKUP(C659,Base!$C:$F,4,FALSE)</f>
        <v>Comércio de veículos automotores</v>
      </c>
      <c r="I659" t="str">
        <f>VLOOKUP(D659,Base!$D:$F,3,FALSE)</f>
        <v>Comércio a varejo e por atacado de veículos automotores</v>
      </c>
      <c r="J659" t="str">
        <f>VLOOKUP(E659,Base!$E:$F,2,FALSE)</f>
        <v>Comércio a varejo de automóveis, camionetas e utilitários usados</v>
      </c>
      <c r="K659" t="s">
        <v>3047</v>
      </c>
      <c r="L659">
        <f>IFERROR(VLOOKUP($K659,Base_Atividades!$E$1:$N$2398,MATCH(BancoAjustado!L$1,Base_Atividades!$E$1:$N$1,0),FALSE),0)</f>
        <v>0</v>
      </c>
      <c r="M659">
        <f>IFERROR(VLOOKUP($K659,Base_Atividades!$E$1:$N$2398,MATCH(BancoAjustado!M$1,Base_Atividades!$E$1:$N$1,0),FALSE),0)</f>
        <v>0</v>
      </c>
      <c r="N659">
        <f>IFERROR(VLOOKUP($K659,Base_Atividades!$E$1:$N$2398,MATCH(BancoAjustado!N$1,Base_Atividades!$E$1:$N$1,0),FALSE),0)</f>
        <v>0</v>
      </c>
    </row>
    <row r="660" spans="1:14" x14ac:dyDescent="0.25">
      <c r="A660" t="s">
        <v>3043</v>
      </c>
      <c r="B660">
        <v>45</v>
      </c>
      <c r="C660" t="s">
        <v>3044</v>
      </c>
      <c r="D660" t="s">
        <v>3045</v>
      </c>
      <c r="E660" t="s">
        <v>3048</v>
      </c>
      <c r="F660" t="str">
        <f>VLOOKUP(A660,Base!$A:$F,6,FALSE)</f>
        <v>COMÉRCIO; REPARAÇÃO DE VEÍCULOS AUTOMOTORES E MOTOCICLETAS</v>
      </c>
      <c r="G660" t="str">
        <f>VLOOKUP(B660,Base!$B:$F,5,FALSE)</f>
        <v>COMÉRCIO E REPARAÇÃO DE VEÍCULOS AUTOMOTORES E MOTOCICLETAS</v>
      </c>
      <c r="H660" t="str">
        <f>VLOOKUP(C660,Base!$C:$F,4,FALSE)</f>
        <v>Comércio de veículos automotores</v>
      </c>
      <c r="I660" t="str">
        <f>VLOOKUP(D660,Base!$D:$F,3,FALSE)</f>
        <v>Comércio a varejo e por atacado de veículos automotores</v>
      </c>
      <c r="J660" t="str">
        <f>VLOOKUP(E660,Base!$E:$F,2,FALSE)</f>
        <v>Comércio por atacado de automóveis, camionetas e utilitários novos e usados</v>
      </c>
      <c r="K660" t="s">
        <v>3048</v>
      </c>
      <c r="L660">
        <f>IFERROR(VLOOKUP($K660,Base_Atividades!$E$1:$N$2398,MATCH(BancoAjustado!L$1,Base_Atividades!$E$1:$N$1,0),FALSE),0)</f>
        <v>0</v>
      </c>
      <c r="M660">
        <f>IFERROR(VLOOKUP($K660,Base_Atividades!$E$1:$N$2398,MATCH(BancoAjustado!M$1,Base_Atividades!$E$1:$N$1,0),FALSE),0)</f>
        <v>0</v>
      </c>
      <c r="N660">
        <f>IFERROR(VLOOKUP($K660,Base_Atividades!$E$1:$N$2398,MATCH(BancoAjustado!N$1,Base_Atividades!$E$1:$N$1,0),FALSE),0)</f>
        <v>0</v>
      </c>
    </row>
    <row r="661" spans="1:14" x14ac:dyDescent="0.25">
      <c r="A661" t="s">
        <v>3043</v>
      </c>
      <c r="B661">
        <v>45</v>
      </c>
      <c r="C661" t="s">
        <v>3044</v>
      </c>
      <c r="D661" t="s">
        <v>3045</v>
      </c>
      <c r="E661" t="s">
        <v>3049</v>
      </c>
      <c r="F661" t="str">
        <f>VLOOKUP(A661,Base!$A:$F,6,FALSE)</f>
        <v>COMÉRCIO; REPARAÇÃO DE VEÍCULOS AUTOMOTORES E MOTOCICLETAS</v>
      </c>
      <c r="G661" t="str">
        <f>VLOOKUP(B661,Base!$B:$F,5,FALSE)</f>
        <v>COMÉRCIO E REPARAÇÃO DE VEÍCULOS AUTOMOTORES E MOTOCICLETAS</v>
      </c>
      <c r="H661" t="str">
        <f>VLOOKUP(C661,Base!$C:$F,4,FALSE)</f>
        <v>Comércio de veículos automotores</v>
      </c>
      <c r="I661" t="str">
        <f>VLOOKUP(D661,Base!$D:$F,3,FALSE)</f>
        <v>Comércio a varejo e por atacado de veículos automotores</v>
      </c>
      <c r="J661" t="str">
        <f>VLOOKUP(E661,Base!$E:$F,2,FALSE)</f>
        <v>Comércio por atacado de caminhões novos e usados</v>
      </c>
      <c r="K661" t="s">
        <v>3049</v>
      </c>
      <c r="L661">
        <f>IFERROR(VLOOKUP($K661,Base_Atividades!$E$1:$N$2398,MATCH(BancoAjustado!L$1,Base_Atividades!$E$1:$N$1,0),FALSE),0)</f>
        <v>0</v>
      </c>
      <c r="M661">
        <f>IFERROR(VLOOKUP($K661,Base_Atividades!$E$1:$N$2398,MATCH(BancoAjustado!M$1,Base_Atividades!$E$1:$N$1,0),FALSE),0)</f>
        <v>0</v>
      </c>
      <c r="N661">
        <f>IFERROR(VLOOKUP($K661,Base_Atividades!$E$1:$N$2398,MATCH(BancoAjustado!N$1,Base_Atividades!$E$1:$N$1,0),FALSE),0)</f>
        <v>0</v>
      </c>
    </row>
    <row r="662" spans="1:14" x14ac:dyDescent="0.25">
      <c r="A662" t="s">
        <v>3043</v>
      </c>
      <c r="B662">
        <v>45</v>
      </c>
      <c r="C662" t="s">
        <v>3044</v>
      </c>
      <c r="D662" t="s">
        <v>3045</v>
      </c>
      <c r="E662" t="s">
        <v>3050</v>
      </c>
      <c r="F662" t="str">
        <f>VLOOKUP(A662,Base!$A:$F,6,FALSE)</f>
        <v>COMÉRCIO; REPARAÇÃO DE VEÍCULOS AUTOMOTORES E MOTOCICLETAS</v>
      </c>
      <c r="G662" t="str">
        <f>VLOOKUP(B662,Base!$B:$F,5,FALSE)</f>
        <v>COMÉRCIO E REPARAÇÃO DE VEÍCULOS AUTOMOTORES E MOTOCICLETAS</v>
      </c>
      <c r="H662" t="str">
        <f>VLOOKUP(C662,Base!$C:$F,4,FALSE)</f>
        <v>Comércio de veículos automotores</v>
      </c>
      <c r="I662" t="str">
        <f>VLOOKUP(D662,Base!$D:$F,3,FALSE)</f>
        <v>Comércio a varejo e por atacado de veículos automotores</v>
      </c>
      <c r="J662" t="str">
        <f>VLOOKUP(E662,Base!$E:$F,2,FALSE)</f>
        <v>Comércio por atacado de reboques e semireboques novos e usados</v>
      </c>
      <c r="K662" t="s">
        <v>3050</v>
      </c>
      <c r="L662">
        <f>IFERROR(VLOOKUP($K662,Base_Atividades!$E$1:$N$2398,MATCH(BancoAjustado!L$1,Base_Atividades!$E$1:$N$1,0),FALSE),0)</f>
        <v>0</v>
      </c>
      <c r="M662">
        <f>IFERROR(VLOOKUP($K662,Base_Atividades!$E$1:$N$2398,MATCH(BancoAjustado!M$1,Base_Atividades!$E$1:$N$1,0),FALSE),0)</f>
        <v>0</v>
      </c>
      <c r="N662">
        <f>IFERROR(VLOOKUP($K662,Base_Atividades!$E$1:$N$2398,MATCH(BancoAjustado!N$1,Base_Atividades!$E$1:$N$1,0),FALSE),0)</f>
        <v>0</v>
      </c>
    </row>
    <row r="663" spans="1:14" x14ac:dyDescent="0.25">
      <c r="A663" t="s">
        <v>3043</v>
      </c>
      <c r="B663">
        <v>45</v>
      </c>
      <c r="C663" t="s">
        <v>3044</v>
      </c>
      <c r="D663" t="s">
        <v>3045</v>
      </c>
      <c r="E663" t="s">
        <v>3051</v>
      </c>
      <c r="F663" t="str">
        <f>VLOOKUP(A663,Base!$A:$F,6,FALSE)</f>
        <v>COMÉRCIO; REPARAÇÃO DE VEÍCULOS AUTOMOTORES E MOTOCICLETAS</v>
      </c>
      <c r="G663" t="str">
        <f>VLOOKUP(B663,Base!$B:$F,5,FALSE)</f>
        <v>COMÉRCIO E REPARAÇÃO DE VEÍCULOS AUTOMOTORES E MOTOCICLETAS</v>
      </c>
      <c r="H663" t="str">
        <f>VLOOKUP(C663,Base!$C:$F,4,FALSE)</f>
        <v>Comércio de veículos automotores</v>
      </c>
      <c r="I663" t="str">
        <f>VLOOKUP(D663,Base!$D:$F,3,FALSE)</f>
        <v>Comércio a varejo e por atacado de veículos automotores</v>
      </c>
      <c r="J663" t="str">
        <f>VLOOKUP(E663,Base!$E:$F,2,FALSE)</f>
        <v>Comércio por atacado de ônibus e micro-ônibus novos e usados</v>
      </c>
      <c r="K663" t="s">
        <v>3051</v>
      </c>
      <c r="L663">
        <f>IFERROR(VLOOKUP($K663,Base_Atividades!$E$1:$N$2398,MATCH(BancoAjustado!L$1,Base_Atividades!$E$1:$N$1,0),FALSE),0)</f>
        <v>0</v>
      </c>
      <c r="M663">
        <f>IFERROR(VLOOKUP($K663,Base_Atividades!$E$1:$N$2398,MATCH(BancoAjustado!M$1,Base_Atividades!$E$1:$N$1,0),FALSE),0)</f>
        <v>0</v>
      </c>
      <c r="N663">
        <f>IFERROR(VLOOKUP($K663,Base_Atividades!$E$1:$N$2398,MATCH(BancoAjustado!N$1,Base_Atividades!$E$1:$N$1,0),FALSE),0)</f>
        <v>0</v>
      </c>
    </row>
    <row r="664" spans="1:14" x14ac:dyDescent="0.25">
      <c r="A664" t="s">
        <v>3043</v>
      </c>
      <c r="B664">
        <v>45</v>
      </c>
      <c r="C664" t="s">
        <v>3044</v>
      </c>
      <c r="D664" t="s">
        <v>3052</v>
      </c>
      <c r="E664" t="s">
        <v>3053</v>
      </c>
      <c r="F664" t="str">
        <f>VLOOKUP(A664,Base!$A:$F,6,FALSE)</f>
        <v>COMÉRCIO; REPARAÇÃO DE VEÍCULOS AUTOMOTORES E MOTOCICLETAS</v>
      </c>
      <c r="G664" t="str">
        <f>VLOOKUP(B664,Base!$B:$F,5,FALSE)</f>
        <v>COMÉRCIO E REPARAÇÃO DE VEÍCULOS AUTOMOTORES E MOTOCICLETAS</v>
      </c>
      <c r="H664" t="str">
        <f>VLOOKUP(C664,Base!$C:$F,4,FALSE)</f>
        <v>Comércio de veículos automotores</v>
      </c>
      <c r="I664" t="str">
        <f>VLOOKUP(D664,Base!$D:$F,3,FALSE)</f>
        <v>Representantes comerciais e agentes do comércio de veículos automotores</v>
      </c>
      <c r="J664" t="str">
        <f>VLOOKUP(E664,Base!$E:$F,2,FALSE)</f>
        <v>Representantes comerciais e agentes do comércio de veículos automotores</v>
      </c>
      <c r="K664" t="s">
        <v>3053</v>
      </c>
      <c r="L664">
        <f>IFERROR(VLOOKUP($K664,Base_Atividades!$E$1:$N$2398,MATCH(BancoAjustado!L$1,Base_Atividades!$E$1:$N$1,0),FALSE),0)</f>
        <v>0</v>
      </c>
      <c r="M664">
        <f>IFERROR(VLOOKUP($K664,Base_Atividades!$E$1:$N$2398,MATCH(BancoAjustado!M$1,Base_Atividades!$E$1:$N$1,0),FALSE),0)</f>
        <v>0</v>
      </c>
      <c r="N664">
        <f>IFERROR(VLOOKUP($K664,Base_Atividades!$E$1:$N$2398,MATCH(BancoAjustado!N$1,Base_Atividades!$E$1:$N$1,0),FALSE),0)</f>
        <v>0</v>
      </c>
    </row>
    <row r="665" spans="1:14" x14ac:dyDescent="0.25">
      <c r="A665" t="s">
        <v>3043</v>
      </c>
      <c r="B665">
        <v>45</v>
      </c>
      <c r="C665" t="s">
        <v>3044</v>
      </c>
      <c r="D665" t="s">
        <v>3052</v>
      </c>
      <c r="E665" t="s">
        <v>3054</v>
      </c>
      <c r="F665" t="str">
        <f>VLOOKUP(A665,Base!$A:$F,6,FALSE)</f>
        <v>COMÉRCIO; REPARAÇÃO DE VEÍCULOS AUTOMOTORES E MOTOCICLETAS</v>
      </c>
      <c r="G665" t="str">
        <f>VLOOKUP(B665,Base!$B:$F,5,FALSE)</f>
        <v>COMÉRCIO E REPARAÇÃO DE VEÍCULOS AUTOMOTORES E MOTOCICLETAS</v>
      </c>
      <c r="H665" t="str">
        <f>VLOOKUP(C665,Base!$C:$F,4,FALSE)</f>
        <v>Comércio de veículos automotores</v>
      </c>
      <c r="I665" t="str">
        <f>VLOOKUP(D665,Base!$D:$F,3,FALSE)</f>
        <v>Representantes comerciais e agentes do comércio de veículos automotores</v>
      </c>
      <c r="J665" t="str">
        <f>VLOOKUP(E665,Base!$E:$F,2,FALSE)</f>
        <v>Comércio sob consignação de veículos automotores</v>
      </c>
      <c r="K665" t="s">
        <v>3054</v>
      </c>
      <c r="L665">
        <f>IFERROR(VLOOKUP($K665,Base_Atividades!$E$1:$N$2398,MATCH(BancoAjustado!L$1,Base_Atividades!$E$1:$N$1,0),FALSE),0)</f>
        <v>0</v>
      </c>
      <c r="M665">
        <f>IFERROR(VLOOKUP($K665,Base_Atividades!$E$1:$N$2398,MATCH(BancoAjustado!M$1,Base_Atividades!$E$1:$N$1,0),FALSE),0)</f>
        <v>0</v>
      </c>
      <c r="N665">
        <f>IFERROR(VLOOKUP($K665,Base_Atividades!$E$1:$N$2398,MATCH(BancoAjustado!N$1,Base_Atividades!$E$1:$N$1,0),FALSE),0)</f>
        <v>0</v>
      </c>
    </row>
    <row r="666" spans="1:14" x14ac:dyDescent="0.25">
      <c r="A666" t="s">
        <v>3043</v>
      </c>
      <c r="B666">
        <v>45</v>
      </c>
      <c r="C666" t="s">
        <v>3055</v>
      </c>
      <c r="D666" t="s">
        <v>3056</v>
      </c>
      <c r="E666" t="s">
        <v>3057</v>
      </c>
      <c r="F666" t="str">
        <f>VLOOKUP(A666,Base!$A:$F,6,FALSE)</f>
        <v>COMÉRCIO; REPARAÇÃO DE VEÍCULOS AUTOMOTORES E MOTOCICLETAS</v>
      </c>
      <c r="G666" t="str">
        <f>VLOOKUP(B666,Base!$B:$F,5,FALSE)</f>
        <v>COMÉRCIO E REPARAÇÃO DE VEÍCULOS AUTOMOTORES E MOTOCICLETAS</v>
      </c>
      <c r="H666" t="str">
        <f>VLOOKUP(C666,Base!$C:$F,4,FALSE)</f>
        <v>Manutenção e reparação de veículos automotores</v>
      </c>
      <c r="I666" t="str">
        <f>VLOOKUP(D666,Base!$D:$F,3,FALSE)</f>
        <v>Manutenção e reparação de veículos automotores</v>
      </c>
      <c r="J666" t="str">
        <f>VLOOKUP(E666,Base!$E:$F,2,FALSE)</f>
        <v>Serviços de manutenção e reparação mecânica de veículos automotores</v>
      </c>
      <c r="K666" t="s">
        <v>3057</v>
      </c>
      <c r="L666">
        <f>IFERROR(VLOOKUP($K666,Base_Atividades!$E$1:$N$2398,MATCH(BancoAjustado!L$1,Base_Atividades!$E$1:$N$1,0),FALSE),0)</f>
        <v>1</v>
      </c>
      <c r="M666">
        <f>IFERROR(VLOOKUP($K666,Base_Atividades!$E$1:$N$2398,MATCH(BancoAjustado!M$1,Base_Atividades!$E$1:$N$1,0),FALSE),0)</f>
        <v>0</v>
      </c>
      <c r="N666">
        <f>IFERROR(VLOOKUP($K666,Base_Atividades!$E$1:$N$2398,MATCH(BancoAjustado!N$1,Base_Atividades!$E$1:$N$1,0),FALSE),0)</f>
        <v>0</v>
      </c>
    </row>
    <row r="667" spans="1:14" x14ac:dyDescent="0.25">
      <c r="A667" t="s">
        <v>3043</v>
      </c>
      <c r="B667">
        <v>45</v>
      </c>
      <c r="C667" t="s">
        <v>3055</v>
      </c>
      <c r="D667" t="s">
        <v>3056</v>
      </c>
      <c r="E667" t="s">
        <v>3058</v>
      </c>
      <c r="F667" t="str">
        <f>VLOOKUP(A667,Base!$A:$F,6,FALSE)</f>
        <v>COMÉRCIO; REPARAÇÃO DE VEÍCULOS AUTOMOTORES E MOTOCICLETAS</v>
      </c>
      <c r="G667" t="str">
        <f>VLOOKUP(B667,Base!$B:$F,5,FALSE)</f>
        <v>COMÉRCIO E REPARAÇÃO DE VEÍCULOS AUTOMOTORES E MOTOCICLETAS</v>
      </c>
      <c r="H667" t="str">
        <f>VLOOKUP(C667,Base!$C:$F,4,FALSE)</f>
        <v>Manutenção e reparação de veículos automotores</v>
      </c>
      <c r="I667" t="str">
        <f>VLOOKUP(D667,Base!$D:$F,3,FALSE)</f>
        <v>Manutenção e reparação de veículos automotores</v>
      </c>
      <c r="J667" t="str">
        <f>VLOOKUP(E667,Base!$E:$F,2,FALSE)</f>
        <v>Serviços de lanternagem ou funilaria e pintura de veículos automotores</v>
      </c>
      <c r="K667" t="s">
        <v>3058</v>
      </c>
      <c r="L667">
        <f>IFERROR(VLOOKUP($K667,Base_Atividades!$E$1:$N$2398,MATCH(BancoAjustado!L$1,Base_Atividades!$E$1:$N$1,0),FALSE),0)</f>
        <v>1</v>
      </c>
      <c r="M667">
        <f>IFERROR(VLOOKUP($K667,Base_Atividades!$E$1:$N$2398,MATCH(BancoAjustado!M$1,Base_Atividades!$E$1:$N$1,0),FALSE),0)</f>
        <v>0</v>
      </c>
      <c r="N667">
        <f>IFERROR(VLOOKUP($K667,Base_Atividades!$E$1:$N$2398,MATCH(BancoAjustado!N$1,Base_Atividades!$E$1:$N$1,0),FALSE),0)</f>
        <v>0</v>
      </c>
    </row>
    <row r="668" spans="1:14" x14ac:dyDescent="0.25">
      <c r="A668" t="s">
        <v>3043</v>
      </c>
      <c r="B668">
        <v>45</v>
      </c>
      <c r="C668" t="s">
        <v>3055</v>
      </c>
      <c r="D668" t="s">
        <v>3056</v>
      </c>
      <c r="E668" t="s">
        <v>3059</v>
      </c>
      <c r="F668" t="str">
        <f>VLOOKUP(A668,Base!$A:$F,6,FALSE)</f>
        <v>COMÉRCIO; REPARAÇÃO DE VEÍCULOS AUTOMOTORES E MOTOCICLETAS</v>
      </c>
      <c r="G668" t="str">
        <f>VLOOKUP(B668,Base!$B:$F,5,FALSE)</f>
        <v>COMÉRCIO E REPARAÇÃO DE VEÍCULOS AUTOMOTORES E MOTOCICLETAS</v>
      </c>
      <c r="H668" t="str">
        <f>VLOOKUP(C668,Base!$C:$F,4,FALSE)</f>
        <v>Manutenção e reparação de veículos automotores</v>
      </c>
      <c r="I668" t="str">
        <f>VLOOKUP(D668,Base!$D:$F,3,FALSE)</f>
        <v>Manutenção e reparação de veículos automotores</v>
      </c>
      <c r="J668" t="str">
        <f>VLOOKUP(E668,Base!$E:$F,2,FALSE)</f>
        <v>Serviços de manutenção e reparação elétrica de veículos automotores</v>
      </c>
      <c r="K668" t="s">
        <v>3059</v>
      </c>
      <c r="L668">
        <f>IFERROR(VLOOKUP($K668,Base_Atividades!$E$1:$N$2398,MATCH(BancoAjustado!L$1,Base_Atividades!$E$1:$N$1,0),FALSE),0)</f>
        <v>1</v>
      </c>
      <c r="M668">
        <f>IFERROR(VLOOKUP($K668,Base_Atividades!$E$1:$N$2398,MATCH(BancoAjustado!M$1,Base_Atividades!$E$1:$N$1,0),FALSE),0)</f>
        <v>0</v>
      </c>
      <c r="N668">
        <f>IFERROR(VLOOKUP($K668,Base_Atividades!$E$1:$N$2398,MATCH(BancoAjustado!N$1,Base_Atividades!$E$1:$N$1,0),FALSE),0)</f>
        <v>0</v>
      </c>
    </row>
    <row r="669" spans="1:14" x14ac:dyDescent="0.25">
      <c r="A669" t="s">
        <v>3043</v>
      </c>
      <c r="B669">
        <v>45</v>
      </c>
      <c r="C669" t="s">
        <v>3055</v>
      </c>
      <c r="D669" t="s">
        <v>3056</v>
      </c>
      <c r="E669" t="s">
        <v>3060</v>
      </c>
      <c r="F669" t="str">
        <f>VLOOKUP(A669,Base!$A:$F,6,FALSE)</f>
        <v>COMÉRCIO; REPARAÇÃO DE VEÍCULOS AUTOMOTORES E MOTOCICLETAS</v>
      </c>
      <c r="G669" t="str">
        <f>VLOOKUP(B669,Base!$B:$F,5,FALSE)</f>
        <v>COMÉRCIO E REPARAÇÃO DE VEÍCULOS AUTOMOTORES E MOTOCICLETAS</v>
      </c>
      <c r="H669" t="str">
        <f>VLOOKUP(C669,Base!$C:$F,4,FALSE)</f>
        <v>Manutenção e reparação de veículos automotores</v>
      </c>
      <c r="I669" t="str">
        <f>VLOOKUP(D669,Base!$D:$F,3,FALSE)</f>
        <v>Manutenção e reparação de veículos automotores</v>
      </c>
      <c r="J669" t="str">
        <f>VLOOKUP(E669,Base!$E:$F,2,FALSE)</f>
        <v>Serviços de alinhamento e balanceamento de veículos automotores</v>
      </c>
      <c r="K669" t="s">
        <v>3060</v>
      </c>
      <c r="L669">
        <f>IFERROR(VLOOKUP($K669,Base_Atividades!$E$1:$N$2398,MATCH(BancoAjustado!L$1,Base_Atividades!$E$1:$N$1,0),FALSE),0)</f>
        <v>1</v>
      </c>
      <c r="M669">
        <f>IFERROR(VLOOKUP($K669,Base_Atividades!$E$1:$N$2398,MATCH(BancoAjustado!M$1,Base_Atividades!$E$1:$N$1,0),FALSE),0)</f>
        <v>0</v>
      </c>
      <c r="N669">
        <f>IFERROR(VLOOKUP($K669,Base_Atividades!$E$1:$N$2398,MATCH(BancoAjustado!N$1,Base_Atividades!$E$1:$N$1,0),FALSE),0)</f>
        <v>0</v>
      </c>
    </row>
    <row r="670" spans="1:14" x14ac:dyDescent="0.25">
      <c r="A670" t="s">
        <v>3043</v>
      </c>
      <c r="B670">
        <v>45</v>
      </c>
      <c r="C670" t="s">
        <v>3055</v>
      </c>
      <c r="D670" t="s">
        <v>3056</v>
      </c>
      <c r="E670" t="s">
        <v>3061</v>
      </c>
      <c r="F670" t="str">
        <f>VLOOKUP(A670,Base!$A:$F,6,FALSE)</f>
        <v>COMÉRCIO; REPARAÇÃO DE VEÍCULOS AUTOMOTORES E MOTOCICLETAS</v>
      </c>
      <c r="G670" t="str">
        <f>VLOOKUP(B670,Base!$B:$F,5,FALSE)</f>
        <v>COMÉRCIO E REPARAÇÃO DE VEÍCULOS AUTOMOTORES E MOTOCICLETAS</v>
      </c>
      <c r="H670" t="str">
        <f>VLOOKUP(C670,Base!$C:$F,4,FALSE)</f>
        <v>Manutenção e reparação de veículos automotores</v>
      </c>
      <c r="I670" t="str">
        <f>VLOOKUP(D670,Base!$D:$F,3,FALSE)</f>
        <v>Manutenção e reparação de veículos automotores</v>
      </c>
      <c r="J670" t="str">
        <f>VLOOKUP(E670,Base!$E:$F,2,FALSE)</f>
        <v>Serviços de lavagem, lubrificação e polimento de veículos automotores</v>
      </c>
      <c r="K670" t="s">
        <v>3061</v>
      </c>
      <c r="L670">
        <f>IFERROR(VLOOKUP($K670,Base_Atividades!$E$1:$N$2398,MATCH(BancoAjustado!L$1,Base_Atividades!$E$1:$N$1,0),FALSE),0)</f>
        <v>1</v>
      </c>
      <c r="M670">
        <f>IFERROR(VLOOKUP($K670,Base_Atividades!$E$1:$N$2398,MATCH(BancoAjustado!M$1,Base_Atividades!$E$1:$N$1,0),FALSE),0)</f>
        <v>0</v>
      </c>
      <c r="N670">
        <f>IFERROR(VLOOKUP($K670,Base_Atividades!$E$1:$N$2398,MATCH(BancoAjustado!N$1,Base_Atividades!$E$1:$N$1,0),FALSE),0)</f>
        <v>0</v>
      </c>
    </row>
    <row r="671" spans="1:14" x14ac:dyDescent="0.25">
      <c r="A671" t="s">
        <v>3043</v>
      </c>
      <c r="B671">
        <v>45</v>
      </c>
      <c r="C671" t="s">
        <v>3055</v>
      </c>
      <c r="D671" t="s">
        <v>3056</v>
      </c>
      <c r="E671" t="s">
        <v>3062</v>
      </c>
      <c r="F671" t="str">
        <f>VLOOKUP(A671,Base!$A:$F,6,FALSE)</f>
        <v>COMÉRCIO; REPARAÇÃO DE VEÍCULOS AUTOMOTORES E MOTOCICLETAS</v>
      </c>
      <c r="G671" t="str">
        <f>VLOOKUP(B671,Base!$B:$F,5,FALSE)</f>
        <v>COMÉRCIO E REPARAÇÃO DE VEÍCULOS AUTOMOTORES E MOTOCICLETAS</v>
      </c>
      <c r="H671" t="str">
        <f>VLOOKUP(C671,Base!$C:$F,4,FALSE)</f>
        <v>Manutenção e reparação de veículos automotores</v>
      </c>
      <c r="I671" t="str">
        <f>VLOOKUP(D671,Base!$D:$F,3,FALSE)</f>
        <v>Manutenção e reparação de veículos automotores</v>
      </c>
      <c r="J671" t="str">
        <f>VLOOKUP(E671,Base!$E:$F,2,FALSE)</f>
        <v>Serviços de borracharia para veículos automotores</v>
      </c>
      <c r="K671" t="s">
        <v>3062</v>
      </c>
      <c r="L671">
        <f>IFERROR(VLOOKUP($K671,Base_Atividades!$E$1:$N$2398,MATCH(BancoAjustado!L$1,Base_Atividades!$E$1:$N$1,0),FALSE),0)</f>
        <v>1</v>
      </c>
      <c r="M671">
        <f>IFERROR(VLOOKUP($K671,Base_Atividades!$E$1:$N$2398,MATCH(BancoAjustado!M$1,Base_Atividades!$E$1:$N$1,0),FALSE),0)</f>
        <v>0</v>
      </c>
      <c r="N671">
        <f>IFERROR(VLOOKUP($K671,Base_Atividades!$E$1:$N$2398,MATCH(BancoAjustado!N$1,Base_Atividades!$E$1:$N$1,0),FALSE),0)</f>
        <v>0</v>
      </c>
    </row>
    <row r="672" spans="1:14" x14ac:dyDescent="0.25">
      <c r="A672" t="s">
        <v>3043</v>
      </c>
      <c r="B672">
        <v>45</v>
      </c>
      <c r="C672" t="s">
        <v>3055</v>
      </c>
      <c r="D672" t="s">
        <v>3056</v>
      </c>
      <c r="E672" t="s">
        <v>3063</v>
      </c>
      <c r="F672" t="str">
        <f>VLOOKUP(A672,Base!$A:$F,6,FALSE)</f>
        <v>COMÉRCIO; REPARAÇÃO DE VEÍCULOS AUTOMOTORES E MOTOCICLETAS</v>
      </c>
      <c r="G672" t="str">
        <f>VLOOKUP(B672,Base!$B:$F,5,FALSE)</f>
        <v>COMÉRCIO E REPARAÇÃO DE VEÍCULOS AUTOMOTORES E MOTOCICLETAS</v>
      </c>
      <c r="H672" t="str">
        <f>VLOOKUP(C672,Base!$C:$F,4,FALSE)</f>
        <v>Manutenção e reparação de veículos automotores</v>
      </c>
      <c r="I672" t="str">
        <f>VLOOKUP(D672,Base!$D:$F,3,FALSE)</f>
        <v>Manutenção e reparação de veículos automotores</v>
      </c>
      <c r="J672" t="str">
        <f>VLOOKUP(E672,Base!$E:$F,2,FALSE)</f>
        <v>Serviços de instalação, manutenção e reparação de acessórios para veículos automotores</v>
      </c>
      <c r="K672" t="s">
        <v>3063</v>
      </c>
      <c r="L672">
        <f>IFERROR(VLOOKUP($K672,Base_Atividades!$E$1:$N$2398,MATCH(BancoAjustado!L$1,Base_Atividades!$E$1:$N$1,0),FALSE),0)</f>
        <v>1</v>
      </c>
      <c r="M672">
        <f>IFERROR(VLOOKUP($K672,Base_Atividades!$E$1:$N$2398,MATCH(BancoAjustado!M$1,Base_Atividades!$E$1:$N$1,0),FALSE),0)</f>
        <v>0</v>
      </c>
      <c r="N672">
        <f>IFERROR(VLOOKUP($K672,Base_Atividades!$E$1:$N$2398,MATCH(BancoAjustado!N$1,Base_Atividades!$E$1:$N$1,0),FALSE),0)</f>
        <v>0</v>
      </c>
    </row>
    <row r="673" spans="1:14" x14ac:dyDescent="0.25">
      <c r="A673" t="s">
        <v>3043</v>
      </c>
      <c r="B673">
        <v>45</v>
      </c>
      <c r="C673" t="s">
        <v>3055</v>
      </c>
      <c r="D673" t="s">
        <v>3056</v>
      </c>
      <c r="E673" t="s">
        <v>3064</v>
      </c>
      <c r="F673" t="str">
        <f>VLOOKUP(A673,Base!$A:$F,6,FALSE)</f>
        <v>COMÉRCIO; REPARAÇÃO DE VEÍCULOS AUTOMOTORES E MOTOCICLETAS</v>
      </c>
      <c r="G673" t="str">
        <f>VLOOKUP(B673,Base!$B:$F,5,FALSE)</f>
        <v>COMÉRCIO E REPARAÇÃO DE VEÍCULOS AUTOMOTORES E MOTOCICLETAS</v>
      </c>
      <c r="H673" t="str">
        <f>VLOOKUP(C673,Base!$C:$F,4,FALSE)</f>
        <v>Manutenção e reparação de veículos automotores</v>
      </c>
      <c r="I673" t="str">
        <f>VLOOKUP(D673,Base!$D:$F,3,FALSE)</f>
        <v>Manutenção e reparação de veículos automotores</v>
      </c>
      <c r="J673" t="str">
        <f>VLOOKUP(E673,Base!$E:$F,2,FALSE)</f>
        <v>Serviços de capotaria</v>
      </c>
      <c r="K673" t="s">
        <v>3064</v>
      </c>
      <c r="L673">
        <f>IFERROR(VLOOKUP($K673,Base_Atividades!$E$1:$N$2398,MATCH(BancoAjustado!L$1,Base_Atividades!$E$1:$N$1,0),FALSE),0)</f>
        <v>1</v>
      </c>
      <c r="M673">
        <f>IFERROR(VLOOKUP($K673,Base_Atividades!$E$1:$N$2398,MATCH(BancoAjustado!M$1,Base_Atividades!$E$1:$N$1,0),FALSE),0)</f>
        <v>0</v>
      </c>
      <c r="N673">
        <f>IFERROR(VLOOKUP($K673,Base_Atividades!$E$1:$N$2398,MATCH(BancoAjustado!N$1,Base_Atividades!$E$1:$N$1,0),FALSE),0)</f>
        <v>0</v>
      </c>
    </row>
    <row r="674" spans="1:14" x14ac:dyDescent="0.25">
      <c r="A674" t="s">
        <v>3043</v>
      </c>
      <c r="B674">
        <v>45</v>
      </c>
      <c r="C674" t="s">
        <v>3065</v>
      </c>
      <c r="D674" t="s">
        <v>3066</v>
      </c>
      <c r="E674" t="s">
        <v>3067</v>
      </c>
      <c r="F674" t="str">
        <f>VLOOKUP(A674,Base!$A:$F,6,FALSE)</f>
        <v>COMÉRCIO; REPARAÇÃO DE VEÍCULOS AUTOMOTORES E MOTOCICLETAS</v>
      </c>
      <c r="G674" t="str">
        <f>VLOOKUP(B674,Base!$B:$F,5,FALSE)</f>
        <v>COMÉRCIO E REPARAÇÃO DE VEÍCULOS AUTOMOTORES E MOTOCICLETAS</v>
      </c>
      <c r="H674" t="str">
        <f>VLOOKUP(C674,Base!$C:$F,4,FALSE)</f>
        <v>Comércio de peças e acessórios para veículos automotores</v>
      </c>
      <c r="I674" t="str">
        <f>VLOOKUP(D674,Base!$D:$F,3,FALSE)</f>
        <v>Comércio de peças e acessórios para veículos automotores</v>
      </c>
      <c r="J674" t="str">
        <f>VLOOKUP(E674,Base!$E:$F,2,FALSE)</f>
        <v>Comércio por atacado de peças e acessórios novos para veículos automotores</v>
      </c>
      <c r="K674" t="s">
        <v>3067</v>
      </c>
      <c r="L674">
        <f>IFERROR(VLOOKUP($K674,Base_Atividades!$E$1:$N$2398,MATCH(BancoAjustado!L$1,Base_Atividades!$E$1:$N$1,0),FALSE),0)</f>
        <v>0</v>
      </c>
      <c r="M674">
        <f>IFERROR(VLOOKUP($K674,Base_Atividades!$E$1:$N$2398,MATCH(BancoAjustado!M$1,Base_Atividades!$E$1:$N$1,0),FALSE),0)</f>
        <v>0</v>
      </c>
      <c r="N674">
        <f>IFERROR(VLOOKUP($K674,Base_Atividades!$E$1:$N$2398,MATCH(BancoAjustado!N$1,Base_Atividades!$E$1:$N$1,0),FALSE),0)</f>
        <v>0</v>
      </c>
    </row>
    <row r="675" spans="1:14" x14ac:dyDescent="0.25">
      <c r="A675" t="s">
        <v>3043</v>
      </c>
      <c r="B675">
        <v>45</v>
      </c>
      <c r="C675" t="s">
        <v>3065</v>
      </c>
      <c r="D675" t="s">
        <v>3066</v>
      </c>
      <c r="E675" t="s">
        <v>3068</v>
      </c>
      <c r="F675" t="str">
        <f>VLOOKUP(A675,Base!$A:$F,6,FALSE)</f>
        <v>COMÉRCIO; REPARAÇÃO DE VEÍCULOS AUTOMOTORES E MOTOCICLETAS</v>
      </c>
      <c r="G675" t="str">
        <f>VLOOKUP(B675,Base!$B:$F,5,FALSE)</f>
        <v>COMÉRCIO E REPARAÇÃO DE VEÍCULOS AUTOMOTORES E MOTOCICLETAS</v>
      </c>
      <c r="H675" t="str">
        <f>VLOOKUP(C675,Base!$C:$F,4,FALSE)</f>
        <v>Comércio de peças e acessórios para veículos automotores</v>
      </c>
      <c r="I675" t="str">
        <f>VLOOKUP(D675,Base!$D:$F,3,FALSE)</f>
        <v>Comércio de peças e acessórios para veículos automotores</v>
      </c>
      <c r="J675" t="str">
        <f>VLOOKUP(E675,Base!$E:$F,2,FALSE)</f>
        <v>Comércio por atacado de pneumáticos e câmaras-de-ar</v>
      </c>
      <c r="K675" t="s">
        <v>3068</v>
      </c>
      <c r="L675">
        <f>IFERROR(VLOOKUP($K675,Base_Atividades!$E$1:$N$2398,MATCH(BancoAjustado!L$1,Base_Atividades!$E$1:$N$1,0),FALSE),0)</f>
        <v>0</v>
      </c>
      <c r="M675">
        <f>IFERROR(VLOOKUP($K675,Base_Atividades!$E$1:$N$2398,MATCH(BancoAjustado!M$1,Base_Atividades!$E$1:$N$1,0),FALSE),0)</f>
        <v>0</v>
      </c>
      <c r="N675">
        <f>IFERROR(VLOOKUP($K675,Base_Atividades!$E$1:$N$2398,MATCH(BancoAjustado!N$1,Base_Atividades!$E$1:$N$1,0),FALSE),0)</f>
        <v>0</v>
      </c>
    </row>
    <row r="676" spans="1:14" x14ac:dyDescent="0.25">
      <c r="A676" t="s">
        <v>3043</v>
      </c>
      <c r="B676">
        <v>45</v>
      </c>
      <c r="C676" t="s">
        <v>3065</v>
      </c>
      <c r="D676" t="s">
        <v>3066</v>
      </c>
      <c r="E676" t="s">
        <v>3069</v>
      </c>
      <c r="F676" t="str">
        <f>VLOOKUP(A676,Base!$A:$F,6,FALSE)</f>
        <v>COMÉRCIO; REPARAÇÃO DE VEÍCULOS AUTOMOTORES E MOTOCICLETAS</v>
      </c>
      <c r="G676" t="str">
        <f>VLOOKUP(B676,Base!$B:$F,5,FALSE)</f>
        <v>COMÉRCIO E REPARAÇÃO DE VEÍCULOS AUTOMOTORES E MOTOCICLETAS</v>
      </c>
      <c r="H676" t="str">
        <f>VLOOKUP(C676,Base!$C:$F,4,FALSE)</f>
        <v>Comércio de peças e acessórios para veículos automotores</v>
      </c>
      <c r="I676" t="str">
        <f>VLOOKUP(D676,Base!$D:$F,3,FALSE)</f>
        <v>Comércio de peças e acessórios para veículos automotores</v>
      </c>
      <c r="J676" t="str">
        <f>VLOOKUP(E676,Base!$E:$F,2,FALSE)</f>
        <v>Comércio a varejo de peças e acessórios novos para veículos automotores</v>
      </c>
      <c r="K676" t="s">
        <v>3069</v>
      </c>
      <c r="L676">
        <f>IFERROR(VLOOKUP($K676,Base_Atividades!$E$1:$N$2398,MATCH(BancoAjustado!L$1,Base_Atividades!$E$1:$N$1,0),FALSE),0)</f>
        <v>0</v>
      </c>
      <c r="M676">
        <f>IFERROR(VLOOKUP($K676,Base_Atividades!$E$1:$N$2398,MATCH(BancoAjustado!M$1,Base_Atividades!$E$1:$N$1,0),FALSE),0)</f>
        <v>0</v>
      </c>
      <c r="N676">
        <f>IFERROR(VLOOKUP($K676,Base_Atividades!$E$1:$N$2398,MATCH(BancoAjustado!N$1,Base_Atividades!$E$1:$N$1,0),FALSE),0)</f>
        <v>0</v>
      </c>
    </row>
    <row r="677" spans="1:14" x14ac:dyDescent="0.25">
      <c r="A677" t="s">
        <v>3043</v>
      </c>
      <c r="B677">
        <v>45</v>
      </c>
      <c r="C677" t="s">
        <v>3065</v>
      </c>
      <c r="D677" t="s">
        <v>3066</v>
      </c>
      <c r="E677" t="s">
        <v>3070</v>
      </c>
      <c r="F677" t="str">
        <f>VLOOKUP(A677,Base!$A:$F,6,FALSE)</f>
        <v>COMÉRCIO; REPARAÇÃO DE VEÍCULOS AUTOMOTORES E MOTOCICLETAS</v>
      </c>
      <c r="G677" t="str">
        <f>VLOOKUP(B677,Base!$B:$F,5,FALSE)</f>
        <v>COMÉRCIO E REPARAÇÃO DE VEÍCULOS AUTOMOTORES E MOTOCICLETAS</v>
      </c>
      <c r="H677" t="str">
        <f>VLOOKUP(C677,Base!$C:$F,4,FALSE)</f>
        <v>Comércio de peças e acessórios para veículos automotores</v>
      </c>
      <c r="I677" t="str">
        <f>VLOOKUP(D677,Base!$D:$F,3,FALSE)</f>
        <v>Comércio de peças e acessórios para veículos automotores</v>
      </c>
      <c r="J677" t="str">
        <f>VLOOKUP(E677,Base!$E:$F,2,FALSE)</f>
        <v>Comércio a varejo de peças e acessórios usados para veículos automotores</v>
      </c>
      <c r="K677" t="s">
        <v>3070</v>
      </c>
      <c r="L677">
        <f>IFERROR(VLOOKUP($K677,Base_Atividades!$E$1:$N$2398,MATCH(BancoAjustado!L$1,Base_Atividades!$E$1:$N$1,0),FALSE),0)</f>
        <v>0</v>
      </c>
      <c r="M677">
        <f>IFERROR(VLOOKUP($K677,Base_Atividades!$E$1:$N$2398,MATCH(BancoAjustado!M$1,Base_Atividades!$E$1:$N$1,0),FALSE),0)</f>
        <v>0</v>
      </c>
      <c r="N677">
        <f>IFERROR(VLOOKUP($K677,Base_Atividades!$E$1:$N$2398,MATCH(BancoAjustado!N$1,Base_Atividades!$E$1:$N$1,0),FALSE),0)</f>
        <v>0</v>
      </c>
    </row>
    <row r="678" spans="1:14" x14ac:dyDescent="0.25">
      <c r="A678" t="s">
        <v>3043</v>
      </c>
      <c r="B678">
        <v>45</v>
      </c>
      <c r="C678" t="s">
        <v>3065</v>
      </c>
      <c r="D678" t="s">
        <v>3066</v>
      </c>
      <c r="E678" t="s">
        <v>3071</v>
      </c>
      <c r="F678" t="str">
        <f>VLOOKUP(A678,Base!$A:$F,6,FALSE)</f>
        <v>COMÉRCIO; REPARAÇÃO DE VEÍCULOS AUTOMOTORES E MOTOCICLETAS</v>
      </c>
      <c r="G678" t="str">
        <f>VLOOKUP(B678,Base!$B:$F,5,FALSE)</f>
        <v>COMÉRCIO E REPARAÇÃO DE VEÍCULOS AUTOMOTORES E MOTOCICLETAS</v>
      </c>
      <c r="H678" t="str">
        <f>VLOOKUP(C678,Base!$C:$F,4,FALSE)</f>
        <v>Comércio de peças e acessórios para veículos automotores</v>
      </c>
      <c r="I678" t="str">
        <f>VLOOKUP(D678,Base!$D:$F,3,FALSE)</f>
        <v>Comércio de peças e acessórios para veículos automotores</v>
      </c>
      <c r="J678" t="str">
        <f>VLOOKUP(E678,Base!$E:$F,2,FALSE)</f>
        <v>Comércio a varejo de pneumáticos e câmaras-de-ar</v>
      </c>
      <c r="K678" t="s">
        <v>3071</v>
      </c>
      <c r="L678">
        <f>IFERROR(VLOOKUP($K678,Base_Atividades!$E$1:$N$2398,MATCH(BancoAjustado!L$1,Base_Atividades!$E$1:$N$1,0),FALSE),0)</f>
        <v>0</v>
      </c>
      <c r="M678">
        <f>IFERROR(VLOOKUP($K678,Base_Atividades!$E$1:$N$2398,MATCH(BancoAjustado!M$1,Base_Atividades!$E$1:$N$1,0),FALSE),0)</f>
        <v>0</v>
      </c>
      <c r="N678">
        <f>IFERROR(VLOOKUP($K678,Base_Atividades!$E$1:$N$2398,MATCH(BancoAjustado!N$1,Base_Atividades!$E$1:$N$1,0),FALSE),0)</f>
        <v>0</v>
      </c>
    </row>
    <row r="679" spans="1:14" x14ac:dyDescent="0.25">
      <c r="A679" t="s">
        <v>3043</v>
      </c>
      <c r="B679">
        <v>45</v>
      </c>
      <c r="C679" t="s">
        <v>3065</v>
      </c>
      <c r="D679" t="s">
        <v>3066</v>
      </c>
      <c r="E679" t="s">
        <v>3072</v>
      </c>
      <c r="F679" t="str">
        <f>VLOOKUP(A679,Base!$A:$F,6,FALSE)</f>
        <v>COMÉRCIO; REPARAÇÃO DE VEÍCULOS AUTOMOTORES E MOTOCICLETAS</v>
      </c>
      <c r="G679" t="str">
        <f>VLOOKUP(B679,Base!$B:$F,5,FALSE)</f>
        <v>COMÉRCIO E REPARAÇÃO DE VEÍCULOS AUTOMOTORES E MOTOCICLETAS</v>
      </c>
      <c r="H679" t="str">
        <f>VLOOKUP(C679,Base!$C:$F,4,FALSE)</f>
        <v>Comércio de peças e acessórios para veículos automotores</v>
      </c>
      <c r="I679" t="str">
        <f>VLOOKUP(D679,Base!$D:$F,3,FALSE)</f>
        <v>Comércio de peças e acessórios para veículos automotores</v>
      </c>
      <c r="J679" t="str">
        <f>VLOOKUP(E679,Base!$E:$F,2,FALSE)</f>
        <v>Representantes comerciais e agentes do comércio de peças e acessórios novos e usados para veículos automotores</v>
      </c>
      <c r="K679" t="s">
        <v>3072</v>
      </c>
      <c r="L679">
        <f>IFERROR(VLOOKUP($K679,Base_Atividades!$E$1:$N$2398,MATCH(BancoAjustado!L$1,Base_Atividades!$E$1:$N$1,0),FALSE),0)</f>
        <v>0</v>
      </c>
      <c r="M679">
        <f>IFERROR(VLOOKUP($K679,Base_Atividades!$E$1:$N$2398,MATCH(BancoAjustado!M$1,Base_Atividades!$E$1:$N$1,0),FALSE),0)</f>
        <v>0</v>
      </c>
      <c r="N679">
        <f>IFERROR(VLOOKUP($K679,Base_Atividades!$E$1:$N$2398,MATCH(BancoAjustado!N$1,Base_Atividades!$E$1:$N$1,0),FALSE),0)</f>
        <v>0</v>
      </c>
    </row>
    <row r="680" spans="1:14" x14ac:dyDescent="0.25">
      <c r="A680" t="s">
        <v>3043</v>
      </c>
      <c r="B680">
        <v>45</v>
      </c>
      <c r="C680" t="s">
        <v>3073</v>
      </c>
      <c r="D680" t="s">
        <v>3074</v>
      </c>
      <c r="E680" t="s">
        <v>3075</v>
      </c>
      <c r="F680" t="str">
        <f>VLOOKUP(A680,Base!$A:$F,6,FALSE)</f>
        <v>COMÉRCIO; REPARAÇÃO DE VEÍCULOS AUTOMOTORES E MOTOCICLETAS</v>
      </c>
      <c r="G680" t="str">
        <f>VLOOKUP(B680,Base!$B:$F,5,FALSE)</f>
        <v>COMÉRCIO E REPARAÇÃO DE VEÍCULOS AUTOMOTORES E MOTOCICLETAS</v>
      </c>
      <c r="H680" t="str">
        <f>VLOOKUP(C680,Base!$C:$F,4,FALSE)</f>
        <v>Comércio, manutenção e reparação de motocicletas, peças e acessórios</v>
      </c>
      <c r="I680" t="str">
        <f>VLOOKUP(D680,Base!$D:$F,3,FALSE)</f>
        <v>Comércio por atacado e a varejo de motocicletas, peças e acessórios</v>
      </c>
      <c r="J680" t="str">
        <f>VLOOKUP(E680,Base!$E:$F,2,FALSE)</f>
        <v>Comércio por atacado de motocicletas e motonetas</v>
      </c>
      <c r="K680" t="s">
        <v>3075</v>
      </c>
      <c r="L680">
        <f>IFERROR(VLOOKUP($K680,Base_Atividades!$E$1:$N$2398,MATCH(BancoAjustado!L$1,Base_Atividades!$E$1:$N$1,0),FALSE),0)</f>
        <v>0</v>
      </c>
      <c r="M680">
        <f>IFERROR(VLOOKUP($K680,Base_Atividades!$E$1:$N$2398,MATCH(BancoAjustado!M$1,Base_Atividades!$E$1:$N$1,0),FALSE),0)</f>
        <v>0</v>
      </c>
      <c r="N680">
        <f>IFERROR(VLOOKUP($K680,Base_Atividades!$E$1:$N$2398,MATCH(BancoAjustado!N$1,Base_Atividades!$E$1:$N$1,0),FALSE),0)</f>
        <v>0</v>
      </c>
    </row>
    <row r="681" spans="1:14" x14ac:dyDescent="0.25">
      <c r="A681" t="s">
        <v>3043</v>
      </c>
      <c r="B681">
        <v>45</v>
      </c>
      <c r="C681" t="s">
        <v>3073</v>
      </c>
      <c r="D681" t="s">
        <v>3074</v>
      </c>
      <c r="E681" t="s">
        <v>3076</v>
      </c>
      <c r="F681" t="str">
        <f>VLOOKUP(A681,Base!$A:$F,6,FALSE)</f>
        <v>COMÉRCIO; REPARAÇÃO DE VEÍCULOS AUTOMOTORES E MOTOCICLETAS</v>
      </c>
      <c r="G681" t="str">
        <f>VLOOKUP(B681,Base!$B:$F,5,FALSE)</f>
        <v>COMÉRCIO E REPARAÇÃO DE VEÍCULOS AUTOMOTORES E MOTOCICLETAS</v>
      </c>
      <c r="H681" t="str">
        <f>VLOOKUP(C681,Base!$C:$F,4,FALSE)</f>
        <v>Comércio, manutenção e reparação de motocicletas, peças e acessórios</v>
      </c>
      <c r="I681" t="str">
        <f>VLOOKUP(D681,Base!$D:$F,3,FALSE)</f>
        <v>Comércio por atacado e a varejo de motocicletas, peças e acessórios</v>
      </c>
      <c r="J681" t="str">
        <f>VLOOKUP(E681,Base!$E:$F,2,FALSE)</f>
        <v>Comércio por atacado de peças e acessórios para motocicletas e motonetas</v>
      </c>
      <c r="K681" t="s">
        <v>3076</v>
      </c>
      <c r="L681">
        <f>IFERROR(VLOOKUP($K681,Base_Atividades!$E$1:$N$2398,MATCH(BancoAjustado!L$1,Base_Atividades!$E$1:$N$1,0),FALSE),0)</f>
        <v>0</v>
      </c>
      <c r="M681">
        <f>IFERROR(VLOOKUP($K681,Base_Atividades!$E$1:$N$2398,MATCH(BancoAjustado!M$1,Base_Atividades!$E$1:$N$1,0),FALSE),0)</f>
        <v>0</v>
      </c>
      <c r="N681">
        <f>IFERROR(VLOOKUP($K681,Base_Atividades!$E$1:$N$2398,MATCH(BancoAjustado!N$1,Base_Atividades!$E$1:$N$1,0),FALSE),0)</f>
        <v>0</v>
      </c>
    </row>
    <row r="682" spans="1:14" x14ac:dyDescent="0.25">
      <c r="A682" t="s">
        <v>3043</v>
      </c>
      <c r="B682">
        <v>45</v>
      </c>
      <c r="C682" t="s">
        <v>3073</v>
      </c>
      <c r="D682" t="s">
        <v>3074</v>
      </c>
      <c r="E682" t="s">
        <v>3077</v>
      </c>
      <c r="F682" t="str">
        <f>VLOOKUP(A682,Base!$A:$F,6,FALSE)</f>
        <v>COMÉRCIO; REPARAÇÃO DE VEÍCULOS AUTOMOTORES E MOTOCICLETAS</v>
      </c>
      <c r="G682" t="str">
        <f>VLOOKUP(B682,Base!$B:$F,5,FALSE)</f>
        <v>COMÉRCIO E REPARAÇÃO DE VEÍCULOS AUTOMOTORES E MOTOCICLETAS</v>
      </c>
      <c r="H682" t="str">
        <f>VLOOKUP(C682,Base!$C:$F,4,FALSE)</f>
        <v>Comércio, manutenção e reparação de motocicletas, peças e acessórios</v>
      </c>
      <c r="I682" t="str">
        <f>VLOOKUP(D682,Base!$D:$F,3,FALSE)</f>
        <v>Comércio por atacado e a varejo de motocicletas, peças e acessórios</v>
      </c>
      <c r="J682" t="str">
        <f>VLOOKUP(E682,Base!$E:$F,2,FALSE)</f>
        <v>Comércio a varejo de motocicletas e motonetas novas</v>
      </c>
      <c r="K682" t="s">
        <v>3077</v>
      </c>
      <c r="L682">
        <f>IFERROR(VLOOKUP($K682,Base_Atividades!$E$1:$N$2398,MATCH(BancoAjustado!L$1,Base_Atividades!$E$1:$N$1,0),FALSE),0)</f>
        <v>0</v>
      </c>
      <c r="M682">
        <f>IFERROR(VLOOKUP($K682,Base_Atividades!$E$1:$N$2398,MATCH(BancoAjustado!M$1,Base_Atividades!$E$1:$N$1,0),FALSE),0)</f>
        <v>0</v>
      </c>
      <c r="N682">
        <f>IFERROR(VLOOKUP($K682,Base_Atividades!$E$1:$N$2398,MATCH(BancoAjustado!N$1,Base_Atividades!$E$1:$N$1,0),FALSE),0)</f>
        <v>0</v>
      </c>
    </row>
    <row r="683" spans="1:14" x14ac:dyDescent="0.25">
      <c r="A683" t="s">
        <v>3043</v>
      </c>
      <c r="B683">
        <v>45</v>
      </c>
      <c r="C683" t="s">
        <v>3073</v>
      </c>
      <c r="D683" t="s">
        <v>3074</v>
      </c>
      <c r="E683" t="s">
        <v>3078</v>
      </c>
      <c r="F683" t="str">
        <f>VLOOKUP(A683,Base!$A:$F,6,FALSE)</f>
        <v>COMÉRCIO; REPARAÇÃO DE VEÍCULOS AUTOMOTORES E MOTOCICLETAS</v>
      </c>
      <c r="G683" t="str">
        <f>VLOOKUP(B683,Base!$B:$F,5,FALSE)</f>
        <v>COMÉRCIO E REPARAÇÃO DE VEÍCULOS AUTOMOTORES E MOTOCICLETAS</v>
      </c>
      <c r="H683" t="str">
        <f>VLOOKUP(C683,Base!$C:$F,4,FALSE)</f>
        <v>Comércio, manutenção e reparação de motocicletas, peças e acessórios</v>
      </c>
      <c r="I683" t="str">
        <f>VLOOKUP(D683,Base!$D:$F,3,FALSE)</f>
        <v>Comércio por atacado e a varejo de motocicletas, peças e acessórios</v>
      </c>
      <c r="J683" t="str">
        <f>VLOOKUP(E683,Base!$E:$F,2,FALSE)</f>
        <v>Comércio a varejo de motocicletas e motonetas usadas</v>
      </c>
      <c r="K683" t="s">
        <v>3078</v>
      </c>
      <c r="L683">
        <f>IFERROR(VLOOKUP($K683,Base_Atividades!$E$1:$N$2398,MATCH(BancoAjustado!L$1,Base_Atividades!$E$1:$N$1,0),FALSE),0)</f>
        <v>0</v>
      </c>
      <c r="M683">
        <f>IFERROR(VLOOKUP($K683,Base_Atividades!$E$1:$N$2398,MATCH(BancoAjustado!M$1,Base_Atividades!$E$1:$N$1,0),FALSE),0)</f>
        <v>0</v>
      </c>
      <c r="N683">
        <f>IFERROR(VLOOKUP($K683,Base_Atividades!$E$1:$N$2398,MATCH(BancoAjustado!N$1,Base_Atividades!$E$1:$N$1,0),FALSE),0)</f>
        <v>0</v>
      </c>
    </row>
    <row r="684" spans="1:14" x14ac:dyDescent="0.25">
      <c r="A684" t="s">
        <v>3043</v>
      </c>
      <c r="B684">
        <v>45</v>
      </c>
      <c r="C684" t="s">
        <v>3073</v>
      </c>
      <c r="D684" t="s">
        <v>3074</v>
      </c>
      <c r="E684" t="s">
        <v>3079</v>
      </c>
      <c r="F684" t="str">
        <f>VLOOKUP(A684,Base!$A:$F,6,FALSE)</f>
        <v>COMÉRCIO; REPARAÇÃO DE VEÍCULOS AUTOMOTORES E MOTOCICLETAS</v>
      </c>
      <c r="G684" t="str">
        <f>VLOOKUP(B684,Base!$B:$F,5,FALSE)</f>
        <v>COMÉRCIO E REPARAÇÃO DE VEÍCULOS AUTOMOTORES E MOTOCICLETAS</v>
      </c>
      <c r="H684" t="str">
        <f>VLOOKUP(C684,Base!$C:$F,4,FALSE)</f>
        <v>Comércio, manutenção e reparação de motocicletas, peças e acessórios</v>
      </c>
      <c r="I684" t="str">
        <f>VLOOKUP(D684,Base!$D:$F,3,FALSE)</f>
        <v>Comércio por atacado e a varejo de motocicletas, peças e acessórios</v>
      </c>
      <c r="J684" t="str">
        <f>VLOOKUP(E684,Base!$E:$F,2,FALSE)</f>
        <v>Comércio a varejo de peças e acessórios novos para motocicletas e motonetas</v>
      </c>
      <c r="K684" t="s">
        <v>3079</v>
      </c>
      <c r="L684">
        <f>IFERROR(VLOOKUP($K684,Base_Atividades!$E$1:$N$2398,MATCH(BancoAjustado!L$1,Base_Atividades!$E$1:$N$1,0),FALSE),0)</f>
        <v>0</v>
      </c>
      <c r="M684">
        <f>IFERROR(VLOOKUP($K684,Base_Atividades!$E$1:$N$2398,MATCH(BancoAjustado!M$1,Base_Atividades!$E$1:$N$1,0),FALSE),0)</f>
        <v>0</v>
      </c>
      <c r="N684">
        <f>IFERROR(VLOOKUP($K684,Base_Atividades!$E$1:$N$2398,MATCH(BancoAjustado!N$1,Base_Atividades!$E$1:$N$1,0),FALSE),0)</f>
        <v>0</v>
      </c>
    </row>
    <row r="685" spans="1:14" x14ac:dyDescent="0.25">
      <c r="A685" t="s">
        <v>3043</v>
      </c>
      <c r="B685">
        <v>45</v>
      </c>
      <c r="C685" t="s">
        <v>3073</v>
      </c>
      <c r="D685" t="s">
        <v>3074</v>
      </c>
      <c r="E685" t="s">
        <v>3080</v>
      </c>
      <c r="F685" t="str">
        <f>VLOOKUP(A685,Base!$A:$F,6,FALSE)</f>
        <v>COMÉRCIO; REPARAÇÃO DE VEÍCULOS AUTOMOTORES E MOTOCICLETAS</v>
      </c>
      <c r="G685" t="str">
        <f>VLOOKUP(B685,Base!$B:$F,5,FALSE)</f>
        <v>COMÉRCIO E REPARAÇÃO DE VEÍCULOS AUTOMOTORES E MOTOCICLETAS</v>
      </c>
      <c r="H685" t="str">
        <f>VLOOKUP(C685,Base!$C:$F,4,FALSE)</f>
        <v>Comércio, manutenção e reparação de motocicletas, peças e acessórios</v>
      </c>
      <c r="I685" t="str">
        <f>VLOOKUP(D685,Base!$D:$F,3,FALSE)</f>
        <v>Comércio por atacado e a varejo de motocicletas, peças e acessórios</v>
      </c>
      <c r="J685" t="str">
        <f>VLOOKUP(E685,Base!$E:$F,2,FALSE)</f>
        <v>Comércio a varejo de peças e acessórios usados para motocicletas e motonetas</v>
      </c>
      <c r="K685" t="s">
        <v>3080</v>
      </c>
      <c r="L685">
        <f>IFERROR(VLOOKUP($K685,Base_Atividades!$E$1:$N$2398,MATCH(BancoAjustado!L$1,Base_Atividades!$E$1:$N$1,0),FALSE),0)</f>
        <v>0</v>
      </c>
      <c r="M685">
        <f>IFERROR(VLOOKUP($K685,Base_Atividades!$E$1:$N$2398,MATCH(BancoAjustado!M$1,Base_Atividades!$E$1:$N$1,0),FALSE),0)</f>
        <v>0</v>
      </c>
      <c r="N685">
        <f>IFERROR(VLOOKUP($K685,Base_Atividades!$E$1:$N$2398,MATCH(BancoAjustado!N$1,Base_Atividades!$E$1:$N$1,0),FALSE),0)</f>
        <v>0</v>
      </c>
    </row>
    <row r="686" spans="1:14" x14ac:dyDescent="0.25">
      <c r="A686" t="s">
        <v>3043</v>
      </c>
      <c r="B686">
        <v>45</v>
      </c>
      <c r="C686" t="s">
        <v>3073</v>
      </c>
      <c r="D686" t="s">
        <v>3081</v>
      </c>
      <c r="E686" t="s">
        <v>3082</v>
      </c>
      <c r="F686" t="str">
        <f>VLOOKUP(A686,Base!$A:$F,6,FALSE)</f>
        <v>COMÉRCIO; REPARAÇÃO DE VEÍCULOS AUTOMOTORES E MOTOCICLETAS</v>
      </c>
      <c r="G686" t="str">
        <f>VLOOKUP(B686,Base!$B:$F,5,FALSE)</f>
        <v>COMÉRCIO E REPARAÇÃO DE VEÍCULOS AUTOMOTORES E MOTOCICLETAS</v>
      </c>
      <c r="H686" t="str">
        <f>VLOOKUP(C686,Base!$C:$F,4,FALSE)</f>
        <v>Comércio, manutenção e reparação de motocicletas, peças e acessórios</v>
      </c>
      <c r="I686" t="str">
        <f>VLOOKUP(D686,Base!$D:$F,3,FALSE)</f>
        <v>Representantes comerciais e agentes do comércio de motocicletas, peças e acessórios</v>
      </c>
      <c r="J686" t="str">
        <f>VLOOKUP(E686,Base!$E:$F,2,FALSE)</f>
        <v>Representantes comerciais e agentes do comércio de motocicletas e motonetas, peças e acessórios</v>
      </c>
      <c r="K686" t="s">
        <v>3082</v>
      </c>
      <c r="L686">
        <f>IFERROR(VLOOKUP($K686,Base_Atividades!$E$1:$N$2398,MATCH(BancoAjustado!L$1,Base_Atividades!$E$1:$N$1,0),FALSE),0)</f>
        <v>0</v>
      </c>
      <c r="M686">
        <f>IFERROR(VLOOKUP($K686,Base_Atividades!$E$1:$N$2398,MATCH(BancoAjustado!M$1,Base_Atividades!$E$1:$N$1,0),FALSE),0)</f>
        <v>0</v>
      </c>
      <c r="N686">
        <f>IFERROR(VLOOKUP($K686,Base_Atividades!$E$1:$N$2398,MATCH(BancoAjustado!N$1,Base_Atividades!$E$1:$N$1,0),FALSE),0)</f>
        <v>0</v>
      </c>
    </row>
    <row r="687" spans="1:14" x14ac:dyDescent="0.25">
      <c r="A687" t="s">
        <v>3043</v>
      </c>
      <c r="B687">
        <v>45</v>
      </c>
      <c r="C687" t="s">
        <v>3073</v>
      </c>
      <c r="D687" t="s">
        <v>3081</v>
      </c>
      <c r="E687" t="s">
        <v>3083</v>
      </c>
      <c r="F687" t="str">
        <f>VLOOKUP(A687,Base!$A:$F,6,FALSE)</f>
        <v>COMÉRCIO; REPARAÇÃO DE VEÍCULOS AUTOMOTORES E MOTOCICLETAS</v>
      </c>
      <c r="G687" t="str">
        <f>VLOOKUP(B687,Base!$B:$F,5,FALSE)</f>
        <v>COMÉRCIO E REPARAÇÃO DE VEÍCULOS AUTOMOTORES E MOTOCICLETAS</v>
      </c>
      <c r="H687" t="str">
        <f>VLOOKUP(C687,Base!$C:$F,4,FALSE)</f>
        <v>Comércio, manutenção e reparação de motocicletas, peças e acessórios</v>
      </c>
      <c r="I687" t="str">
        <f>VLOOKUP(D687,Base!$D:$F,3,FALSE)</f>
        <v>Representantes comerciais e agentes do comércio de motocicletas, peças e acessórios</v>
      </c>
      <c r="J687" t="str">
        <f>VLOOKUP(E687,Base!$E:$F,2,FALSE)</f>
        <v>Comércio sob consignação de motocicletas e motonetas</v>
      </c>
      <c r="K687" t="s">
        <v>3083</v>
      </c>
      <c r="L687">
        <f>IFERROR(VLOOKUP($K687,Base_Atividades!$E$1:$N$2398,MATCH(BancoAjustado!L$1,Base_Atividades!$E$1:$N$1,0),FALSE),0)</f>
        <v>0</v>
      </c>
      <c r="M687">
        <f>IFERROR(VLOOKUP($K687,Base_Atividades!$E$1:$N$2398,MATCH(BancoAjustado!M$1,Base_Atividades!$E$1:$N$1,0),FALSE),0)</f>
        <v>0</v>
      </c>
      <c r="N687">
        <f>IFERROR(VLOOKUP($K687,Base_Atividades!$E$1:$N$2398,MATCH(BancoAjustado!N$1,Base_Atividades!$E$1:$N$1,0),FALSE),0)</f>
        <v>0</v>
      </c>
    </row>
    <row r="688" spans="1:14" x14ac:dyDescent="0.25">
      <c r="A688" t="s">
        <v>3043</v>
      </c>
      <c r="B688">
        <v>45</v>
      </c>
      <c r="C688" t="s">
        <v>3073</v>
      </c>
      <c r="D688" t="s">
        <v>3084</v>
      </c>
      <c r="E688" t="s">
        <v>3085</v>
      </c>
      <c r="F688" t="str">
        <f>VLOOKUP(A688,Base!$A:$F,6,FALSE)</f>
        <v>COMÉRCIO; REPARAÇÃO DE VEÍCULOS AUTOMOTORES E MOTOCICLETAS</v>
      </c>
      <c r="G688" t="str">
        <f>VLOOKUP(B688,Base!$B:$F,5,FALSE)</f>
        <v>COMÉRCIO E REPARAÇÃO DE VEÍCULOS AUTOMOTORES E MOTOCICLETAS</v>
      </c>
      <c r="H688" t="str">
        <f>VLOOKUP(C688,Base!$C:$F,4,FALSE)</f>
        <v>Comércio, manutenção e reparação de motocicletas, peças e acessórios</v>
      </c>
      <c r="I688" t="str">
        <f>VLOOKUP(D688,Base!$D:$F,3,FALSE)</f>
        <v>Manutenção e reparação de motocicletas</v>
      </c>
      <c r="J688" t="str">
        <f>VLOOKUP(E688,Base!$E:$F,2,FALSE)</f>
        <v>Manutenção e reparação de motocicletas e motonetas</v>
      </c>
      <c r="K688" t="s">
        <v>3085</v>
      </c>
      <c r="L688">
        <f>IFERROR(VLOOKUP($K688,Base_Atividades!$E$1:$N$2398,MATCH(BancoAjustado!L$1,Base_Atividades!$E$1:$N$1,0),FALSE),0)</f>
        <v>1</v>
      </c>
      <c r="M688">
        <f>IFERROR(VLOOKUP($K688,Base_Atividades!$E$1:$N$2398,MATCH(BancoAjustado!M$1,Base_Atividades!$E$1:$N$1,0),FALSE),0)</f>
        <v>0</v>
      </c>
      <c r="N688">
        <f>IFERROR(VLOOKUP($K688,Base_Atividades!$E$1:$N$2398,MATCH(BancoAjustado!N$1,Base_Atividades!$E$1:$N$1,0),FALSE),0)</f>
        <v>0</v>
      </c>
    </row>
    <row r="689" spans="1:14" x14ac:dyDescent="0.25">
      <c r="A689" t="s">
        <v>3043</v>
      </c>
      <c r="B689" t="s">
        <v>3086</v>
      </c>
      <c r="C689" t="s">
        <v>3087</v>
      </c>
      <c r="D689" t="s">
        <v>3088</v>
      </c>
      <c r="E689" t="s">
        <v>3089</v>
      </c>
      <c r="F689" t="str">
        <f>VLOOKUP(A689,Base!$A:$F,6,FALSE)</f>
        <v>COMÉRCIO; REPARAÇÃO DE VEÍCULOS AUTOMOTORES E MOTOCICLETAS</v>
      </c>
      <c r="G689" t="str">
        <f>VLOOKUP(B689,Base!$B:$F,5,FALSE)</f>
        <v>COMÉRCIO POR ATACADO, EXCETO VEÍCULOS AUTOMOTORES E MOTOCICLETAS</v>
      </c>
      <c r="H689" t="str">
        <f>VLOOKUP(C689,Base!$C:$F,4,FALSE)</f>
        <v>Representantes comerciais e agentes do comércio, exceto de veículos automotores e motocicletas</v>
      </c>
      <c r="I689" t="str">
        <f>VLOOKUP(D689,Base!$D:$F,3,FALSE)</f>
        <v>Representantes comerciais e agentes do comércio de matérias-primas agrícolas e animais vivos</v>
      </c>
      <c r="J689" t="str">
        <f>VLOOKUP(E689,Base!$E:$F,2,FALSE)</f>
        <v>Representantes comerciais e agentes do comércio de matérias-primas agrícolas e animais vivos</v>
      </c>
      <c r="K689" t="s">
        <v>3089</v>
      </c>
      <c r="L689">
        <f>IFERROR(VLOOKUP($K689,Base_Atividades!$E$1:$N$2398,MATCH(BancoAjustado!L$1,Base_Atividades!$E$1:$N$1,0),FALSE),0)</f>
        <v>0</v>
      </c>
      <c r="M689">
        <f>IFERROR(VLOOKUP($K689,Base_Atividades!$E$1:$N$2398,MATCH(BancoAjustado!M$1,Base_Atividades!$E$1:$N$1,0),FALSE),0)</f>
        <v>0</v>
      </c>
      <c r="N689">
        <f>IFERROR(VLOOKUP($K689,Base_Atividades!$E$1:$N$2398,MATCH(BancoAjustado!N$1,Base_Atividades!$E$1:$N$1,0),FALSE),0)</f>
        <v>0</v>
      </c>
    </row>
    <row r="690" spans="1:14" x14ac:dyDescent="0.25">
      <c r="A690" t="s">
        <v>3043</v>
      </c>
      <c r="B690" t="s">
        <v>3086</v>
      </c>
      <c r="C690" t="s">
        <v>3087</v>
      </c>
      <c r="D690" t="s">
        <v>3090</v>
      </c>
      <c r="E690" t="s">
        <v>3091</v>
      </c>
      <c r="F690" t="str">
        <f>VLOOKUP(A690,Base!$A:$F,6,FALSE)</f>
        <v>COMÉRCIO; REPARAÇÃO DE VEÍCULOS AUTOMOTORES E MOTOCICLETAS</v>
      </c>
      <c r="G690" t="str">
        <f>VLOOKUP(B690,Base!$B:$F,5,FALSE)</f>
        <v>COMÉRCIO POR ATACADO, EXCETO VEÍCULOS AUTOMOTORES E MOTOCICLETAS</v>
      </c>
      <c r="H690" t="str">
        <f>VLOOKUP(C690,Base!$C:$F,4,FALSE)</f>
        <v>Representantes comerciais e agentes do comércio, exceto de veículos automotores e motocicletas</v>
      </c>
      <c r="I690" t="str">
        <f>VLOOKUP(D690,Base!$D:$F,3,FALSE)</f>
        <v>Representantes comerciais e agentes do comércio de combustíveis, minerais, produtos siderúrgicos e químicos</v>
      </c>
      <c r="J690" t="str">
        <f>VLOOKUP(E690,Base!$E:$F,2,FALSE)</f>
        <v>Representantes comerciais e agentes do comércio de combustíveis, minerais, produtos siderúrgicos e químicos</v>
      </c>
      <c r="K690" t="s">
        <v>3091</v>
      </c>
      <c r="L690">
        <f>IFERROR(VLOOKUP($K690,Base_Atividades!$E$1:$N$2398,MATCH(BancoAjustado!L$1,Base_Atividades!$E$1:$N$1,0),FALSE),0)</f>
        <v>0</v>
      </c>
      <c r="M690">
        <f>IFERROR(VLOOKUP($K690,Base_Atividades!$E$1:$N$2398,MATCH(BancoAjustado!M$1,Base_Atividades!$E$1:$N$1,0),FALSE),0)</f>
        <v>0</v>
      </c>
      <c r="N690">
        <f>IFERROR(VLOOKUP($K690,Base_Atividades!$E$1:$N$2398,MATCH(BancoAjustado!N$1,Base_Atividades!$E$1:$N$1,0),FALSE),0)</f>
        <v>0</v>
      </c>
    </row>
    <row r="691" spans="1:14" x14ac:dyDescent="0.25">
      <c r="A691" t="s">
        <v>3043</v>
      </c>
      <c r="B691" t="s">
        <v>3086</v>
      </c>
      <c r="C691" t="s">
        <v>3087</v>
      </c>
      <c r="D691" t="s">
        <v>3092</v>
      </c>
      <c r="E691" t="s">
        <v>3093</v>
      </c>
      <c r="F691" t="str">
        <f>VLOOKUP(A691,Base!$A:$F,6,FALSE)</f>
        <v>COMÉRCIO; REPARAÇÃO DE VEÍCULOS AUTOMOTORES E MOTOCICLETAS</v>
      </c>
      <c r="G691" t="str">
        <f>VLOOKUP(B691,Base!$B:$F,5,FALSE)</f>
        <v>COMÉRCIO POR ATACADO, EXCETO VEÍCULOS AUTOMOTORES E MOTOCICLETAS</v>
      </c>
      <c r="H691" t="str">
        <f>VLOOKUP(C691,Base!$C:$F,4,FALSE)</f>
        <v>Representantes comerciais e agentes do comércio, exceto de veículos automotores e motocicletas</v>
      </c>
      <c r="I691" t="str">
        <f>VLOOKUP(D691,Base!$D:$F,3,FALSE)</f>
        <v>Representantes comerciais e agentes do comércio de madeira, material de construção e ferragens</v>
      </c>
      <c r="J691" t="str">
        <f>VLOOKUP(E691,Base!$E:$F,2,FALSE)</f>
        <v>Representantes comerciais e agentes do comércio de madeira, material de construção e ferragens</v>
      </c>
      <c r="K691" t="s">
        <v>3093</v>
      </c>
      <c r="L691">
        <f>IFERROR(VLOOKUP($K691,Base_Atividades!$E$1:$N$2398,MATCH(BancoAjustado!L$1,Base_Atividades!$E$1:$N$1,0),FALSE),0)</f>
        <v>0</v>
      </c>
      <c r="M691">
        <f>IFERROR(VLOOKUP($K691,Base_Atividades!$E$1:$N$2398,MATCH(BancoAjustado!M$1,Base_Atividades!$E$1:$N$1,0),FALSE),0)</f>
        <v>0</v>
      </c>
      <c r="N691">
        <f>IFERROR(VLOOKUP($K691,Base_Atividades!$E$1:$N$2398,MATCH(BancoAjustado!N$1,Base_Atividades!$E$1:$N$1,0),FALSE),0)</f>
        <v>0</v>
      </c>
    </row>
    <row r="692" spans="1:14" x14ac:dyDescent="0.25">
      <c r="A692" t="s">
        <v>3043</v>
      </c>
      <c r="B692" t="s">
        <v>3086</v>
      </c>
      <c r="C692" t="s">
        <v>3087</v>
      </c>
      <c r="D692" t="s">
        <v>3094</v>
      </c>
      <c r="E692" t="s">
        <v>3095</v>
      </c>
      <c r="F692" t="str">
        <f>VLOOKUP(A692,Base!$A:$F,6,FALSE)</f>
        <v>COMÉRCIO; REPARAÇÃO DE VEÍCULOS AUTOMOTORES E MOTOCICLETAS</v>
      </c>
      <c r="G692" t="str">
        <f>VLOOKUP(B692,Base!$B:$F,5,FALSE)</f>
        <v>COMÉRCIO POR ATACADO, EXCETO VEÍCULOS AUTOMOTORES E MOTOCICLETAS</v>
      </c>
      <c r="H692" t="str">
        <f>VLOOKUP(C692,Base!$C:$F,4,FALSE)</f>
        <v>Representantes comerciais e agentes do comércio, exceto de veículos automotores e motocicletas</v>
      </c>
      <c r="I692" t="str">
        <f>VLOOKUP(D692,Base!$D:$F,3,FALSE)</f>
        <v>Representantes comerciais e agentes do comércio de máquinas, equipamentos, embarcações e aeronaves</v>
      </c>
      <c r="J692" t="str">
        <f>VLOOKUP(E692,Base!$E:$F,2,FALSE)</f>
        <v>Representantes comerciais e agentes do comércio de máquinas, equipamentos, embarcações e aeronaves</v>
      </c>
      <c r="K692" t="s">
        <v>3095</v>
      </c>
      <c r="L692">
        <f>IFERROR(VLOOKUP($K692,Base_Atividades!$E$1:$N$2398,MATCH(BancoAjustado!L$1,Base_Atividades!$E$1:$N$1,0),FALSE),0)</f>
        <v>0</v>
      </c>
      <c r="M692">
        <f>IFERROR(VLOOKUP($K692,Base_Atividades!$E$1:$N$2398,MATCH(BancoAjustado!M$1,Base_Atividades!$E$1:$N$1,0),FALSE),0)</f>
        <v>0</v>
      </c>
      <c r="N692">
        <f>IFERROR(VLOOKUP($K692,Base_Atividades!$E$1:$N$2398,MATCH(BancoAjustado!N$1,Base_Atividades!$E$1:$N$1,0),FALSE),0)</f>
        <v>0</v>
      </c>
    </row>
    <row r="693" spans="1:14" x14ac:dyDescent="0.25">
      <c r="A693" t="s">
        <v>3043</v>
      </c>
      <c r="B693" t="s">
        <v>3086</v>
      </c>
      <c r="C693" t="s">
        <v>3087</v>
      </c>
      <c r="D693" t="s">
        <v>3096</v>
      </c>
      <c r="E693" t="s">
        <v>3097</v>
      </c>
      <c r="F693" t="str">
        <f>VLOOKUP(A693,Base!$A:$F,6,FALSE)</f>
        <v>COMÉRCIO; REPARAÇÃO DE VEÍCULOS AUTOMOTORES E MOTOCICLETAS</v>
      </c>
      <c r="G693" t="str">
        <f>VLOOKUP(B693,Base!$B:$F,5,FALSE)</f>
        <v>COMÉRCIO POR ATACADO, EXCETO VEÍCULOS AUTOMOTORES E MOTOCICLETAS</v>
      </c>
      <c r="H693" t="str">
        <f>VLOOKUP(C693,Base!$C:$F,4,FALSE)</f>
        <v>Representantes comerciais e agentes do comércio, exceto de veículos automotores e motocicletas</v>
      </c>
      <c r="I693" t="str">
        <f>VLOOKUP(D693,Base!$D:$F,3,FALSE)</f>
        <v>Representantes comerciais e agentes do comércio de eletrodomésticos, móveis e artigos de uso doméstico</v>
      </c>
      <c r="J693" t="str">
        <f>VLOOKUP(E693,Base!$E:$F,2,FALSE)</f>
        <v>Representantes comerciais e agentes do comércio de eletrodomésticos, móveis e artigos de uso doméstico</v>
      </c>
      <c r="K693" t="s">
        <v>3097</v>
      </c>
      <c r="L693">
        <f>IFERROR(VLOOKUP($K693,Base_Atividades!$E$1:$N$2398,MATCH(BancoAjustado!L$1,Base_Atividades!$E$1:$N$1,0),FALSE),0)</f>
        <v>0</v>
      </c>
      <c r="M693">
        <f>IFERROR(VLOOKUP($K693,Base_Atividades!$E$1:$N$2398,MATCH(BancoAjustado!M$1,Base_Atividades!$E$1:$N$1,0),FALSE),0)</f>
        <v>0</v>
      </c>
      <c r="N693">
        <f>IFERROR(VLOOKUP($K693,Base_Atividades!$E$1:$N$2398,MATCH(BancoAjustado!N$1,Base_Atividades!$E$1:$N$1,0),FALSE),0)</f>
        <v>0</v>
      </c>
    </row>
    <row r="694" spans="1:14" x14ac:dyDescent="0.25">
      <c r="A694" t="s">
        <v>3043</v>
      </c>
      <c r="B694" t="s">
        <v>3086</v>
      </c>
      <c r="C694" t="s">
        <v>3087</v>
      </c>
      <c r="D694" t="s">
        <v>3098</v>
      </c>
      <c r="E694" t="s">
        <v>3099</v>
      </c>
      <c r="F694" t="str">
        <f>VLOOKUP(A694,Base!$A:$F,6,FALSE)</f>
        <v>COMÉRCIO; REPARAÇÃO DE VEÍCULOS AUTOMOTORES E MOTOCICLETAS</v>
      </c>
      <c r="G694" t="str">
        <f>VLOOKUP(B694,Base!$B:$F,5,FALSE)</f>
        <v>COMÉRCIO POR ATACADO, EXCETO VEÍCULOS AUTOMOTORES E MOTOCICLETAS</v>
      </c>
      <c r="H694" t="str">
        <f>VLOOKUP(C694,Base!$C:$F,4,FALSE)</f>
        <v>Representantes comerciais e agentes do comércio, exceto de veículos automotores e motocicletas</v>
      </c>
      <c r="I694" t="str">
        <f>VLOOKUP(D694,Base!$D:$F,3,FALSE)</f>
        <v>Representantes comerciais e agentes do comércio de têxteis, vestuário, calçados e artigos de viagem</v>
      </c>
      <c r="J694" t="str">
        <f>VLOOKUP(E694,Base!$E:$F,2,FALSE)</f>
        <v>Representantes comerciais e agentes do comércio de têxteis, vestuário, calçados e artigos de viagem</v>
      </c>
      <c r="K694" t="s">
        <v>3099</v>
      </c>
      <c r="L694">
        <f>IFERROR(VLOOKUP($K694,Base_Atividades!$E$1:$N$2398,MATCH(BancoAjustado!L$1,Base_Atividades!$E$1:$N$1,0),FALSE),0)</f>
        <v>0</v>
      </c>
      <c r="M694">
        <f>IFERROR(VLOOKUP($K694,Base_Atividades!$E$1:$N$2398,MATCH(BancoAjustado!M$1,Base_Atividades!$E$1:$N$1,0),FALSE),0)</f>
        <v>0</v>
      </c>
      <c r="N694">
        <f>IFERROR(VLOOKUP($K694,Base_Atividades!$E$1:$N$2398,MATCH(BancoAjustado!N$1,Base_Atividades!$E$1:$N$1,0),FALSE),0)</f>
        <v>0</v>
      </c>
    </row>
    <row r="695" spans="1:14" x14ac:dyDescent="0.25">
      <c r="A695" t="s">
        <v>3043</v>
      </c>
      <c r="B695" t="s">
        <v>3086</v>
      </c>
      <c r="C695" t="s">
        <v>3087</v>
      </c>
      <c r="D695" t="s">
        <v>3100</v>
      </c>
      <c r="E695" t="s">
        <v>3101</v>
      </c>
      <c r="F695" t="str">
        <f>VLOOKUP(A695,Base!$A:$F,6,FALSE)</f>
        <v>COMÉRCIO; REPARAÇÃO DE VEÍCULOS AUTOMOTORES E MOTOCICLETAS</v>
      </c>
      <c r="G695" t="str">
        <f>VLOOKUP(B695,Base!$B:$F,5,FALSE)</f>
        <v>COMÉRCIO POR ATACADO, EXCETO VEÍCULOS AUTOMOTORES E MOTOCICLETAS</v>
      </c>
      <c r="H695" t="str">
        <f>VLOOKUP(C695,Base!$C:$F,4,FALSE)</f>
        <v>Representantes comerciais e agentes do comércio, exceto de veículos automotores e motocicletas</v>
      </c>
      <c r="I695" t="str">
        <f>VLOOKUP(D695,Base!$D:$F,3,FALSE)</f>
        <v>Representantes comerciais e agentes do comércio de produtos alimentícios, bebidas e fumo</v>
      </c>
      <c r="J695" t="str">
        <f>VLOOKUP(E695,Base!$E:$F,2,FALSE)</f>
        <v>Representantes comerciais e agentes do comércio de produtos alimentícios, bebidas e fumo</v>
      </c>
      <c r="K695" t="s">
        <v>3101</v>
      </c>
      <c r="L695">
        <f>IFERROR(VLOOKUP($K695,Base_Atividades!$E$1:$N$2398,MATCH(BancoAjustado!L$1,Base_Atividades!$E$1:$N$1,0),FALSE),0)</f>
        <v>0</v>
      </c>
      <c r="M695">
        <f>IFERROR(VLOOKUP($K695,Base_Atividades!$E$1:$N$2398,MATCH(BancoAjustado!M$1,Base_Atividades!$E$1:$N$1,0),FALSE),0)</f>
        <v>0</v>
      </c>
      <c r="N695">
        <f>IFERROR(VLOOKUP($K695,Base_Atividades!$E$1:$N$2398,MATCH(BancoAjustado!N$1,Base_Atividades!$E$1:$N$1,0),FALSE),0)</f>
        <v>0</v>
      </c>
    </row>
    <row r="696" spans="1:14" x14ac:dyDescent="0.25">
      <c r="A696" t="s">
        <v>3043</v>
      </c>
      <c r="B696" t="s">
        <v>3086</v>
      </c>
      <c r="C696" t="s">
        <v>3087</v>
      </c>
      <c r="D696" t="s">
        <v>3102</v>
      </c>
      <c r="E696" t="s">
        <v>3103</v>
      </c>
      <c r="F696" t="str">
        <f>VLOOKUP(A696,Base!$A:$F,6,FALSE)</f>
        <v>COMÉRCIO; REPARAÇÃO DE VEÍCULOS AUTOMOTORES E MOTOCICLETAS</v>
      </c>
      <c r="G696" t="str">
        <f>VLOOKUP(B696,Base!$B:$F,5,FALSE)</f>
        <v>COMÉRCIO POR ATACADO, EXCETO VEÍCULOS AUTOMOTORES E MOTOCICLETAS</v>
      </c>
      <c r="H696" t="str">
        <f>VLOOKUP(C696,Base!$C:$F,4,FALSE)</f>
        <v>Representantes comerciais e agentes do comércio, exceto de veículos automotores e motocicletas</v>
      </c>
      <c r="I696" t="str">
        <f>VLOOKUP(D696,Base!$D:$F,3,FALSE)</f>
        <v>Representantes comerciais e agentes do comércio especializado em produtos não especificados anteriormente</v>
      </c>
      <c r="J696" t="str">
        <f>VLOOKUP(E696,Base!$E:$F,2,FALSE)</f>
        <v>Representantes comerciais e agentes do comércio de medicamentos, cosméticos e produtos de perfumaria</v>
      </c>
      <c r="K696" t="s">
        <v>3103</v>
      </c>
      <c r="L696">
        <f>IFERROR(VLOOKUP($K696,Base_Atividades!$E$1:$N$2398,MATCH(BancoAjustado!L$1,Base_Atividades!$E$1:$N$1,0),FALSE),0)</f>
        <v>0</v>
      </c>
      <c r="M696">
        <f>IFERROR(VLOOKUP($K696,Base_Atividades!$E$1:$N$2398,MATCH(BancoAjustado!M$1,Base_Atividades!$E$1:$N$1,0),FALSE),0)</f>
        <v>0</v>
      </c>
      <c r="N696">
        <f>IFERROR(VLOOKUP($K696,Base_Atividades!$E$1:$N$2398,MATCH(BancoAjustado!N$1,Base_Atividades!$E$1:$N$1,0),FALSE),0)</f>
        <v>0</v>
      </c>
    </row>
    <row r="697" spans="1:14" x14ac:dyDescent="0.25">
      <c r="A697" t="s">
        <v>3043</v>
      </c>
      <c r="B697" t="s">
        <v>3086</v>
      </c>
      <c r="C697" t="s">
        <v>3087</v>
      </c>
      <c r="D697" t="s">
        <v>3102</v>
      </c>
      <c r="E697" t="s">
        <v>3104</v>
      </c>
      <c r="F697" t="str">
        <f>VLOOKUP(A697,Base!$A:$F,6,FALSE)</f>
        <v>COMÉRCIO; REPARAÇÃO DE VEÍCULOS AUTOMOTORES E MOTOCICLETAS</v>
      </c>
      <c r="G697" t="str">
        <f>VLOOKUP(B697,Base!$B:$F,5,FALSE)</f>
        <v>COMÉRCIO POR ATACADO, EXCETO VEÍCULOS AUTOMOTORES E MOTOCICLETAS</v>
      </c>
      <c r="H697" t="str">
        <f>VLOOKUP(C697,Base!$C:$F,4,FALSE)</f>
        <v>Representantes comerciais e agentes do comércio, exceto de veículos automotores e motocicletas</v>
      </c>
      <c r="I697" t="str">
        <f>VLOOKUP(D697,Base!$D:$F,3,FALSE)</f>
        <v>Representantes comerciais e agentes do comércio especializado em produtos não especificados anteriormente</v>
      </c>
      <c r="J697" t="str">
        <f>VLOOKUP(E697,Base!$E:$F,2,FALSE)</f>
        <v>Representantes comerciais e agentes do comércio de instrumentos e materiais odonto-médico-hospitalares</v>
      </c>
      <c r="K697" t="s">
        <v>3104</v>
      </c>
      <c r="L697">
        <f>IFERROR(VLOOKUP($K697,Base_Atividades!$E$1:$N$2398,MATCH(BancoAjustado!L$1,Base_Atividades!$E$1:$N$1,0),FALSE),0)</f>
        <v>0</v>
      </c>
      <c r="M697">
        <f>IFERROR(VLOOKUP($K697,Base_Atividades!$E$1:$N$2398,MATCH(BancoAjustado!M$1,Base_Atividades!$E$1:$N$1,0),FALSE),0)</f>
        <v>0</v>
      </c>
      <c r="N697">
        <f>IFERROR(VLOOKUP($K697,Base_Atividades!$E$1:$N$2398,MATCH(BancoAjustado!N$1,Base_Atividades!$E$1:$N$1,0),FALSE),0)</f>
        <v>0</v>
      </c>
    </row>
    <row r="698" spans="1:14" x14ac:dyDescent="0.25">
      <c r="A698" t="s">
        <v>3043</v>
      </c>
      <c r="B698" t="s">
        <v>3086</v>
      </c>
      <c r="C698" t="s">
        <v>3087</v>
      </c>
      <c r="D698" t="s">
        <v>3102</v>
      </c>
      <c r="E698" t="s">
        <v>3105</v>
      </c>
      <c r="F698" t="str">
        <f>VLOOKUP(A698,Base!$A:$F,6,FALSE)</f>
        <v>COMÉRCIO; REPARAÇÃO DE VEÍCULOS AUTOMOTORES E MOTOCICLETAS</v>
      </c>
      <c r="G698" t="str">
        <f>VLOOKUP(B698,Base!$B:$F,5,FALSE)</f>
        <v>COMÉRCIO POR ATACADO, EXCETO VEÍCULOS AUTOMOTORES E MOTOCICLETAS</v>
      </c>
      <c r="H698" t="str">
        <f>VLOOKUP(C698,Base!$C:$F,4,FALSE)</f>
        <v>Representantes comerciais e agentes do comércio, exceto de veículos automotores e motocicletas</v>
      </c>
      <c r="I698" t="str">
        <f>VLOOKUP(D698,Base!$D:$F,3,FALSE)</f>
        <v>Representantes comerciais e agentes do comércio especializado em produtos não especificados anteriormente</v>
      </c>
      <c r="J698" t="str">
        <f>VLOOKUP(E698,Base!$E:$F,2,FALSE)</f>
        <v>Representantes comerciais e agentes do comércio de jornais, revistas e outras publicações</v>
      </c>
      <c r="K698" t="s">
        <v>3105</v>
      </c>
      <c r="L698">
        <f>IFERROR(VLOOKUP($K698,Base_Atividades!$E$1:$N$2398,MATCH(BancoAjustado!L$1,Base_Atividades!$E$1:$N$1,0),FALSE),0)</f>
        <v>0</v>
      </c>
      <c r="M698">
        <f>IFERROR(VLOOKUP($K698,Base_Atividades!$E$1:$N$2398,MATCH(BancoAjustado!M$1,Base_Atividades!$E$1:$N$1,0),FALSE),0)</f>
        <v>0</v>
      </c>
      <c r="N698">
        <f>IFERROR(VLOOKUP($K698,Base_Atividades!$E$1:$N$2398,MATCH(BancoAjustado!N$1,Base_Atividades!$E$1:$N$1,0),FALSE),0)</f>
        <v>0</v>
      </c>
    </row>
    <row r="699" spans="1:14" x14ac:dyDescent="0.25">
      <c r="A699" t="s">
        <v>3043</v>
      </c>
      <c r="B699" t="s">
        <v>3086</v>
      </c>
      <c r="C699" t="s">
        <v>3087</v>
      </c>
      <c r="D699" t="s">
        <v>3102</v>
      </c>
      <c r="E699" t="s">
        <v>3106</v>
      </c>
      <c r="F699" t="str">
        <f>VLOOKUP(A699,Base!$A:$F,6,FALSE)</f>
        <v>COMÉRCIO; REPARAÇÃO DE VEÍCULOS AUTOMOTORES E MOTOCICLETAS</v>
      </c>
      <c r="G699" t="str">
        <f>VLOOKUP(B699,Base!$B:$F,5,FALSE)</f>
        <v>COMÉRCIO POR ATACADO, EXCETO VEÍCULOS AUTOMOTORES E MOTOCICLETAS</v>
      </c>
      <c r="H699" t="str">
        <f>VLOOKUP(C699,Base!$C:$F,4,FALSE)</f>
        <v>Representantes comerciais e agentes do comércio, exceto de veículos automotores e motocicletas</v>
      </c>
      <c r="I699" t="str">
        <f>VLOOKUP(D699,Base!$D:$F,3,FALSE)</f>
        <v>Representantes comerciais e agentes do comércio especializado em produtos não especificados anteriormente</v>
      </c>
      <c r="J699" t="str">
        <f>VLOOKUP(E699,Base!$E:$F,2,FALSE)</f>
        <v>Outros representantes comerciais e agentes do comércio especializado em produtos não especificados anteriormente</v>
      </c>
      <c r="K699" t="s">
        <v>3106</v>
      </c>
      <c r="L699">
        <f>IFERROR(VLOOKUP($K699,Base_Atividades!$E$1:$N$2398,MATCH(BancoAjustado!L$1,Base_Atividades!$E$1:$N$1,0),FALSE),0)</f>
        <v>0</v>
      </c>
      <c r="M699">
        <f>IFERROR(VLOOKUP($K699,Base_Atividades!$E$1:$N$2398,MATCH(BancoAjustado!M$1,Base_Atividades!$E$1:$N$1,0),FALSE),0)</f>
        <v>0</v>
      </c>
      <c r="N699">
        <f>IFERROR(VLOOKUP($K699,Base_Atividades!$E$1:$N$2398,MATCH(BancoAjustado!N$1,Base_Atividades!$E$1:$N$1,0),FALSE),0)</f>
        <v>0</v>
      </c>
    </row>
    <row r="700" spans="1:14" x14ac:dyDescent="0.25">
      <c r="A700" t="s">
        <v>3043</v>
      </c>
      <c r="B700" t="s">
        <v>3086</v>
      </c>
      <c r="C700" t="s">
        <v>3087</v>
      </c>
      <c r="D700" t="s">
        <v>3107</v>
      </c>
      <c r="E700" t="s">
        <v>3108</v>
      </c>
      <c r="F700" t="str">
        <f>VLOOKUP(A700,Base!$A:$F,6,FALSE)</f>
        <v>COMÉRCIO; REPARAÇÃO DE VEÍCULOS AUTOMOTORES E MOTOCICLETAS</v>
      </c>
      <c r="G700" t="str">
        <f>VLOOKUP(B700,Base!$B:$F,5,FALSE)</f>
        <v>COMÉRCIO POR ATACADO, EXCETO VEÍCULOS AUTOMOTORES E MOTOCICLETAS</v>
      </c>
      <c r="H700" t="str">
        <f>VLOOKUP(C700,Base!$C:$F,4,FALSE)</f>
        <v>Representantes comerciais e agentes do comércio, exceto de veículos automotores e motocicletas</v>
      </c>
      <c r="I700" t="str">
        <f>VLOOKUP(D700,Base!$D:$F,3,FALSE)</f>
        <v>Representantes comerciais e agentes do comércio de mercadorias em geral não especializado</v>
      </c>
      <c r="J700" t="str">
        <f>VLOOKUP(E700,Base!$E:$F,2,FALSE)</f>
        <v>Representantes comerciais e agentes do comércio de mercadorias em geral não especializado</v>
      </c>
      <c r="K700" t="s">
        <v>3108</v>
      </c>
      <c r="L700">
        <f>IFERROR(VLOOKUP($K700,Base_Atividades!$E$1:$N$2398,MATCH(BancoAjustado!L$1,Base_Atividades!$E$1:$N$1,0),FALSE),0)</f>
        <v>0</v>
      </c>
      <c r="M700">
        <f>IFERROR(VLOOKUP($K700,Base_Atividades!$E$1:$N$2398,MATCH(BancoAjustado!M$1,Base_Atividades!$E$1:$N$1,0),FALSE),0)</f>
        <v>0</v>
      </c>
      <c r="N700">
        <f>IFERROR(VLOOKUP($K700,Base_Atividades!$E$1:$N$2398,MATCH(BancoAjustado!N$1,Base_Atividades!$E$1:$N$1,0),FALSE),0)</f>
        <v>0</v>
      </c>
    </row>
    <row r="701" spans="1:14" x14ac:dyDescent="0.25">
      <c r="A701" t="s">
        <v>3043</v>
      </c>
      <c r="B701" t="s">
        <v>3086</v>
      </c>
      <c r="C701" t="s">
        <v>3109</v>
      </c>
      <c r="D701" t="s">
        <v>3110</v>
      </c>
      <c r="E701" t="s">
        <v>3111</v>
      </c>
      <c r="F701" t="str">
        <f>VLOOKUP(A701,Base!$A:$F,6,FALSE)</f>
        <v>COMÉRCIO; REPARAÇÃO DE VEÍCULOS AUTOMOTORES E MOTOCICLETAS</v>
      </c>
      <c r="G701" t="str">
        <f>VLOOKUP(B701,Base!$B:$F,5,FALSE)</f>
        <v>COMÉRCIO POR ATACADO, EXCETO VEÍCULOS AUTOMOTORES E MOTOCICLETAS</v>
      </c>
      <c r="H701" t="str">
        <f>VLOOKUP(C701,Base!$C:$F,4,FALSE)</f>
        <v>Comércio atacadista de matérias-primas agrícolas e animais vivos</v>
      </c>
      <c r="I701" t="str">
        <f>VLOOKUP(D701,Base!$D:$F,3,FALSE)</f>
        <v>Comércio atacadista de café em grão</v>
      </c>
      <c r="J701" t="str">
        <f>VLOOKUP(E701,Base!$E:$F,2,FALSE)</f>
        <v>Comércio atacadista de café em grão</v>
      </c>
      <c r="K701" t="s">
        <v>3111</v>
      </c>
      <c r="L701">
        <f>IFERROR(VLOOKUP($K701,Base_Atividades!$E$1:$N$2398,MATCH(BancoAjustado!L$1,Base_Atividades!$E$1:$N$1,0),FALSE),0)</f>
        <v>0</v>
      </c>
      <c r="M701">
        <f>IFERROR(VLOOKUP($K701,Base_Atividades!$E$1:$N$2398,MATCH(BancoAjustado!M$1,Base_Atividades!$E$1:$N$1,0),FALSE),0)</f>
        <v>0</v>
      </c>
      <c r="N701">
        <f>IFERROR(VLOOKUP($K701,Base_Atividades!$E$1:$N$2398,MATCH(BancoAjustado!N$1,Base_Atividades!$E$1:$N$1,0),FALSE),0)</f>
        <v>0</v>
      </c>
    </row>
    <row r="702" spans="1:14" x14ac:dyDescent="0.25">
      <c r="A702" t="s">
        <v>3043</v>
      </c>
      <c r="B702" t="s">
        <v>3086</v>
      </c>
      <c r="C702" t="s">
        <v>3109</v>
      </c>
      <c r="D702" t="s">
        <v>3112</v>
      </c>
      <c r="E702" t="s">
        <v>3113</v>
      </c>
      <c r="F702" t="str">
        <f>VLOOKUP(A702,Base!$A:$F,6,FALSE)</f>
        <v>COMÉRCIO; REPARAÇÃO DE VEÍCULOS AUTOMOTORES E MOTOCICLETAS</v>
      </c>
      <c r="G702" t="str">
        <f>VLOOKUP(B702,Base!$B:$F,5,FALSE)</f>
        <v>COMÉRCIO POR ATACADO, EXCETO VEÍCULOS AUTOMOTORES E MOTOCICLETAS</v>
      </c>
      <c r="H702" t="str">
        <f>VLOOKUP(C702,Base!$C:$F,4,FALSE)</f>
        <v>Comércio atacadista de matérias-primas agrícolas e animais vivos</v>
      </c>
      <c r="I702" t="str">
        <f>VLOOKUP(D702,Base!$D:$F,3,FALSE)</f>
        <v>Comércio atacadista de soja</v>
      </c>
      <c r="J702" t="str">
        <f>VLOOKUP(E702,Base!$E:$F,2,FALSE)</f>
        <v>Comércio atacadista de soja</v>
      </c>
      <c r="K702" t="s">
        <v>3113</v>
      </c>
      <c r="L702">
        <f>IFERROR(VLOOKUP($K702,Base_Atividades!$E$1:$N$2398,MATCH(BancoAjustado!L$1,Base_Atividades!$E$1:$N$1,0),FALSE),0)</f>
        <v>0</v>
      </c>
      <c r="M702">
        <f>IFERROR(VLOOKUP($K702,Base_Atividades!$E$1:$N$2398,MATCH(BancoAjustado!M$1,Base_Atividades!$E$1:$N$1,0),FALSE),0)</f>
        <v>0</v>
      </c>
      <c r="N702">
        <f>IFERROR(VLOOKUP($K702,Base_Atividades!$E$1:$N$2398,MATCH(BancoAjustado!N$1,Base_Atividades!$E$1:$N$1,0),FALSE),0)</f>
        <v>0</v>
      </c>
    </row>
    <row r="703" spans="1:14" x14ac:dyDescent="0.25">
      <c r="A703" t="s">
        <v>3043</v>
      </c>
      <c r="B703" t="s">
        <v>3086</v>
      </c>
      <c r="C703" t="s">
        <v>3109</v>
      </c>
      <c r="D703" t="s">
        <v>3114</v>
      </c>
      <c r="E703" t="s">
        <v>3115</v>
      </c>
      <c r="F703" t="str">
        <f>VLOOKUP(A703,Base!$A:$F,6,FALSE)</f>
        <v>COMÉRCIO; REPARAÇÃO DE VEÍCULOS AUTOMOTORES E MOTOCICLETAS</v>
      </c>
      <c r="G703" t="str">
        <f>VLOOKUP(B703,Base!$B:$F,5,FALSE)</f>
        <v>COMÉRCIO POR ATACADO, EXCETO VEÍCULOS AUTOMOTORES E MOTOCICLETAS</v>
      </c>
      <c r="H703" t="str">
        <f>VLOOKUP(C703,Base!$C:$F,4,FALSE)</f>
        <v>Comércio atacadista de matérias-primas agrícolas e animais vivos</v>
      </c>
      <c r="I703" t="str">
        <f>VLOOKUP(D703,Base!$D:$F,3,FALSE)</f>
        <v>Comércio atacadista de animais vivos, alimentos para animais e matérias-primas agrícolas, exceto café e soja</v>
      </c>
      <c r="J703" t="str">
        <f>VLOOKUP(E703,Base!$E:$F,2,FALSE)</f>
        <v>Comércio atacadista de animais vivos</v>
      </c>
      <c r="K703" t="s">
        <v>3115</v>
      </c>
      <c r="L703">
        <f>IFERROR(VLOOKUP($K703,Base_Atividades!$E$1:$N$2398,MATCH(BancoAjustado!L$1,Base_Atividades!$E$1:$N$1,0),FALSE),0)</f>
        <v>0</v>
      </c>
      <c r="M703">
        <f>IFERROR(VLOOKUP($K703,Base_Atividades!$E$1:$N$2398,MATCH(BancoAjustado!M$1,Base_Atividades!$E$1:$N$1,0),FALSE),0)</f>
        <v>0</v>
      </c>
      <c r="N703">
        <f>IFERROR(VLOOKUP($K703,Base_Atividades!$E$1:$N$2398,MATCH(BancoAjustado!N$1,Base_Atividades!$E$1:$N$1,0),FALSE),0)</f>
        <v>0</v>
      </c>
    </row>
    <row r="704" spans="1:14" x14ac:dyDescent="0.25">
      <c r="A704" t="s">
        <v>3043</v>
      </c>
      <c r="B704" t="s">
        <v>3086</v>
      </c>
      <c r="C704" t="s">
        <v>3109</v>
      </c>
      <c r="D704" t="s">
        <v>3114</v>
      </c>
      <c r="E704" t="s">
        <v>3116</v>
      </c>
      <c r="F704" t="str">
        <f>VLOOKUP(A704,Base!$A:$F,6,FALSE)</f>
        <v>COMÉRCIO; REPARAÇÃO DE VEÍCULOS AUTOMOTORES E MOTOCICLETAS</v>
      </c>
      <c r="G704" t="str">
        <f>VLOOKUP(B704,Base!$B:$F,5,FALSE)</f>
        <v>COMÉRCIO POR ATACADO, EXCETO VEÍCULOS AUTOMOTORES E MOTOCICLETAS</v>
      </c>
      <c r="H704" t="str">
        <f>VLOOKUP(C704,Base!$C:$F,4,FALSE)</f>
        <v>Comércio atacadista de matérias-primas agrícolas e animais vivos</v>
      </c>
      <c r="I704" t="str">
        <f>VLOOKUP(D704,Base!$D:$F,3,FALSE)</f>
        <v>Comércio atacadista de animais vivos, alimentos para animais e matérias-primas agrícolas, exceto café e soja</v>
      </c>
      <c r="J704" t="str">
        <f>VLOOKUP(E704,Base!$E:$F,2,FALSE)</f>
        <v>Comércio atacadista de couros, lãs, peles e outros subprodutos não comestíveis de origem animal</v>
      </c>
      <c r="K704" t="s">
        <v>3116</v>
      </c>
      <c r="L704">
        <f>IFERROR(VLOOKUP($K704,Base_Atividades!$E$1:$N$2398,MATCH(BancoAjustado!L$1,Base_Atividades!$E$1:$N$1,0),FALSE),0)</f>
        <v>0</v>
      </c>
      <c r="M704">
        <f>IFERROR(VLOOKUP($K704,Base_Atividades!$E$1:$N$2398,MATCH(BancoAjustado!M$1,Base_Atividades!$E$1:$N$1,0),FALSE),0)</f>
        <v>0</v>
      </c>
      <c r="N704">
        <f>IFERROR(VLOOKUP($K704,Base_Atividades!$E$1:$N$2398,MATCH(BancoAjustado!N$1,Base_Atividades!$E$1:$N$1,0),FALSE),0)</f>
        <v>0</v>
      </c>
    </row>
    <row r="705" spans="1:14" x14ac:dyDescent="0.25">
      <c r="A705" t="s">
        <v>3043</v>
      </c>
      <c r="B705" t="s">
        <v>3086</v>
      </c>
      <c r="C705" t="s">
        <v>3109</v>
      </c>
      <c r="D705" t="s">
        <v>3114</v>
      </c>
      <c r="E705" t="s">
        <v>3117</v>
      </c>
      <c r="F705" t="str">
        <f>VLOOKUP(A705,Base!$A:$F,6,FALSE)</f>
        <v>COMÉRCIO; REPARAÇÃO DE VEÍCULOS AUTOMOTORES E MOTOCICLETAS</v>
      </c>
      <c r="G705" t="str">
        <f>VLOOKUP(B705,Base!$B:$F,5,FALSE)</f>
        <v>COMÉRCIO POR ATACADO, EXCETO VEÍCULOS AUTOMOTORES E MOTOCICLETAS</v>
      </c>
      <c r="H705" t="str">
        <f>VLOOKUP(C705,Base!$C:$F,4,FALSE)</f>
        <v>Comércio atacadista de matérias-primas agrícolas e animais vivos</v>
      </c>
      <c r="I705" t="str">
        <f>VLOOKUP(D705,Base!$D:$F,3,FALSE)</f>
        <v>Comércio atacadista de animais vivos, alimentos para animais e matérias-primas agrícolas, exceto café e soja</v>
      </c>
      <c r="J705" t="str">
        <f>VLOOKUP(E705,Base!$E:$F,2,FALSE)</f>
        <v>Comércio atacadista de algodão</v>
      </c>
      <c r="K705" t="s">
        <v>3117</v>
      </c>
      <c r="L705">
        <f>IFERROR(VLOOKUP($K705,Base_Atividades!$E$1:$N$2398,MATCH(BancoAjustado!L$1,Base_Atividades!$E$1:$N$1,0),FALSE),0)</f>
        <v>0</v>
      </c>
      <c r="M705">
        <f>IFERROR(VLOOKUP($K705,Base_Atividades!$E$1:$N$2398,MATCH(BancoAjustado!M$1,Base_Atividades!$E$1:$N$1,0),FALSE),0)</f>
        <v>0</v>
      </c>
      <c r="N705">
        <f>IFERROR(VLOOKUP($K705,Base_Atividades!$E$1:$N$2398,MATCH(BancoAjustado!N$1,Base_Atividades!$E$1:$N$1,0),FALSE),0)</f>
        <v>0</v>
      </c>
    </row>
    <row r="706" spans="1:14" x14ac:dyDescent="0.25">
      <c r="A706" t="s">
        <v>3043</v>
      </c>
      <c r="B706" t="s">
        <v>3086</v>
      </c>
      <c r="C706" t="s">
        <v>3109</v>
      </c>
      <c r="D706" t="s">
        <v>3114</v>
      </c>
      <c r="E706" t="s">
        <v>3118</v>
      </c>
      <c r="F706" t="str">
        <f>VLOOKUP(A706,Base!$A:$F,6,FALSE)</f>
        <v>COMÉRCIO; REPARAÇÃO DE VEÍCULOS AUTOMOTORES E MOTOCICLETAS</v>
      </c>
      <c r="G706" t="str">
        <f>VLOOKUP(B706,Base!$B:$F,5,FALSE)</f>
        <v>COMÉRCIO POR ATACADO, EXCETO VEÍCULOS AUTOMOTORES E MOTOCICLETAS</v>
      </c>
      <c r="H706" t="str">
        <f>VLOOKUP(C706,Base!$C:$F,4,FALSE)</f>
        <v>Comércio atacadista de matérias-primas agrícolas e animais vivos</v>
      </c>
      <c r="I706" t="str">
        <f>VLOOKUP(D706,Base!$D:$F,3,FALSE)</f>
        <v>Comércio atacadista de animais vivos, alimentos para animais e matérias-primas agrícolas, exceto café e soja</v>
      </c>
      <c r="J706" t="str">
        <f>VLOOKUP(E706,Base!$E:$F,2,FALSE)</f>
        <v>Comércio atacadista de fumo em folha não beneficiado</v>
      </c>
      <c r="K706" t="s">
        <v>3118</v>
      </c>
      <c r="L706">
        <f>IFERROR(VLOOKUP($K706,Base_Atividades!$E$1:$N$2398,MATCH(BancoAjustado!L$1,Base_Atividades!$E$1:$N$1,0),FALSE),0)</f>
        <v>0</v>
      </c>
      <c r="M706">
        <f>IFERROR(VLOOKUP($K706,Base_Atividades!$E$1:$N$2398,MATCH(BancoAjustado!M$1,Base_Atividades!$E$1:$N$1,0),FALSE),0)</f>
        <v>0</v>
      </c>
      <c r="N706">
        <f>IFERROR(VLOOKUP($K706,Base_Atividades!$E$1:$N$2398,MATCH(BancoAjustado!N$1,Base_Atividades!$E$1:$N$1,0),FALSE),0)</f>
        <v>0</v>
      </c>
    </row>
    <row r="707" spans="1:14" x14ac:dyDescent="0.25">
      <c r="A707" t="s">
        <v>3043</v>
      </c>
      <c r="B707" t="s">
        <v>3086</v>
      </c>
      <c r="C707" t="s">
        <v>3109</v>
      </c>
      <c r="D707" t="s">
        <v>3114</v>
      </c>
      <c r="E707" t="s">
        <v>3119</v>
      </c>
      <c r="F707" t="str">
        <f>VLOOKUP(A707,Base!$A:$F,6,FALSE)</f>
        <v>COMÉRCIO; REPARAÇÃO DE VEÍCULOS AUTOMOTORES E MOTOCICLETAS</v>
      </c>
      <c r="G707" t="str">
        <f>VLOOKUP(B707,Base!$B:$F,5,FALSE)</f>
        <v>COMÉRCIO POR ATACADO, EXCETO VEÍCULOS AUTOMOTORES E MOTOCICLETAS</v>
      </c>
      <c r="H707" t="str">
        <f>VLOOKUP(C707,Base!$C:$F,4,FALSE)</f>
        <v>Comércio atacadista de matérias-primas agrícolas e animais vivos</v>
      </c>
      <c r="I707" t="str">
        <f>VLOOKUP(D707,Base!$D:$F,3,FALSE)</f>
        <v>Comércio atacadista de animais vivos, alimentos para animais e matérias-primas agrícolas, exceto café e soja</v>
      </c>
      <c r="J707" t="str">
        <f>VLOOKUP(E707,Base!$E:$F,2,FALSE)</f>
        <v>Comércio atacadista de cacau</v>
      </c>
      <c r="K707" t="s">
        <v>3119</v>
      </c>
      <c r="L707">
        <f>IFERROR(VLOOKUP($K707,Base_Atividades!$E$1:$N$2398,MATCH(BancoAjustado!L$1,Base_Atividades!$E$1:$N$1,0),FALSE),0)</f>
        <v>0</v>
      </c>
      <c r="M707">
        <f>IFERROR(VLOOKUP($K707,Base_Atividades!$E$1:$N$2398,MATCH(BancoAjustado!M$1,Base_Atividades!$E$1:$N$1,0),FALSE),0)</f>
        <v>0</v>
      </c>
      <c r="N707">
        <f>IFERROR(VLOOKUP($K707,Base_Atividades!$E$1:$N$2398,MATCH(BancoAjustado!N$1,Base_Atividades!$E$1:$N$1,0),FALSE),0)</f>
        <v>0</v>
      </c>
    </row>
    <row r="708" spans="1:14" x14ac:dyDescent="0.25">
      <c r="A708" t="s">
        <v>3043</v>
      </c>
      <c r="B708" t="s">
        <v>3086</v>
      </c>
      <c r="C708" t="s">
        <v>3109</v>
      </c>
      <c r="D708" t="s">
        <v>3114</v>
      </c>
      <c r="E708" t="s">
        <v>3120</v>
      </c>
      <c r="F708" t="str">
        <f>VLOOKUP(A708,Base!$A:$F,6,FALSE)</f>
        <v>COMÉRCIO; REPARAÇÃO DE VEÍCULOS AUTOMOTORES E MOTOCICLETAS</v>
      </c>
      <c r="G708" t="str">
        <f>VLOOKUP(B708,Base!$B:$F,5,FALSE)</f>
        <v>COMÉRCIO POR ATACADO, EXCETO VEÍCULOS AUTOMOTORES E MOTOCICLETAS</v>
      </c>
      <c r="H708" t="str">
        <f>VLOOKUP(C708,Base!$C:$F,4,FALSE)</f>
        <v>Comércio atacadista de matérias-primas agrícolas e animais vivos</v>
      </c>
      <c r="I708" t="str">
        <f>VLOOKUP(D708,Base!$D:$F,3,FALSE)</f>
        <v>Comércio atacadista de animais vivos, alimentos para animais e matérias-primas agrícolas, exceto café e soja</v>
      </c>
      <c r="J708" t="str">
        <f>VLOOKUP(E708,Base!$E:$F,2,FALSE)</f>
        <v>Comércio atacadista de sementes, flores, plantas e gramas</v>
      </c>
      <c r="K708" t="s">
        <v>3120</v>
      </c>
      <c r="L708">
        <f>IFERROR(VLOOKUP($K708,Base_Atividades!$E$1:$N$2398,MATCH(BancoAjustado!L$1,Base_Atividades!$E$1:$N$1,0),FALSE),0)</f>
        <v>0</v>
      </c>
      <c r="M708">
        <f>IFERROR(VLOOKUP($K708,Base_Atividades!$E$1:$N$2398,MATCH(BancoAjustado!M$1,Base_Atividades!$E$1:$N$1,0),FALSE),0)</f>
        <v>0</v>
      </c>
      <c r="N708">
        <f>IFERROR(VLOOKUP($K708,Base_Atividades!$E$1:$N$2398,MATCH(BancoAjustado!N$1,Base_Atividades!$E$1:$N$1,0),FALSE),0)</f>
        <v>0</v>
      </c>
    </row>
    <row r="709" spans="1:14" x14ac:dyDescent="0.25">
      <c r="A709" t="s">
        <v>3043</v>
      </c>
      <c r="B709" t="s">
        <v>3086</v>
      </c>
      <c r="C709" t="s">
        <v>3109</v>
      </c>
      <c r="D709" t="s">
        <v>3114</v>
      </c>
      <c r="E709" t="s">
        <v>3121</v>
      </c>
      <c r="F709" t="str">
        <f>VLOOKUP(A709,Base!$A:$F,6,FALSE)</f>
        <v>COMÉRCIO; REPARAÇÃO DE VEÍCULOS AUTOMOTORES E MOTOCICLETAS</v>
      </c>
      <c r="G709" t="str">
        <f>VLOOKUP(B709,Base!$B:$F,5,FALSE)</f>
        <v>COMÉRCIO POR ATACADO, EXCETO VEÍCULOS AUTOMOTORES E MOTOCICLETAS</v>
      </c>
      <c r="H709" t="str">
        <f>VLOOKUP(C709,Base!$C:$F,4,FALSE)</f>
        <v>Comércio atacadista de matérias-primas agrícolas e animais vivos</v>
      </c>
      <c r="I709" t="str">
        <f>VLOOKUP(D709,Base!$D:$F,3,FALSE)</f>
        <v>Comércio atacadista de animais vivos, alimentos para animais e matérias-primas agrícolas, exceto café e soja</v>
      </c>
      <c r="J709" t="str">
        <f>VLOOKUP(E709,Base!$E:$F,2,FALSE)</f>
        <v>Comércio atacadista de sisal</v>
      </c>
      <c r="K709" t="s">
        <v>3121</v>
      </c>
      <c r="L709">
        <f>IFERROR(VLOOKUP($K709,Base_Atividades!$E$1:$N$2398,MATCH(BancoAjustado!L$1,Base_Atividades!$E$1:$N$1,0),FALSE),0)</f>
        <v>0</v>
      </c>
      <c r="M709">
        <f>IFERROR(VLOOKUP($K709,Base_Atividades!$E$1:$N$2398,MATCH(BancoAjustado!M$1,Base_Atividades!$E$1:$N$1,0),FALSE),0)</f>
        <v>0</v>
      </c>
      <c r="N709">
        <f>IFERROR(VLOOKUP($K709,Base_Atividades!$E$1:$N$2398,MATCH(BancoAjustado!N$1,Base_Atividades!$E$1:$N$1,0),FALSE),0)</f>
        <v>0</v>
      </c>
    </row>
    <row r="710" spans="1:14" x14ac:dyDescent="0.25">
      <c r="A710" t="s">
        <v>3043</v>
      </c>
      <c r="B710" t="s">
        <v>3086</v>
      </c>
      <c r="C710" t="s">
        <v>3109</v>
      </c>
      <c r="D710" t="s">
        <v>3114</v>
      </c>
      <c r="E710" t="s">
        <v>3122</v>
      </c>
      <c r="F710" t="str">
        <f>VLOOKUP(A710,Base!$A:$F,6,FALSE)</f>
        <v>COMÉRCIO; REPARAÇÃO DE VEÍCULOS AUTOMOTORES E MOTOCICLETAS</v>
      </c>
      <c r="G710" t="str">
        <f>VLOOKUP(B710,Base!$B:$F,5,FALSE)</f>
        <v>COMÉRCIO POR ATACADO, EXCETO VEÍCULOS AUTOMOTORES E MOTOCICLETAS</v>
      </c>
      <c r="H710" t="str">
        <f>VLOOKUP(C710,Base!$C:$F,4,FALSE)</f>
        <v>Comércio atacadista de matérias-primas agrícolas e animais vivos</v>
      </c>
      <c r="I710" t="str">
        <f>VLOOKUP(D710,Base!$D:$F,3,FALSE)</f>
        <v>Comércio atacadista de animais vivos, alimentos para animais e matérias-primas agrícolas, exceto café e soja</v>
      </c>
      <c r="J710" t="str">
        <f>VLOOKUP(E710,Base!$E:$F,2,FALSE)</f>
        <v>Comércio atacadista de matérias-primas agrícolas com atividade de fracionamento e acondicionamento associada</v>
      </c>
      <c r="K710" t="s">
        <v>3122</v>
      </c>
      <c r="L710">
        <f>IFERROR(VLOOKUP($K710,Base_Atividades!$E$1:$N$2398,MATCH(BancoAjustado!L$1,Base_Atividades!$E$1:$N$1,0),FALSE),0)</f>
        <v>0</v>
      </c>
      <c r="M710">
        <f>IFERROR(VLOOKUP($K710,Base_Atividades!$E$1:$N$2398,MATCH(BancoAjustado!M$1,Base_Atividades!$E$1:$N$1,0),FALSE),0)</f>
        <v>0</v>
      </c>
      <c r="N710">
        <f>IFERROR(VLOOKUP($K710,Base_Atividades!$E$1:$N$2398,MATCH(BancoAjustado!N$1,Base_Atividades!$E$1:$N$1,0),FALSE),0)</f>
        <v>0</v>
      </c>
    </row>
    <row r="711" spans="1:14" x14ac:dyDescent="0.25">
      <c r="A711" t="s">
        <v>3043</v>
      </c>
      <c r="B711" t="s">
        <v>3086</v>
      </c>
      <c r="C711" t="s">
        <v>3109</v>
      </c>
      <c r="D711" t="s">
        <v>3114</v>
      </c>
      <c r="E711" t="s">
        <v>3123</v>
      </c>
      <c r="F711" t="str">
        <f>VLOOKUP(A711,Base!$A:$F,6,FALSE)</f>
        <v>COMÉRCIO; REPARAÇÃO DE VEÍCULOS AUTOMOTORES E MOTOCICLETAS</v>
      </c>
      <c r="G711" t="str">
        <f>VLOOKUP(B711,Base!$B:$F,5,FALSE)</f>
        <v>COMÉRCIO POR ATACADO, EXCETO VEÍCULOS AUTOMOTORES E MOTOCICLETAS</v>
      </c>
      <c r="H711" t="str">
        <f>VLOOKUP(C711,Base!$C:$F,4,FALSE)</f>
        <v>Comércio atacadista de matérias-primas agrícolas e animais vivos</v>
      </c>
      <c r="I711" t="str">
        <f>VLOOKUP(D711,Base!$D:$F,3,FALSE)</f>
        <v>Comércio atacadista de animais vivos, alimentos para animais e matérias-primas agrícolas, exceto café e soja</v>
      </c>
      <c r="J711" t="str">
        <f>VLOOKUP(E711,Base!$E:$F,2,FALSE)</f>
        <v>Comércio atacadista de alimentos para animais</v>
      </c>
      <c r="K711" t="s">
        <v>3123</v>
      </c>
      <c r="L711">
        <f>IFERROR(VLOOKUP($K711,Base_Atividades!$E$1:$N$2398,MATCH(BancoAjustado!L$1,Base_Atividades!$E$1:$N$1,0),FALSE),0)</f>
        <v>0</v>
      </c>
      <c r="M711">
        <f>IFERROR(VLOOKUP($K711,Base_Atividades!$E$1:$N$2398,MATCH(BancoAjustado!M$1,Base_Atividades!$E$1:$N$1,0),FALSE),0)</f>
        <v>0</v>
      </c>
      <c r="N711">
        <f>IFERROR(VLOOKUP($K711,Base_Atividades!$E$1:$N$2398,MATCH(BancoAjustado!N$1,Base_Atividades!$E$1:$N$1,0),FALSE),0)</f>
        <v>0</v>
      </c>
    </row>
    <row r="712" spans="1:14" x14ac:dyDescent="0.25">
      <c r="A712" t="s">
        <v>3043</v>
      </c>
      <c r="B712" t="s">
        <v>3086</v>
      </c>
      <c r="C712" t="s">
        <v>3109</v>
      </c>
      <c r="D712" t="s">
        <v>3114</v>
      </c>
      <c r="E712" t="s">
        <v>3124</v>
      </c>
      <c r="F712" t="str">
        <f>VLOOKUP(A712,Base!$A:$F,6,FALSE)</f>
        <v>COMÉRCIO; REPARAÇÃO DE VEÍCULOS AUTOMOTORES E MOTOCICLETAS</v>
      </c>
      <c r="G712" t="str">
        <f>VLOOKUP(B712,Base!$B:$F,5,FALSE)</f>
        <v>COMÉRCIO POR ATACADO, EXCETO VEÍCULOS AUTOMOTORES E MOTOCICLETAS</v>
      </c>
      <c r="H712" t="str">
        <f>VLOOKUP(C712,Base!$C:$F,4,FALSE)</f>
        <v>Comércio atacadista de matérias-primas agrícolas e animais vivos</v>
      </c>
      <c r="I712" t="str">
        <f>VLOOKUP(D712,Base!$D:$F,3,FALSE)</f>
        <v>Comércio atacadista de animais vivos, alimentos para animais e matérias-primas agrícolas, exceto café e soja</v>
      </c>
      <c r="J712" t="str">
        <f>VLOOKUP(E712,Base!$E:$F,2,FALSE)</f>
        <v>Comércio atacadista de matérias-primas agrícolas não especificadas anteriormente</v>
      </c>
      <c r="K712" t="s">
        <v>3124</v>
      </c>
      <c r="L712">
        <f>IFERROR(VLOOKUP($K712,Base_Atividades!$E$1:$N$2398,MATCH(BancoAjustado!L$1,Base_Atividades!$E$1:$N$1,0),FALSE),0)</f>
        <v>0</v>
      </c>
      <c r="M712">
        <f>IFERROR(VLOOKUP($K712,Base_Atividades!$E$1:$N$2398,MATCH(BancoAjustado!M$1,Base_Atividades!$E$1:$N$1,0),FALSE),0)</f>
        <v>0</v>
      </c>
      <c r="N712">
        <f>IFERROR(VLOOKUP($K712,Base_Atividades!$E$1:$N$2398,MATCH(BancoAjustado!N$1,Base_Atividades!$E$1:$N$1,0),FALSE),0)</f>
        <v>0</v>
      </c>
    </row>
    <row r="713" spans="1:14" x14ac:dyDescent="0.25">
      <c r="A713" t="s">
        <v>3043</v>
      </c>
      <c r="B713" t="s">
        <v>3086</v>
      </c>
      <c r="C713" t="s">
        <v>3125</v>
      </c>
      <c r="D713" t="s">
        <v>3126</v>
      </c>
      <c r="E713" t="s">
        <v>3127</v>
      </c>
      <c r="F713" t="str">
        <f>VLOOKUP(A713,Base!$A:$F,6,FALSE)</f>
        <v>COMÉRCIO; REPARAÇÃO DE VEÍCULOS AUTOMOTORES E MOTOCICLETAS</v>
      </c>
      <c r="G713" t="str">
        <f>VLOOKUP(B713,Base!$B:$F,5,FALSE)</f>
        <v>COMÉRCIO POR ATACADO, EXCETO VEÍCULOS AUTOMOTORES E MOTOCICLETAS</v>
      </c>
      <c r="H713" t="str">
        <f>VLOOKUP(C713,Base!$C:$F,4,FALSE)</f>
        <v>Comércio atacadista especializado em produtos alimentícios, bebidas e fumo</v>
      </c>
      <c r="I713" t="str">
        <f>VLOOKUP(D713,Base!$D:$F,3,FALSE)</f>
        <v>Comércio atacadista de leite e laticínios</v>
      </c>
      <c r="J713" t="str">
        <f>VLOOKUP(E713,Base!$E:$F,2,FALSE)</f>
        <v>Comércio atacadista de leite e laticínios</v>
      </c>
      <c r="K713" t="s">
        <v>3127</v>
      </c>
      <c r="L713">
        <f>IFERROR(VLOOKUP($K713,Base_Atividades!$E$1:$N$2398,MATCH(BancoAjustado!L$1,Base_Atividades!$E$1:$N$1,0),FALSE),0)</f>
        <v>0</v>
      </c>
      <c r="M713">
        <f>IFERROR(VLOOKUP($K713,Base_Atividades!$E$1:$N$2398,MATCH(BancoAjustado!M$1,Base_Atividades!$E$1:$N$1,0),FALSE),0)</f>
        <v>0</v>
      </c>
      <c r="N713">
        <f>IFERROR(VLOOKUP($K713,Base_Atividades!$E$1:$N$2398,MATCH(BancoAjustado!N$1,Base_Atividades!$E$1:$N$1,0),FALSE),0)</f>
        <v>0</v>
      </c>
    </row>
    <row r="714" spans="1:14" x14ac:dyDescent="0.25">
      <c r="A714" t="s">
        <v>3043</v>
      </c>
      <c r="B714" t="s">
        <v>3086</v>
      </c>
      <c r="C714" t="s">
        <v>3125</v>
      </c>
      <c r="D714" t="s">
        <v>3128</v>
      </c>
      <c r="E714" t="s">
        <v>3129</v>
      </c>
      <c r="F714" t="str">
        <f>VLOOKUP(A714,Base!$A:$F,6,FALSE)</f>
        <v>COMÉRCIO; REPARAÇÃO DE VEÍCULOS AUTOMOTORES E MOTOCICLETAS</v>
      </c>
      <c r="G714" t="str">
        <f>VLOOKUP(B714,Base!$B:$F,5,FALSE)</f>
        <v>COMÉRCIO POR ATACADO, EXCETO VEÍCULOS AUTOMOTORES E MOTOCICLETAS</v>
      </c>
      <c r="H714" t="str">
        <f>VLOOKUP(C714,Base!$C:$F,4,FALSE)</f>
        <v>Comércio atacadista especializado em produtos alimentícios, bebidas e fumo</v>
      </c>
      <c r="I714" t="str">
        <f>VLOOKUP(D714,Base!$D:$F,3,FALSE)</f>
        <v>Comércio atacadista de cereais e leguminosas beneficiados, farinhas, amidos e féculas</v>
      </c>
      <c r="J714" t="str">
        <f>VLOOKUP(E714,Base!$E:$F,2,FALSE)</f>
        <v>Comércio atacadista de cereais e leguminosas beneficiados</v>
      </c>
      <c r="K714" t="s">
        <v>3129</v>
      </c>
      <c r="L714">
        <f>IFERROR(VLOOKUP($K714,Base_Atividades!$E$1:$N$2398,MATCH(BancoAjustado!L$1,Base_Atividades!$E$1:$N$1,0),FALSE),0)</f>
        <v>0</v>
      </c>
      <c r="M714">
        <f>IFERROR(VLOOKUP($K714,Base_Atividades!$E$1:$N$2398,MATCH(BancoAjustado!M$1,Base_Atividades!$E$1:$N$1,0),FALSE),0)</f>
        <v>0</v>
      </c>
      <c r="N714">
        <f>IFERROR(VLOOKUP($K714,Base_Atividades!$E$1:$N$2398,MATCH(BancoAjustado!N$1,Base_Atividades!$E$1:$N$1,0),FALSE),0)</f>
        <v>0</v>
      </c>
    </row>
    <row r="715" spans="1:14" x14ac:dyDescent="0.25">
      <c r="A715" t="s">
        <v>3043</v>
      </c>
      <c r="B715" t="s">
        <v>3086</v>
      </c>
      <c r="C715" t="s">
        <v>3125</v>
      </c>
      <c r="D715" t="s">
        <v>3128</v>
      </c>
      <c r="E715" t="s">
        <v>3130</v>
      </c>
      <c r="F715" t="str">
        <f>VLOOKUP(A715,Base!$A:$F,6,FALSE)</f>
        <v>COMÉRCIO; REPARAÇÃO DE VEÍCULOS AUTOMOTORES E MOTOCICLETAS</v>
      </c>
      <c r="G715" t="str">
        <f>VLOOKUP(B715,Base!$B:$F,5,FALSE)</f>
        <v>COMÉRCIO POR ATACADO, EXCETO VEÍCULOS AUTOMOTORES E MOTOCICLETAS</v>
      </c>
      <c r="H715" t="str">
        <f>VLOOKUP(C715,Base!$C:$F,4,FALSE)</f>
        <v>Comércio atacadista especializado em produtos alimentícios, bebidas e fumo</v>
      </c>
      <c r="I715" t="str">
        <f>VLOOKUP(D715,Base!$D:$F,3,FALSE)</f>
        <v>Comércio atacadista de cereais e leguminosas beneficiados, farinhas, amidos e féculas</v>
      </c>
      <c r="J715" t="str">
        <f>VLOOKUP(E715,Base!$E:$F,2,FALSE)</f>
        <v>Comércio atacadista de farinhas, amidos e féculas</v>
      </c>
      <c r="K715" t="s">
        <v>3130</v>
      </c>
      <c r="L715">
        <f>IFERROR(VLOOKUP($K715,Base_Atividades!$E$1:$N$2398,MATCH(BancoAjustado!L$1,Base_Atividades!$E$1:$N$1,0),FALSE),0)</f>
        <v>0</v>
      </c>
      <c r="M715">
        <f>IFERROR(VLOOKUP($K715,Base_Atividades!$E$1:$N$2398,MATCH(BancoAjustado!M$1,Base_Atividades!$E$1:$N$1,0),FALSE),0)</f>
        <v>0</v>
      </c>
      <c r="N715">
        <f>IFERROR(VLOOKUP($K715,Base_Atividades!$E$1:$N$2398,MATCH(BancoAjustado!N$1,Base_Atividades!$E$1:$N$1,0),FALSE),0)</f>
        <v>0</v>
      </c>
    </row>
    <row r="716" spans="1:14" x14ac:dyDescent="0.25">
      <c r="A716" t="s">
        <v>3043</v>
      </c>
      <c r="B716" t="s">
        <v>3086</v>
      </c>
      <c r="C716" t="s">
        <v>3125</v>
      </c>
      <c r="D716" t="s">
        <v>3128</v>
      </c>
      <c r="E716" t="s">
        <v>3131</v>
      </c>
      <c r="F716" t="str">
        <f>VLOOKUP(A716,Base!$A:$F,6,FALSE)</f>
        <v>COMÉRCIO; REPARAÇÃO DE VEÍCULOS AUTOMOTORES E MOTOCICLETAS</v>
      </c>
      <c r="G716" t="str">
        <f>VLOOKUP(B716,Base!$B:$F,5,FALSE)</f>
        <v>COMÉRCIO POR ATACADO, EXCETO VEÍCULOS AUTOMOTORES E MOTOCICLETAS</v>
      </c>
      <c r="H716" t="str">
        <f>VLOOKUP(C716,Base!$C:$F,4,FALSE)</f>
        <v>Comércio atacadista especializado em produtos alimentícios, bebidas e fumo</v>
      </c>
      <c r="I716" t="str">
        <f>VLOOKUP(D716,Base!$D:$F,3,FALSE)</f>
        <v>Comércio atacadista de cereais e leguminosas beneficiados, farinhas, amidos e féculas</v>
      </c>
      <c r="J716" t="str">
        <f>VLOOKUP(E716,Base!$E:$F,2,FALSE)</f>
        <v>Comércio atacadista de cereais e leguminosas beneficiados, farinhas, amidos e féculas, com atividade de fracionamento e acondicionamento associada</v>
      </c>
      <c r="K716" t="s">
        <v>3131</v>
      </c>
      <c r="L716">
        <f>IFERROR(VLOOKUP($K716,Base_Atividades!$E$1:$N$2398,MATCH(BancoAjustado!L$1,Base_Atividades!$E$1:$N$1,0),FALSE),0)</f>
        <v>0</v>
      </c>
      <c r="M716">
        <f>IFERROR(VLOOKUP($K716,Base_Atividades!$E$1:$N$2398,MATCH(BancoAjustado!M$1,Base_Atividades!$E$1:$N$1,0),FALSE),0)</f>
        <v>0</v>
      </c>
      <c r="N716">
        <f>IFERROR(VLOOKUP($K716,Base_Atividades!$E$1:$N$2398,MATCH(BancoAjustado!N$1,Base_Atividades!$E$1:$N$1,0),FALSE),0)</f>
        <v>0</v>
      </c>
    </row>
    <row r="717" spans="1:14" x14ac:dyDescent="0.25">
      <c r="A717" t="s">
        <v>3043</v>
      </c>
      <c r="B717" t="s">
        <v>3086</v>
      </c>
      <c r="C717" t="s">
        <v>3125</v>
      </c>
      <c r="D717" t="s">
        <v>3132</v>
      </c>
      <c r="E717" t="s">
        <v>3133</v>
      </c>
      <c r="F717" t="str">
        <f>VLOOKUP(A717,Base!$A:$F,6,FALSE)</f>
        <v>COMÉRCIO; REPARAÇÃO DE VEÍCULOS AUTOMOTORES E MOTOCICLETAS</v>
      </c>
      <c r="G717" t="str">
        <f>VLOOKUP(B717,Base!$B:$F,5,FALSE)</f>
        <v>COMÉRCIO POR ATACADO, EXCETO VEÍCULOS AUTOMOTORES E MOTOCICLETAS</v>
      </c>
      <c r="H717" t="str">
        <f>VLOOKUP(C717,Base!$C:$F,4,FALSE)</f>
        <v>Comércio atacadista especializado em produtos alimentícios, bebidas e fumo</v>
      </c>
      <c r="I717" t="str">
        <f>VLOOKUP(D717,Base!$D:$F,3,FALSE)</f>
        <v>Comércio atacadista de hortifrutigranjeiros</v>
      </c>
      <c r="J717" t="str">
        <f>VLOOKUP(E717,Base!$E:$F,2,FALSE)</f>
        <v>Comércio atacadista de frutas, verduras, raízes, tubérculos, hortaliças e legumes frescos</v>
      </c>
      <c r="K717" t="s">
        <v>3133</v>
      </c>
      <c r="L717">
        <f>IFERROR(VLOOKUP($K717,Base_Atividades!$E$1:$N$2398,MATCH(BancoAjustado!L$1,Base_Atividades!$E$1:$N$1,0),FALSE),0)</f>
        <v>0</v>
      </c>
      <c r="M717">
        <f>IFERROR(VLOOKUP($K717,Base_Atividades!$E$1:$N$2398,MATCH(BancoAjustado!M$1,Base_Atividades!$E$1:$N$1,0),FALSE),0)</f>
        <v>0</v>
      </c>
      <c r="N717">
        <f>IFERROR(VLOOKUP($K717,Base_Atividades!$E$1:$N$2398,MATCH(BancoAjustado!N$1,Base_Atividades!$E$1:$N$1,0),FALSE),0)</f>
        <v>0</v>
      </c>
    </row>
    <row r="718" spans="1:14" x14ac:dyDescent="0.25">
      <c r="A718" t="s">
        <v>3043</v>
      </c>
      <c r="B718" t="s">
        <v>3086</v>
      </c>
      <c r="C718" t="s">
        <v>3125</v>
      </c>
      <c r="D718" t="s">
        <v>3132</v>
      </c>
      <c r="E718" t="s">
        <v>3134</v>
      </c>
      <c r="F718" t="str">
        <f>VLOOKUP(A718,Base!$A:$F,6,FALSE)</f>
        <v>COMÉRCIO; REPARAÇÃO DE VEÍCULOS AUTOMOTORES E MOTOCICLETAS</v>
      </c>
      <c r="G718" t="str">
        <f>VLOOKUP(B718,Base!$B:$F,5,FALSE)</f>
        <v>COMÉRCIO POR ATACADO, EXCETO VEÍCULOS AUTOMOTORES E MOTOCICLETAS</v>
      </c>
      <c r="H718" t="str">
        <f>VLOOKUP(C718,Base!$C:$F,4,FALSE)</f>
        <v>Comércio atacadista especializado em produtos alimentícios, bebidas e fumo</v>
      </c>
      <c r="I718" t="str">
        <f>VLOOKUP(D718,Base!$D:$F,3,FALSE)</f>
        <v>Comércio atacadista de hortifrutigranjeiros</v>
      </c>
      <c r="J718" t="str">
        <f>VLOOKUP(E718,Base!$E:$F,2,FALSE)</f>
        <v>Comércio atacadista de aves vivas e ovos</v>
      </c>
      <c r="K718" t="s">
        <v>3134</v>
      </c>
      <c r="L718">
        <f>IFERROR(VLOOKUP($K718,Base_Atividades!$E$1:$N$2398,MATCH(BancoAjustado!L$1,Base_Atividades!$E$1:$N$1,0),FALSE),0)</f>
        <v>0</v>
      </c>
      <c r="M718">
        <f>IFERROR(VLOOKUP($K718,Base_Atividades!$E$1:$N$2398,MATCH(BancoAjustado!M$1,Base_Atividades!$E$1:$N$1,0),FALSE),0)</f>
        <v>0</v>
      </c>
      <c r="N718">
        <f>IFERROR(VLOOKUP($K718,Base_Atividades!$E$1:$N$2398,MATCH(BancoAjustado!N$1,Base_Atividades!$E$1:$N$1,0),FALSE),0)</f>
        <v>0</v>
      </c>
    </row>
    <row r="719" spans="1:14" x14ac:dyDescent="0.25">
      <c r="A719" t="s">
        <v>3043</v>
      </c>
      <c r="B719" t="s">
        <v>3086</v>
      </c>
      <c r="C719" t="s">
        <v>3125</v>
      </c>
      <c r="D719" t="s">
        <v>3132</v>
      </c>
      <c r="E719" t="s">
        <v>3135</v>
      </c>
      <c r="F719" t="str">
        <f>VLOOKUP(A719,Base!$A:$F,6,FALSE)</f>
        <v>COMÉRCIO; REPARAÇÃO DE VEÍCULOS AUTOMOTORES E MOTOCICLETAS</v>
      </c>
      <c r="G719" t="str">
        <f>VLOOKUP(B719,Base!$B:$F,5,FALSE)</f>
        <v>COMÉRCIO POR ATACADO, EXCETO VEÍCULOS AUTOMOTORES E MOTOCICLETAS</v>
      </c>
      <c r="H719" t="str">
        <f>VLOOKUP(C719,Base!$C:$F,4,FALSE)</f>
        <v>Comércio atacadista especializado em produtos alimentícios, bebidas e fumo</v>
      </c>
      <c r="I719" t="str">
        <f>VLOOKUP(D719,Base!$D:$F,3,FALSE)</f>
        <v>Comércio atacadista de hortifrutigranjeiros</v>
      </c>
      <c r="J719" t="str">
        <f>VLOOKUP(E719,Base!$E:$F,2,FALSE)</f>
        <v>Comércio atacadista de coelhos e outros pequenos animais vivos para alimentação</v>
      </c>
      <c r="K719" t="s">
        <v>3135</v>
      </c>
      <c r="L719">
        <f>IFERROR(VLOOKUP($K719,Base_Atividades!$E$1:$N$2398,MATCH(BancoAjustado!L$1,Base_Atividades!$E$1:$N$1,0),FALSE),0)</f>
        <v>0</v>
      </c>
      <c r="M719">
        <f>IFERROR(VLOOKUP($K719,Base_Atividades!$E$1:$N$2398,MATCH(BancoAjustado!M$1,Base_Atividades!$E$1:$N$1,0),FALSE),0)</f>
        <v>0</v>
      </c>
      <c r="N719">
        <f>IFERROR(VLOOKUP($K719,Base_Atividades!$E$1:$N$2398,MATCH(BancoAjustado!N$1,Base_Atividades!$E$1:$N$1,0),FALSE),0)</f>
        <v>0</v>
      </c>
    </row>
    <row r="720" spans="1:14" x14ac:dyDescent="0.25">
      <c r="A720" t="s">
        <v>3043</v>
      </c>
      <c r="B720" t="s">
        <v>3086</v>
      </c>
      <c r="C720" t="s">
        <v>3125</v>
      </c>
      <c r="D720" t="s">
        <v>3136</v>
      </c>
      <c r="E720" t="s">
        <v>3137</v>
      </c>
      <c r="F720" t="str">
        <f>VLOOKUP(A720,Base!$A:$F,6,FALSE)</f>
        <v>COMÉRCIO; REPARAÇÃO DE VEÍCULOS AUTOMOTORES E MOTOCICLETAS</v>
      </c>
      <c r="G720" t="str">
        <f>VLOOKUP(B720,Base!$B:$F,5,FALSE)</f>
        <v>COMÉRCIO POR ATACADO, EXCETO VEÍCULOS AUTOMOTORES E MOTOCICLETAS</v>
      </c>
      <c r="H720" t="str">
        <f>VLOOKUP(C720,Base!$C:$F,4,FALSE)</f>
        <v>Comércio atacadista especializado em produtos alimentícios, bebidas e fumo</v>
      </c>
      <c r="I720" t="str">
        <f>VLOOKUP(D720,Base!$D:$F,3,FALSE)</f>
        <v>Comércio atacadista de carnes, produtos da carne e pescado</v>
      </c>
      <c r="J720" t="str">
        <f>VLOOKUP(E720,Base!$E:$F,2,FALSE)</f>
        <v>Comércio atacadista de carnes bovinas e suínas e derivados</v>
      </c>
      <c r="K720" t="s">
        <v>3137</v>
      </c>
      <c r="L720">
        <f>IFERROR(VLOOKUP($K720,Base_Atividades!$E$1:$N$2398,MATCH(BancoAjustado!L$1,Base_Atividades!$E$1:$N$1,0),FALSE),0)</f>
        <v>0</v>
      </c>
      <c r="M720">
        <f>IFERROR(VLOOKUP($K720,Base_Atividades!$E$1:$N$2398,MATCH(BancoAjustado!M$1,Base_Atividades!$E$1:$N$1,0),FALSE),0)</f>
        <v>0</v>
      </c>
      <c r="N720">
        <f>IFERROR(VLOOKUP($K720,Base_Atividades!$E$1:$N$2398,MATCH(BancoAjustado!N$1,Base_Atividades!$E$1:$N$1,0),FALSE),0)</f>
        <v>0</v>
      </c>
    </row>
    <row r="721" spans="1:14" x14ac:dyDescent="0.25">
      <c r="A721" t="s">
        <v>3043</v>
      </c>
      <c r="B721" t="s">
        <v>3086</v>
      </c>
      <c r="C721" t="s">
        <v>3125</v>
      </c>
      <c r="D721" t="s">
        <v>3136</v>
      </c>
      <c r="E721" t="s">
        <v>3138</v>
      </c>
      <c r="F721" t="str">
        <f>VLOOKUP(A721,Base!$A:$F,6,FALSE)</f>
        <v>COMÉRCIO; REPARAÇÃO DE VEÍCULOS AUTOMOTORES E MOTOCICLETAS</v>
      </c>
      <c r="G721" t="str">
        <f>VLOOKUP(B721,Base!$B:$F,5,FALSE)</f>
        <v>COMÉRCIO POR ATACADO, EXCETO VEÍCULOS AUTOMOTORES E MOTOCICLETAS</v>
      </c>
      <c r="H721" t="str">
        <f>VLOOKUP(C721,Base!$C:$F,4,FALSE)</f>
        <v>Comércio atacadista especializado em produtos alimentícios, bebidas e fumo</v>
      </c>
      <c r="I721" t="str">
        <f>VLOOKUP(D721,Base!$D:$F,3,FALSE)</f>
        <v>Comércio atacadista de carnes, produtos da carne e pescado</v>
      </c>
      <c r="J721" t="str">
        <f>VLOOKUP(E721,Base!$E:$F,2,FALSE)</f>
        <v>Comércio atacadista de aves abatidas e derivados</v>
      </c>
      <c r="K721" t="s">
        <v>3138</v>
      </c>
      <c r="L721">
        <f>IFERROR(VLOOKUP($K721,Base_Atividades!$E$1:$N$2398,MATCH(BancoAjustado!L$1,Base_Atividades!$E$1:$N$1,0),FALSE),0)</f>
        <v>0</v>
      </c>
      <c r="M721">
        <f>IFERROR(VLOOKUP($K721,Base_Atividades!$E$1:$N$2398,MATCH(BancoAjustado!M$1,Base_Atividades!$E$1:$N$1,0),FALSE),0)</f>
        <v>0</v>
      </c>
      <c r="N721">
        <f>IFERROR(VLOOKUP($K721,Base_Atividades!$E$1:$N$2398,MATCH(BancoAjustado!N$1,Base_Atividades!$E$1:$N$1,0),FALSE),0)</f>
        <v>0</v>
      </c>
    </row>
    <row r="722" spans="1:14" x14ac:dyDescent="0.25">
      <c r="A722" t="s">
        <v>3043</v>
      </c>
      <c r="B722" t="s">
        <v>3086</v>
      </c>
      <c r="C722" t="s">
        <v>3125</v>
      </c>
      <c r="D722" t="s">
        <v>3136</v>
      </c>
      <c r="E722" t="s">
        <v>3139</v>
      </c>
      <c r="F722" t="str">
        <f>VLOOKUP(A722,Base!$A:$F,6,FALSE)</f>
        <v>COMÉRCIO; REPARAÇÃO DE VEÍCULOS AUTOMOTORES E MOTOCICLETAS</v>
      </c>
      <c r="G722" t="str">
        <f>VLOOKUP(B722,Base!$B:$F,5,FALSE)</f>
        <v>COMÉRCIO POR ATACADO, EXCETO VEÍCULOS AUTOMOTORES E MOTOCICLETAS</v>
      </c>
      <c r="H722" t="str">
        <f>VLOOKUP(C722,Base!$C:$F,4,FALSE)</f>
        <v>Comércio atacadista especializado em produtos alimentícios, bebidas e fumo</v>
      </c>
      <c r="I722" t="str">
        <f>VLOOKUP(D722,Base!$D:$F,3,FALSE)</f>
        <v>Comércio atacadista de carnes, produtos da carne e pescado</v>
      </c>
      <c r="J722" t="str">
        <f>VLOOKUP(E722,Base!$E:$F,2,FALSE)</f>
        <v>Comércio atacadista de pescados e frutos do mar</v>
      </c>
      <c r="K722" t="s">
        <v>3139</v>
      </c>
      <c r="L722">
        <f>IFERROR(VLOOKUP($K722,Base_Atividades!$E$1:$N$2398,MATCH(BancoAjustado!L$1,Base_Atividades!$E$1:$N$1,0),FALSE),0)</f>
        <v>0</v>
      </c>
      <c r="M722">
        <f>IFERROR(VLOOKUP($K722,Base_Atividades!$E$1:$N$2398,MATCH(BancoAjustado!M$1,Base_Atividades!$E$1:$N$1,0),FALSE),0)</f>
        <v>0</v>
      </c>
      <c r="N722">
        <f>IFERROR(VLOOKUP($K722,Base_Atividades!$E$1:$N$2398,MATCH(BancoAjustado!N$1,Base_Atividades!$E$1:$N$1,0),FALSE),0)</f>
        <v>0</v>
      </c>
    </row>
    <row r="723" spans="1:14" x14ac:dyDescent="0.25">
      <c r="A723" t="s">
        <v>3043</v>
      </c>
      <c r="B723" t="s">
        <v>3086</v>
      </c>
      <c r="C723" t="s">
        <v>3125</v>
      </c>
      <c r="D723" t="s">
        <v>3136</v>
      </c>
      <c r="E723" t="s">
        <v>3140</v>
      </c>
      <c r="F723" t="str">
        <f>VLOOKUP(A723,Base!$A:$F,6,FALSE)</f>
        <v>COMÉRCIO; REPARAÇÃO DE VEÍCULOS AUTOMOTORES E MOTOCICLETAS</v>
      </c>
      <c r="G723" t="str">
        <f>VLOOKUP(B723,Base!$B:$F,5,FALSE)</f>
        <v>COMÉRCIO POR ATACADO, EXCETO VEÍCULOS AUTOMOTORES E MOTOCICLETAS</v>
      </c>
      <c r="H723" t="str">
        <f>VLOOKUP(C723,Base!$C:$F,4,FALSE)</f>
        <v>Comércio atacadista especializado em produtos alimentícios, bebidas e fumo</v>
      </c>
      <c r="I723" t="str">
        <f>VLOOKUP(D723,Base!$D:$F,3,FALSE)</f>
        <v>Comércio atacadista de carnes, produtos da carne e pescado</v>
      </c>
      <c r="J723" t="str">
        <f>VLOOKUP(E723,Base!$E:$F,2,FALSE)</f>
        <v>Comércio atacadista de carnes e derivados de outros animais</v>
      </c>
      <c r="K723" t="s">
        <v>3140</v>
      </c>
      <c r="L723">
        <f>IFERROR(VLOOKUP($K723,Base_Atividades!$E$1:$N$2398,MATCH(BancoAjustado!L$1,Base_Atividades!$E$1:$N$1,0),FALSE),0)</f>
        <v>0</v>
      </c>
      <c r="M723">
        <f>IFERROR(VLOOKUP($K723,Base_Atividades!$E$1:$N$2398,MATCH(BancoAjustado!M$1,Base_Atividades!$E$1:$N$1,0),FALSE),0)</f>
        <v>0</v>
      </c>
      <c r="N723">
        <f>IFERROR(VLOOKUP($K723,Base_Atividades!$E$1:$N$2398,MATCH(BancoAjustado!N$1,Base_Atividades!$E$1:$N$1,0),FALSE),0)</f>
        <v>0</v>
      </c>
    </row>
    <row r="724" spans="1:14" x14ac:dyDescent="0.25">
      <c r="A724" t="s">
        <v>3043</v>
      </c>
      <c r="B724" t="s">
        <v>3086</v>
      </c>
      <c r="C724" t="s">
        <v>3125</v>
      </c>
      <c r="D724" t="s">
        <v>3141</v>
      </c>
      <c r="E724" t="s">
        <v>3142</v>
      </c>
      <c r="F724" t="str">
        <f>VLOOKUP(A724,Base!$A:$F,6,FALSE)</f>
        <v>COMÉRCIO; REPARAÇÃO DE VEÍCULOS AUTOMOTORES E MOTOCICLETAS</v>
      </c>
      <c r="G724" t="str">
        <f>VLOOKUP(B724,Base!$B:$F,5,FALSE)</f>
        <v>COMÉRCIO POR ATACADO, EXCETO VEÍCULOS AUTOMOTORES E MOTOCICLETAS</v>
      </c>
      <c r="H724" t="str">
        <f>VLOOKUP(C724,Base!$C:$F,4,FALSE)</f>
        <v>Comércio atacadista especializado em produtos alimentícios, bebidas e fumo</v>
      </c>
      <c r="I724" t="str">
        <f>VLOOKUP(D724,Base!$D:$F,3,FALSE)</f>
        <v>Comércio atacadista de bebidas</v>
      </c>
      <c r="J724" t="str">
        <f>VLOOKUP(E724,Base!$E:$F,2,FALSE)</f>
        <v>Comércio atacadista de água mineral</v>
      </c>
      <c r="K724" t="s">
        <v>3142</v>
      </c>
      <c r="L724">
        <f>IFERROR(VLOOKUP($K724,Base_Atividades!$E$1:$N$2398,MATCH(BancoAjustado!L$1,Base_Atividades!$E$1:$N$1,0),FALSE),0)</f>
        <v>0</v>
      </c>
      <c r="M724">
        <f>IFERROR(VLOOKUP($K724,Base_Atividades!$E$1:$N$2398,MATCH(BancoAjustado!M$1,Base_Atividades!$E$1:$N$1,0),FALSE),0)</f>
        <v>0</v>
      </c>
      <c r="N724">
        <f>IFERROR(VLOOKUP($K724,Base_Atividades!$E$1:$N$2398,MATCH(BancoAjustado!N$1,Base_Atividades!$E$1:$N$1,0),FALSE),0)</f>
        <v>0</v>
      </c>
    </row>
    <row r="725" spans="1:14" x14ac:dyDescent="0.25">
      <c r="A725" t="s">
        <v>3043</v>
      </c>
      <c r="B725" t="s">
        <v>3086</v>
      </c>
      <c r="C725" t="s">
        <v>3125</v>
      </c>
      <c r="D725" t="s">
        <v>3141</v>
      </c>
      <c r="E725" t="s">
        <v>3143</v>
      </c>
      <c r="F725" t="str">
        <f>VLOOKUP(A725,Base!$A:$F,6,FALSE)</f>
        <v>COMÉRCIO; REPARAÇÃO DE VEÍCULOS AUTOMOTORES E MOTOCICLETAS</v>
      </c>
      <c r="G725" t="str">
        <f>VLOOKUP(B725,Base!$B:$F,5,FALSE)</f>
        <v>COMÉRCIO POR ATACADO, EXCETO VEÍCULOS AUTOMOTORES E MOTOCICLETAS</v>
      </c>
      <c r="H725" t="str">
        <f>VLOOKUP(C725,Base!$C:$F,4,FALSE)</f>
        <v>Comércio atacadista especializado em produtos alimentícios, bebidas e fumo</v>
      </c>
      <c r="I725" t="str">
        <f>VLOOKUP(D725,Base!$D:$F,3,FALSE)</f>
        <v>Comércio atacadista de bebidas</v>
      </c>
      <c r="J725" t="str">
        <f>VLOOKUP(E725,Base!$E:$F,2,FALSE)</f>
        <v>Comércio atacadista de cerveja, chope e refrigerante</v>
      </c>
      <c r="K725" t="s">
        <v>3143</v>
      </c>
      <c r="L725">
        <f>IFERROR(VLOOKUP($K725,Base_Atividades!$E$1:$N$2398,MATCH(BancoAjustado!L$1,Base_Atividades!$E$1:$N$1,0),FALSE),0)</f>
        <v>0</v>
      </c>
      <c r="M725">
        <f>IFERROR(VLOOKUP($K725,Base_Atividades!$E$1:$N$2398,MATCH(BancoAjustado!M$1,Base_Atividades!$E$1:$N$1,0),FALSE),0)</f>
        <v>0</v>
      </c>
      <c r="N725">
        <f>IFERROR(VLOOKUP($K725,Base_Atividades!$E$1:$N$2398,MATCH(BancoAjustado!N$1,Base_Atividades!$E$1:$N$1,0),FALSE),0)</f>
        <v>0</v>
      </c>
    </row>
    <row r="726" spans="1:14" x14ac:dyDescent="0.25">
      <c r="A726" t="s">
        <v>3043</v>
      </c>
      <c r="B726" t="s">
        <v>3086</v>
      </c>
      <c r="C726" t="s">
        <v>3125</v>
      </c>
      <c r="D726" t="s">
        <v>3141</v>
      </c>
      <c r="E726" t="s">
        <v>3144</v>
      </c>
      <c r="F726" t="str">
        <f>VLOOKUP(A726,Base!$A:$F,6,FALSE)</f>
        <v>COMÉRCIO; REPARAÇÃO DE VEÍCULOS AUTOMOTORES E MOTOCICLETAS</v>
      </c>
      <c r="G726" t="str">
        <f>VLOOKUP(B726,Base!$B:$F,5,FALSE)</f>
        <v>COMÉRCIO POR ATACADO, EXCETO VEÍCULOS AUTOMOTORES E MOTOCICLETAS</v>
      </c>
      <c r="H726" t="str">
        <f>VLOOKUP(C726,Base!$C:$F,4,FALSE)</f>
        <v>Comércio atacadista especializado em produtos alimentícios, bebidas e fumo</v>
      </c>
      <c r="I726" t="str">
        <f>VLOOKUP(D726,Base!$D:$F,3,FALSE)</f>
        <v>Comércio atacadista de bebidas</v>
      </c>
      <c r="J726" t="str">
        <f>VLOOKUP(E726,Base!$E:$F,2,FALSE)</f>
        <v>Comércio atacadista de bebidas com atividade de fracionamento e acondicionamento associada</v>
      </c>
      <c r="K726" t="s">
        <v>3144</v>
      </c>
      <c r="L726">
        <f>IFERROR(VLOOKUP($K726,Base_Atividades!$E$1:$N$2398,MATCH(BancoAjustado!L$1,Base_Atividades!$E$1:$N$1,0),FALSE),0)</f>
        <v>0</v>
      </c>
      <c r="M726">
        <f>IFERROR(VLOOKUP($K726,Base_Atividades!$E$1:$N$2398,MATCH(BancoAjustado!M$1,Base_Atividades!$E$1:$N$1,0),FALSE),0)</f>
        <v>0</v>
      </c>
      <c r="N726">
        <f>IFERROR(VLOOKUP($K726,Base_Atividades!$E$1:$N$2398,MATCH(BancoAjustado!N$1,Base_Atividades!$E$1:$N$1,0),FALSE),0)</f>
        <v>0</v>
      </c>
    </row>
    <row r="727" spans="1:14" x14ac:dyDescent="0.25">
      <c r="A727" t="s">
        <v>3043</v>
      </c>
      <c r="B727" t="s">
        <v>3086</v>
      </c>
      <c r="C727" t="s">
        <v>3125</v>
      </c>
      <c r="D727" t="s">
        <v>3141</v>
      </c>
      <c r="E727" t="s">
        <v>3145</v>
      </c>
      <c r="F727" t="str">
        <f>VLOOKUP(A727,Base!$A:$F,6,FALSE)</f>
        <v>COMÉRCIO; REPARAÇÃO DE VEÍCULOS AUTOMOTORES E MOTOCICLETAS</v>
      </c>
      <c r="G727" t="str">
        <f>VLOOKUP(B727,Base!$B:$F,5,FALSE)</f>
        <v>COMÉRCIO POR ATACADO, EXCETO VEÍCULOS AUTOMOTORES E MOTOCICLETAS</v>
      </c>
      <c r="H727" t="str">
        <f>VLOOKUP(C727,Base!$C:$F,4,FALSE)</f>
        <v>Comércio atacadista especializado em produtos alimentícios, bebidas e fumo</v>
      </c>
      <c r="I727" t="str">
        <f>VLOOKUP(D727,Base!$D:$F,3,FALSE)</f>
        <v>Comércio atacadista de bebidas</v>
      </c>
      <c r="J727" t="str">
        <f>VLOOKUP(E727,Base!$E:$F,2,FALSE)</f>
        <v>Comércio atacadista de bebidas não especificadas anteriormente</v>
      </c>
      <c r="K727" t="s">
        <v>3145</v>
      </c>
      <c r="L727">
        <f>IFERROR(VLOOKUP($K727,Base_Atividades!$E$1:$N$2398,MATCH(BancoAjustado!L$1,Base_Atividades!$E$1:$N$1,0),FALSE),0)</f>
        <v>0</v>
      </c>
      <c r="M727">
        <f>IFERROR(VLOOKUP($K727,Base_Atividades!$E$1:$N$2398,MATCH(BancoAjustado!M$1,Base_Atividades!$E$1:$N$1,0),FALSE),0)</f>
        <v>0</v>
      </c>
      <c r="N727">
        <f>IFERROR(VLOOKUP($K727,Base_Atividades!$E$1:$N$2398,MATCH(BancoAjustado!N$1,Base_Atividades!$E$1:$N$1,0),FALSE),0)</f>
        <v>0</v>
      </c>
    </row>
    <row r="728" spans="1:14" x14ac:dyDescent="0.25">
      <c r="A728" t="s">
        <v>3043</v>
      </c>
      <c r="B728" t="s">
        <v>3086</v>
      </c>
      <c r="C728" t="s">
        <v>3125</v>
      </c>
      <c r="D728" t="s">
        <v>3146</v>
      </c>
      <c r="E728" t="s">
        <v>3147</v>
      </c>
      <c r="F728" t="str">
        <f>VLOOKUP(A728,Base!$A:$F,6,FALSE)</f>
        <v>COMÉRCIO; REPARAÇÃO DE VEÍCULOS AUTOMOTORES E MOTOCICLETAS</v>
      </c>
      <c r="G728" t="str">
        <f>VLOOKUP(B728,Base!$B:$F,5,FALSE)</f>
        <v>COMÉRCIO POR ATACADO, EXCETO VEÍCULOS AUTOMOTORES E MOTOCICLETAS</v>
      </c>
      <c r="H728" t="str">
        <f>VLOOKUP(C728,Base!$C:$F,4,FALSE)</f>
        <v>Comércio atacadista especializado em produtos alimentícios, bebidas e fumo</v>
      </c>
      <c r="I728" t="str">
        <f>VLOOKUP(D728,Base!$D:$F,3,FALSE)</f>
        <v>Comércio atacadista de produtos do fumo</v>
      </c>
      <c r="J728" t="str">
        <f>VLOOKUP(E728,Base!$E:$F,2,FALSE)</f>
        <v>Comércio atacadista de fumo beneficiado</v>
      </c>
      <c r="K728" t="s">
        <v>3147</v>
      </c>
      <c r="L728">
        <f>IFERROR(VLOOKUP($K728,Base_Atividades!$E$1:$N$2398,MATCH(BancoAjustado!L$1,Base_Atividades!$E$1:$N$1,0),FALSE),0)</f>
        <v>0</v>
      </c>
      <c r="M728">
        <f>IFERROR(VLOOKUP($K728,Base_Atividades!$E$1:$N$2398,MATCH(BancoAjustado!M$1,Base_Atividades!$E$1:$N$1,0),FALSE),0)</f>
        <v>0</v>
      </c>
      <c r="N728">
        <f>IFERROR(VLOOKUP($K728,Base_Atividades!$E$1:$N$2398,MATCH(BancoAjustado!N$1,Base_Atividades!$E$1:$N$1,0),FALSE),0)</f>
        <v>0</v>
      </c>
    </row>
    <row r="729" spans="1:14" x14ac:dyDescent="0.25">
      <c r="A729" t="s">
        <v>3043</v>
      </c>
      <c r="B729" t="s">
        <v>3086</v>
      </c>
      <c r="C729" t="s">
        <v>3125</v>
      </c>
      <c r="D729" t="s">
        <v>3146</v>
      </c>
      <c r="E729" t="s">
        <v>3148</v>
      </c>
      <c r="F729" t="str">
        <f>VLOOKUP(A729,Base!$A:$F,6,FALSE)</f>
        <v>COMÉRCIO; REPARAÇÃO DE VEÍCULOS AUTOMOTORES E MOTOCICLETAS</v>
      </c>
      <c r="G729" t="str">
        <f>VLOOKUP(B729,Base!$B:$F,5,FALSE)</f>
        <v>COMÉRCIO POR ATACADO, EXCETO VEÍCULOS AUTOMOTORES E MOTOCICLETAS</v>
      </c>
      <c r="H729" t="str">
        <f>VLOOKUP(C729,Base!$C:$F,4,FALSE)</f>
        <v>Comércio atacadista especializado em produtos alimentícios, bebidas e fumo</v>
      </c>
      <c r="I729" t="str">
        <f>VLOOKUP(D729,Base!$D:$F,3,FALSE)</f>
        <v>Comércio atacadista de produtos do fumo</v>
      </c>
      <c r="J729" t="str">
        <f>VLOOKUP(E729,Base!$E:$F,2,FALSE)</f>
        <v>Comércio atacadista de cigarros, cigarrilhas e charutos</v>
      </c>
      <c r="K729" t="s">
        <v>3148</v>
      </c>
      <c r="L729">
        <f>IFERROR(VLOOKUP($K729,Base_Atividades!$E$1:$N$2398,MATCH(BancoAjustado!L$1,Base_Atividades!$E$1:$N$1,0),FALSE),0)</f>
        <v>0</v>
      </c>
      <c r="M729">
        <f>IFERROR(VLOOKUP($K729,Base_Atividades!$E$1:$N$2398,MATCH(BancoAjustado!M$1,Base_Atividades!$E$1:$N$1,0),FALSE),0)</f>
        <v>0</v>
      </c>
      <c r="N729">
        <f>IFERROR(VLOOKUP($K729,Base_Atividades!$E$1:$N$2398,MATCH(BancoAjustado!N$1,Base_Atividades!$E$1:$N$1,0),FALSE),0)</f>
        <v>0</v>
      </c>
    </row>
    <row r="730" spans="1:14" x14ac:dyDescent="0.25">
      <c r="A730" t="s">
        <v>3043</v>
      </c>
      <c r="B730" t="s">
        <v>3086</v>
      </c>
      <c r="C730" t="s">
        <v>3125</v>
      </c>
      <c r="D730" t="s">
        <v>3149</v>
      </c>
      <c r="E730" t="s">
        <v>3150</v>
      </c>
      <c r="F730" t="str">
        <f>VLOOKUP(A730,Base!$A:$F,6,FALSE)</f>
        <v>COMÉRCIO; REPARAÇÃO DE VEÍCULOS AUTOMOTORES E MOTOCICLETAS</v>
      </c>
      <c r="G730" t="str">
        <f>VLOOKUP(B730,Base!$B:$F,5,FALSE)</f>
        <v>COMÉRCIO POR ATACADO, EXCETO VEÍCULOS AUTOMOTORES E MOTOCICLETAS</v>
      </c>
      <c r="H730" t="str">
        <f>VLOOKUP(C730,Base!$C:$F,4,FALSE)</f>
        <v>Comércio atacadista especializado em produtos alimentícios, bebidas e fumo</v>
      </c>
      <c r="I730" t="str">
        <f>VLOOKUP(D730,Base!$D:$F,3,FALSE)</f>
        <v>Comércio atacadista especializado em produtos alimentícios não especificados anteriormente</v>
      </c>
      <c r="J730" t="str">
        <f>VLOOKUP(E730,Base!$E:$F,2,FALSE)</f>
        <v>Comércio atacadista de café torrado, moído e solúvel</v>
      </c>
      <c r="K730" t="s">
        <v>3150</v>
      </c>
      <c r="L730">
        <f>IFERROR(VLOOKUP($K730,Base_Atividades!$E$1:$N$2398,MATCH(BancoAjustado!L$1,Base_Atividades!$E$1:$N$1,0),FALSE),0)</f>
        <v>0</v>
      </c>
      <c r="M730">
        <f>IFERROR(VLOOKUP($K730,Base_Atividades!$E$1:$N$2398,MATCH(BancoAjustado!M$1,Base_Atividades!$E$1:$N$1,0),FALSE),0)</f>
        <v>0</v>
      </c>
      <c r="N730">
        <f>IFERROR(VLOOKUP($K730,Base_Atividades!$E$1:$N$2398,MATCH(BancoAjustado!N$1,Base_Atividades!$E$1:$N$1,0),FALSE),0)</f>
        <v>0</v>
      </c>
    </row>
    <row r="731" spans="1:14" x14ac:dyDescent="0.25">
      <c r="A731" t="s">
        <v>3043</v>
      </c>
      <c r="B731" t="s">
        <v>3086</v>
      </c>
      <c r="C731" t="s">
        <v>3125</v>
      </c>
      <c r="D731" t="s">
        <v>3149</v>
      </c>
      <c r="E731" t="s">
        <v>3151</v>
      </c>
      <c r="F731" t="str">
        <f>VLOOKUP(A731,Base!$A:$F,6,FALSE)</f>
        <v>COMÉRCIO; REPARAÇÃO DE VEÍCULOS AUTOMOTORES E MOTOCICLETAS</v>
      </c>
      <c r="G731" t="str">
        <f>VLOOKUP(B731,Base!$B:$F,5,FALSE)</f>
        <v>COMÉRCIO POR ATACADO, EXCETO VEÍCULOS AUTOMOTORES E MOTOCICLETAS</v>
      </c>
      <c r="H731" t="str">
        <f>VLOOKUP(C731,Base!$C:$F,4,FALSE)</f>
        <v>Comércio atacadista especializado em produtos alimentícios, bebidas e fumo</v>
      </c>
      <c r="I731" t="str">
        <f>VLOOKUP(D731,Base!$D:$F,3,FALSE)</f>
        <v>Comércio atacadista especializado em produtos alimentícios não especificados anteriormente</v>
      </c>
      <c r="J731" t="str">
        <f>VLOOKUP(E731,Base!$E:$F,2,FALSE)</f>
        <v>Comércio atacadista de açúcar</v>
      </c>
      <c r="K731" t="s">
        <v>3151</v>
      </c>
      <c r="L731">
        <f>IFERROR(VLOOKUP($K731,Base_Atividades!$E$1:$N$2398,MATCH(BancoAjustado!L$1,Base_Atividades!$E$1:$N$1,0),FALSE),0)</f>
        <v>0</v>
      </c>
      <c r="M731">
        <f>IFERROR(VLOOKUP($K731,Base_Atividades!$E$1:$N$2398,MATCH(BancoAjustado!M$1,Base_Atividades!$E$1:$N$1,0),FALSE),0)</f>
        <v>0</v>
      </c>
      <c r="N731">
        <f>IFERROR(VLOOKUP($K731,Base_Atividades!$E$1:$N$2398,MATCH(BancoAjustado!N$1,Base_Atividades!$E$1:$N$1,0),FALSE),0)</f>
        <v>0</v>
      </c>
    </row>
    <row r="732" spans="1:14" x14ac:dyDescent="0.25">
      <c r="A732" t="s">
        <v>3043</v>
      </c>
      <c r="B732" t="s">
        <v>3086</v>
      </c>
      <c r="C732" t="s">
        <v>3125</v>
      </c>
      <c r="D732" t="s">
        <v>3149</v>
      </c>
      <c r="E732" t="s">
        <v>3152</v>
      </c>
      <c r="F732" t="str">
        <f>VLOOKUP(A732,Base!$A:$F,6,FALSE)</f>
        <v>COMÉRCIO; REPARAÇÃO DE VEÍCULOS AUTOMOTORES E MOTOCICLETAS</v>
      </c>
      <c r="G732" t="str">
        <f>VLOOKUP(B732,Base!$B:$F,5,FALSE)</f>
        <v>COMÉRCIO POR ATACADO, EXCETO VEÍCULOS AUTOMOTORES E MOTOCICLETAS</v>
      </c>
      <c r="H732" t="str">
        <f>VLOOKUP(C732,Base!$C:$F,4,FALSE)</f>
        <v>Comércio atacadista especializado em produtos alimentícios, bebidas e fumo</v>
      </c>
      <c r="I732" t="str">
        <f>VLOOKUP(D732,Base!$D:$F,3,FALSE)</f>
        <v>Comércio atacadista especializado em produtos alimentícios não especificados anteriormente</v>
      </c>
      <c r="J732" t="str">
        <f>VLOOKUP(E732,Base!$E:$F,2,FALSE)</f>
        <v>Comércio atacadista de óleos e gorduras</v>
      </c>
      <c r="K732" t="s">
        <v>3152</v>
      </c>
      <c r="L732">
        <f>IFERROR(VLOOKUP($K732,Base_Atividades!$E$1:$N$2398,MATCH(BancoAjustado!L$1,Base_Atividades!$E$1:$N$1,0),FALSE),0)</f>
        <v>0</v>
      </c>
      <c r="M732">
        <f>IFERROR(VLOOKUP($K732,Base_Atividades!$E$1:$N$2398,MATCH(BancoAjustado!M$1,Base_Atividades!$E$1:$N$1,0),FALSE),0)</f>
        <v>0</v>
      </c>
      <c r="N732">
        <f>IFERROR(VLOOKUP($K732,Base_Atividades!$E$1:$N$2398,MATCH(BancoAjustado!N$1,Base_Atividades!$E$1:$N$1,0),FALSE),0)</f>
        <v>0</v>
      </c>
    </row>
    <row r="733" spans="1:14" x14ac:dyDescent="0.25">
      <c r="A733" t="s">
        <v>3043</v>
      </c>
      <c r="B733" t="s">
        <v>3086</v>
      </c>
      <c r="C733" t="s">
        <v>3125</v>
      </c>
      <c r="D733" t="s">
        <v>3149</v>
      </c>
      <c r="E733" t="s">
        <v>3153</v>
      </c>
      <c r="F733" t="str">
        <f>VLOOKUP(A733,Base!$A:$F,6,FALSE)</f>
        <v>COMÉRCIO; REPARAÇÃO DE VEÍCULOS AUTOMOTORES E MOTOCICLETAS</v>
      </c>
      <c r="G733" t="str">
        <f>VLOOKUP(B733,Base!$B:$F,5,FALSE)</f>
        <v>COMÉRCIO POR ATACADO, EXCETO VEÍCULOS AUTOMOTORES E MOTOCICLETAS</v>
      </c>
      <c r="H733" t="str">
        <f>VLOOKUP(C733,Base!$C:$F,4,FALSE)</f>
        <v>Comércio atacadista especializado em produtos alimentícios, bebidas e fumo</v>
      </c>
      <c r="I733" t="str">
        <f>VLOOKUP(D733,Base!$D:$F,3,FALSE)</f>
        <v>Comércio atacadista especializado em produtos alimentícios não especificados anteriormente</v>
      </c>
      <c r="J733" t="str">
        <f>VLOOKUP(E733,Base!$E:$F,2,FALSE)</f>
        <v>Comércio atacadista de pães, bolos, biscoitos e similares</v>
      </c>
      <c r="K733" t="s">
        <v>3153</v>
      </c>
      <c r="L733">
        <f>IFERROR(VLOOKUP($K733,Base_Atividades!$E$1:$N$2398,MATCH(BancoAjustado!L$1,Base_Atividades!$E$1:$N$1,0),FALSE),0)</f>
        <v>0</v>
      </c>
      <c r="M733">
        <f>IFERROR(VLOOKUP($K733,Base_Atividades!$E$1:$N$2398,MATCH(BancoAjustado!M$1,Base_Atividades!$E$1:$N$1,0),FALSE),0)</f>
        <v>0</v>
      </c>
      <c r="N733">
        <f>IFERROR(VLOOKUP($K733,Base_Atividades!$E$1:$N$2398,MATCH(BancoAjustado!N$1,Base_Atividades!$E$1:$N$1,0),FALSE),0)</f>
        <v>0</v>
      </c>
    </row>
    <row r="734" spans="1:14" x14ac:dyDescent="0.25">
      <c r="A734" t="s">
        <v>3043</v>
      </c>
      <c r="B734" t="s">
        <v>3086</v>
      </c>
      <c r="C734" t="s">
        <v>3125</v>
      </c>
      <c r="D734" t="s">
        <v>3149</v>
      </c>
      <c r="E734" t="s">
        <v>3154</v>
      </c>
      <c r="F734" t="str">
        <f>VLOOKUP(A734,Base!$A:$F,6,FALSE)</f>
        <v>COMÉRCIO; REPARAÇÃO DE VEÍCULOS AUTOMOTORES E MOTOCICLETAS</v>
      </c>
      <c r="G734" t="str">
        <f>VLOOKUP(B734,Base!$B:$F,5,FALSE)</f>
        <v>COMÉRCIO POR ATACADO, EXCETO VEÍCULOS AUTOMOTORES E MOTOCICLETAS</v>
      </c>
      <c r="H734" t="str">
        <f>VLOOKUP(C734,Base!$C:$F,4,FALSE)</f>
        <v>Comércio atacadista especializado em produtos alimentícios, bebidas e fumo</v>
      </c>
      <c r="I734" t="str">
        <f>VLOOKUP(D734,Base!$D:$F,3,FALSE)</f>
        <v>Comércio atacadista especializado em produtos alimentícios não especificados anteriormente</v>
      </c>
      <c r="J734" t="str">
        <f>VLOOKUP(E734,Base!$E:$F,2,FALSE)</f>
        <v>Comércio atacadista de massas alimentícias</v>
      </c>
      <c r="K734" t="s">
        <v>3154</v>
      </c>
      <c r="L734">
        <f>IFERROR(VLOOKUP($K734,Base_Atividades!$E$1:$N$2398,MATCH(BancoAjustado!L$1,Base_Atividades!$E$1:$N$1,0),FALSE),0)</f>
        <v>0</v>
      </c>
      <c r="M734">
        <f>IFERROR(VLOOKUP($K734,Base_Atividades!$E$1:$N$2398,MATCH(BancoAjustado!M$1,Base_Atividades!$E$1:$N$1,0),FALSE),0)</f>
        <v>0</v>
      </c>
      <c r="N734">
        <f>IFERROR(VLOOKUP($K734,Base_Atividades!$E$1:$N$2398,MATCH(BancoAjustado!N$1,Base_Atividades!$E$1:$N$1,0),FALSE),0)</f>
        <v>0</v>
      </c>
    </row>
    <row r="735" spans="1:14" x14ac:dyDescent="0.25">
      <c r="A735" t="s">
        <v>3043</v>
      </c>
      <c r="B735" t="s">
        <v>3086</v>
      </c>
      <c r="C735" t="s">
        <v>3125</v>
      </c>
      <c r="D735" t="s">
        <v>3149</v>
      </c>
      <c r="E735" t="s">
        <v>3155</v>
      </c>
      <c r="F735" t="str">
        <f>VLOOKUP(A735,Base!$A:$F,6,FALSE)</f>
        <v>COMÉRCIO; REPARAÇÃO DE VEÍCULOS AUTOMOTORES E MOTOCICLETAS</v>
      </c>
      <c r="G735" t="str">
        <f>VLOOKUP(B735,Base!$B:$F,5,FALSE)</f>
        <v>COMÉRCIO POR ATACADO, EXCETO VEÍCULOS AUTOMOTORES E MOTOCICLETAS</v>
      </c>
      <c r="H735" t="str">
        <f>VLOOKUP(C735,Base!$C:$F,4,FALSE)</f>
        <v>Comércio atacadista especializado em produtos alimentícios, bebidas e fumo</v>
      </c>
      <c r="I735" t="str">
        <f>VLOOKUP(D735,Base!$D:$F,3,FALSE)</f>
        <v>Comércio atacadista especializado em produtos alimentícios não especificados anteriormente</v>
      </c>
      <c r="J735" t="str">
        <f>VLOOKUP(E735,Base!$E:$F,2,FALSE)</f>
        <v>Comércio atacadista de sorvetes</v>
      </c>
      <c r="K735" t="s">
        <v>3155</v>
      </c>
      <c r="L735">
        <f>IFERROR(VLOOKUP($K735,Base_Atividades!$E$1:$N$2398,MATCH(BancoAjustado!L$1,Base_Atividades!$E$1:$N$1,0),FALSE),0)</f>
        <v>0</v>
      </c>
      <c r="M735">
        <f>IFERROR(VLOOKUP($K735,Base_Atividades!$E$1:$N$2398,MATCH(BancoAjustado!M$1,Base_Atividades!$E$1:$N$1,0),FALSE),0)</f>
        <v>0</v>
      </c>
      <c r="N735">
        <f>IFERROR(VLOOKUP($K735,Base_Atividades!$E$1:$N$2398,MATCH(BancoAjustado!N$1,Base_Atividades!$E$1:$N$1,0),FALSE),0)</f>
        <v>0</v>
      </c>
    </row>
    <row r="736" spans="1:14" x14ac:dyDescent="0.25">
      <c r="A736" t="s">
        <v>3043</v>
      </c>
      <c r="B736" t="s">
        <v>3086</v>
      </c>
      <c r="C736" t="s">
        <v>3125</v>
      </c>
      <c r="D736" t="s">
        <v>3149</v>
      </c>
      <c r="E736" t="s">
        <v>3156</v>
      </c>
      <c r="F736" t="str">
        <f>VLOOKUP(A736,Base!$A:$F,6,FALSE)</f>
        <v>COMÉRCIO; REPARAÇÃO DE VEÍCULOS AUTOMOTORES E MOTOCICLETAS</v>
      </c>
      <c r="G736" t="str">
        <f>VLOOKUP(B736,Base!$B:$F,5,FALSE)</f>
        <v>COMÉRCIO POR ATACADO, EXCETO VEÍCULOS AUTOMOTORES E MOTOCICLETAS</v>
      </c>
      <c r="H736" t="str">
        <f>VLOOKUP(C736,Base!$C:$F,4,FALSE)</f>
        <v>Comércio atacadista especializado em produtos alimentícios, bebidas e fumo</v>
      </c>
      <c r="I736" t="str">
        <f>VLOOKUP(D736,Base!$D:$F,3,FALSE)</f>
        <v>Comércio atacadista especializado em produtos alimentícios não especificados anteriormente</v>
      </c>
      <c r="J736" t="str">
        <f>VLOOKUP(E736,Base!$E:$F,2,FALSE)</f>
        <v>Comércio atacadista de chocolates, confeitos, balas, bombons e semelhantes</v>
      </c>
      <c r="K736" t="s">
        <v>3156</v>
      </c>
      <c r="L736">
        <f>IFERROR(VLOOKUP($K736,Base_Atividades!$E$1:$N$2398,MATCH(BancoAjustado!L$1,Base_Atividades!$E$1:$N$1,0),FALSE),0)</f>
        <v>0</v>
      </c>
      <c r="M736">
        <f>IFERROR(VLOOKUP($K736,Base_Atividades!$E$1:$N$2398,MATCH(BancoAjustado!M$1,Base_Atividades!$E$1:$N$1,0),FALSE),0)</f>
        <v>0</v>
      </c>
      <c r="N736">
        <f>IFERROR(VLOOKUP($K736,Base_Atividades!$E$1:$N$2398,MATCH(BancoAjustado!N$1,Base_Atividades!$E$1:$N$1,0),FALSE),0)</f>
        <v>0</v>
      </c>
    </row>
    <row r="737" spans="1:14" x14ac:dyDescent="0.25">
      <c r="A737" t="s">
        <v>3043</v>
      </c>
      <c r="B737" t="s">
        <v>3086</v>
      </c>
      <c r="C737" t="s">
        <v>3125</v>
      </c>
      <c r="D737" t="s">
        <v>3149</v>
      </c>
      <c r="E737" t="s">
        <v>3157</v>
      </c>
      <c r="F737" t="str">
        <f>VLOOKUP(A737,Base!$A:$F,6,FALSE)</f>
        <v>COMÉRCIO; REPARAÇÃO DE VEÍCULOS AUTOMOTORES E MOTOCICLETAS</v>
      </c>
      <c r="G737" t="str">
        <f>VLOOKUP(B737,Base!$B:$F,5,FALSE)</f>
        <v>COMÉRCIO POR ATACADO, EXCETO VEÍCULOS AUTOMOTORES E MOTOCICLETAS</v>
      </c>
      <c r="H737" t="str">
        <f>VLOOKUP(C737,Base!$C:$F,4,FALSE)</f>
        <v>Comércio atacadista especializado em produtos alimentícios, bebidas e fumo</v>
      </c>
      <c r="I737" t="str">
        <f>VLOOKUP(D737,Base!$D:$F,3,FALSE)</f>
        <v>Comércio atacadista especializado em produtos alimentícios não especificados anteriormente</v>
      </c>
      <c r="J737" t="str">
        <f>VLOOKUP(E737,Base!$E:$F,2,FALSE)</f>
        <v>Comércio atacadista especializado em outros produtos alimentícios não especificados anteriormente</v>
      </c>
      <c r="K737" t="s">
        <v>3157</v>
      </c>
      <c r="L737">
        <f>IFERROR(VLOOKUP($K737,Base_Atividades!$E$1:$N$2398,MATCH(BancoAjustado!L$1,Base_Atividades!$E$1:$N$1,0),FALSE),0)</f>
        <v>0</v>
      </c>
      <c r="M737">
        <f>IFERROR(VLOOKUP($K737,Base_Atividades!$E$1:$N$2398,MATCH(BancoAjustado!M$1,Base_Atividades!$E$1:$N$1,0),FALSE),0)</f>
        <v>0</v>
      </c>
      <c r="N737">
        <f>IFERROR(VLOOKUP($K737,Base_Atividades!$E$1:$N$2398,MATCH(BancoAjustado!N$1,Base_Atividades!$E$1:$N$1,0),FALSE),0)</f>
        <v>0</v>
      </c>
    </row>
    <row r="738" spans="1:14" x14ac:dyDescent="0.25">
      <c r="A738" t="s">
        <v>3043</v>
      </c>
      <c r="B738" t="s">
        <v>3086</v>
      </c>
      <c r="C738" t="s">
        <v>3125</v>
      </c>
      <c r="D738" t="s">
        <v>3158</v>
      </c>
      <c r="E738" t="s">
        <v>3159</v>
      </c>
      <c r="F738" t="str">
        <f>VLOOKUP(A738,Base!$A:$F,6,FALSE)</f>
        <v>COMÉRCIO; REPARAÇÃO DE VEÍCULOS AUTOMOTORES E MOTOCICLETAS</v>
      </c>
      <c r="G738" t="str">
        <f>VLOOKUP(B738,Base!$B:$F,5,FALSE)</f>
        <v>COMÉRCIO POR ATACADO, EXCETO VEÍCULOS AUTOMOTORES E MOTOCICLETAS</v>
      </c>
      <c r="H738" t="str">
        <f>VLOOKUP(C738,Base!$C:$F,4,FALSE)</f>
        <v>Comércio atacadista especializado em produtos alimentícios, bebidas e fumo</v>
      </c>
      <c r="I738" t="str">
        <f>VLOOKUP(D738,Base!$D:$F,3,FALSE)</f>
        <v>Comércio atacadista de produtos alimentícios em geral</v>
      </c>
      <c r="J738" t="str">
        <f>VLOOKUP(E738,Base!$E:$F,2,FALSE)</f>
        <v>Comércio atacadista de produtos alimentícios em geral</v>
      </c>
      <c r="K738" t="s">
        <v>3159</v>
      </c>
      <c r="L738">
        <f>IFERROR(VLOOKUP($K738,Base_Atividades!$E$1:$N$2398,MATCH(BancoAjustado!L$1,Base_Atividades!$E$1:$N$1,0),FALSE),0)</f>
        <v>0</v>
      </c>
      <c r="M738">
        <f>IFERROR(VLOOKUP($K738,Base_Atividades!$E$1:$N$2398,MATCH(BancoAjustado!M$1,Base_Atividades!$E$1:$N$1,0),FALSE),0)</f>
        <v>0</v>
      </c>
      <c r="N738">
        <f>IFERROR(VLOOKUP($K738,Base_Atividades!$E$1:$N$2398,MATCH(BancoAjustado!N$1,Base_Atividades!$E$1:$N$1,0),FALSE),0)</f>
        <v>0</v>
      </c>
    </row>
    <row r="739" spans="1:14" x14ac:dyDescent="0.25">
      <c r="A739" t="s">
        <v>3043</v>
      </c>
      <c r="B739" t="s">
        <v>3086</v>
      </c>
      <c r="C739" t="s">
        <v>3125</v>
      </c>
      <c r="D739" t="s">
        <v>3158</v>
      </c>
      <c r="E739" t="s">
        <v>3160</v>
      </c>
      <c r="F739" t="str">
        <f>VLOOKUP(A739,Base!$A:$F,6,FALSE)</f>
        <v>COMÉRCIO; REPARAÇÃO DE VEÍCULOS AUTOMOTORES E MOTOCICLETAS</v>
      </c>
      <c r="G739" t="str">
        <f>VLOOKUP(B739,Base!$B:$F,5,FALSE)</f>
        <v>COMÉRCIO POR ATACADO, EXCETO VEÍCULOS AUTOMOTORES E MOTOCICLETAS</v>
      </c>
      <c r="H739" t="str">
        <f>VLOOKUP(C739,Base!$C:$F,4,FALSE)</f>
        <v>Comércio atacadista especializado em produtos alimentícios, bebidas e fumo</v>
      </c>
      <c r="I739" t="str">
        <f>VLOOKUP(D739,Base!$D:$F,3,FALSE)</f>
        <v>Comércio atacadista de produtos alimentícios em geral</v>
      </c>
      <c r="J739" t="str">
        <f>VLOOKUP(E739,Base!$E:$F,2,FALSE)</f>
        <v>Comércio atacadista de produtos alimentícios em geral, com atividade de fracionamento e acondicionamento associada</v>
      </c>
      <c r="K739" t="s">
        <v>3160</v>
      </c>
      <c r="L739">
        <f>IFERROR(VLOOKUP($K739,Base_Atividades!$E$1:$N$2398,MATCH(BancoAjustado!L$1,Base_Atividades!$E$1:$N$1,0),FALSE),0)</f>
        <v>0</v>
      </c>
      <c r="M739">
        <f>IFERROR(VLOOKUP($K739,Base_Atividades!$E$1:$N$2398,MATCH(BancoAjustado!M$1,Base_Atividades!$E$1:$N$1,0),FALSE),0)</f>
        <v>0</v>
      </c>
      <c r="N739">
        <f>IFERROR(VLOOKUP($K739,Base_Atividades!$E$1:$N$2398,MATCH(BancoAjustado!N$1,Base_Atividades!$E$1:$N$1,0),FALSE),0)</f>
        <v>0</v>
      </c>
    </row>
    <row r="740" spans="1:14" x14ac:dyDescent="0.25">
      <c r="A740" t="s">
        <v>3043</v>
      </c>
      <c r="B740" t="s">
        <v>3086</v>
      </c>
      <c r="C740" t="s">
        <v>3161</v>
      </c>
      <c r="D740" t="s">
        <v>3162</v>
      </c>
      <c r="E740" t="s">
        <v>3163</v>
      </c>
      <c r="F740" t="str">
        <f>VLOOKUP(A740,Base!$A:$F,6,FALSE)</f>
        <v>COMÉRCIO; REPARAÇÃO DE VEÍCULOS AUTOMOTORES E MOTOCICLETAS</v>
      </c>
      <c r="G740" t="str">
        <f>VLOOKUP(B740,Base!$B:$F,5,FALSE)</f>
        <v>COMÉRCIO POR ATACADO, EXCETO VEÍCULOS AUTOMOTORES E MOTOCICLETAS</v>
      </c>
      <c r="H740" t="str">
        <f>VLOOKUP(C740,Base!$C:$F,4,FALSE)</f>
        <v>Comércio atacadista de produtos de consumo não alimentar</v>
      </c>
      <c r="I740" t="str">
        <f>VLOOKUP(D740,Base!$D:$F,3,FALSE)</f>
        <v>Comércio atacadista de tecidos, artefatos de tecidos e de armarinho</v>
      </c>
      <c r="J740" t="str">
        <f>VLOOKUP(E740,Base!$E:$F,2,FALSE)</f>
        <v>Comércio atacadista de tecidos</v>
      </c>
      <c r="K740" t="s">
        <v>3163</v>
      </c>
      <c r="L740">
        <f>IFERROR(VLOOKUP($K740,Base_Atividades!$E$1:$N$2398,MATCH(BancoAjustado!L$1,Base_Atividades!$E$1:$N$1,0),FALSE),0)</f>
        <v>0</v>
      </c>
      <c r="M740">
        <f>IFERROR(VLOOKUP($K740,Base_Atividades!$E$1:$N$2398,MATCH(BancoAjustado!M$1,Base_Atividades!$E$1:$N$1,0),FALSE),0)</f>
        <v>0</v>
      </c>
      <c r="N740">
        <f>IFERROR(VLOOKUP($K740,Base_Atividades!$E$1:$N$2398,MATCH(BancoAjustado!N$1,Base_Atividades!$E$1:$N$1,0),FALSE),0)</f>
        <v>0</v>
      </c>
    </row>
    <row r="741" spans="1:14" x14ac:dyDescent="0.25">
      <c r="A741" t="s">
        <v>3043</v>
      </c>
      <c r="B741" t="s">
        <v>3086</v>
      </c>
      <c r="C741" t="s">
        <v>3161</v>
      </c>
      <c r="D741" t="s">
        <v>3162</v>
      </c>
      <c r="E741" t="s">
        <v>3164</v>
      </c>
      <c r="F741" t="str">
        <f>VLOOKUP(A741,Base!$A:$F,6,FALSE)</f>
        <v>COMÉRCIO; REPARAÇÃO DE VEÍCULOS AUTOMOTORES E MOTOCICLETAS</v>
      </c>
      <c r="G741" t="str">
        <f>VLOOKUP(B741,Base!$B:$F,5,FALSE)</f>
        <v>COMÉRCIO POR ATACADO, EXCETO VEÍCULOS AUTOMOTORES E MOTOCICLETAS</v>
      </c>
      <c r="H741" t="str">
        <f>VLOOKUP(C741,Base!$C:$F,4,FALSE)</f>
        <v>Comércio atacadista de produtos de consumo não alimentar</v>
      </c>
      <c r="I741" t="str">
        <f>VLOOKUP(D741,Base!$D:$F,3,FALSE)</f>
        <v>Comércio atacadista de tecidos, artefatos de tecidos e de armarinho</v>
      </c>
      <c r="J741" t="str">
        <f>VLOOKUP(E741,Base!$E:$F,2,FALSE)</f>
        <v>Comércio atacadista de artigos de cama, mesa e banho</v>
      </c>
      <c r="K741" t="s">
        <v>3164</v>
      </c>
      <c r="L741">
        <f>IFERROR(VLOOKUP($K741,Base_Atividades!$E$1:$N$2398,MATCH(BancoAjustado!L$1,Base_Atividades!$E$1:$N$1,0),FALSE),0)</f>
        <v>0</v>
      </c>
      <c r="M741">
        <f>IFERROR(VLOOKUP($K741,Base_Atividades!$E$1:$N$2398,MATCH(BancoAjustado!M$1,Base_Atividades!$E$1:$N$1,0),FALSE),0)</f>
        <v>0</v>
      </c>
      <c r="N741">
        <f>IFERROR(VLOOKUP($K741,Base_Atividades!$E$1:$N$2398,MATCH(BancoAjustado!N$1,Base_Atividades!$E$1:$N$1,0),FALSE),0)</f>
        <v>0</v>
      </c>
    </row>
    <row r="742" spans="1:14" x14ac:dyDescent="0.25">
      <c r="A742" t="s">
        <v>3043</v>
      </c>
      <c r="B742" t="s">
        <v>3086</v>
      </c>
      <c r="C742" t="s">
        <v>3161</v>
      </c>
      <c r="D742" t="s">
        <v>3162</v>
      </c>
      <c r="E742" t="s">
        <v>3165</v>
      </c>
      <c r="F742" t="str">
        <f>VLOOKUP(A742,Base!$A:$F,6,FALSE)</f>
        <v>COMÉRCIO; REPARAÇÃO DE VEÍCULOS AUTOMOTORES E MOTOCICLETAS</v>
      </c>
      <c r="G742" t="str">
        <f>VLOOKUP(B742,Base!$B:$F,5,FALSE)</f>
        <v>COMÉRCIO POR ATACADO, EXCETO VEÍCULOS AUTOMOTORES E MOTOCICLETAS</v>
      </c>
      <c r="H742" t="str">
        <f>VLOOKUP(C742,Base!$C:$F,4,FALSE)</f>
        <v>Comércio atacadista de produtos de consumo não alimentar</v>
      </c>
      <c r="I742" t="str">
        <f>VLOOKUP(D742,Base!$D:$F,3,FALSE)</f>
        <v>Comércio atacadista de tecidos, artefatos de tecidos e de armarinho</v>
      </c>
      <c r="J742" t="str">
        <f>VLOOKUP(E742,Base!$E:$F,2,FALSE)</f>
        <v>Comércio atacadista de artigos de armarinho</v>
      </c>
      <c r="K742" t="s">
        <v>3165</v>
      </c>
      <c r="L742">
        <f>IFERROR(VLOOKUP($K742,Base_Atividades!$E$1:$N$2398,MATCH(BancoAjustado!L$1,Base_Atividades!$E$1:$N$1,0),FALSE),0)</f>
        <v>0</v>
      </c>
      <c r="M742">
        <f>IFERROR(VLOOKUP($K742,Base_Atividades!$E$1:$N$2398,MATCH(BancoAjustado!M$1,Base_Atividades!$E$1:$N$1,0),FALSE),0)</f>
        <v>0</v>
      </c>
      <c r="N742">
        <f>IFERROR(VLOOKUP($K742,Base_Atividades!$E$1:$N$2398,MATCH(BancoAjustado!N$1,Base_Atividades!$E$1:$N$1,0),FALSE),0)</f>
        <v>0</v>
      </c>
    </row>
    <row r="743" spans="1:14" x14ac:dyDescent="0.25">
      <c r="A743" t="s">
        <v>3043</v>
      </c>
      <c r="B743" t="s">
        <v>3086</v>
      </c>
      <c r="C743" t="s">
        <v>3161</v>
      </c>
      <c r="D743" t="s">
        <v>3166</v>
      </c>
      <c r="E743" t="s">
        <v>3167</v>
      </c>
      <c r="F743" t="str">
        <f>VLOOKUP(A743,Base!$A:$F,6,FALSE)</f>
        <v>COMÉRCIO; REPARAÇÃO DE VEÍCULOS AUTOMOTORES E MOTOCICLETAS</v>
      </c>
      <c r="G743" t="str">
        <f>VLOOKUP(B743,Base!$B:$F,5,FALSE)</f>
        <v>COMÉRCIO POR ATACADO, EXCETO VEÍCULOS AUTOMOTORES E MOTOCICLETAS</v>
      </c>
      <c r="H743" t="str">
        <f>VLOOKUP(C743,Base!$C:$F,4,FALSE)</f>
        <v>Comércio atacadista de produtos de consumo não alimentar</v>
      </c>
      <c r="I743" t="str">
        <f>VLOOKUP(D743,Base!$D:$F,3,FALSE)</f>
        <v>Comércio atacadista de artigos do vestuário e acessórios</v>
      </c>
      <c r="J743" t="str">
        <f>VLOOKUP(E743,Base!$E:$F,2,FALSE)</f>
        <v>Comércio atacadista de artigos do vestuário e acessórios, exceto profissionais e de segurança</v>
      </c>
      <c r="K743" t="s">
        <v>3167</v>
      </c>
      <c r="L743">
        <f>IFERROR(VLOOKUP($K743,Base_Atividades!$E$1:$N$2398,MATCH(BancoAjustado!L$1,Base_Atividades!$E$1:$N$1,0),FALSE),0)</f>
        <v>0</v>
      </c>
      <c r="M743">
        <f>IFERROR(VLOOKUP($K743,Base_Atividades!$E$1:$N$2398,MATCH(BancoAjustado!M$1,Base_Atividades!$E$1:$N$1,0),FALSE),0)</f>
        <v>0</v>
      </c>
      <c r="N743">
        <f>IFERROR(VLOOKUP($K743,Base_Atividades!$E$1:$N$2398,MATCH(BancoAjustado!N$1,Base_Atividades!$E$1:$N$1,0),FALSE),0)</f>
        <v>0</v>
      </c>
    </row>
    <row r="744" spans="1:14" x14ac:dyDescent="0.25">
      <c r="A744" t="s">
        <v>3043</v>
      </c>
      <c r="B744" t="s">
        <v>3086</v>
      </c>
      <c r="C744" t="s">
        <v>3161</v>
      </c>
      <c r="D744" t="s">
        <v>3166</v>
      </c>
      <c r="E744" t="s">
        <v>3168</v>
      </c>
      <c r="F744" t="str">
        <f>VLOOKUP(A744,Base!$A:$F,6,FALSE)</f>
        <v>COMÉRCIO; REPARAÇÃO DE VEÍCULOS AUTOMOTORES E MOTOCICLETAS</v>
      </c>
      <c r="G744" t="str">
        <f>VLOOKUP(B744,Base!$B:$F,5,FALSE)</f>
        <v>COMÉRCIO POR ATACADO, EXCETO VEÍCULOS AUTOMOTORES E MOTOCICLETAS</v>
      </c>
      <c r="H744" t="str">
        <f>VLOOKUP(C744,Base!$C:$F,4,FALSE)</f>
        <v>Comércio atacadista de produtos de consumo não alimentar</v>
      </c>
      <c r="I744" t="str">
        <f>VLOOKUP(D744,Base!$D:$F,3,FALSE)</f>
        <v>Comércio atacadista de artigos do vestuário e acessórios</v>
      </c>
      <c r="J744" t="str">
        <f>VLOOKUP(E744,Base!$E:$F,2,FALSE)</f>
        <v>Comércio atacadista de roupas e acessórios para uso profissional e de segurança do trabalho</v>
      </c>
      <c r="K744" t="s">
        <v>3168</v>
      </c>
      <c r="L744">
        <f>IFERROR(VLOOKUP($K744,Base_Atividades!$E$1:$N$2398,MATCH(BancoAjustado!L$1,Base_Atividades!$E$1:$N$1,0),FALSE),0)</f>
        <v>0</v>
      </c>
      <c r="M744">
        <f>IFERROR(VLOOKUP($K744,Base_Atividades!$E$1:$N$2398,MATCH(BancoAjustado!M$1,Base_Atividades!$E$1:$N$1,0),FALSE),0)</f>
        <v>0</v>
      </c>
      <c r="N744">
        <f>IFERROR(VLOOKUP($K744,Base_Atividades!$E$1:$N$2398,MATCH(BancoAjustado!N$1,Base_Atividades!$E$1:$N$1,0),FALSE),0)</f>
        <v>0</v>
      </c>
    </row>
    <row r="745" spans="1:14" x14ac:dyDescent="0.25">
      <c r="A745" t="s">
        <v>3043</v>
      </c>
      <c r="B745" t="s">
        <v>3086</v>
      </c>
      <c r="C745" t="s">
        <v>3161</v>
      </c>
      <c r="D745" t="s">
        <v>3169</v>
      </c>
      <c r="E745" t="s">
        <v>3170</v>
      </c>
      <c r="F745" t="str">
        <f>VLOOKUP(A745,Base!$A:$F,6,FALSE)</f>
        <v>COMÉRCIO; REPARAÇÃO DE VEÍCULOS AUTOMOTORES E MOTOCICLETAS</v>
      </c>
      <c r="G745" t="str">
        <f>VLOOKUP(B745,Base!$B:$F,5,FALSE)</f>
        <v>COMÉRCIO POR ATACADO, EXCETO VEÍCULOS AUTOMOTORES E MOTOCICLETAS</v>
      </c>
      <c r="H745" t="str">
        <f>VLOOKUP(C745,Base!$C:$F,4,FALSE)</f>
        <v>Comércio atacadista de produtos de consumo não alimentar</v>
      </c>
      <c r="I745" t="str">
        <f>VLOOKUP(D745,Base!$D:$F,3,FALSE)</f>
        <v>Comércio atacadista de calçados e artigos de viagem</v>
      </c>
      <c r="J745" t="str">
        <f>VLOOKUP(E745,Base!$E:$F,2,FALSE)</f>
        <v>Comércio atacadista de calçados</v>
      </c>
      <c r="K745" t="s">
        <v>3170</v>
      </c>
      <c r="L745">
        <f>IFERROR(VLOOKUP($K745,Base_Atividades!$E$1:$N$2398,MATCH(BancoAjustado!L$1,Base_Atividades!$E$1:$N$1,0),FALSE),0)</f>
        <v>0</v>
      </c>
      <c r="M745">
        <f>IFERROR(VLOOKUP($K745,Base_Atividades!$E$1:$N$2398,MATCH(BancoAjustado!M$1,Base_Atividades!$E$1:$N$1,0),FALSE),0)</f>
        <v>0</v>
      </c>
      <c r="N745">
        <f>IFERROR(VLOOKUP($K745,Base_Atividades!$E$1:$N$2398,MATCH(BancoAjustado!N$1,Base_Atividades!$E$1:$N$1,0),FALSE),0)</f>
        <v>0</v>
      </c>
    </row>
    <row r="746" spans="1:14" x14ac:dyDescent="0.25">
      <c r="A746" t="s">
        <v>3043</v>
      </c>
      <c r="B746" t="s">
        <v>3086</v>
      </c>
      <c r="C746" t="s">
        <v>3161</v>
      </c>
      <c r="D746" t="s">
        <v>3169</v>
      </c>
      <c r="E746" t="s">
        <v>3171</v>
      </c>
      <c r="F746" t="str">
        <f>VLOOKUP(A746,Base!$A:$F,6,FALSE)</f>
        <v>COMÉRCIO; REPARAÇÃO DE VEÍCULOS AUTOMOTORES E MOTOCICLETAS</v>
      </c>
      <c r="G746" t="str">
        <f>VLOOKUP(B746,Base!$B:$F,5,FALSE)</f>
        <v>COMÉRCIO POR ATACADO, EXCETO VEÍCULOS AUTOMOTORES E MOTOCICLETAS</v>
      </c>
      <c r="H746" t="str">
        <f>VLOOKUP(C746,Base!$C:$F,4,FALSE)</f>
        <v>Comércio atacadista de produtos de consumo não alimentar</v>
      </c>
      <c r="I746" t="str">
        <f>VLOOKUP(D746,Base!$D:$F,3,FALSE)</f>
        <v>Comércio atacadista de calçados e artigos de viagem</v>
      </c>
      <c r="J746" t="str">
        <f>VLOOKUP(E746,Base!$E:$F,2,FALSE)</f>
        <v>Comércio atacadista de bolsas, malas e artigos de viagem</v>
      </c>
      <c r="K746" t="s">
        <v>3171</v>
      </c>
      <c r="L746">
        <f>IFERROR(VLOOKUP($K746,Base_Atividades!$E$1:$N$2398,MATCH(BancoAjustado!L$1,Base_Atividades!$E$1:$N$1,0),FALSE),0)</f>
        <v>0</v>
      </c>
      <c r="M746">
        <f>IFERROR(VLOOKUP($K746,Base_Atividades!$E$1:$N$2398,MATCH(BancoAjustado!M$1,Base_Atividades!$E$1:$N$1,0),FALSE),0)</f>
        <v>0</v>
      </c>
      <c r="N746">
        <f>IFERROR(VLOOKUP($K746,Base_Atividades!$E$1:$N$2398,MATCH(BancoAjustado!N$1,Base_Atividades!$E$1:$N$1,0),FALSE),0)</f>
        <v>0</v>
      </c>
    </row>
    <row r="747" spans="1:14" x14ac:dyDescent="0.25">
      <c r="A747" t="s">
        <v>3043</v>
      </c>
      <c r="B747" t="s">
        <v>3086</v>
      </c>
      <c r="C747" t="s">
        <v>3161</v>
      </c>
      <c r="D747" t="s">
        <v>3172</v>
      </c>
      <c r="E747" t="s">
        <v>3173</v>
      </c>
      <c r="F747" t="str">
        <f>VLOOKUP(A747,Base!$A:$F,6,FALSE)</f>
        <v>COMÉRCIO; REPARAÇÃO DE VEÍCULOS AUTOMOTORES E MOTOCICLETAS</v>
      </c>
      <c r="G747" t="str">
        <f>VLOOKUP(B747,Base!$B:$F,5,FALSE)</f>
        <v>COMÉRCIO POR ATACADO, EXCETO VEÍCULOS AUTOMOTORES E MOTOCICLETAS</v>
      </c>
      <c r="H747" t="str">
        <f>VLOOKUP(C747,Base!$C:$F,4,FALSE)</f>
        <v>Comércio atacadista de produtos de consumo não alimentar</v>
      </c>
      <c r="I747" t="str">
        <f>VLOOKUP(D747,Base!$D:$F,3,FALSE)</f>
        <v>Comércio atacadista de produtos farmacêuticos para uso humano e veterinário</v>
      </c>
      <c r="J747" t="str">
        <f>VLOOKUP(E747,Base!$E:$F,2,FALSE)</f>
        <v>Comércio atacadista de medicamentos e drogas de uso humano</v>
      </c>
      <c r="K747" t="s">
        <v>3173</v>
      </c>
      <c r="L747">
        <f>IFERROR(VLOOKUP($K747,Base_Atividades!$E$1:$N$2398,MATCH(BancoAjustado!L$1,Base_Atividades!$E$1:$N$1,0),FALSE),0)</f>
        <v>0</v>
      </c>
      <c r="M747">
        <f>IFERROR(VLOOKUP($K747,Base_Atividades!$E$1:$N$2398,MATCH(BancoAjustado!M$1,Base_Atividades!$E$1:$N$1,0),FALSE),0)</f>
        <v>0</v>
      </c>
      <c r="N747">
        <f>IFERROR(VLOOKUP($K747,Base_Atividades!$E$1:$N$2398,MATCH(BancoAjustado!N$1,Base_Atividades!$E$1:$N$1,0),FALSE),0)</f>
        <v>0</v>
      </c>
    </row>
    <row r="748" spans="1:14" x14ac:dyDescent="0.25">
      <c r="A748" t="s">
        <v>3043</v>
      </c>
      <c r="B748" t="s">
        <v>3086</v>
      </c>
      <c r="C748" t="s">
        <v>3161</v>
      </c>
      <c r="D748" t="s">
        <v>3172</v>
      </c>
      <c r="E748" t="s">
        <v>3174</v>
      </c>
      <c r="F748" t="str">
        <f>VLOOKUP(A748,Base!$A:$F,6,FALSE)</f>
        <v>COMÉRCIO; REPARAÇÃO DE VEÍCULOS AUTOMOTORES E MOTOCICLETAS</v>
      </c>
      <c r="G748" t="str">
        <f>VLOOKUP(B748,Base!$B:$F,5,FALSE)</f>
        <v>COMÉRCIO POR ATACADO, EXCETO VEÍCULOS AUTOMOTORES E MOTOCICLETAS</v>
      </c>
      <c r="H748" t="str">
        <f>VLOOKUP(C748,Base!$C:$F,4,FALSE)</f>
        <v>Comércio atacadista de produtos de consumo não alimentar</v>
      </c>
      <c r="I748" t="str">
        <f>VLOOKUP(D748,Base!$D:$F,3,FALSE)</f>
        <v>Comércio atacadista de produtos farmacêuticos para uso humano e veterinário</v>
      </c>
      <c r="J748" t="str">
        <f>VLOOKUP(E748,Base!$E:$F,2,FALSE)</f>
        <v>Comércio atacadista de medicamentos e drogas de uso veterinário</v>
      </c>
      <c r="K748" t="s">
        <v>3174</v>
      </c>
      <c r="L748">
        <f>IFERROR(VLOOKUP($K748,Base_Atividades!$E$1:$N$2398,MATCH(BancoAjustado!L$1,Base_Atividades!$E$1:$N$1,0),FALSE),0)</f>
        <v>0</v>
      </c>
      <c r="M748">
        <f>IFERROR(VLOOKUP($K748,Base_Atividades!$E$1:$N$2398,MATCH(BancoAjustado!M$1,Base_Atividades!$E$1:$N$1,0),FALSE),0)</f>
        <v>0</v>
      </c>
      <c r="N748">
        <f>IFERROR(VLOOKUP($K748,Base_Atividades!$E$1:$N$2398,MATCH(BancoAjustado!N$1,Base_Atividades!$E$1:$N$1,0),FALSE),0)</f>
        <v>0</v>
      </c>
    </row>
    <row r="749" spans="1:14" x14ac:dyDescent="0.25">
      <c r="A749" t="s">
        <v>3043</v>
      </c>
      <c r="B749" t="s">
        <v>3086</v>
      </c>
      <c r="C749" t="s">
        <v>3161</v>
      </c>
      <c r="D749" t="s">
        <v>3175</v>
      </c>
      <c r="E749" t="s">
        <v>3176</v>
      </c>
      <c r="F749" t="str">
        <f>VLOOKUP(A749,Base!$A:$F,6,FALSE)</f>
        <v>COMÉRCIO; REPARAÇÃO DE VEÍCULOS AUTOMOTORES E MOTOCICLETAS</v>
      </c>
      <c r="G749" t="str">
        <f>VLOOKUP(B749,Base!$B:$F,5,FALSE)</f>
        <v>COMÉRCIO POR ATACADO, EXCETO VEÍCULOS AUTOMOTORES E MOTOCICLETAS</v>
      </c>
      <c r="H749" t="str">
        <f>VLOOKUP(C749,Base!$C:$F,4,FALSE)</f>
        <v>Comércio atacadista de produtos de consumo não alimentar</v>
      </c>
      <c r="I749" t="str">
        <f>VLOOKUP(D749,Base!$D:$F,3,FALSE)</f>
        <v>Comércio atacadista de instrumentos e materiais para uso médico, cirúrgico, ortopédico e odontológico</v>
      </c>
      <c r="J749" t="str">
        <f>VLOOKUP(E749,Base!$E:$F,2,FALSE)</f>
        <v>Comércio atacadista de instrumentos e materiais para uso médico, cirúrgico, hospitalar e de laboratórios</v>
      </c>
      <c r="K749" t="s">
        <v>3176</v>
      </c>
      <c r="L749">
        <f>IFERROR(VLOOKUP($K749,Base_Atividades!$E$1:$N$2398,MATCH(BancoAjustado!L$1,Base_Atividades!$E$1:$N$1,0),FALSE),0)</f>
        <v>0</v>
      </c>
      <c r="M749">
        <f>IFERROR(VLOOKUP($K749,Base_Atividades!$E$1:$N$2398,MATCH(BancoAjustado!M$1,Base_Atividades!$E$1:$N$1,0),FALSE),0)</f>
        <v>0</v>
      </c>
      <c r="N749">
        <f>IFERROR(VLOOKUP($K749,Base_Atividades!$E$1:$N$2398,MATCH(BancoAjustado!N$1,Base_Atividades!$E$1:$N$1,0),FALSE),0)</f>
        <v>0</v>
      </c>
    </row>
    <row r="750" spans="1:14" x14ac:dyDescent="0.25">
      <c r="A750" t="s">
        <v>3043</v>
      </c>
      <c r="B750" t="s">
        <v>3086</v>
      </c>
      <c r="C750" t="s">
        <v>3161</v>
      </c>
      <c r="D750" t="s">
        <v>3175</v>
      </c>
      <c r="E750" t="s">
        <v>3177</v>
      </c>
      <c r="F750" t="str">
        <f>VLOOKUP(A750,Base!$A:$F,6,FALSE)</f>
        <v>COMÉRCIO; REPARAÇÃO DE VEÍCULOS AUTOMOTORES E MOTOCICLETAS</v>
      </c>
      <c r="G750" t="str">
        <f>VLOOKUP(B750,Base!$B:$F,5,FALSE)</f>
        <v>COMÉRCIO POR ATACADO, EXCETO VEÍCULOS AUTOMOTORES E MOTOCICLETAS</v>
      </c>
      <c r="H750" t="str">
        <f>VLOOKUP(C750,Base!$C:$F,4,FALSE)</f>
        <v>Comércio atacadista de produtos de consumo não alimentar</v>
      </c>
      <c r="I750" t="str">
        <f>VLOOKUP(D750,Base!$D:$F,3,FALSE)</f>
        <v>Comércio atacadista de instrumentos e materiais para uso médico, cirúrgico, ortopédico e odontológico</v>
      </c>
      <c r="J750" t="str">
        <f>VLOOKUP(E750,Base!$E:$F,2,FALSE)</f>
        <v>Comércio atacadista de próteses e artigos de ortopedia</v>
      </c>
      <c r="K750" t="s">
        <v>3177</v>
      </c>
      <c r="L750">
        <f>IFERROR(VLOOKUP($K750,Base_Atividades!$E$1:$N$2398,MATCH(BancoAjustado!L$1,Base_Atividades!$E$1:$N$1,0),FALSE),0)</f>
        <v>0</v>
      </c>
      <c r="M750">
        <f>IFERROR(VLOOKUP($K750,Base_Atividades!$E$1:$N$2398,MATCH(BancoAjustado!M$1,Base_Atividades!$E$1:$N$1,0),FALSE),0)</f>
        <v>0</v>
      </c>
      <c r="N750">
        <f>IFERROR(VLOOKUP($K750,Base_Atividades!$E$1:$N$2398,MATCH(BancoAjustado!N$1,Base_Atividades!$E$1:$N$1,0),FALSE),0)</f>
        <v>0</v>
      </c>
    </row>
    <row r="751" spans="1:14" x14ac:dyDescent="0.25">
      <c r="A751" t="s">
        <v>3043</v>
      </c>
      <c r="B751" t="s">
        <v>3086</v>
      </c>
      <c r="C751" t="s">
        <v>3161</v>
      </c>
      <c r="D751" t="s">
        <v>3175</v>
      </c>
      <c r="E751" t="s">
        <v>3178</v>
      </c>
      <c r="F751" t="str">
        <f>VLOOKUP(A751,Base!$A:$F,6,FALSE)</f>
        <v>COMÉRCIO; REPARAÇÃO DE VEÍCULOS AUTOMOTORES E MOTOCICLETAS</v>
      </c>
      <c r="G751" t="str">
        <f>VLOOKUP(B751,Base!$B:$F,5,FALSE)</f>
        <v>COMÉRCIO POR ATACADO, EXCETO VEÍCULOS AUTOMOTORES E MOTOCICLETAS</v>
      </c>
      <c r="H751" t="str">
        <f>VLOOKUP(C751,Base!$C:$F,4,FALSE)</f>
        <v>Comércio atacadista de produtos de consumo não alimentar</v>
      </c>
      <c r="I751" t="str">
        <f>VLOOKUP(D751,Base!$D:$F,3,FALSE)</f>
        <v>Comércio atacadista de instrumentos e materiais para uso médico, cirúrgico, ortopédico e odontológico</v>
      </c>
      <c r="J751" t="str">
        <f>VLOOKUP(E751,Base!$E:$F,2,FALSE)</f>
        <v>Comércio atacadista de produtos odontológicos</v>
      </c>
      <c r="K751" t="s">
        <v>3178</v>
      </c>
      <c r="L751">
        <f>IFERROR(VLOOKUP($K751,Base_Atividades!$E$1:$N$2398,MATCH(BancoAjustado!L$1,Base_Atividades!$E$1:$N$1,0),FALSE),0)</f>
        <v>0</v>
      </c>
      <c r="M751">
        <f>IFERROR(VLOOKUP($K751,Base_Atividades!$E$1:$N$2398,MATCH(BancoAjustado!M$1,Base_Atividades!$E$1:$N$1,0),FALSE),0)</f>
        <v>0</v>
      </c>
      <c r="N751">
        <f>IFERROR(VLOOKUP($K751,Base_Atividades!$E$1:$N$2398,MATCH(BancoAjustado!N$1,Base_Atividades!$E$1:$N$1,0),FALSE),0)</f>
        <v>0</v>
      </c>
    </row>
    <row r="752" spans="1:14" x14ac:dyDescent="0.25">
      <c r="A752" t="s">
        <v>3043</v>
      </c>
      <c r="B752" t="s">
        <v>3086</v>
      </c>
      <c r="C752" t="s">
        <v>3161</v>
      </c>
      <c r="D752" t="s">
        <v>3179</v>
      </c>
      <c r="E752" t="s">
        <v>3180</v>
      </c>
      <c r="F752" t="str">
        <f>VLOOKUP(A752,Base!$A:$F,6,FALSE)</f>
        <v>COMÉRCIO; REPARAÇÃO DE VEÍCULOS AUTOMOTORES E MOTOCICLETAS</v>
      </c>
      <c r="G752" t="str">
        <f>VLOOKUP(B752,Base!$B:$F,5,FALSE)</f>
        <v>COMÉRCIO POR ATACADO, EXCETO VEÍCULOS AUTOMOTORES E MOTOCICLETAS</v>
      </c>
      <c r="H752" t="str">
        <f>VLOOKUP(C752,Base!$C:$F,4,FALSE)</f>
        <v>Comércio atacadista de produtos de consumo não alimentar</v>
      </c>
      <c r="I752" t="str">
        <f>VLOOKUP(D752,Base!$D:$F,3,FALSE)</f>
        <v>Comércio atacadista de cosméticos, produtos de perfumaria e de higiene pessoal</v>
      </c>
      <c r="J752" t="str">
        <f>VLOOKUP(E752,Base!$E:$F,2,FALSE)</f>
        <v>Comércio atacadista de cosméticos e produtos de perfumaria</v>
      </c>
      <c r="K752" t="s">
        <v>3180</v>
      </c>
      <c r="L752">
        <f>IFERROR(VLOOKUP($K752,Base_Atividades!$E$1:$N$2398,MATCH(BancoAjustado!L$1,Base_Atividades!$E$1:$N$1,0),FALSE),0)</f>
        <v>0</v>
      </c>
      <c r="M752">
        <f>IFERROR(VLOOKUP($K752,Base_Atividades!$E$1:$N$2398,MATCH(BancoAjustado!M$1,Base_Atividades!$E$1:$N$1,0),FALSE),0)</f>
        <v>0</v>
      </c>
      <c r="N752">
        <f>IFERROR(VLOOKUP($K752,Base_Atividades!$E$1:$N$2398,MATCH(BancoAjustado!N$1,Base_Atividades!$E$1:$N$1,0),FALSE),0)</f>
        <v>0</v>
      </c>
    </row>
    <row r="753" spans="1:14" x14ac:dyDescent="0.25">
      <c r="A753" t="s">
        <v>3043</v>
      </c>
      <c r="B753" t="s">
        <v>3086</v>
      </c>
      <c r="C753" t="s">
        <v>3161</v>
      </c>
      <c r="D753" t="s">
        <v>3179</v>
      </c>
      <c r="E753" t="s">
        <v>3181</v>
      </c>
      <c r="F753" t="str">
        <f>VLOOKUP(A753,Base!$A:$F,6,FALSE)</f>
        <v>COMÉRCIO; REPARAÇÃO DE VEÍCULOS AUTOMOTORES E MOTOCICLETAS</v>
      </c>
      <c r="G753" t="str">
        <f>VLOOKUP(B753,Base!$B:$F,5,FALSE)</f>
        <v>COMÉRCIO POR ATACADO, EXCETO VEÍCULOS AUTOMOTORES E MOTOCICLETAS</v>
      </c>
      <c r="H753" t="str">
        <f>VLOOKUP(C753,Base!$C:$F,4,FALSE)</f>
        <v>Comércio atacadista de produtos de consumo não alimentar</v>
      </c>
      <c r="I753" t="str">
        <f>VLOOKUP(D753,Base!$D:$F,3,FALSE)</f>
        <v>Comércio atacadista de cosméticos, produtos de perfumaria e de higiene pessoal</v>
      </c>
      <c r="J753" t="str">
        <f>VLOOKUP(E753,Base!$E:$F,2,FALSE)</f>
        <v>Comércio atacadista de produtos de higiene pessoal</v>
      </c>
      <c r="K753" t="s">
        <v>3181</v>
      </c>
      <c r="L753">
        <f>IFERROR(VLOOKUP($K753,Base_Atividades!$E$1:$N$2398,MATCH(BancoAjustado!L$1,Base_Atividades!$E$1:$N$1,0),FALSE),0)</f>
        <v>0</v>
      </c>
      <c r="M753">
        <f>IFERROR(VLOOKUP($K753,Base_Atividades!$E$1:$N$2398,MATCH(BancoAjustado!M$1,Base_Atividades!$E$1:$N$1,0),FALSE),0)</f>
        <v>0</v>
      </c>
      <c r="N753">
        <f>IFERROR(VLOOKUP($K753,Base_Atividades!$E$1:$N$2398,MATCH(BancoAjustado!N$1,Base_Atividades!$E$1:$N$1,0),FALSE),0)</f>
        <v>0</v>
      </c>
    </row>
    <row r="754" spans="1:14" x14ac:dyDescent="0.25">
      <c r="A754" t="s">
        <v>3043</v>
      </c>
      <c r="B754" t="s">
        <v>3086</v>
      </c>
      <c r="C754" t="s">
        <v>3161</v>
      </c>
      <c r="D754" t="s">
        <v>3182</v>
      </c>
      <c r="E754" t="s">
        <v>3183</v>
      </c>
      <c r="F754" t="str">
        <f>VLOOKUP(A754,Base!$A:$F,6,FALSE)</f>
        <v>COMÉRCIO; REPARAÇÃO DE VEÍCULOS AUTOMOTORES E MOTOCICLETAS</v>
      </c>
      <c r="G754" t="str">
        <f>VLOOKUP(B754,Base!$B:$F,5,FALSE)</f>
        <v>COMÉRCIO POR ATACADO, EXCETO VEÍCULOS AUTOMOTORES E MOTOCICLETAS</v>
      </c>
      <c r="H754" t="str">
        <f>VLOOKUP(C754,Base!$C:$F,4,FALSE)</f>
        <v>Comércio atacadista de produtos de consumo não alimentar</v>
      </c>
      <c r="I754" t="str">
        <f>VLOOKUP(D754,Base!$D:$F,3,FALSE)</f>
        <v>Comércio atacadista de artigos de escritório e de papelaria; livros, jornais e outras publicações</v>
      </c>
      <c r="J754" t="str">
        <f>VLOOKUP(E754,Base!$E:$F,2,FALSE)</f>
        <v>Comércio atacadista de artigos de escritório e de papelaria</v>
      </c>
      <c r="K754" t="s">
        <v>3183</v>
      </c>
      <c r="L754">
        <f>IFERROR(VLOOKUP($K754,Base_Atividades!$E$1:$N$2398,MATCH(BancoAjustado!L$1,Base_Atividades!$E$1:$N$1,0),FALSE),0)</f>
        <v>0</v>
      </c>
      <c r="M754">
        <f>IFERROR(VLOOKUP($K754,Base_Atividades!$E$1:$N$2398,MATCH(BancoAjustado!M$1,Base_Atividades!$E$1:$N$1,0),FALSE),0)</f>
        <v>0</v>
      </c>
      <c r="N754">
        <f>IFERROR(VLOOKUP($K754,Base_Atividades!$E$1:$N$2398,MATCH(BancoAjustado!N$1,Base_Atividades!$E$1:$N$1,0),FALSE),0)</f>
        <v>0</v>
      </c>
    </row>
    <row r="755" spans="1:14" x14ac:dyDescent="0.25">
      <c r="A755" t="s">
        <v>3043</v>
      </c>
      <c r="B755" t="s">
        <v>3086</v>
      </c>
      <c r="C755" t="s">
        <v>3161</v>
      </c>
      <c r="D755" t="s">
        <v>3182</v>
      </c>
      <c r="E755" t="s">
        <v>3184</v>
      </c>
      <c r="F755" t="str">
        <f>VLOOKUP(A755,Base!$A:$F,6,FALSE)</f>
        <v>COMÉRCIO; REPARAÇÃO DE VEÍCULOS AUTOMOTORES E MOTOCICLETAS</v>
      </c>
      <c r="G755" t="str">
        <f>VLOOKUP(B755,Base!$B:$F,5,FALSE)</f>
        <v>COMÉRCIO POR ATACADO, EXCETO VEÍCULOS AUTOMOTORES E MOTOCICLETAS</v>
      </c>
      <c r="H755" t="str">
        <f>VLOOKUP(C755,Base!$C:$F,4,FALSE)</f>
        <v>Comércio atacadista de produtos de consumo não alimentar</v>
      </c>
      <c r="I755" t="str">
        <f>VLOOKUP(D755,Base!$D:$F,3,FALSE)</f>
        <v>Comércio atacadista de artigos de escritório e de papelaria; livros, jornais e outras publicações</v>
      </c>
      <c r="J755" t="str">
        <f>VLOOKUP(E755,Base!$E:$F,2,FALSE)</f>
        <v>Comércio atacadista de livros, jornais e outras publicações</v>
      </c>
      <c r="K755" t="s">
        <v>3184</v>
      </c>
      <c r="L755">
        <f>IFERROR(VLOOKUP($K755,Base_Atividades!$E$1:$N$2398,MATCH(BancoAjustado!L$1,Base_Atividades!$E$1:$N$1,0),FALSE),0)</f>
        <v>0</v>
      </c>
      <c r="M755">
        <f>IFERROR(VLOOKUP($K755,Base_Atividades!$E$1:$N$2398,MATCH(BancoAjustado!M$1,Base_Atividades!$E$1:$N$1,0),FALSE),0)</f>
        <v>0</v>
      </c>
      <c r="N755">
        <f>IFERROR(VLOOKUP($K755,Base_Atividades!$E$1:$N$2398,MATCH(BancoAjustado!N$1,Base_Atividades!$E$1:$N$1,0),FALSE),0)</f>
        <v>0</v>
      </c>
    </row>
    <row r="756" spans="1:14" x14ac:dyDescent="0.25">
      <c r="A756" t="s">
        <v>3043</v>
      </c>
      <c r="B756" t="s">
        <v>3086</v>
      </c>
      <c r="C756" t="s">
        <v>3161</v>
      </c>
      <c r="D756" t="s">
        <v>3185</v>
      </c>
      <c r="E756" t="s">
        <v>3186</v>
      </c>
      <c r="F756" t="str">
        <f>VLOOKUP(A756,Base!$A:$F,6,FALSE)</f>
        <v>COMÉRCIO; REPARAÇÃO DE VEÍCULOS AUTOMOTORES E MOTOCICLETAS</v>
      </c>
      <c r="G756" t="str">
        <f>VLOOKUP(B756,Base!$B:$F,5,FALSE)</f>
        <v>COMÉRCIO POR ATACADO, EXCETO VEÍCULOS AUTOMOTORES E MOTOCICLETAS</v>
      </c>
      <c r="H756" t="str">
        <f>VLOOKUP(C756,Base!$C:$F,4,FALSE)</f>
        <v>Comércio atacadista de produtos de consumo não alimentar</v>
      </c>
      <c r="I756" t="str">
        <f>VLOOKUP(D756,Base!$D:$F,3,FALSE)</f>
        <v>Comércio atacadista de equipamentos e artigos de uso pessoal e doméstico não especificados anteriormente</v>
      </c>
      <c r="J756" t="str">
        <f>VLOOKUP(E756,Base!$E:$F,2,FALSE)</f>
        <v>Comércio atacadista de equipamentos elétricos de uso pessoal e doméstico</v>
      </c>
      <c r="K756" t="s">
        <v>3186</v>
      </c>
      <c r="L756">
        <f>IFERROR(VLOOKUP($K756,Base_Atividades!$E$1:$N$2398,MATCH(BancoAjustado!L$1,Base_Atividades!$E$1:$N$1,0),FALSE),0)</f>
        <v>0</v>
      </c>
      <c r="M756">
        <f>IFERROR(VLOOKUP($K756,Base_Atividades!$E$1:$N$2398,MATCH(BancoAjustado!M$1,Base_Atividades!$E$1:$N$1,0),FALSE),0)</f>
        <v>0</v>
      </c>
      <c r="N756">
        <f>IFERROR(VLOOKUP($K756,Base_Atividades!$E$1:$N$2398,MATCH(BancoAjustado!N$1,Base_Atividades!$E$1:$N$1,0),FALSE),0)</f>
        <v>0</v>
      </c>
    </row>
    <row r="757" spans="1:14" x14ac:dyDescent="0.25">
      <c r="A757" t="s">
        <v>3043</v>
      </c>
      <c r="B757" t="s">
        <v>3086</v>
      </c>
      <c r="C757" t="s">
        <v>3161</v>
      </c>
      <c r="D757" t="s">
        <v>3185</v>
      </c>
      <c r="E757" t="s">
        <v>3187</v>
      </c>
      <c r="F757" t="str">
        <f>VLOOKUP(A757,Base!$A:$F,6,FALSE)</f>
        <v>COMÉRCIO; REPARAÇÃO DE VEÍCULOS AUTOMOTORES E MOTOCICLETAS</v>
      </c>
      <c r="G757" t="str">
        <f>VLOOKUP(B757,Base!$B:$F,5,FALSE)</f>
        <v>COMÉRCIO POR ATACADO, EXCETO VEÍCULOS AUTOMOTORES E MOTOCICLETAS</v>
      </c>
      <c r="H757" t="str">
        <f>VLOOKUP(C757,Base!$C:$F,4,FALSE)</f>
        <v>Comércio atacadista de produtos de consumo não alimentar</v>
      </c>
      <c r="I757" t="str">
        <f>VLOOKUP(D757,Base!$D:$F,3,FALSE)</f>
        <v>Comércio atacadista de equipamentos e artigos de uso pessoal e doméstico não especificados anteriormente</v>
      </c>
      <c r="J757" t="str">
        <f>VLOOKUP(E757,Base!$E:$F,2,FALSE)</f>
        <v>Comércio atacadista de aparelhos eletrônicos de uso pessoal e doméstico</v>
      </c>
      <c r="K757" t="s">
        <v>3187</v>
      </c>
      <c r="L757">
        <f>IFERROR(VLOOKUP($K757,Base_Atividades!$E$1:$N$2398,MATCH(BancoAjustado!L$1,Base_Atividades!$E$1:$N$1,0),FALSE),0)</f>
        <v>0</v>
      </c>
      <c r="M757">
        <f>IFERROR(VLOOKUP($K757,Base_Atividades!$E$1:$N$2398,MATCH(BancoAjustado!M$1,Base_Atividades!$E$1:$N$1,0),FALSE),0)</f>
        <v>0</v>
      </c>
      <c r="N757">
        <f>IFERROR(VLOOKUP($K757,Base_Atividades!$E$1:$N$2398,MATCH(BancoAjustado!N$1,Base_Atividades!$E$1:$N$1,0),FALSE),0)</f>
        <v>0</v>
      </c>
    </row>
    <row r="758" spans="1:14" x14ac:dyDescent="0.25">
      <c r="A758" t="s">
        <v>3043</v>
      </c>
      <c r="B758" t="s">
        <v>3086</v>
      </c>
      <c r="C758" t="s">
        <v>3161</v>
      </c>
      <c r="D758" t="s">
        <v>3185</v>
      </c>
      <c r="E758" t="s">
        <v>3188</v>
      </c>
      <c r="F758" t="str">
        <f>VLOOKUP(A758,Base!$A:$F,6,FALSE)</f>
        <v>COMÉRCIO; REPARAÇÃO DE VEÍCULOS AUTOMOTORES E MOTOCICLETAS</v>
      </c>
      <c r="G758" t="str">
        <f>VLOOKUP(B758,Base!$B:$F,5,FALSE)</f>
        <v>COMÉRCIO POR ATACADO, EXCETO VEÍCULOS AUTOMOTORES E MOTOCICLETAS</v>
      </c>
      <c r="H758" t="str">
        <f>VLOOKUP(C758,Base!$C:$F,4,FALSE)</f>
        <v>Comércio atacadista de produtos de consumo não alimentar</v>
      </c>
      <c r="I758" t="str">
        <f>VLOOKUP(D758,Base!$D:$F,3,FALSE)</f>
        <v>Comércio atacadista de equipamentos e artigos de uso pessoal e doméstico não especificados anteriormente</v>
      </c>
      <c r="J758" t="str">
        <f>VLOOKUP(E758,Base!$E:$F,2,FALSE)</f>
        <v>Comércio atacadista de bicicletas, triciclos e outros veículos recreativos</v>
      </c>
      <c r="K758" t="s">
        <v>3188</v>
      </c>
      <c r="L758">
        <f>IFERROR(VLOOKUP($K758,Base_Atividades!$E$1:$N$2398,MATCH(BancoAjustado!L$1,Base_Atividades!$E$1:$N$1,0),FALSE),0)</f>
        <v>0</v>
      </c>
      <c r="M758">
        <f>IFERROR(VLOOKUP($K758,Base_Atividades!$E$1:$N$2398,MATCH(BancoAjustado!M$1,Base_Atividades!$E$1:$N$1,0),FALSE),0)</f>
        <v>0</v>
      </c>
      <c r="N758">
        <f>IFERROR(VLOOKUP($K758,Base_Atividades!$E$1:$N$2398,MATCH(BancoAjustado!N$1,Base_Atividades!$E$1:$N$1,0),FALSE),0)</f>
        <v>0</v>
      </c>
    </row>
    <row r="759" spans="1:14" x14ac:dyDescent="0.25">
      <c r="A759" t="s">
        <v>3043</v>
      </c>
      <c r="B759" t="s">
        <v>3086</v>
      </c>
      <c r="C759" t="s">
        <v>3161</v>
      </c>
      <c r="D759" t="s">
        <v>3185</v>
      </c>
      <c r="E759" t="s">
        <v>3189</v>
      </c>
      <c r="F759" t="str">
        <f>VLOOKUP(A759,Base!$A:$F,6,FALSE)</f>
        <v>COMÉRCIO; REPARAÇÃO DE VEÍCULOS AUTOMOTORES E MOTOCICLETAS</v>
      </c>
      <c r="G759" t="str">
        <f>VLOOKUP(B759,Base!$B:$F,5,FALSE)</f>
        <v>COMÉRCIO POR ATACADO, EXCETO VEÍCULOS AUTOMOTORES E MOTOCICLETAS</v>
      </c>
      <c r="H759" t="str">
        <f>VLOOKUP(C759,Base!$C:$F,4,FALSE)</f>
        <v>Comércio atacadista de produtos de consumo não alimentar</v>
      </c>
      <c r="I759" t="str">
        <f>VLOOKUP(D759,Base!$D:$F,3,FALSE)</f>
        <v>Comércio atacadista de equipamentos e artigos de uso pessoal e doméstico não especificados anteriormente</v>
      </c>
      <c r="J759" t="str">
        <f>VLOOKUP(E759,Base!$E:$F,2,FALSE)</f>
        <v>Comércio atacadista de móveis e artigos de colchoaria</v>
      </c>
      <c r="K759" t="s">
        <v>3189</v>
      </c>
      <c r="L759">
        <f>IFERROR(VLOOKUP($K759,Base_Atividades!$E$1:$N$2398,MATCH(BancoAjustado!L$1,Base_Atividades!$E$1:$N$1,0),FALSE),0)</f>
        <v>0</v>
      </c>
      <c r="M759">
        <f>IFERROR(VLOOKUP($K759,Base_Atividades!$E$1:$N$2398,MATCH(BancoAjustado!M$1,Base_Atividades!$E$1:$N$1,0),FALSE),0)</f>
        <v>0</v>
      </c>
      <c r="N759">
        <f>IFERROR(VLOOKUP($K759,Base_Atividades!$E$1:$N$2398,MATCH(BancoAjustado!N$1,Base_Atividades!$E$1:$N$1,0),FALSE),0)</f>
        <v>0</v>
      </c>
    </row>
    <row r="760" spans="1:14" x14ac:dyDescent="0.25">
      <c r="A760" t="s">
        <v>3043</v>
      </c>
      <c r="B760" t="s">
        <v>3086</v>
      </c>
      <c r="C760" t="s">
        <v>3161</v>
      </c>
      <c r="D760" t="s">
        <v>3185</v>
      </c>
      <c r="E760" t="s">
        <v>3190</v>
      </c>
      <c r="F760" t="str">
        <f>VLOOKUP(A760,Base!$A:$F,6,FALSE)</f>
        <v>COMÉRCIO; REPARAÇÃO DE VEÍCULOS AUTOMOTORES E MOTOCICLETAS</v>
      </c>
      <c r="G760" t="str">
        <f>VLOOKUP(B760,Base!$B:$F,5,FALSE)</f>
        <v>COMÉRCIO POR ATACADO, EXCETO VEÍCULOS AUTOMOTORES E MOTOCICLETAS</v>
      </c>
      <c r="H760" t="str">
        <f>VLOOKUP(C760,Base!$C:$F,4,FALSE)</f>
        <v>Comércio atacadista de produtos de consumo não alimentar</v>
      </c>
      <c r="I760" t="str">
        <f>VLOOKUP(D760,Base!$D:$F,3,FALSE)</f>
        <v>Comércio atacadista de equipamentos e artigos de uso pessoal e doméstico não especificados anteriormente</v>
      </c>
      <c r="J760" t="str">
        <f>VLOOKUP(E760,Base!$E:$F,2,FALSE)</f>
        <v>Comércio atacadista de artigos de tapeçaria; persianas e cortinas</v>
      </c>
      <c r="K760" t="s">
        <v>3190</v>
      </c>
      <c r="L760">
        <f>IFERROR(VLOOKUP($K760,Base_Atividades!$E$1:$N$2398,MATCH(BancoAjustado!L$1,Base_Atividades!$E$1:$N$1,0),FALSE),0)</f>
        <v>0</v>
      </c>
      <c r="M760">
        <f>IFERROR(VLOOKUP($K760,Base_Atividades!$E$1:$N$2398,MATCH(BancoAjustado!M$1,Base_Atividades!$E$1:$N$1,0),FALSE),0)</f>
        <v>0</v>
      </c>
      <c r="N760">
        <f>IFERROR(VLOOKUP($K760,Base_Atividades!$E$1:$N$2398,MATCH(BancoAjustado!N$1,Base_Atividades!$E$1:$N$1,0),FALSE),0)</f>
        <v>0</v>
      </c>
    </row>
    <row r="761" spans="1:14" x14ac:dyDescent="0.25">
      <c r="A761" t="s">
        <v>3043</v>
      </c>
      <c r="B761" t="s">
        <v>3086</v>
      </c>
      <c r="C761" t="s">
        <v>3161</v>
      </c>
      <c r="D761" t="s">
        <v>3185</v>
      </c>
      <c r="E761" t="s">
        <v>3191</v>
      </c>
      <c r="F761" t="str">
        <f>VLOOKUP(A761,Base!$A:$F,6,FALSE)</f>
        <v>COMÉRCIO; REPARAÇÃO DE VEÍCULOS AUTOMOTORES E MOTOCICLETAS</v>
      </c>
      <c r="G761" t="str">
        <f>VLOOKUP(B761,Base!$B:$F,5,FALSE)</f>
        <v>COMÉRCIO POR ATACADO, EXCETO VEÍCULOS AUTOMOTORES E MOTOCICLETAS</v>
      </c>
      <c r="H761" t="str">
        <f>VLOOKUP(C761,Base!$C:$F,4,FALSE)</f>
        <v>Comércio atacadista de produtos de consumo não alimentar</v>
      </c>
      <c r="I761" t="str">
        <f>VLOOKUP(D761,Base!$D:$F,3,FALSE)</f>
        <v>Comércio atacadista de equipamentos e artigos de uso pessoal e doméstico não especificados anteriormente</v>
      </c>
      <c r="J761" t="str">
        <f>VLOOKUP(E761,Base!$E:$F,2,FALSE)</f>
        <v>Comércio atacadista de lustres, luminárias e abajures</v>
      </c>
      <c r="K761" t="s">
        <v>3191</v>
      </c>
      <c r="L761">
        <f>IFERROR(VLOOKUP($K761,Base_Atividades!$E$1:$N$2398,MATCH(BancoAjustado!L$1,Base_Atividades!$E$1:$N$1,0),FALSE),0)</f>
        <v>0</v>
      </c>
      <c r="M761">
        <f>IFERROR(VLOOKUP($K761,Base_Atividades!$E$1:$N$2398,MATCH(BancoAjustado!M$1,Base_Atividades!$E$1:$N$1,0),FALSE),0)</f>
        <v>0</v>
      </c>
      <c r="N761">
        <f>IFERROR(VLOOKUP($K761,Base_Atividades!$E$1:$N$2398,MATCH(BancoAjustado!N$1,Base_Atividades!$E$1:$N$1,0),FALSE),0)</f>
        <v>0</v>
      </c>
    </row>
    <row r="762" spans="1:14" x14ac:dyDescent="0.25">
      <c r="A762" t="s">
        <v>3043</v>
      </c>
      <c r="B762" t="s">
        <v>3086</v>
      </c>
      <c r="C762" t="s">
        <v>3161</v>
      </c>
      <c r="D762" t="s">
        <v>3185</v>
      </c>
      <c r="E762" t="s">
        <v>3192</v>
      </c>
      <c r="F762" t="str">
        <f>VLOOKUP(A762,Base!$A:$F,6,FALSE)</f>
        <v>COMÉRCIO; REPARAÇÃO DE VEÍCULOS AUTOMOTORES E MOTOCICLETAS</v>
      </c>
      <c r="G762" t="str">
        <f>VLOOKUP(B762,Base!$B:$F,5,FALSE)</f>
        <v>COMÉRCIO POR ATACADO, EXCETO VEÍCULOS AUTOMOTORES E MOTOCICLETAS</v>
      </c>
      <c r="H762" t="str">
        <f>VLOOKUP(C762,Base!$C:$F,4,FALSE)</f>
        <v>Comércio atacadista de produtos de consumo não alimentar</v>
      </c>
      <c r="I762" t="str">
        <f>VLOOKUP(D762,Base!$D:$F,3,FALSE)</f>
        <v>Comércio atacadista de equipamentos e artigos de uso pessoal e doméstico não especificados anteriormente</v>
      </c>
      <c r="J762" t="str">
        <f>VLOOKUP(E762,Base!$E:$F,2,FALSE)</f>
        <v>Comércio atacadista de filmes, CDs, DVDs, fitas e discos</v>
      </c>
      <c r="K762" t="s">
        <v>3192</v>
      </c>
      <c r="L762">
        <f>IFERROR(VLOOKUP($K762,Base_Atividades!$E$1:$N$2398,MATCH(BancoAjustado!L$1,Base_Atividades!$E$1:$N$1,0),FALSE),0)</f>
        <v>0</v>
      </c>
      <c r="M762">
        <f>IFERROR(VLOOKUP($K762,Base_Atividades!$E$1:$N$2398,MATCH(BancoAjustado!M$1,Base_Atividades!$E$1:$N$1,0),FALSE),0)</f>
        <v>0</v>
      </c>
      <c r="N762">
        <f>IFERROR(VLOOKUP($K762,Base_Atividades!$E$1:$N$2398,MATCH(BancoAjustado!N$1,Base_Atividades!$E$1:$N$1,0),FALSE),0)</f>
        <v>0</v>
      </c>
    </row>
    <row r="763" spans="1:14" x14ac:dyDescent="0.25">
      <c r="A763" t="s">
        <v>3043</v>
      </c>
      <c r="B763" t="s">
        <v>3086</v>
      </c>
      <c r="C763" t="s">
        <v>3161</v>
      </c>
      <c r="D763" t="s">
        <v>3185</v>
      </c>
      <c r="E763" t="s">
        <v>3193</v>
      </c>
      <c r="F763" t="str">
        <f>VLOOKUP(A763,Base!$A:$F,6,FALSE)</f>
        <v>COMÉRCIO; REPARAÇÃO DE VEÍCULOS AUTOMOTORES E MOTOCICLETAS</v>
      </c>
      <c r="G763" t="str">
        <f>VLOOKUP(B763,Base!$B:$F,5,FALSE)</f>
        <v>COMÉRCIO POR ATACADO, EXCETO VEÍCULOS AUTOMOTORES E MOTOCICLETAS</v>
      </c>
      <c r="H763" t="str">
        <f>VLOOKUP(C763,Base!$C:$F,4,FALSE)</f>
        <v>Comércio atacadista de produtos de consumo não alimentar</v>
      </c>
      <c r="I763" t="str">
        <f>VLOOKUP(D763,Base!$D:$F,3,FALSE)</f>
        <v>Comércio atacadista de equipamentos e artigos de uso pessoal e doméstico não especificados anteriormente</v>
      </c>
      <c r="J763" t="str">
        <f>VLOOKUP(E763,Base!$E:$F,2,FALSE)</f>
        <v>Comércio atacadista de produtos de higiene, limpeza e conservação domiciliar</v>
      </c>
      <c r="K763" t="s">
        <v>3193</v>
      </c>
      <c r="L763">
        <f>IFERROR(VLOOKUP($K763,Base_Atividades!$E$1:$N$2398,MATCH(BancoAjustado!L$1,Base_Atividades!$E$1:$N$1,0),FALSE),0)</f>
        <v>0</v>
      </c>
      <c r="M763">
        <f>IFERROR(VLOOKUP($K763,Base_Atividades!$E$1:$N$2398,MATCH(BancoAjustado!M$1,Base_Atividades!$E$1:$N$1,0),FALSE),0)</f>
        <v>0</v>
      </c>
      <c r="N763">
        <f>IFERROR(VLOOKUP($K763,Base_Atividades!$E$1:$N$2398,MATCH(BancoAjustado!N$1,Base_Atividades!$E$1:$N$1,0),FALSE),0)</f>
        <v>0</v>
      </c>
    </row>
    <row r="764" spans="1:14" x14ac:dyDescent="0.25">
      <c r="A764" t="s">
        <v>3043</v>
      </c>
      <c r="B764" t="s">
        <v>3086</v>
      </c>
      <c r="C764" t="s">
        <v>3161</v>
      </c>
      <c r="D764" t="s">
        <v>3185</v>
      </c>
      <c r="E764" t="s">
        <v>3194</v>
      </c>
      <c r="F764" t="str">
        <f>VLOOKUP(A764,Base!$A:$F,6,FALSE)</f>
        <v>COMÉRCIO; REPARAÇÃO DE VEÍCULOS AUTOMOTORES E MOTOCICLETAS</v>
      </c>
      <c r="G764" t="str">
        <f>VLOOKUP(B764,Base!$B:$F,5,FALSE)</f>
        <v>COMÉRCIO POR ATACADO, EXCETO VEÍCULOS AUTOMOTORES E MOTOCICLETAS</v>
      </c>
      <c r="H764" t="str">
        <f>VLOOKUP(C764,Base!$C:$F,4,FALSE)</f>
        <v>Comércio atacadista de produtos de consumo não alimentar</v>
      </c>
      <c r="I764" t="str">
        <f>VLOOKUP(D764,Base!$D:$F,3,FALSE)</f>
        <v>Comércio atacadista de equipamentos e artigos de uso pessoal e doméstico não especificados anteriormente</v>
      </c>
      <c r="J764" t="str">
        <f>VLOOKUP(E764,Base!$E:$F,2,FALSE)</f>
        <v>Comércio atacadista de produtos de higiene, limpeza e conservação domiciliar, com atividade de fracionamento e acondicionamento associada</v>
      </c>
      <c r="K764" t="s">
        <v>3194</v>
      </c>
      <c r="L764">
        <f>IFERROR(VLOOKUP($K764,Base_Atividades!$E$1:$N$2398,MATCH(BancoAjustado!L$1,Base_Atividades!$E$1:$N$1,0),FALSE),0)</f>
        <v>0</v>
      </c>
      <c r="M764">
        <f>IFERROR(VLOOKUP($K764,Base_Atividades!$E$1:$N$2398,MATCH(BancoAjustado!M$1,Base_Atividades!$E$1:$N$1,0),FALSE),0)</f>
        <v>0</v>
      </c>
      <c r="N764">
        <f>IFERROR(VLOOKUP($K764,Base_Atividades!$E$1:$N$2398,MATCH(BancoAjustado!N$1,Base_Atividades!$E$1:$N$1,0),FALSE),0)</f>
        <v>0</v>
      </c>
    </row>
    <row r="765" spans="1:14" x14ac:dyDescent="0.25">
      <c r="A765" t="s">
        <v>3043</v>
      </c>
      <c r="B765" t="s">
        <v>3086</v>
      </c>
      <c r="C765" t="s">
        <v>3161</v>
      </c>
      <c r="D765" t="s">
        <v>3185</v>
      </c>
      <c r="E765" t="s">
        <v>3195</v>
      </c>
      <c r="F765" t="str">
        <f>VLOOKUP(A765,Base!$A:$F,6,FALSE)</f>
        <v>COMÉRCIO; REPARAÇÃO DE VEÍCULOS AUTOMOTORES E MOTOCICLETAS</v>
      </c>
      <c r="G765" t="str">
        <f>VLOOKUP(B765,Base!$B:$F,5,FALSE)</f>
        <v>COMÉRCIO POR ATACADO, EXCETO VEÍCULOS AUTOMOTORES E MOTOCICLETAS</v>
      </c>
      <c r="H765" t="str">
        <f>VLOOKUP(C765,Base!$C:$F,4,FALSE)</f>
        <v>Comércio atacadista de produtos de consumo não alimentar</v>
      </c>
      <c r="I765" t="str">
        <f>VLOOKUP(D765,Base!$D:$F,3,FALSE)</f>
        <v>Comércio atacadista de equipamentos e artigos de uso pessoal e doméstico não especificados anteriormente</v>
      </c>
      <c r="J765" t="str">
        <f>VLOOKUP(E765,Base!$E:$F,2,FALSE)</f>
        <v>Comércio atacadista de jóias, relógios e bijuterias, inclusive pedras preciosas e semipreciosas lapidadas</v>
      </c>
      <c r="K765" t="s">
        <v>3195</v>
      </c>
      <c r="L765">
        <f>IFERROR(VLOOKUP($K765,Base_Atividades!$E$1:$N$2398,MATCH(BancoAjustado!L$1,Base_Atividades!$E$1:$N$1,0),FALSE),0)</f>
        <v>0</v>
      </c>
      <c r="M765">
        <f>IFERROR(VLOOKUP($K765,Base_Atividades!$E$1:$N$2398,MATCH(BancoAjustado!M$1,Base_Atividades!$E$1:$N$1,0),FALSE),0)</f>
        <v>0</v>
      </c>
      <c r="N765">
        <f>IFERROR(VLOOKUP($K765,Base_Atividades!$E$1:$N$2398,MATCH(BancoAjustado!N$1,Base_Atividades!$E$1:$N$1,0),FALSE),0)</f>
        <v>0</v>
      </c>
    </row>
    <row r="766" spans="1:14" x14ac:dyDescent="0.25">
      <c r="A766" t="s">
        <v>3043</v>
      </c>
      <c r="B766" t="s">
        <v>3086</v>
      </c>
      <c r="C766" t="s">
        <v>3161</v>
      </c>
      <c r="D766" t="s">
        <v>3185</v>
      </c>
      <c r="E766" t="s">
        <v>3196</v>
      </c>
      <c r="F766" t="str">
        <f>VLOOKUP(A766,Base!$A:$F,6,FALSE)</f>
        <v>COMÉRCIO; REPARAÇÃO DE VEÍCULOS AUTOMOTORES E MOTOCICLETAS</v>
      </c>
      <c r="G766" t="str">
        <f>VLOOKUP(B766,Base!$B:$F,5,FALSE)</f>
        <v>COMÉRCIO POR ATACADO, EXCETO VEÍCULOS AUTOMOTORES E MOTOCICLETAS</v>
      </c>
      <c r="H766" t="str">
        <f>VLOOKUP(C766,Base!$C:$F,4,FALSE)</f>
        <v>Comércio atacadista de produtos de consumo não alimentar</v>
      </c>
      <c r="I766" t="str">
        <f>VLOOKUP(D766,Base!$D:$F,3,FALSE)</f>
        <v>Comércio atacadista de equipamentos e artigos de uso pessoal e doméstico não especificados anteriormente</v>
      </c>
      <c r="J766" t="str">
        <f>VLOOKUP(E766,Base!$E:$F,2,FALSE)</f>
        <v>Comércio atacadista de outros equipamentos e artigos de uso pessoal e doméstico não especificados anteriormente</v>
      </c>
      <c r="K766" t="s">
        <v>3196</v>
      </c>
      <c r="L766">
        <f>IFERROR(VLOOKUP($K766,Base_Atividades!$E$1:$N$2398,MATCH(BancoAjustado!L$1,Base_Atividades!$E$1:$N$1,0),FALSE),0)</f>
        <v>0</v>
      </c>
      <c r="M766">
        <f>IFERROR(VLOOKUP($K766,Base_Atividades!$E$1:$N$2398,MATCH(BancoAjustado!M$1,Base_Atividades!$E$1:$N$1,0),FALSE),0)</f>
        <v>0</v>
      </c>
      <c r="N766">
        <f>IFERROR(VLOOKUP($K766,Base_Atividades!$E$1:$N$2398,MATCH(BancoAjustado!N$1,Base_Atividades!$E$1:$N$1,0),FALSE),0)</f>
        <v>0</v>
      </c>
    </row>
    <row r="767" spans="1:14" x14ac:dyDescent="0.25">
      <c r="A767" t="s">
        <v>3043</v>
      </c>
      <c r="B767" t="s">
        <v>3086</v>
      </c>
      <c r="C767" t="s">
        <v>3197</v>
      </c>
      <c r="D767" t="s">
        <v>3198</v>
      </c>
      <c r="E767" t="s">
        <v>3199</v>
      </c>
      <c r="F767" t="str">
        <f>VLOOKUP(A767,Base!$A:$F,6,FALSE)</f>
        <v>COMÉRCIO; REPARAÇÃO DE VEÍCULOS AUTOMOTORES E MOTOCICLETAS</v>
      </c>
      <c r="G767" t="str">
        <f>VLOOKUP(B767,Base!$B:$F,5,FALSE)</f>
        <v>COMÉRCIO POR ATACADO, EXCETO VEÍCULOS AUTOMOTORES E MOTOCICLETAS</v>
      </c>
      <c r="H767" t="str">
        <f>VLOOKUP(C767,Base!$C:$F,4,FALSE)</f>
        <v>Comércio atacadista de equipamentos e produtos de tecnologias de informação e comunicação</v>
      </c>
      <c r="I767" t="str">
        <f>VLOOKUP(D767,Base!$D:$F,3,FALSE)</f>
        <v>Comércio atacadista de computadores, periféricos e suprimentos de informática</v>
      </c>
      <c r="J767" t="str">
        <f>VLOOKUP(E767,Base!$E:$F,2,FALSE)</f>
        <v>Comércio atacadista de equipamentos de informática</v>
      </c>
      <c r="K767" t="s">
        <v>3199</v>
      </c>
      <c r="L767">
        <f>IFERROR(VLOOKUP($K767,Base_Atividades!$E$1:$N$2398,MATCH(BancoAjustado!L$1,Base_Atividades!$E$1:$N$1,0),FALSE),0)</f>
        <v>0</v>
      </c>
      <c r="M767">
        <f>IFERROR(VLOOKUP($K767,Base_Atividades!$E$1:$N$2398,MATCH(BancoAjustado!M$1,Base_Atividades!$E$1:$N$1,0),FALSE),0)</f>
        <v>0</v>
      </c>
      <c r="N767">
        <f>IFERROR(VLOOKUP($K767,Base_Atividades!$E$1:$N$2398,MATCH(BancoAjustado!N$1,Base_Atividades!$E$1:$N$1,0),FALSE),0)</f>
        <v>0</v>
      </c>
    </row>
    <row r="768" spans="1:14" x14ac:dyDescent="0.25">
      <c r="A768" t="s">
        <v>3043</v>
      </c>
      <c r="B768" t="s">
        <v>3086</v>
      </c>
      <c r="C768" t="s">
        <v>3197</v>
      </c>
      <c r="D768" t="s">
        <v>3198</v>
      </c>
      <c r="E768" t="s">
        <v>3200</v>
      </c>
      <c r="F768" t="str">
        <f>VLOOKUP(A768,Base!$A:$F,6,FALSE)</f>
        <v>COMÉRCIO; REPARAÇÃO DE VEÍCULOS AUTOMOTORES E MOTOCICLETAS</v>
      </c>
      <c r="G768" t="str">
        <f>VLOOKUP(B768,Base!$B:$F,5,FALSE)</f>
        <v>COMÉRCIO POR ATACADO, EXCETO VEÍCULOS AUTOMOTORES E MOTOCICLETAS</v>
      </c>
      <c r="H768" t="str">
        <f>VLOOKUP(C768,Base!$C:$F,4,FALSE)</f>
        <v>Comércio atacadista de equipamentos e produtos de tecnologias de informação e comunicação</v>
      </c>
      <c r="I768" t="str">
        <f>VLOOKUP(D768,Base!$D:$F,3,FALSE)</f>
        <v>Comércio atacadista de computadores, periféricos e suprimentos de informática</v>
      </c>
      <c r="J768" t="str">
        <f>VLOOKUP(E768,Base!$E:$F,2,FALSE)</f>
        <v>Comércio atacadista de suprimentos para informática</v>
      </c>
      <c r="K768" t="s">
        <v>3200</v>
      </c>
      <c r="L768">
        <f>IFERROR(VLOOKUP($K768,Base_Atividades!$E$1:$N$2398,MATCH(BancoAjustado!L$1,Base_Atividades!$E$1:$N$1,0),FALSE),0)</f>
        <v>0</v>
      </c>
      <c r="M768">
        <f>IFERROR(VLOOKUP($K768,Base_Atividades!$E$1:$N$2398,MATCH(BancoAjustado!M$1,Base_Atividades!$E$1:$N$1,0),FALSE),0)</f>
        <v>0</v>
      </c>
      <c r="N768">
        <f>IFERROR(VLOOKUP($K768,Base_Atividades!$E$1:$N$2398,MATCH(BancoAjustado!N$1,Base_Atividades!$E$1:$N$1,0),FALSE),0)</f>
        <v>0</v>
      </c>
    </row>
    <row r="769" spans="1:14" x14ac:dyDescent="0.25">
      <c r="A769" t="s">
        <v>3043</v>
      </c>
      <c r="B769" t="s">
        <v>3086</v>
      </c>
      <c r="C769" t="s">
        <v>3197</v>
      </c>
      <c r="D769" t="s">
        <v>3201</v>
      </c>
      <c r="E769" t="s">
        <v>3202</v>
      </c>
      <c r="F769" t="str">
        <f>VLOOKUP(A769,Base!$A:$F,6,FALSE)</f>
        <v>COMÉRCIO; REPARAÇÃO DE VEÍCULOS AUTOMOTORES E MOTOCICLETAS</v>
      </c>
      <c r="G769" t="str">
        <f>VLOOKUP(B769,Base!$B:$F,5,FALSE)</f>
        <v>COMÉRCIO POR ATACADO, EXCETO VEÍCULOS AUTOMOTORES E MOTOCICLETAS</v>
      </c>
      <c r="H769" t="str">
        <f>VLOOKUP(C769,Base!$C:$F,4,FALSE)</f>
        <v>Comércio atacadista de equipamentos e produtos de tecnologias de informação e comunicação</v>
      </c>
      <c r="I769" t="str">
        <f>VLOOKUP(D769,Base!$D:$F,3,FALSE)</f>
        <v>Comércio atacadista de componentes eletrônicos e equipamentos de telefonia e comunicação</v>
      </c>
      <c r="J769" t="str">
        <f>VLOOKUP(E769,Base!$E:$F,2,FALSE)</f>
        <v>Comércio atacadista de componentes eletrônicos e equipamentos de telefonia e comunicação</v>
      </c>
      <c r="K769" t="s">
        <v>3202</v>
      </c>
      <c r="L769">
        <f>IFERROR(VLOOKUP($K769,Base_Atividades!$E$1:$N$2398,MATCH(BancoAjustado!L$1,Base_Atividades!$E$1:$N$1,0),FALSE),0)</f>
        <v>0</v>
      </c>
      <c r="M769">
        <f>IFERROR(VLOOKUP($K769,Base_Atividades!$E$1:$N$2398,MATCH(BancoAjustado!M$1,Base_Atividades!$E$1:$N$1,0),FALSE),0)</f>
        <v>0</v>
      </c>
      <c r="N769">
        <f>IFERROR(VLOOKUP($K769,Base_Atividades!$E$1:$N$2398,MATCH(BancoAjustado!N$1,Base_Atividades!$E$1:$N$1,0),FALSE),0)</f>
        <v>0</v>
      </c>
    </row>
    <row r="770" spans="1:14" x14ac:dyDescent="0.25">
      <c r="A770" t="s">
        <v>3043</v>
      </c>
      <c r="B770" t="s">
        <v>3086</v>
      </c>
      <c r="C770" t="s">
        <v>3203</v>
      </c>
      <c r="D770" t="s">
        <v>3204</v>
      </c>
      <c r="E770" t="s">
        <v>3205</v>
      </c>
      <c r="F770" t="str">
        <f>VLOOKUP(A770,Base!$A:$F,6,FALSE)</f>
        <v>COMÉRCIO; REPARAÇÃO DE VEÍCULOS AUTOMOTORES E MOTOCICLETAS</v>
      </c>
      <c r="G770" t="str">
        <f>VLOOKUP(B770,Base!$B:$F,5,FALSE)</f>
        <v>COMÉRCIO POR ATACADO, EXCETO VEÍCULOS AUTOMOTORES E MOTOCICLETAS</v>
      </c>
      <c r="H770" t="str">
        <f>VLOOKUP(C770,Base!$C:$F,4,FALSE)</f>
        <v>Comércio atacadista de máquinas, aparelhos e equipamentos, exceto de tecnologias de informação e comunicação</v>
      </c>
      <c r="I770" t="str">
        <f>VLOOKUP(D770,Base!$D:$F,3,FALSE)</f>
        <v>Comércio atacadista de máquinas, aparelhos e equipamentos para uso agropecuário; partes e peças</v>
      </c>
      <c r="J770" t="str">
        <f>VLOOKUP(E770,Base!$E:$F,2,FALSE)</f>
        <v>Comércio atacadista de máquinas, aparelhos e equipamentos para uso agropecuário; partes e peças</v>
      </c>
      <c r="K770" t="s">
        <v>3205</v>
      </c>
      <c r="L770">
        <f>IFERROR(VLOOKUP($K770,Base_Atividades!$E$1:$N$2398,MATCH(BancoAjustado!L$1,Base_Atividades!$E$1:$N$1,0),FALSE),0)</f>
        <v>0</v>
      </c>
      <c r="M770">
        <f>IFERROR(VLOOKUP($K770,Base_Atividades!$E$1:$N$2398,MATCH(BancoAjustado!M$1,Base_Atividades!$E$1:$N$1,0),FALSE),0)</f>
        <v>0</v>
      </c>
      <c r="N770">
        <f>IFERROR(VLOOKUP($K770,Base_Atividades!$E$1:$N$2398,MATCH(BancoAjustado!N$1,Base_Atividades!$E$1:$N$1,0),FALSE),0)</f>
        <v>0</v>
      </c>
    </row>
    <row r="771" spans="1:14" x14ac:dyDescent="0.25">
      <c r="A771" t="s">
        <v>3043</v>
      </c>
      <c r="B771" t="s">
        <v>3086</v>
      </c>
      <c r="C771" t="s">
        <v>3203</v>
      </c>
      <c r="D771" t="s">
        <v>3206</v>
      </c>
      <c r="E771" t="s">
        <v>3207</v>
      </c>
      <c r="F771" t="str">
        <f>VLOOKUP(A771,Base!$A:$F,6,FALSE)</f>
        <v>COMÉRCIO; REPARAÇÃO DE VEÍCULOS AUTOMOTORES E MOTOCICLETAS</v>
      </c>
      <c r="G771" t="str">
        <f>VLOOKUP(B771,Base!$B:$F,5,FALSE)</f>
        <v>COMÉRCIO POR ATACADO, EXCETO VEÍCULOS AUTOMOTORES E MOTOCICLETAS</v>
      </c>
      <c r="H771" t="str">
        <f>VLOOKUP(C771,Base!$C:$F,4,FALSE)</f>
        <v>Comércio atacadista de máquinas, aparelhos e equipamentos, exceto de tecnologias de informação e comunicação</v>
      </c>
      <c r="I771" t="str">
        <f>VLOOKUP(D771,Base!$D:$F,3,FALSE)</f>
        <v>Comércio atacadista de máquinas, equipamentos para terraplenagem, mineração e construção; partes e peças</v>
      </c>
      <c r="J771" t="str">
        <f>VLOOKUP(E771,Base!$E:$F,2,FALSE)</f>
        <v>Comércio atacadista de máquinas, equipamentos para terraplenagem, mineração e construção; partes e peças</v>
      </c>
      <c r="K771" t="s">
        <v>3207</v>
      </c>
      <c r="L771">
        <f>IFERROR(VLOOKUP($K771,Base_Atividades!$E$1:$N$2398,MATCH(BancoAjustado!L$1,Base_Atividades!$E$1:$N$1,0),FALSE),0)</f>
        <v>0</v>
      </c>
      <c r="M771">
        <f>IFERROR(VLOOKUP($K771,Base_Atividades!$E$1:$N$2398,MATCH(BancoAjustado!M$1,Base_Atividades!$E$1:$N$1,0),FALSE),0)</f>
        <v>0</v>
      </c>
      <c r="N771">
        <f>IFERROR(VLOOKUP($K771,Base_Atividades!$E$1:$N$2398,MATCH(BancoAjustado!N$1,Base_Atividades!$E$1:$N$1,0),FALSE),0)</f>
        <v>0</v>
      </c>
    </row>
    <row r="772" spans="1:14" x14ac:dyDescent="0.25">
      <c r="A772" t="s">
        <v>3043</v>
      </c>
      <c r="B772" t="s">
        <v>3086</v>
      </c>
      <c r="C772" t="s">
        <v>3203</v>
      </c>
      <c r="D772" t="s">
        <v>3208</v>
      </c>
      <c r="E772" t="s">
        <v>3209</v>
      </c>
      <c r="F772" t="str">
        <f>VLOOKUP(A772,Base!$A:$F,6,FALSE)</f>
        <v>COMÉRCIO; REPARAÇÃO DE VEÍCULOS AUTOMOTORES E MOTOCICLETAS</v>
      </c>
      <c r="G772" t="str">
        <f>VLOOKUP(B772,Base!$B:$F,5,FALSE)</f>
        <v>COMÉRCIO POR ATACADO, EXCETO VEÍCULOS AUTOMOTORES E MOTOCICLETAS</v>
      </c>
      <c r="H772" t="str">
        <f>VLOOKUP(C772,Base!$C:$F,4,FALSE)</f>
        <v>Comércio atacadista de máquinas, aparelhos e equipamentos, exceto de tecnologias de informação e comunicação</v>
      </c>
      <c r="I772" t="str">
        <f>VLOOKUP(D772,Base!$D:$F,3,FALSE)</f>
        <v>Comércio atacadista de máquinas e equipamentos para uso industrial; partes e peças</v>
      </c>
      <c r="J772" t="str">
        <f>VLOOKUP(E772,Base!$E:$F,2,FALSE)</f>
        <v>Comércio atacadista de máquinas e equipamentos para uso industrial; partes e peças</v>
      </c>
      <c r="K772" t="s">
        <v>3209</v>
      </c>
      <c r="L772">
        <f>IFERROR(VLOOKUP($K772,Base_Atividades!$E$1:$N$2398,MATCH(BancoAjustado!L$1,Base_Atividades!$E$1:$N$1,0),FALSE),0)</f>
        <v>0</v>
      </c>
      <c r="M772">
        <f>IFERROR(VLOOKUP($K772,Base_Atividades!$E$1:$N$2398,MATCH(BancoAjustado!M$1,Base_Atividades!$E$1:$N$1,0),FALSE),0)</f>
        <v>0</v>
      </c>
      <c r="N772">
        <f>IFERROR(VLOOKUP($K772,Base_Atividades!$E$1:$N$2398,MATCH(BancoAjustado!N$1,Base_Atividades!$E$1:$N$1,0),FALSE),0)</f>
        <v>0</v>
      </c>
    </row>
    <row r="773" spans="1:14" x14ac:dyDescent="0.25">
      <c r="A773" t="s">
        <v>3043</v>
      </c>
      <c r="B773" t="s">
        <v>3086</v>
      </c>
      <c r="C773" t="s">
        <v>3203</v>
      </c>
      <c r="D773" t="s">
        <v>3210</v>
      </c>
      <c r="E773" t="s">
        <v>3211</v>
      </c>
      <c r="F773" t="str">
        <f>VLOOKUP(A773,Base!$A:$F,6,FALSE)</f>
        <v>COMÉRCIO; REPARAÇÃO DE VEÍCULOS AUTOMOTORES E MOTOCICLETAS</v>
      </c>
      <c r="G773" t="str">
        <f>VLOOKUP(B773,Base!$B:$F,5,FALSE)</f>
        <v>COMÉRCIO POR ATACADO, EXCETO VEÍCULOS AUTOMOTORES E MOTOCICLETAS</v>
      </c>
      <c r="H773" t="str">
        <f>VLOOKUP(C773,Base!$C:$F,4,FALSE)</f>
        <v>Comércio atacadista de máquinas, aparelhos e equipamentos, exceto de tecnologias de informação e comunicação</v>
      </c>
      <c r="I773" t="str">
        <f>VLOOKUP(D773,Base!$D:$F,3,FALSE)</f>
        <v>Comércio atacadista de máquinas, aparelhos e equipamentos para uso odonto-médico-hospitalar; partes e peças</v>
      </c>
      <c r="J773" t="str">
        <f>VLOOKUP(E773,Base!$E:$F,2,FALSE)</f>
        <v>Comércio atacadista de máquinas, aparelhos e equipamentos para uso odonto-médico-hospitalar; partes e peças</v>
      </c>
      <c r="K773" t="s">
        <v>3211</v>
      </c>
      <c r="L773">
        <f>IFERROR(VLOOKUP($K773,Base_Atividades!$E$1:$N$2398,MATCH(BancoAjustado!L$1,Base_Atividades!$E$1:$N$1,0),FALSE),0)</f>
        <v>0</v>
      </c>
      <c r="M773">
        <f>IFERROR(VLOOKUP($K773,Base_Atividades!$E$1:$N$2398,MATCH(BancoAjustado!M$1,Base_Atividades!$E$1:$N$1,0),FALSE),0)</f>
        <v>0</v>
      </c>
      <c r="N773">
        <f>IFERROR(VLOOKUP($K773,Base_Atividades!$E$1:$N$2398,MATCH(BancoAjustado!N$1,Base_Atividades!$E$1:$N$1,0),FALSE),0)</f>
        <v>0</v>
      </c>
    </row>
    <row r="774" spans="1:14" x14ac:dyDescent="0.25">
      <c r="A774" t="s">
        <v>3043</v>
      </c>
      <c r="B774" t="s">
        <v>3086</v>
      </c>
      <c r="C774" t="s">
        <v>3203</v>
      </c>
      <c r="D774" t="s">
        <v>3212</v>
      </c>
      <c r="E774" t="s">
        <v>3213</v>
      </c>
      <c r="F774" t="str">
        <f>VLOOKUP(A774,Base!$A:$F,6,FALSE)</f>
        <v>COMÉRCIO; REPARAÇÃO DE VEÍCULOS AUTOMOTORES E MOTOCICLETAS</v>
      </c>
      <c r="G774" t="str">
        <f>VLOOKUP(B774,Base!$B:$F,5,FALSE)</f>
        <v>COMÉRCIO POR ATACADO, EXCETO VEÍCULOS AUTOMOTORES E MOTOCICLETAS</v>
      </c>
      <c r="H774" t="str">
        <f>VLOOKUP(C774,Base!$C:$F,4,FALSE)</f>
        <v>Comércio atacadista de máquinas, aparelhos e equipamentos, exceto de tecnologias de informação e comunicação</v>
      </c>
      <c r="I774" t="str">
        <f>VLOOKUP(D774,Base!$D:$F,3,FALSE)</f>
        <v>Comércio atacadista de máquinas e equipamentos para uso comercial; partes e peças</v>
      </c>
      <c r="J774" t="str">
        <f>VLOOKUP(E774,Base!$E:$F,2,FALSE)</f>
        <v>Comércio atacadista de máquinas e equipamentos para uso comercial; partes e peças</v>
      </c>
      <c r="K774" t="s">
        <v>3213</v>
      </c>
      <c r="L774">
        <f>IFERROR(VLOOKUP($K774,Base_Atividades!$E$1:$N$2398,MATCH(BancoAjustado!L$1,Base_Atividades!$E$1:$N$1,0),FALSE),0)</f>
        <v>0</v>
      </c>
      <c r="M774">
        <f>IFERROR(VLOOKUP($K774,Base_Atividades!$E$1:$N$2398,MATCH(BancoAjustado!M$1,Base_Atividades!$E$1:$N$1,0),FALSE),0)</f>
        <v>0</v>
      </c>
      <c r="N774">
        <f>IFERROR(VLOOKUP($K774,Base_Atividades!$E$1:$N$2398,MATCH(BancoAjustado!N$1,Base_Atividades!$E$1:$N$1,0),FALSE),0)</f>
        <v>0</v>
      </c>
    </row>
    <row r="775" spans="1:14" x14ac:dyDescent="0.25">
      <c r="A775" t="s">
        <v>3043</v>
      </c>
      <c r="B775" t="s">
        <v>3086</v>
      </c>
      <c r="C775" t="s">
        <v>3203</v>
      </c>
      <c r="D775" t="s">
        <v>3214</v>
      </c>
      <c r="E775" t="s">
        <v>3215</v>
      </c>
      <c r="F775" t="str">
        <f>VLOOKUP(A775,Base!$A:$F,6,FALSE)</f>
        <v>COMÉRCIO; REPARAÇÃO DE VEÍCULOS AUTOMOTORES E MOTOCICLETAS</v>
      </c>
      <c r="G775" t="str">
        <f>VLOOKUP(B775,Base!$B:$F,5,FALSE)</f>
        <v>COMÉRCIO POR ATACADO, EXCETO VEÍCULOS AUTOMOTORES E MOTOCICLETAS</v>
      </c>
      <c r="H775" t="str">
        <f>VLOOKUP(C775,Base!$C:$F,4,FALSE)</f>
        <v>Comércio atacadista de máquinas, aparelhos e equipamentos, exceto de tecnologias de informação e comunicação</v>
      </c>
      <c r="I775" t="str">
        <f>VLOOKUP(D775,Base!$D:$F,3,FALSE)</f>
        <v>Comércio atacadista de máquinas, aparelhos e equipamentos não especificados anteriormente; partes e peças</v>
      </c>
      <c r="J775" t="str">
        <f>VLOOKUP(E775,Base!$E:$F,2,FALSE)</f>
        <v>Comércio atacadista de bombas e compressores; partes e peças</v>
      </c>
      <c r="K775" t="s">
        <v>3215</v>
      </c>
      <c r="L775">
        <f>IFERROR(VLOOKUP($K775,Base_Atividades!$E$1:$N$2398,MATCH(BancoAjustado!L$1,Base_Atividades!$E$1:$N$1,0),FALSE),0)</f>
        <v>0</v>
      </c>
      <c r="M775">
        <f>IFERROR(VLOOKUP($K775,Base_Atividades!$E$1:$N$2398,MATCH(BancoAjustado!M$1,Base_Atividades!$E$1:$N$1,0),FALSE),0)</f>
        <v>0</v>
      </c>
      <c r="N775">
        <f>IFERROR(VLOOKUP($K775,Base_Atividades!$E$1:$N$2398,MATCH(BancoAjustado!N$1,Base_Atividades!$E$1:$N$1,0),FALSE),0)</f>
        <v>0</v>
      </c>
    </row>
    <row r="776" spans="1:14" x14ac:dyDescent="0.25">
      <c r="A776" t="s">
        <v>3043</v>
      </c>
      <c r="B776" t="s">
        <v>3086</v>
      </c>
      <c r="C776" t="s">
        <v>3203</v>
      </c>
      <c r="D776" t="s">
        <v>3214</v>
      </c>
      <c r="E776" t="s">
        <v>3216</v>
      </c>
      <c r="F776" t="str">
        <f>VLOOKUP(A776,Base!$A:$F,6,FALSE)</f>
        <v>COMÉRCIO; REPARAÇÃO DE VEÍCULOS AUTOMOTORES E MOTOCICLETAS</v>
      </c>
      <c r="G776" t="str">
        <f>VLOOKUP(B776,Base!$B:$F,5,FALSE)</f>
        <v>COMÉRCIO POR ATACADO, EXCETO VEÍCULOS AUTOMOTORES E MOTOCICLETAS</v>
      </c>
      <c r="H776" t="str">
        <f>VLOOKUP(C776,Base!$C:$F,4,FALSE)</f>
        <v>Comércio atacadista de máquinas, aparelhos e equipamentos, exceto de tecnologias de informação e comunicação</v>
      </c>
      <c r="I776" t="str">
        <f>VLOOKUP(D776,Base!$D:$F,3,FALSE)</f>
        <v>Comércio atacadista de máquinas, aparelhos e equipamentos não especificados anteriormente; partes e peças</v>
      </c>
      <c r="J776" t="str">
        <f>VLOOKUP(E776,Base!$E:$F,2,FALSE)</f>
        <v>Comércio atacadista de outras máquinas e equipamentos não especificados anteriormente; partes e peças</v>
      </c>
      <c r="K776" t="s">
        <v>3216</v>
      </c>
      <c r="L776">
        <f>IFERROR(VLOOKUP($K776,Base_Atividades!$E$1:$N$2398,MATCH(BancoAjustado!L$1,Base_Atividades!$E$1:$N$1,0),FALSE),0)</f>
        <v>0</v>
      </c>
      <c r="M776">
        <f>IFERROR(VLOOKUP($K776,Base_Atividades!$E$1:$N$2398,MATCH(BancoAjustado!M$1,Base_Atividades!$E$1:$N$1,0),FALSE),0)</f>
        <v>0</v>
      </c>
      <c r="N776">
        <f>IFERROR(VLOOKUP($K776,Base_Atividades!$E$1:$N$2398,MATCH(BancoAjustado!N$1,Base_Atividades!$E$1:$N$1,0),FALSE),0)</f>
        <v>0</v>
      </c>
    </row>
    <row r="777" spans="1:14" x14ac:dyDescent="0.25">
      <c r="A777" t="s">
        <v>3043</v>
      </c>
      <c r="B777" t="s">
        <v>3086</v>
      </c>
      <c r="C777" t="s">
        <v>3217</v>
      </c>
      <c r="D777" t="s">
        <v>3218</v>
      </c>
      <c r="E777" t="s">
        <v>3219</v>
      </c>
      <c r="F777" t="str">
        <f>VLOOKUP(A777,Base!$A:$F,6,FALSE)</f>
        <v>COMÉRCIO; REPARAÇÃO DE VEÍCULOS AUTOMOTORES E MOTOCICLETAS</v>
      </c>
      <c r="G777" t="str">
        <f>VLOOKUP(B777,Base!$B:$F,5,FALSE)</f>
        <v>COMÉRCIO POR ATACADO, EXCETO VEÍCULOS AUTOMOTORES E MOTOCICLETAS</v>
      </c>
      <c r="H777" t="str">
        <f>VLOOKUP(C777,Base!$C:$F,4,FALSE)</f>
        <v>Comércio atacadista de madeira, ferragens, ferramentas, material elétrico e material de construção</v>
      </c>
      <c r="I777" t="str">
        <f>VLOOKUP(D777,Base!$D:$F,3,FALSE)</f>
        <v>Comércio atacadista de madeira e produtos derivados</v>
      </c>
      <c r="J777" t="str">
        <f>VLOOKUP(E777,Base!$E:$F,2,FALSE)</f>
        <v>Comércio atacadista de madeira e produtos derivados</v>
      </c>
      <c r="K777" t="s">
        <v>3219</v>
      </c>
      <c r="L777">
        <f>IFERROR(VLOOKUP($K777,Base_Atividades!$E$1:$N$2398,MATCH(BancoAjustado!L$1,Base_Atividades!$E$1:$N$1,0),FALSE),0)</f>
        <v>0</v>
      </c>
      <c r="M777">
        <f>IFERROR(VLOOKUP($K777,Base_Atividades!$E$1:$N$2398,MATCH(BancoAjustado!M$1,Base_Atividades!$E$1:$N$1,0),FALSE),0)</f>
        <v>0</v>
      </c>
      <c r="N777">
        <f>IFERROR(VLOOKUP($K777,Base_Atividades!$E$1:$N$2398,MATCH(BancoAjustado!N$1,Base_Atividades!$E$1:$N$1,0),FALSE),0)</f>
        <v>0</v>
      </c>
    </row>
    <row r="778" spans="1:14" x14ac:dyDescent="0.25">
      <c r="A778" t="s">
        <v>3043</v>
      </c>
      <c r="B778" t="s">
        <v>3086</v>
      </c>
      <c r="C778" t="s">
        <v>3217</v>
      </c>
      <c r="D778" t="s">
        <v>3220</v>
      </c>
      <c r="E778" t="s">
        <v>3221</v>
      </c>
      <c r="F778" t="str">
        <f>VLOOKUP(A778,Base!$A:$F,6,FALSE)</f>
        <v>COMÉRCIO; REPARAÇÃO DE VEÍCULOS AUTOMOTORES E MOTOCICLETAS</v>
      </c>
      <c r="G778" t="str">
        <f>VLOOKUP(B778,Base!$B:$F,5,FALSE)</f>
        <v>COMÉRCIO POR ATACADO, EXCETO VEÍCULOS AUTOMOTORES E MOTOCICLETAS</v>
      </c>
      <c r="H778" t="str">
        <f>VLOOKUP(C778,Base!$C:$F,4,FALSE)</f>
        <v>Comércio atacadista de madeira, ferragens, ferramentas, material elétrico e material de construção</v>
      </c>
      <c r="I778" t="str">
        <f>VLOOKUP(D778,Base!$D:$F,3,FALSE)</f>
        <v>Comércio atacadista de ferragens e ferramentas</v>
      </c>
      <c r="J778" t="str">
        <f>VLOOKUP(E778,Base!$E:$F,2,FALSE)</f>
        <v>Comércio atacadista de ferragens e ferramentas</v>
      </c>
      <c r="K778" t="s">
        <v>3221</v>
      </c>
      <c r="L778">
        <f>IFERROR(VLOOKUP($K778,Base_Atividades!$E$1:$N$2398,MATCH(BancoAjustado!L$1,Base_Atividades!$E$1:$N$1,0),FALSE),0)</f>
        <v>0</v>
      </c>
      <c r="M778">
        <f>IFERROR(VLOOKUP($K778,Base_Atividades!$E$1:$N$2398,MATCH(BancoAjustado!M$1,Base_Atividades!$E$1:$N$1,0),FALSE),0)</f>
        <v>0</v>
      </c>
      <c r="N778">
        <f>IFERROR(VLOOKUP($K778,Base_Atividades!$E$1:$N$2398,MATCH(BancoAjustado!N$1,Base_Atividades!$E$1:$N$1,0),FALSE),0)</f>
        <v>0</v>
      </c>
    </row>
    <row r="779" spans="1:14" x14ac:dyDescent="0.25">
      <c r="A779" t="s">
        <v>3043</v>
      </c>
      <c r="B779" t="s">
        <v>3086</v>
      </c>
      <c r="C779" t="s">
        <v>3217</v>
      </c>
      <c r="D779" t="s">
        <v>3222</v>
      </c>
      <c r="E779" t="s">
        <v>3223</v>
      </c>
      <c r="F779" t="str">
        <f>VLOOKUP(A779,Base!$A:$F,6,FALSE)</f>
        <v>COMÉRCIO; REPARAÇÃO DE VEÍCULOS AUTOMOTORES E MOTOCICLETAS</v>
      </c>
      <c r="G779" t="str">
        <f>VLOOKUP(B779,Base!$B:$F,5,FALSE)</f>
        <v>COMÉRCIO POR ATACADO, EXCETO VEÍCULOS AUTOMOTORES E MOTOCICLETAS</v>
      </c>
      <c r="H779" t="str">
        <f>VLOOKUP(C779,Base!$C:$F,4,FALSE)</f>
        <v>Comércio atacadista de madeira, ferragens, ferramentas, material elétrico e material de construção</v>
      </c>
      <c r="I779" t="str">
        <f>VLOOKUP(D779,Base!$D:$F,3,FALSE)</f>
        <v>Comércio atacadista de material elétrico</v>
      </c>
      <c r="J779" t="str">
        <f>VLOOKUP(E779,Base!$E:$F,2,FALSE)</f>
        <v>Comércio atacadista de material elétrico</v>
      </c>
      <c r="K779" t="s">
        <v>3223</v>
      </c>
      <c r="L779">
        <f>IFERROR(VLOOKUP($K779,Base_Atividades!$E$1:$N$2398,MATCH(BancoAjustado!L$1,Base_Atividades!$E$1:$N$1,0),FALSE),0)</f>
        <v>0</v>
      </c>
      <c r="M779">
        <f>IFERROR(VLOOKUP($K779,Base_Atividades!$E$1:$N$2398,MATCH(BancoAjustado!M$1,Base_Atividades!$E$1:$N$1,0),FALSE),0)</f>
        <v>0</v>
      </c>
      <c r="N779">
        <f>IFERROR(VLOOKUP($K779,Base_Atividades!$E$1:$N$2398,MATCH(BancoAjustado!N$1,Base_Atividades!$E$1:$N$1,0),FALSE),0)</f>
        <v>0</v>
      </c>
    </row>
    <row r="780" spans="1:14" x14ac:dyDescent="0.25">
      <c r="A780" t="s">
        <v>3043</v>
      </c>
      <c r="B780" t="s">
        <v>3086</v>
      </c>
      <c r="C780" t="s">
        <v>3217</v>
      </c>
      <c r="D780" t="s">
        <v>3224</v>
      </c>
      <c r="E780" t="s">
        <v>3225</v>
      </c>
      <c r="F780" t="str">
        <f>VLOOKUP(A780,Base!$A:$F,6,FALSE)</f>
        <v>COMÉRCIO; REPARAÇÃO DE VEÍCULOS AUTOMOTORES E MOTOCICLETAS</v>
      </c>
      <c r="G780" t="str">
        <f>VLOOKUP(B780,Base!$B:$F,5,FALSE)</f>
        <v>COMÉRCIO POR ATACADO, EXCETO VEÍCULOS AUTOMOTORES E MOTOCICLETAS</v>
      </c>
      <c r="H780" t="str">
        <f>VLOOKUP(C780,Base!$C:$F,4,FALSE)</f>
        <v>Comércio atacadista de madeira, ferragens, ferramentas, material elétrico e material de construção</v>
      </c>
      <c r="I780" t="str">
        <f>VLOOKUP(D780,Base!$D:$F,3,FALSE)</f>
        <v>Comércio atacadista de cimento</v>
      </c>
      <c r="J780" t="str">
        <f>VLOOKUP(E780,Base!$E:$F,2,FALSE)</f>
        <v>Comércio atacadista de cimento</v>
      </c>
      <c r="K780" t="s">
        <v>3225</v>
      </c>
      <c r="L780">
        <f>IFERROR(VLOOKUP($K780,Base_Atividades!$E$1:$N$2398,MATCH(BancoAjustado!L$1,Base_Atividades!$E$1:$N$1,0),FALSE),0)</f>
        <v>0</v>
      </c>
      <c r="M780">
        <f>IFERROR(VLOOKUP($K780,Base_Atividades!$E$1:$N$2398,MATCH(BancoAjustado!M$1,Base_Atividades!$E$1:$N$1,0),FALSE),0)</f>
        <v>0</v>
      </c>
      <c r="N780">
        <f>IFERROR(VLOOKUP($K780,Base_Atividades!$E$1:$N$2398,MATCH(BancoAjustado!N$1,Base_Atividades!$E$1:$N$1,0),FALSE),0)</f>
        <v>0</v>
      </c>
    </row>
    <row r="781" spans="1:14" x14ac:dyDescent="0.25">
      <c r="A781" t="s">
        <v>3043</v>
      </c>
      <c r="B781" t="s">
        <v>3086</v>
      </c>
      <c r="C781" t="s">
        <v>3217</v>
      </c>
      <c r="D781" t="s">
        <v>3226</v>
      </c>
      <c r="E781" t="s">
        <v>3227</v>
      </c>
      <c r="F781" t="str">
        <f>VLOOKUP(A781,Base!$A:$F,6,FALSE)</f>
        <v>COMÉRCIO; REPARAÇÃO DE VEÍCULOS AUTOMOTORES E MOTOCICLETAS</v>
      </c>
      <c r="G781" t="str">
        <f>VLOOKUP(B781,Base!$B:$F,5,FALSE)</f>
        <v>COMÉRCIO POR ATACADO, EXCETO VEÍCULOS AUTOMOTORES E MOTOCICLETAS</v>
      </c>
      <c r="H781" t="str">
        <f>VLOOKUP(C781,Base!$C:$F,4,FALSE)</f>
        <v>Comércio atacadista de madeira, ferragens, ferramentas, material elétrico e material de construção</v>
      </c>
      <c r="I781" t="str">
        <f>VLOOKUP(D781,Base!$D:$F,3,FALSE)</f>
        <v>Comércio atacadista especializado de materiais de construção não especificados anteriormente e de materiais de construção em geral</v>
      </c>
      <c r="J781" t="str">
        <f>VLOOKUP(E781,Base!$E:$F,2,FALSE)</f>
        <v>Comércio atacadista de tintas, vernizes e similares</v>
      </c>
      <c r="K781" t="s">
        <v>3227</v>
      </c>
      <c r="L781">
        <f>IFERROR(VLOOKUP($K781,Base_Atividades!$E$1:$N$2398,MATCH(BancoAjustado!L$1,Base_Atividades!$E$1:$N$1,0),FALSE),0)</f>
        <v>0</v>
      </c>
      <c r="M781">
        <f>IFERROR(VLOOKUP($K781,Base_Atividades!$E$1:$N$2398,MATCH(BancoAjustado!M$1,Base_Atividades!$E$1:$N$1,0),FALSE),0)</f>
        <v>0</v>
      </c>
      <c r="N781">
        <f>IFERROR(VLOOKUP($K781,Base_Atividades!$E$1:$N$2398,MATCH(BancoAjustado!N$1,Base_Atividades!$E$1:$N$1,0),FALSE),0)</f>
        <v>0</v>
      </c>
    </row>
    <row r="782" spans="1:14" x14ac:dyDescent="0.25">
      <c r="A782" t="s">
        <v>3043</v>
      </c>
      <c r="B782" t="s">
        <v>3086</v>
      </c>
      <c r="C782" t="s">
        <v>3217</v>
      </c>
      <c r="D782" t="s">
        <v>3226</v>
      </c>
      <c r="E782" t="s">
        <v>3228</v>
      </c>
      <c r="F782" t="str">
        <f>VLOOKUP(A782,Base!$A:$F,6,FALSE)</f>
        <v>COMÉRCIO; REPARAÇÃO DE VEÍCULOS AUTOMOTORES E MOTOCICLETAS</v>
      </c>
      <c r="G782" t="str">
        <f>VLOOKUP(B782,Base!$B:$F,5,FALSE)</f>
        <v>COMÉRCIO POR ATACADO, EXCETO VEÍCULOS AUTOMOTORES E MOTOCICLETAS</v>
      </c>
      <c r="H782" t="str">
        <f>VLOOKUP(C782,Base!$C:$F,4,FALSE)</f>
        <v>Comércio atacadista de madeira, ferragens, ferramentas, material elétrico e material de construção</v>
      </c>
      <c r="I782" t="str">
        <f>VLOOKUP(D782,Base!$D:$F,3,FALSE)</f>
        <v>Comércio atacadista especializado de materiais de construção não especificados anteriormente e de materiais de construção em geral</v>
      </c>
      <c r="J782" t="str">
        <f>VLOOKUP(E782,Base!$E:$F,2,FALSE)</f>
        <v>Comércio atacadista de mármores e granitos</v>
      </c>
      <c r="K782" t="s">
        <v>3228</v>
      </c>
      <c r="L782">
        <f>IFERROR(VLOOKUP($K782,Base_Atividades!$E$1:$N$2398,MATCH(BancoAjustado!L$1,Base_Atividades!$E$1:$N$1,0),FALSE),0)</f>
        <v>0</v>
      </c>
      <c r="M782">
        <f>IFERROR(VLOOKUP($K782,Base_Atividades!$E$1:$N$2398,MATCH(BancoAjustado!M$1,Base_Atividades!$E$1:$N$1,0),FALSE),0)</f>
        <v>0</v>
      </c>
      <c r="N782">
        <f>IFERROR(VLOOKUP($K782,Base_Atividades!$E$1:$N$2398,MATCH(BancoAjustado!N$1,Base_Atividades!$E$1:$N$1,0),FALSE),0)</f>
        <v>0</v>
      </c>
    </row>
    <row r="783" spans="1:14" x14ac:dyDescent="0.25">
      <c r="A783" t="s">
        <v>3043</v>
      </c>
      <c r="B783" t="s">
        <v>3086</v>
      </c>
      <c r="C783" t="s">
        <v>3217</v>
      </c>
      <c r="D783" t="s">
        <v>3226</v>
      </c>
      <c r="E783" t="s">
        <v>3229</v>
      </c>
      <c r="F783" t="str">
        <f>VLOOKUP(A783,Base!$A:$F,6,FALSE)</f>
        <v>COMÉRCIO; REPARAÇÃO DE VEÍCULOS AUTOMOTORES E MOTOCICLETAS</v>
      </c>
      <c r="G783" t="str">
        <f>VLOOKUP(B783,Base!$B:$F,5,FALSE)</f>
        <v>COMÉRCIO POR ATACADO, EXCETO VEÍCULOS AUTOMOTORES E MOTOCICLETAS</v>
      </c>
      <c r="H783" t="str">
        <f>VLOOKUP(C783,Base!$C:$F,4,FALSE)</f>
        <v>Comércio atacadista de madeira, ferragens, ferramentas, material elétrico e material de construção</v>
      </c>
      <c r="I783" t="str">
        <f>VLOOKUP(D783,Base!$D:$F,3,FALSE)</f>
        <v>Comércio atacadista especializado de materiais de construção não especificados anteriormente e de materiais de construção em geral</v>
      </c>
      <c r="J783" t="str">
        <f>VLOOKUP(E783,Base!$E:$F,2,FALSE)</f>
        <v>Comércio atacadista de vidros, espelhos e vitrais</v>
      </c>
      <c r="K783" t="s">
        <v>3229</v>
      </c>
      <c r="L783">
        <f>IFERROR(VLOOKUP($K783,Base_Atividades!$E$1:$N$2398,MATCH(BancoAjustado!L$1,Base_Atividades!$E$1:$N$1,0),FALSE),0)</f>
        <v>0</v>
      </c>
      <c r="M783">
        <f>IFERROR(VLOOKUP($K783,Base_Atividades!$E$1:$N$2398,MATCH(BancoAjustado!M$1,Base_Atividades!$E$1:$N$1,0),FALSE),0)</f>
        <v>0</v>
      </c>
      <c r="N783">
        <f>IFERROR(VLOOKUP($K783,Base_Atividades!$E$1:$N$2398,MATCH(BancoAjustado!N$1,Base_Atividades!$E$1:$N$1,0),FALSE),0)</f>
        <v>0</v>
      </c>
    </row>
    <row r="784" spans="1:14" x14ac:dyDescent="0.25">
      <c r="A784" t="s">
        <v>3043</v>
      </c>
      <c r="B784" t="s">
        <v>3086</v>
      </c>
      <c r="C784" t="s">
        <v>3217</v>
      </c>
      <c r="D784" t="s">
        <v>3226</v>
      </c>
      <c r="E784" t="s">
        <v>3230</v>
      </c>
      <c r="F784" t="str">
        <f>VLOOKUP(A784,Base!$A:$F,6,FALSE)</f>
        <v>COMÉRCIO; REPARAÇÃO DE VEÍCULOS AUTOMOTORES E MOTOCICLETAS</v>
      </c>
      <c r="G784" t="str">
        <f>VLOOKUP(B784,Base!$B:$F,5,FALSE)</f>
        <v>COMÉRCIO POR ATACADO, EXCETO VEÍCULOS AUTOMOTORES E MOTOCICLETAS</v>
      </c>
      <c r="H784" t="str">
        <f>VLOOKUP(C784,Base!$C:$F,4,FALSE)</f>
        <v>Comércio atacadista de madeira, ferragens, ferramentas, material elétrico e material de construção</v>
      </c>
      <c r="I784" t="str">
        <f>VLOOKUP(D784,Base!$D:$F,3,FALSE)</f>
        <v>Comércio atacadista especializado de materiais de construção não especificados anteriormente e de materiais de construção em geral</v>
      </c>
      <c r="J784" t="str">
        <f>VLOOKUP(E784,Base!$E:$F,2,FALSE)</f>
        <v>Comércio atacadista especializado de materiais de construção não especificados anteriormente</v>
      </c>
      <c r="K784" t="s">
        <v>3230</v>
      </c>
      <c r="L784">
        <f>IFERROR(VLOOKUP($K784,Base_Atividades!$E$1:$N$2398,MATCH(BancoAjustado!L$1,Base_Atividades!$E$1:$N$1,0),FALSE),0)</f>
        <v>0</v>
      </c>
      <c r="M784">
        <f>IFERROR(VLOOKUP($K784,Base_Atividades!$E$1:$N$2398,MATCH(BancoAjustado!M$1,Base_Atividades!$E$1:$N$1,0),FALSE),0)</f>
        <v>0</v>
      </c>
      <c r="N784">
        <f>IFERROR(VLOOKUP($K784,Base_Atividades!$E$1:$N$2398,MATCH(BancoAjustado!N$1,Base_Atividades!$E$1:$N$1,0),FALSE),0)</f>
        <v>0</v>
      </c>
    </row>
    <row r="785" spans="1:14" x14ac:dyDescent="0.25">
      <c r="A785" t="s">
        <v>3043</v>
      </c>
      <c r="B785" t="s">
        <v>3086</v>
      </c>
      <c r="C785" t="s">
        <v>3217</v>
      </c>
      <c r="D785" t="s">
        <v>3226</v>
      </c>
      <c r="E785" t="s">
        <v>3231</v>
      </c>
      <c r="F785" t="str">
        <f>VLOOKUP(A785,Base!$A:$F,6,FALSE)</f>
        <v>COMÉRCIO; REPARAÇÃO DE VEÍCULOS AUTOMOTORES E MOTOCICLETAS</v>
      </c>
      <c r="G785" t="str">
        <f>VLOOKUP(B785,Base!$B:$F,5,FALSE)</f>
        <v>COMÉRCIO POR ATACADO, EXCETO VEÍCULOS AUTOMOTORES E MOTOCICLETAS</v>
      </c>
      <c r="H785" t="str">
        <f>VLOOKUP(C785,Base!$C:$F,4,FALSE)</f>
        <v>Comércio atacadista de madeira, ferragens, ferramentas, material elétrico e material de construção</v>
      </c>
      <c r="I785" t="str">
        <f>VLOOKUP(D785,Base!$D:$F,3,FALSE)</f>
        <v>Comércio atacadista especializado de materiais de construção não especificados anteriormente e de materiais de construção em geral</v>
      </c>
      <c r="J785" t="str">
        <f>VLOOKUP(E785,Base!$E:$F,2,FALSE)</f>
        <v>Comércio atacadista de materiais de construção em geral</v>
      </c>
      <c r="K785" t="s">
        <v>3231</v>
      </c>
      <c r="L785">
        <f>IFERROR(VLOOKUP($K785,Base_Atividades!$E$1:$N$2398,MATCH(BancoAjustado!L$1,Base_Atividades!$E$1:$N$1,0),FALSE),0)</f>
        <v>0</v>
      </c>
      <c r="M785">
        <f>IFERROR(VLOOKUP($K785,Base_Atividades!$E$1:$N$2398,MATCH(BancoAjustado!M$1,Base_Atividades!$E$1:$N$1,0),FALSE),0)</f>
        <v>0</v>
      </c>
      <c r="N785">
        <f>IFERROR(VLOOKUP($K785,Base_Atividades!$E$1:$N$2398,MATCH(BancoAjustado!N$1,Base_Atividades!$E$1:$N$1,0),FALSE),0)</f>
        <v>0</v>
      </c>
    </row>
    <row r="786" spans="1:14" x14ac:dyDescent="0.25">
      <c r="A786" t="s">
        <v>3043</v>
      </c>
      <c r="B786" t="s">
        <v>3086</v>
      </c>
      <c r="C786" t="s">
        <v>3232</v>
      </c>
      <c r="D786" t="s">
        <v>3233</v>
      </c>
      <c r="E786" t="s">
        <v>3234</v>
      </c>
      <c r="F786" t="str">
        <f>VLOOKUP(A786,Base!$A:$F,6,FALSE)</f>
        <v>COMÉRCIO; REPARAÇÃO DE VEÍCULOS AUTOMOTORES E MOTOCICLETAS</v>
      </c>
      <c r="G786" t="str">
        <f>VLOOKUP(B786,Base!$B:$F,5,FALSE)</f>
        <v>COMÉRCIO POR ATACADO, EXCETO VEÍCULOS AUTOMOTORES E MOTOCICLETAS</v>
      </c>
      <c r="H786" t="str">
        <f>VLOOKUP(C786,Base!$C:$F,4,FALSE)</f>
        <v>Comércio atacadista especializado em outros produtos</v>
      </c>
      <c r="I786" t="str">
        <f>VLOOKUP(D786,Base!$D:$F,3,FALSE)</f>
        <v>Comércio atacadista de combustíveis sólidos, líquidos e gasosos, exceto gás natural e GLP</v>
      </c>
      <c r="J786" t="str">
        <f>VLOOKUP(E786,Base!$E:$F,2,FALSE)</f>
        <v>Comércio atacadista de álcool carburante, biodiesel, gasolina e demais derivados de petróleo, exceto lubrificantes, não realizado por transportador retalhista (TRR)</v>
      </c>
      <c r="K786" t="s">
        <v>3234</v>
      </c>
      <c r="L786">
        <f>IFERROR(VLOOKUP($K786,Base_Atividades!$E$1:$N$2398,MATCH(BancoAjustado!L$1,Base_Atividades!$E$1:$N$1,0),FALSE),0)</f>
        <v>0</v>
      </c>
      <c r="M786">
        <f>IFERROR(VLOOKUP($K786,Base_Atividades!$E$1:$N$2398,MATCH(BancoAjustado!M$1,Base_Atividades!$E$1:$N$1,0),FALSE),0)</f>
        <v>0</v>
      </c>
      <c r="N786">
        <f>IFERROR(VLOOKUP($K786,Base_Atividades!$E$1:$N$2398,MATCH(BancoAjustado!N$1,Base_Atividades!$E$1:$N$1,0),FALSE),0)</f>
        <v>0</v>
      </c>
    </row>
    <row r="787" spans="1:14" x14ac:dyDescent="0.25">
      <c r="A787" t="s">
        <v>3043</v>
      </c>
      <c r="B787" t="s">
        <v>3086</v>
      </c>
      <c r="C787" t="s">
        <v>3232</v>
      </c>
      <c r="D787" t="s">
        <v>3233</v>
      </c>
      <c r="E787" t="s">
        <v>3235</v>
      </c>
      <c r="F787" t="str">
        <f>VLOOKUP(A787,Base!$A:$F,6,FALSE)</f>
        <v>COMÉRCIO; REPARAÇÃO DE VEÍCULOS AUTOMOTORES E MOTOCICLETAS</v>
      </c>
      <c r="G787" t="str">
        <f>VLOOKUP(B787,Base!$B:$F,5,FALSE)</f>
        <v>COMÉRCIO POR ATACADO, EXCETO VEÍCULOS AUTOMOTORES E MOTOCICLETAS</v>
      </c>
      <c r="H787" t="str">
        <f>VLOOKUP(C787,Base!$C:$F,4,FALSE)</f>
        <v>Comércio atacadista especializado em outros produtos</v>
      </c>
      <c r="I787" t="str">
        <f>VLOOKUP(D787,Base!$D:$F,3,FALSE)</f>
        <v>Comércio atacadista de combustíveis sólidos, líquidos e gasosos, exceto gás natural e GLP</v>
      </c>
      <c r="J787" t="str">
        <f>VLOOKUP(E787,Base!$E:$F,2,FALSE)</f>
        <v>Comércio atacadista de combustíveis realizado por transportador retalhista (TRR)</v>
      </c>
      <c r="K787" t="s">
        <v>3235</v>
      </c>
      <c r="L787">
        <f>IFERROR(VLOOKUP($K787,Base_Atividades!$E$1:$N$2398,MATCH(BancoAjustado!L$1,Base_Atividades!$E$1:$N$1,0),FALSE),0)</f>
        <v>0</v>
      </c>
      <c r="M787">
        <f>IFERROR(VLOOKUP($K787,Base_Atividades!$E$1:$N$2398,MATCH(BancoAjustado!M$1,Base_Atividades!$E$1:$N$1,0),FALSE),0)</f>
        <v>0</v>
      </c>
      <c r="N787">
        <f>IFERROR(VLOOKUP($K787,Base_Atividades!$E$1:$N$2398,MATCH(BancoAjustado!N$1,Base_Atividades!$E$1:$N$1,0),FALSE),0)</f>
        <v>0</v>
      </c>
    </row>
    <row r="788" spans="1:14" x14ac:dyDescent="0.25">
      <c r="A788" t="s">
        <v>3043</v>
      </c>
      <c r="B788" t="s">
        <v>3086</v>
      </c>
      <c r="C788" t="s">
        <v>3232</v>
      </c>
      <c r="D788" t="s">
        <v>3233</v>
      </c>
      <c r="E788" t="s">
        <v>3236</v>
      </c>
      <c r="F788" t="str">
        <f>VLOOKUP(A788,Base!$A:$F,6,FALSE)</f>
        <v>COMÉRCIO; REPARAÇÃO DE VEÍCULOS AUTOMOTORES E MOTOCICLETAS</v>
      </c>
      <c r="G788" t="str">
        <f>VLOOKUP(B788,Base!$B:$F,5,FALSE)</f>
        <v>COMÉRCIO POR ATACADO, EXCETO VEÍCULOS AUTOMOTORES E MOTOCICLETAS</v>
      </c>
      <c r="H788" t="str">
        <f>VLOOKUP(C788,Base!$C:$F,4,FALSE)</f>
        <v>Comércio atacadista especializado em outros produtos</v>
      </c>
      <c r="I788" t="str">
        <f>VLOOKUP(D788,Base!$D:$F,3,FALSE)</f>
        <v>Comércio atacadista de combustíveis sólidos, líquidos e gasosos, exceto gás natural e GLP</v>
      </c>
      <c r="J788" t="str">
        <f>VLOOKUP(E788,Base!$E:$F,2,FALSE)</f>
        <v>Comércio atacadista de combustíveis de origem vegetal, exceto álcool carburante</v>
      </c>
      <c r="K788" t="s">
        <v>3236</v>
      </c>
      <c r="L788">
        <f>IFERROR(VLOOKUP($K788,Base_Atividades!$E$1:$N$2398,MATCH(BancoAjustado!L$1,Base_Atividades!$E$1:$N$1,0),FALSE),0)</f>
        <v>0</v>
      </c>
      <c r="M788">
        <f>IFERROR(VLOOKUP($K788,Base_Atividades!$E$1:$N$2398,MATCH(BancoAjustado!M$1,Base_Atividades!$E$1:$N$1,0),FALSE),0)</f>
        <v>0</v>
      </c>
      <c r="N788">
        <f>IFERROR(VLOOKUP($K788,Base_Atividades!$E$1:$N$2398,MATCH(BancoAjustado!N$1,Base_Atividades!$E$1:$N$1,0),FALSE),0)</f>
        <v>0</v>
      </c>
    </row>
    <row r="789" spans="1:14" x14ac:dyDescent="0.25">
      <c r="A789" t="s">
        <v>3043</v>
      </c>
      <c r="B789" t="s">
        <v>3086</v>
      </c>
      <c r="C789" t="s">
        <v>3232</v>
      </c>
      <c r="D789" t="s">
        <v>3233</v>
      </c>
      <c r="E789" t="s">
        <v>3237</v>
      </c>
      <c r="F789" t="str">
        <f>VLOOKUP(A789,Base!$A:$F,6,FALSE)</f>
        <v>COMÉRCIO; REPARAÇÃO DE VEÍCULOS AUTOMOTORES E MOTOCICLETAS</v>
      </c>
      <c r="G789" t="str">
        <f>VLOOKUP(B789,Base!$B:$F,5,FALSE)</f>
        <v>COMÉRCIO POR ATACADO, EXCETO VEÍCULOS AUTOMOTORES E MOTOCICLETAS</v>
      </c>
      <c r="H789" t="str">
        <f>VLOOKUP(C789,Base!$C:$F,4,FALSE)</f>
        <v>Comércio atacadista especializado em outros produtos</v>
      </c>
      <c r="I789" t="str">
        <f>VLOOKUP(D789,Base!$D:$F,3,FALSE)</f>
        <v>Comércio atacadista de combustíveis sólidos, líquidos e gasosos, exceto gás natural e GLP</v>
      </c>
      <c r="J789" t="str">
        <f>VLOOKUP(E789,Base!$E:$F,2,FALSE)</f>
        <v>Comércio atacadista de combustíveis de origem mineral em bruto</v>
      </c>
      <c r="K789" t="s">
        <v>3237</v>
      </c>
      <c r="L789">
        <f>IFERROR(VLOOKUP($K789,Base_Atividades!$E$1:$N$2398,MATCH(BancoAjustado!L$1,Base_Atividades!$E$1:$N$1,0),FALSE),0)</f>
        <v>0</v>
      </c>
      <c r="M789">
        <f>IFERROR(VLOOKUP($K789,Base_Atividades!$E$1:$N$2398,MATCH(BancoAjustado!M$1,Base_Atividades!$E$1:$N$1,0),FALSE),0)</f>
        <v>0</v>
      </c>
      <c r="N789">
        <f>IFERROR(VLOOKUP($K789,Base_Atividades!$E$1:$N$2398,MATCH(BancoAjustado!N$1,Base_Atividades!$E$1:$N$1,0),FALSE),0)</f>
        <v>0</v>
      </c>
    </row>
    <row r="790" spans="1:14" x14ac:dyDescent="0.25">
      <c r="A790" t="s">
        <v>3043</v>
      </c>
      <c r="B790" t="s">
        <v>3086</v>
      </c>
      <c r="C790" t="s">
        <v>3232</v>
      </c>
      <c r="D790" t="s">
        <v>3233</v>
      </c>
      <c r="E790" t="s">
        <v>3238</v>
      </c>
      <c r="F790" t="str">
        <f>VLOOKUP(A790,Base!$A:$F,6,FALSE)</f>
        <v>COMÉRCIO; REPARAÇÃO DE VEÍCULOS AUTOMOTORES E MOTOCICLETAS</v>
      </c>
      <c r="G790" t="str">
        <f>VLOOKUP(B790,Base!$B:$F,5,FALSE)</f>
        <v>COMÉRCIO POR ATACADO, EXCETO VEÍCULOS AUTOMOTORES E MOTOCICLETAS</v>
      </c>
      <c r="H790" t="str">
        <f>VLOOKUP(C790,Base!$C:$F,4,FALSE)</f>
        <v>Comércio atacadista especializado em outros produtos</v>
      </c>
      <c r="I790" t="str">
        <f>VLOOKUP(D790,Base!$D:$F,3,FALSE)</f>
        <v>Comércio atacadista de combustíveis sólidos, líquidos e gasosos, exceto gás natural e GLP</v>
      </c>
      <c r="J790" t="str">
        <f>VLOOKUP(E790,Base!$E:$F,2,FALSE)</f>
        <v>Comércio atacadista de lubrificantes</v>
      </c>
      <c r="K790" t="s">
        <v>3238</v>
      </c>
      <c r="L790">
        <f>IFERROR(VLOOKUP($K790,Base_Atividades!$E$1:$N$2398,MATCH(BancoAjustado!L$1,Base_Atividades!$E$1:$N$1,0),FALSE),0)</f>
        <v>0</v>
      </c>
      <c r="M790">
        <f>IFERROR(VLOOKUP($K790,Base_Atividades!$E$1:$N$2398,MATCH(BancoAjustado!M$1,Base_Atividades!$E$1:$N$1,0),FALSE),0)</f>
        <v>0</v>
      </c>
      <c r="N790">
        <f>IFERROR(VLOOKUP($K790,Base_Atividades!$E$1:$N$2398,MATCH(BancoAjustado!N$1,Base_Atividades!$E$1:$N$1,0),FALSE),0)</f>
        <v>0</v>
      </c>
    </row>
    <row r="791" spans="1:14" x14ac:dyDescent="0.25">
      <c r="A791" t="s">
        <v>3043</v>
      </c>
      <c r="B791" t="s">
        <v>3086</v>
      </c>
      <c r="C791" t="s">
        <v>3232</v>
      </c>
      <c r="D791" t="s">
        <v>3239</v>
      </c>
      <c r="E791" t="s">
        <v>3240</v>
      </c>
      <c r="F791" t="str">
        <f>VLOOKUP(A791,Base!$A:$F,6,FALSE)</f>
        <v>COMÉRCIO; REPARAÇÃO DE VEÍCULOS AUTOMOTORES E MOTOCICLETAS</v>
      </c>
      <c r="G791" t="str">
        <f>VLOOKUP(B791,Base!$B:$F,5,FALSE)</f>
        <v>COMÉRCIO POR ATACADO, EXCETO VEÍCULOS AUTOMOTORES E MOTOCICLETAS</v>
      </c>
      <c r="H791" t="str">
        <f>VLOOKUP(C791,Base!$C:$F,4,FALSE)</f>
        <v>Comércio atacadista especializado em outros produtos</v>
      </c>
      <c r="I791" t="str">
        <f>VLOOKUP(D791,Base!$D:$F,3,FALSE)</f>
        <v>Comércio atacadista de gás liquefeito de petróleo (GLP)</v>
      </c>
      <c r="J791" t="str">
        <f>VLOOKUP(E791,Base!$E:$F,2,FALSE)</f>
        <v>Comércio atacadista de gás liquefeito de petróleo (GLP)</v>
      </c>
      <c r="K791" t="s">
        <v>3240</v>
      </c>
      <c r="L791">
        <f>IFERROR(VLOOKUP($K791,Base_Atividades!$E$1:$N$2398,MATCH(BancoAjustado!L$1,Base_Atividades!$E$1:$N$1,0),FALSE),0)</f>
        <v>0</v>
      </c>
      <c r="M791">
        <f>IFERROR(VLOOKUP($K791,Base_Atividades!$E$1:$N$2398,MATCH(BancoAjustado!M$1,Base_Atividades!$E$1:$N$1,0),FALSE),0)</f>
        <v>0</v>
      </c>
      <c r="N791">
        <f>IFERROR(VLOOKUP($K791,Base_Atividades!$E$1:$N$2398,MATCH(BancoAjustado!N$1,Base_Atividades!$E$1:$N$1,0),FALSE),0)</f>
        <v>0</v>
      </c>
    </row>
    <row r="792" spans="1:14" x14ac:dyDescent="0.25">
      <c r="A792" t="s">
        <v>3043</v>
      </c>
      <c r="B792" t="s">
        <v>3086</v>
      </c>
      <c r="C792" t="s">
        <v>3232</v>
      </c>
      <c r="D792" t="s">
        <v>3241</v>
      </c>
      <c r="E792" t="s">
        <v>3242</v>
      </c>
      <c r="F792" t="str">
        <f>VLOOKUP(A792,Base!$A:$F,6,FALSE)</f>
        <v>COMÉRCIO; REPARAÇÃO DE VEÍCULOS AUTOMOTORES E MOTOCICLETAS</v>
      </c>
      <c r="G792" t="str">
        <f>VLOOKUP(B792,Base!$B:$F,5,FALSE)</f>
        <v>COMÉRCIO POR ATACADO, EXCETO VEÍCULOS AUTOMOTORES E MOTOCICLETAS</v>
      </c>
      <c r="H792" t="str">
        <f>VLOOKUP(C792,Base!$C:$F,4,FALSE)</f>
        <v>Comércio atacadista especializado em outros produtos</v>
      </c>
      <c r="I792" t="str">
        <f>VLOOKUP(D792,Base!$D:$F,3,FALSE)</f>
        <v>Comércio atacadista de defensivos agrícolas, adubos, fertilizantes e corretivos do solo</v>
      </c>
      <c r="J792" t="str">
        <f>VLOOKUP(E792,Base!$E:$F,2,FALSE)</f>
        <v>Comércio atacadista de defensivos agrícolas, adubos, fertilizantes e corretivos do solo</v>
      </c>
      <c r="K792" t="s">
        <v>3242</v>
      </c>
      <c r="L792">
        <f>IFERROR(VLOOKUP($K792,Base_Atividades!$E$1:$N$2398,MATCH(BancoAjustado!L$1,Base_Atividades!$E$1:$N$1,0),FALSE),0)</f>
        <v>0</v>
      </c>
      <c r="M792">
        <f>IFERROR(VLOOKUP($K792,Base_Atividades!$E$1:$N$2398,MATCH(BancoAjustado!M$1,Base_Atividades!$E$1:$N$1,0),FALSE),0)</f>
        <v>0</v>
      </c>
      <c r="N792">
        <f>IFERROR(VLOOKUP($K792,Base_Atividades!$E$1:$N$2398,MATCH(BancoAjustado!N$1,Base_Atividades!$E$1:$N$1,0),FALSE),0)</f>
        <v>0</v>
      </c>
    </row>
    <row r="793" spans="1:14" x14ac:dyDescent="0.25">
      <c r="A793" t="s">
        <v>3043</v>
      </c>
      <c r="B793" t="s">
        <v>3086</v>
      </c>
      <c r="C793" t="s">
        <v>3232</v>
      </c>
      <c r="D793" t="s">
        <v>3243</v>
      </c>
      <c r="E793" t="s">
        <v>3244</v>
      </c>
      <c r="F793" t="str">
        <f>VLOOKUP(A793,Base!$A:$F,6,FALSE)</f>
        <v>COMÉRCIO; REPARAÇÃO DE VEÍCULOS AUTOMOTORES E MOTOCICLETAS</v>
      </c>
      <c r="G793" t="str">
        <f>VLOOKUP(B793,Base!$B:$F,5,FALSE)</f>
        <v>COMÉRCIO POR ATACADO, EXCETO VEÍCULOS AUTOMOTORES E MOTOCICLETAS</v>
      </c>
      <c r="H793" t="str">
        <f>VLOOKUP(C793,Base!$C:$F,4,FALSE)</f>
        <v>Comércio atacadista especializado em outros produtos</v>
      </c>
      <c r="I793" t="str">
        <f>VLOOKUP(D793,Base!$D:$F,3,FALSE)</f>
        <v>Comércio atacadista de produtos químicos e petroquímicos, exceto agroquímicos</v>
      </c>
      <c r="J793" t="str">
        <f>VLOOKUP(E793,Base!$E:$F,2,FALSE)</f>
        <v>Comércio atacadista de resinas e elastômeros</v>
      </c>
      <c r="K793" t="s">
        <v>3244</v>
      </c>
      <c r="L793">
        <f>IFERROR(VLOOKUP($K793,Base_Atividades!$E$1:$N$2398,MATCH(BancoAjustado!L$1,Base_Atividades!$E$1:$N$1,0),FALSE),0)</f>
        <v>0</v>
      </c>
      <c r="M793">
        <f>IFERROR(VLOOKUP($K793,Base_Atividades!$E$1:$N$2398,MATCH(BancoAjustado!M$1,Base_Atividades!$E$1:$N$1,0),FALSE),0)</f>
        <v>0</v>
      </c>
      <c r="N793">
        <f>IFERROR(VLOOKUP($K793,Base_Atividades!$E$1:$N$2398,MATCH(BancoAjustado!N$1,Base_Atividades!$E$1:$N$1,0),FALSE),0)</f>
        <v>0</v>
      </c>
    </row>
    <row r="794" spans="1:14" x14ac:dyDescent="0.25">
      <c r="A794" t="s">
        <v>3043</v>
      </c>
      <c r="B794" t="s">
        <v>3086</v>
      </c>
      <c r="C794" t="s">
        <v>3232</v>
      </c>
      <c r="D794" t="s">
        <v>3243</v>
      </c>
      <c r="E794" t="s">
        <v>3245</v>
      </c>
      <c r="F794" t="str">
        <f>VLOOKUP(A794,Base!$A:$F,6,FALSE)</f>
        <v>COMÉRCIO; REPARAÇÃO DE VEÍCULOS AUTOMOTORES E MOTOCICLETAS</v>
      </c>
      <c r="G794" t="str">
        <f>VLOOKUP(B794,Base!$B:$F,5,FALSE)</f>
        <v>COMÉRCIO POR ATACADO, EXCETO VEÍCULOS AUTOMOTORES E MOTOCICLETAS</v>
      </c>
      <c r="H794" t="str">
        <f>VLOOKUP(C794,Base!$C:$F,4,FALSE)</f>
        <v>Comércio atacadista especializado em outros produtos</v>
      </c>
      <c r="I794" t="str">
        <f>VLOOKUP(D794,Base!$D:$F,3,FALSE)</f>
        <v>Comércio atacadista de produtos químicos e petroquímicos, exceto agroquímicos</v>
      </c>
      <c r="J794" t="str">
        <f>VLOOKUP(E794,Base!$E:$F,2,FALSE)</f>
        <v>Comércio atacadista de solventes</v>
      </c>
      <c r="K794" t="s">
        <v>3245</v>
      </c>
      <c r="L794">
        <f>IFERROR(VLOOKUP($K794,Base_Atividades!$E$1:$N$2398,MATCH(BancoAjustado!L$1,Base_Atividades!$E$1:$N$1,0),FALSE),0)</f>
        <v>0</v>
      </c>
      <c r="M794">
        <f>IFERROR(VLOOKUP($K794,Base_Atividades!$E$1:$N$2398,MATCH(BancoAjustado!M$1,Base_Atividades!$E$1:$N$1,0),FALSE),0)</f>
        <v>0</v>
      </c>
      <c r="N794">
        <f>IFERROR(VLOOKUP($K794,Base_Atividades!$E$1:$N$2398,MATCH(BancoAjustado!N$1,Base_Atividades!$E$1:$N$1,0),FALSE),0)</f>
        <v>0</v>
      </c>
    </row>
    <row r="795" spans="1:14" x14ac:dyDescent="0.25">
      <c r="A795" t="s">
        <v>3043</v>
      </c>
      <c r="B795" t="s">
        <v>3086</v>
      </c>
      <c r="C795" t="s">
        <v>3232</v>
      </c>
      <c r="D795" t="s">
        <v>3243</v>
      </c>
      <c r="E795" t="s">
        <v>3246</v>
      </c>
      <c r="F795" t="str">
        <f>VLOOKUP(A795,Base!$A:$F,6,FALSE)</f>
        <v>COMÉRCIO; REPARAÇÃO DE VEÍCULOS AUTOMOTORES E MOTOCICLETAS</v>
      </c>
      <c r="G795" t="str">
        <f>VLOOKUP(B795,Base!$B:$F,5,FALSE)</f>
        <v>COMÉRCIO POR ATACADO, EXCETO VEÍCULOS AUTOMOTORES E MOTOCICLETAS</v>
      </c>
      <c r="H795" t="str">
        <f>VLOOKUP(C795,Base!$C:$F,4,FALSE)</f>
        <v>Comércio atacadista especializado em outros produtos</v>
      </c>
      <c r="I795" t="str">
        <f>VLOOKUP(D795,Base!$D:$F,3,FALSE)</f>
        <v>Comércio atacadista de produtos químicos e petroquímicos, exceto agroquímicos</v>
      </c>
      <c r="J795" t="str">
        <f>VLOOKUP(E795,Base!$E:$F,2,FALSE)</f>
        <v>Comércio atacadista de outros produtos químicos e petroquímicos não especificados anteriormente</v>
      </c>
      <c r="K795" t="s">
        <v>3246</v>
      </c>
      <c r="L795">
        <f>IFERROR(VLOOKUP($K795,Base_Atividades!$E$1:$N$2398,MATCH(BancoAjustado!L$1,Base_Atividades!$E$1:$N$1,0),FALSE),0)</f>
        <v>0</v>
      </c>
      <c r="M795">
        <f>IFERROR(VLOOKUP($K795,Base_Atividades!$E$1:$N$2398,MATCH(BancoAjustado!M$1,Base_Atividades!$E$1:$N$1,0),FALSE),0)</f>
        <v>0</v>
      </c>
      <c r="N795">
        <f>IFERROR(VLOOKUP($K795,Base_Atividades!$E$1:$N$2398,MATCH(BancoAjustado!N$1,Base_Atividades!$E$1:$N$1,0),FALSE),0)</f>
        <v>0</v>
      </c>
    </row>
    <row r="796" spans="1:14" x14ac:dyDescent="0.25">
      <c r="A796" t="s">
        <v>3043</v>
      </c>
      <c r="B796" t="s">
        <v>3086</v>
      </c>
      <c r="C796" t="s">
        <v>3232</v>
      </c>
      <c r="D796" t="s">
        <v>3247</v>
      </c>
      <c r="E796" t="s">
        <v>3248</v>
      </c>
      <c r="F796" t="str">
        <f>VLOOKUP(A796,Base!$A:$F,6,FALSE)</f>
        <v>COMÉRCIO; REPARAÇÃO DE VEÍCULOS AUTOMOTORES E MOTOCICLETAS</v>
      </c>
      <c r="G796" t="str">
        <f>VLOOKUP(B796,Base!$B:$F,5,FALSE)</f>
        <v>COMÉRCIO POR ATACADO, EXCETO VEÍCULOS AUTOMOTORES E MOTOCICLETAS</v>
      </c>
      <c r="H796" t="str">
        <f>VLOOKUP(C796,Base!$C:$F,4,FALSE)</f>
        <v>Comércio atacadista especializado em outros produtos</v>
      </c>
      <c r="I796" t="str">
        <f>VLOOKUP(D796,Base!$D:$F,3,FALSE)</f>
        <v>Comércio atacadista de produtos siderúrgicos e metalúrgicos, exceto para construção</v>
      </c>
      <c r="J796" t="str">
        <f>VLOOKUP(E796,Base!$E:$F,2,FALSE)</f>
        <v>Comércio atacadista de produtos siderúrgicos e metalúrgicos, exceto para construção</v>
      </c>
      <c r="K796" t="s">
        <v>3248</v>
      </c>
      <c r="L796">
        <f>IFERROR(VLOOKUP($K796,Base_Atividades!$E$1:$N$2398,MATCH(BancoAjustado!L$1,Base_Atividades!$E$1:$N$1,0),FALSE),0)</f>
        <v>0</v>
      </c>
      <c r="M796">
        <f>IFERROR(VLOOKUP($K796,Base_Atividades!$E$1:$N$2398,MATCH(BancoAjustado!M$1,Base_Atividades!$E$1:$N$1,0),FALSE),0)</f>
        <v>0</v>
      </c>
      <c r="N796">
        <f>IFERROR(VLOOKUP($K796,Base_Atividades!$E$1:$N$2398,MATCH(BancoAjustado!N$1,Base_Atividades!$E$1:$N$1,0),FALSE),0)</f>
        <v>0</v>
      </c>
    </row>
    <row r="797" spans="1:14" x14ac:dyDescent="0.25">
      <c r="A797" t="s">
        <v>3043</v>
      </c>
      <c r="B797" t="s">
        <v>3086</v>
      </c>
      <c r="C797" t="s">
        <v>3232</v>
      </c>
      <c r="D797" t="s">
        <v>3249</v>
      </c>
      <c r="E797" t="s">
        <v>3250</v>
      </c>
      <c r="F797" t="str">
        <f>VLOOKUP(A797,Base!$A:$F,6,FALSE)</f>
        <v>COMÉRCIO; REPARAÇÃO DE VEÍCULOS AUTOMOTORES E MOTOCICLETAS</v>
      </c>
      <c r="G797" t="str">
        <f>VLOOKUP(B797,Base!$B:$F,5,FALSE)</f>
        <v>COMÉRCIO POR ATACADO, EXCETO VEÍCULOS AUTOMOTORES E MOTOCICLETAS</v>
      </c>
      <c r="H797" t="str">
        <f>VLOOKUP(C797,Base!$C:$F,4,FALSE)</f>
        <v>Comércio atacadista especializado em outros produtos</v>
      </c>
      <c r="I797" t="str">
        <f>VLOOKUP(D797,Base!$D:$F,3,FALSE)</f>
        <v>Comércio atacadista de papel e papelão em bruto e de embalagens</v>
      </c>
      <c r="J797" t="str">
        <f>VLOOKUP(E797,Base!$E:$F,2,FALSE)</f>
        <v>Comércio atacadista de papel e papelão em bruto</v>
      </c>
      <c r="K797" t="s">
        <v>3250</v>
      </c>
      <c r="L797">
        <f>IFERROR(VLOOKUP($K797,Base_Atividades!$E$1:$N$2398,MATCH(BancoAjustado!L$1,Base_Atividades!$E$1:$N$1,0),FALSE),0)</f>
        <v>0</v>
      </c>
      <c r="M797">
        <f>IFERROR(VLOOKUP($K797,Base_Atividades!$E$1:$N$2398,MATCH(BancoAjustado!M$1,Base_Atividades!$E$1:$N$1,0),FALSE),0)</f>
        <v>0</v>
      </c>
      <c r="N797">
        <f>IFERROR(VLOOKUP($K797,Base_Atividades!$E$1:$N$2398,MATCH(BancoAjustado!N$1,Base_Atividades!$E$1:$N$1,0),FALSE),0)</f>
        <v>0</v>
      </c>
    </row>
    <row r="798" spans="1:14" x14ac:dyDescent="0.25">
      <c r="A798" t="s">
        <v>3043</v>
      </c>
      <c r="B798" t="s">
        <v>3086</v>
      </c>
      <c r="C798" t="s">
        <v>3232</v>
      </c>
      <c r="D798" t="s">
        <v>3249</v>
      </c>
      <c r="E798" t="s">
        <v>3251</v>
      </c>
      <c r="F798" t="str">
        <f>VLOOKUP(A798,Base!$A:$F,6,FALSE)</f>
        <v>COMÉRCIO; REPARAÇÃO DE VEÍCULOS AUTOMOTORES E MOTOCICLETAS</v>
      </c>
      <c r="G798" t="str">
        <f>VLOOKUP(B798,Base!$B:$F,5,FALSE)</f>
        <v>COMÉRCIO POR ATACADO, EXCETO VEÍCULOS AUTOMOTORES E MOTOCICLETAS</v>
      </c>
      <c r="H798" t="str">
        <f>VLOOKUP(C798,Base!$C:$F,4,FALSE)</f>
        <v>Comércio atacadista especializado em outros produtos</v>
      </c>
      <c r="I798" t="str">
        <f>VLOOKUP(D798,Base!$D:$F,3,FALSE)</f>
        <v>Comércio atacadista de papel e papelão em bruto e de embalagens</v>
      </c>
      <c r="J798" t="str">
        <f>VLOOKUP(E798,Base!$E:$F,2,FALSE)</f>
        <v>Comércio atacadista de embalagens</v>
      </c>
      <c r="K798" t="s">
        <v>3251</v>
      </c>
      <c r="L798">
        <f>IFERROR(VLOOKUP($K798,Base_Atividades!$E$1:$N$2398,MATCH(BancoAjustado!L$1,Base_Atividades!$E$1:$N$1,0),FALSE),0)</f>
        <v>0</v>
      </c>
      <c r="M798">
        <f>IFERROR(VLOOKUP($K798,Base_Atividades!$E$1:$N$2398,MATCH(BancoAjustado!M$1,Base_Atividades!$E$1:$N$1,0),FALSE),0)</f>
        <v>0</v>
      </c>
      <c r="N798">
        <f>IFERROR(VLOOKUP($K798,Base_Atividades!$E$1:$N$2398,MATCH(BancoAjustado!N$1,Base_Atividades!$E$1:$N$1,0),FALSE),0)</f>
        <v>0</v>
      </c>
    </row>
    <row r="799" spans="1:14" x14ac:dyDescent="0.25">
      <c r="A799" t="s">
        <v>3043</v>
      </c>
      <c r="B799" t="s">
        <v>3086</v>
      </c>
      <c r="C799" t="s">
        <v>3232</v>
      </c>
      <c r="D799" t="s">
        <v>3252</v>
      </c>
      <c r="E799" t="s">
        <v>3253</v>
      </c>
      <c r="F799" t="str">
        <f>VLOOKUP(A799,Base!$A:$F,6,FALSE)</f>
        <v>COMÉRCIO; REPARAÇÃO DE VEÍCULOS AUTOMOTORES E MOTOCICLETAS</v>
      </c>
      <c r="G799" t="str">
        <f>VLOOKUP(B799,Base!$B:$F,5,FALSE)</f>
        <v>COMÉRCIO POR ATACADO, EXCETO VEÍCULOS AUTOMOTORES E MOTOCICLETAS</v>
      </c>
      <c r="H799" t="str">
        <f>VLOOKUP(C799,Base!$C:$F,4,FALSE)</f>
        <v>Comércio atacadista especializado em outros produtos</v>
      </c>
      <c r="I799" t="str">
        <f>VLOOKUP(D799,Base!$D:$F,3,FALSE)</f>
        <v>Comércio atacadista de resíduos e sucatas</v>
      </c>
      <c r="J799" t="str">
        <f>VLOOKUP(E799,Base!$E:$F,2,FALSE)</f>
        <v>Comércio atacadista de resíduos de papel e papelão</v>
      </c>
      <c r="K799" t="s">
        <v>3253</v>
      </c>
      <c r="L799">
        <f>IFERROR(VLOOKUP($K799,Base_Atividades!$E$1:$N$2398,MATCH(BancoAjustado!L$1,Base_Atividades!$E$1:$N$1,0),FALSE),0)</f>
        <v>0</v>
      </c>
      <c r="M799">
        <f>IFERROR(VLOOKUP($K799,Base_Atividades!$E$1:$N$2398,MATCH(BancoAjustado!M$1,Base_Atividades!$E$1:$N$1,0),FALSE),0)</f>
        <v>0</v>
      </c>
      <c r="N799">
        <f>IFERROR(VLOOKUP($K799,Base_Atividades!$E$1:$N$2398,MATCH(BancoAjustado!N$1,Base_Atividades!$E$1:$N$1,0),FALSE),0)</f>
        <v>0</v>
      </c>
    </row>
    <row r="800" spans="1:14" x14ac:dyDescent="0.25">
      <c r="A800" t="s">
        <v>3043</v>
      </c>
      <c r="B800" t="s">
        <v>3086</v>
      </c>
      <c r="C800" t="s">
        <v>3232</v>
      </c>
      <c r="D800" t="s">
        <v>3252</v>
      </c>
      <c r="E800" t="s">
        <v>3254</v>
      </c>
      <c r="F800" t="str">
        <f>VLOOKUP(A800,Base!$A:$F,6,FALSE)</f>
        <v>COMÉRCIO; REPARAÇÃO DE VEÍCULOS AUTOMOTORES E MOTOCICLETAS</v>
      </c>
      <c r="G800" t="str">
        <f>VLOOKUP(B800,Base!$B:$F,5,FALSE)</f>
        <v>COMÉRCIO POR ATACADO, EXCETO VEÍCULOS AUTOMOTORES E MOTOCICLETAS</v>
      </c>
      <c r="H800" t="str">
        <f>VLOOKUP(C800,Base!$C:$F,4,FALSE)</f>
        <v>Comércio atacadista especializado em outros produtos</v>
      </c>
      <c r="I800" t="str">
        <f>VLOOKUP(D800,Base!$D:$F,3,FALSE)</f>
        <v>Comércio atacadista de resíduos e sucatas</v>
      </c>
      <c r="J800" t="str">
        <f>VLOOKUP(E800,Base!$E:$F,2,FALSE)</f>
        <v>Comércio atacadista de resíduos e sucatas não metálicos, exceto de papel e papelão</v>
      </c>
      <c r="K800" t="s">
        <v>3254</v>
      </c>
      <c r="L800">
        <f>IFERROR(VLOOKUP($K800,Base_Atividades!$E$1:$N$2398,MATCH(BancoAjustado!L$1,Base_Atividades!$E$1:$N$1,0),FALSE),0)</f>
        <v>0</v>
      </c>
      <c r="M800">
        <f>IFERROR(VLOOKUP($K800,Base_Atividades!$E$1:$N$2398,MATCH(BancoAjustado!M$1,Base_Atividades!$E$1:$N$1,0),FALSE),0)</f>
        <v>0</v>
      </c>
      <c r="N800">
        <f>IFERROR(VLOOKUP($K800,Base_Atividades!$E$1:$N$2398,MATCH(BancoAjustado!N$1,Base_Atividades!$E$1:$N$1,0),FALSE),0)</f>
        <v>0</v>
      </c>
    </row>
    <row r="801" spans="1:14" x14ac:dyDescent="0.25">
      <c r="A801" t="s">
        <v>3043</v>
      </c>
      <c r="B801" t="s">
        <v>3086</v>
      </c>
      <c r="C801" t="s">
        <v>3232</v>
      </c>
      <c r="D801" t="s">
        <v>3252</v>
      </c>
      <c r="E801" t="s">
        <v>3255</v>
      </c>
      <c r="F801" t="str">
        <f>VLOOKUP(A801,Base!$A:$F,6,FALSE)</f>
        <v>COMÉRCIO; REPARAÇÃO DE VEÍCULOS AUTOMOTORES E MOTOCICLETAS</v>
      </c>
      <c r="G801" t="str">
        <f>VLOOKUP(B801,Base!$B:$F,5,FALSE)</f>
        <v>COMÉRCIO POR ATACADO, EXCETO VEÍCULOS AUTOMOTORES E MOTOCICLETAS</v>
      </c>
      <c r="H801" t="str">
        <f>VLOOKUP(C801,Base!$C:$F,4,FALSE)</f>
        <v>Comércio atacadista especializado em outros produtos</v>
      </c>
      <c r="I801" t="str">
        <f>VLOOKUP(D801,Base!$D:$F,3,FALSE)</f>
        <v>Comércio atacadista de resíduos e sucatas</v>
      </c>
      <c r="J801" t="str">
        <f>VLOOKUP(E801,Base!$E:$F,2,FALSE)</f>
        <v>Comércio atacadista de resíduos e sucatas metálicos</v>
      </c>
      <c r="K801" t="s">
        <v>3255</v>
      </c>
      <c r="L801">
        <f>IFERROR(VLOOKUP($K801,Base_Atividades!$E$1:$N$2398,MATCH(BancoAjustado!L$1,Base_Atividades!$E$1:$N$1,0),FALSE),0)</f>
        <v>0</v>
      </c>
      <c r="M801">
        <f>IFERROR(VLOOKUP($K801,Base_Atividades!$E$1:$N$2398,MATCH(BancoAjustado!M$1,Base_Atividades!$E$1:$N$1,0),FALSE),0)</f>
        <v>0</v>
      </c>
      <c r="N801">
        <f>IFERROR(VLOOKUP($K801,Base_Atividades!$E$1:$N$2398,MATCH(BancoAjustado!N$1,Base_Atividades!$E$1:$N$1,0),FALSE),0)</f>
        <v>0</v>
      </c>
    </row>
    <row r="802" spans="1:14" x14ac:dyDescent="0.25">
      <c r="A802" t="s">
        <v>3043</v>
      </c>
      <c r="B802" t="s">
        <v>3086</v>
      </c>
      <c r="C802" t="s">
        <v>3232</v>
      </c>
      <c r="D802" t="s">
        <v>3256</v>
      </c>
      <c r="E802" t="s">
        <v>3257</v>
      </c>
      <c r="F802" t="str">
        <f>VLOOKUP(A802,Base!$A:$F,6,FALSE)</f>
        <v>COMÉRCIO; REPARAÇÃO DE VEÍCULOS AUTOMOTORES E MOTOCICLETAS</v>
      </c>
      <c r="G802" t="str">
        <f>VLOOKUP(B802,Base!$B:$F,5,FALSE)</f>
        <v>COMÉRCIO POR ATACADO, EXCETO VEÍCULOS AUTOMOTORES E MOTOCICLETAS</v>
      </c>
      <c r="H802" t="str">
        <f>VLOOKUP(C802,Base!$C:$F,4,FALSE)</f>
        <v>Comércio atacadista especializado em outros produtos</v>
      </c>
      <c r="I802" t="str">
        <f>VLOOKUP(D802,Base!$D:$F,3,FALSE)</f>
        <v>Comércio atacadista especializado de outros produtos intermediários não especificados anteriormente</v>
      </c>
      <c r="J802" t="str">
        <f>VLOOKUP(E802,Base!$E:$F,2,FALSE)</f>
        <v>Comércio atacadista de produtos da extração mineral, exceto combustíveis</v>
      </c>
      <c r="K802" t="s">
        <v>3257</v>
      </c>
      <c r="L802">
        <f>IFERROR(VLOOKUP($K802,Base_Atividades!$E$1:$N$2398,MATCH(BancoAjustado!L$1,Base_Atividades!$E$1:$N$1,0),FALSE),0)</f>
        <v>0</v>
      </c>
      <c r="M802">
        <f>IFERROR(VLOOKUP($K802,Base_Atividades!$E$1:$N$2398,MATCH(BancoAjustado!M$1,Base_Atividades!$E$1:$N$1,0),FALSE),0)</f>
        <v>0</v>
      </c>
      <c r="N802">
        <f>IFERROR(VLOOKUP($K802,Base_Atividades!$E$1:$N$2398,MATCH(BancoAjustado!N$1,Base_Atividades!$E$1:$N$1,0),FALSE),0)</f>
        <v>0</v>
      </c>
    </row>
    <row r="803" spans="1:14" x14ac:dyDescent="0.25">
      <c r="A803" t="s">
        <v>3043</v>
      </c>
      <c r="B803" t="s">
        <v>3086</v>
      </c>
      <c r="C803" t="s">
        <v>3232</v>
      </c>
      <c r="D803" t="s">
        <v>3256</v>
      </c>
      <c r="E803" t="s">
        <v>3258</v>
      </c>
      <c r="F803" t="str">
        <f>VLOOKUP(A803,Base!$A:$F,6,FALSE)</f>
        <v>COMÉRCIO; REPARAÇÃO DE VEÍCULOS AUTOMOTORES E MOTOCICLETAS</v>
      </c>
      <c r="G803" t="str">
        <f>VLOOKUP(B803,Base!$B:$F,5,FALSE)</f>
        <v>COMÉRCIO POR ATACADO, EXCETO VEÍCULOS AUTOMOTORES E MOTOCICLETAS</v>
      </c>
      <c r="H803" t="str">
        <f>VLOOKUP(C803,Base!$C:$F,4,FALSE)</f>
        <v>Comércio atacadista especializado em outros produtos</v>
      </c>
      <c r="I803" t="str">
        <f>VLOOKUP(D803,Base!$D:$F,3,FALSE)</f>
        <v>Comércio atacadista especializado de outros produtos intermediários não especificados anteriormente</v>
      </c>
      <c r="J803" t="str">
        <f>VLOOKUP(E803,Base!$E:$F,2,FALSE)</f>
        <v>Comércio atacadista de fios e fibras beneficiados</v>
      </c>
      <c r="K803" t="s">
        <v>3258</v>
      </c>
      <c r="L803">
        <f>IFERROR(VLOOKUP($K803,Base_Atividades!$E$1:$N$2398,MATCH(BancoAjustado!L$1,Base_Atividades!$E$1:$N$1,0),FALSE),0)</f>
        <v>0</v>
      </c>
      <c r="M803">
        <f>IFERROR(VLOOKUP($K803,Base_Atividades!$E$1:$N$2398,MATCH(BancoAjustado!M$1,Base_Atividades!$E$1:$N$1,0),FALSE),0)</f>
        <v>0</v>
      </c>
      <c r="N803">
        <f>IFERROR(VLOOKUP($K803,Base_Atividades!$E$1:$N$2398,MATCH(BancoAjustado!N$1,Base_Atividades!$E$1:$N$1,0),FALSE),0)</f>
        <v>0</v>
      </c>
    </row>
    <row r="804" spans="1:14" x14ac:dyDescent="0.25">
      <c r="A804" t="s">
        <v>3043</v>
      </c>
      <c r="B804" t="s">
        <v>3086</v>
      </c>
      <c r="C804" t="s">
        <v>3232</v>
      </c>
      <c r="D804" t="s">
        <v>3256</v>
      </c>
      <c r="E804" t="s">
        <v>3259</v>
      </c>
      <c r="F804" t="str">
        <f>VLOOKUP(A804,Base!$A:$F,6,FALSE)</f>
        <v>COMÉRCIO; REPARAÇÃO DE VEÍCULOS AUTOMOTORES E MOTOCICLETAS</v>
      </c>
      <c r="G804" t="str">
        <f>VLOOKUP(B804,Base!$B:$F,5,FALSE)</f>
        <v>COMÉRCIO POR ATACADO, EXCETO VEÍCULOS AUTOMOTORES E MOTOCICLETAS</v>
      </c>
      <c r="H804" t="str">
        <f>VLOOKUP(C804,Base!$C:$F,4,FALSE)</f>
        <v>Comércio atacadista especializado em outros produtos</v>
      </c>
      <c r="I804" t="str">
        <f>VLOOKUP(D804,Base!$D:$F,3,FALSE)</f>
        <v>Comércio atacadista especializado de outros produtos intermediários não especificados anteriormente</v>
      </c>
      <c r="J804" t="str">
        <f>VLOOKUP(E804,Base!$E:$F,2,FALSE)</f>
        <v>Comércio atacadista especializado em outros produtos intermediários não especificados anteriormente</v>
      </c>
      <c r="K804" t="s">
        <v>3259</v>
      </c>
      <c r="L804">
        <f>IFERROR(VLOOKUP($K804,Base_Atividades!$E$1:$N$2398,MATCH(BancoAjustado!L$1,Base_Atividades!$E$1:$N$1,0),FALSE),0)</f>
        <v>0</v>
      </c>
      <c r="M804">
        <f>IFERROR(VLOOKUP($K804,Base_Atividades!$E$1:$N$2398,MATCH(BancoAjustado!M$1,Base_Atividades!$E$1:$N$1,0),FALSE),0)</f>
        <v>0</v>
      </c>
      <c r="N804">
        <f>IFERROR(VLOOKUP($K804,Base_Atividades!$E$1:$N$2398,MATCH(BancoAjustado!N$1,Base_Atividades!$E$1:$N$1,0),FALSE),0)</f>
        <v>0</v>
      </c>
    </row>
    <row r="805" spans="1:14" x14ac:dyDescent="0.25">
      <c r="A805" t="s">
        <v>3043</v>
      </c>
      <c r="B805" t="s">
        <v>3086</v>
      </c>
      <c r="C805" t="s">
        <v>3260</v>
      </c>
      <c r="D805" t="s">
        <v>3261</v>
      </c>
      <c r="E805" t="s">
        <v>3262</v>
      </c>
      <c r="F805" t="str">
        <f>VLOOKUP(A805,Base!$A:$F,6,FALSE)</f>
        <v>COMÉRCIO; REPARAÇÃO DE VEÍCULOS AUTOMOTORES E MOTOCICLETAS</v>
      </c>
      <c r="G805" t="str">
        <f>VLOOKUP(B805,Base!$B:$F,5,FALSE)</f>
        <v>COMÉRCIO POR ATACADO, EXCETO VEÍCULOS AUTOMOTORES E MOTOCICLETAS</v>
      </c>
      <c r="H805" t="str">
        <f>VLOOKUP(C805,Base!$C:$F,4,FALSE)</f>
        <v>Comércio atacadista não especializado</v>
      </c>
      <c r="I805" t="str">
        <f>VLOOKUP(D805,Base!$D:$F,3,FALSE)</f>
        <v>Comércio atacadista de mercadorias em geral, com predominância de produtos alimentícios</v>
      </c>
      <c r="J805" t="str">
        <f>VLOOKUP(E805,Base!$E:$F,2,FALSE)</f>
        <v>Comércio atacadista de mercadorias em geral, com predominância de produtos alimentícios</v>
      </c>
      <c r="K805" t="s">
        <v>3262</v>
      </c>
      <c r="L805">
        <f>IFERROR(VLOOKUP($K805,Base_Atividades!$E$1:$N$2398,MATCH(BancoAjustado!L$1,Base_Atividades!$E$1:$N$1,0),FALSE),0)</f>
        <v>0</v>
      </c>
      <c r="M805">
        <f>IFERROR(VLOOKUP($K805,Base_Atividades!$E$1:$N$2398,MATCH(BancoAjustado!M$1,Base_Atividades!$E$1:$N$1,0),FALSE),0)</f>
        <v>0</v>
      </c>
      <c r="N805">
        <f>IFERROR(VLOOKUP($K805,Base_Atividades!$E$1:$N$2398,MATCH(BancoAjustado!N$1,Base_Atividades!$E$1:$N$1,0),FALSE),0)</f>
        <v>0</v>
      </c>
    </row>
    <row r="806" spans="1:14" x14ac:dyDescent="0.25">
      <c r="A806" t="s">
        <v>3043</v>
      </c>
      <c r="B806" t="s">
        <v>3086</v>
      </c>
      <c r="C806" t="s">
        <v>3260</v>
      </c>
      <c r="D806" t="s">
        <v>3263</v>
      </c>
      <c r="E806" t="s">
        <v>3264</v>
      </c>
      <c r="F806" t="str">
        <f>VLOOKUP(A806,Base!$A:$F,6,FALSE)</f>
        <v>COMÉRCIO; REPARAÇÃO DE VEÍCULOS AUTOMOTORES E MOTOCICLETAS</v>
      </c>
      <c r="G806" t="str">
        <f>VLOOKUP(B806,Base!$B:$F,5,FALSE)</f>
        <v>COMÉRCIO POR ATACADO, EXCETO VEÍCULOS AUTOMOTORES E MOTOCICLETAS</v>
      </c>
      <c r="H806" t="str">
        <f>VLOOKUP(C806,Base!$C:$F,4,FALSE)</f>
        <v>Comércio atacadista não especializado</v>
      </c>
      <c r="I806" t="str">
        <f>VLOOKUP(D806,Base!$D:$F,3,FALSE)</f>
        <v>Comércio atacadista de mercadorias em geral, com predominância de insumos agropecuários</v>
      </c>
      <c r="J806" t="str">
        <f>VLOOKUP(E806,Base!$E:$F,2,FALSE)</f>
        <v>Comércio atacadista de mercadorias em geral, com predominância de insumos agropecuários</v>
      </c>
      <c r="K806" t="s">
        <v>3264</v>
      </c>
      <c r="L806">
        <f>IFERROR(VLOOKUP($K806,Base_Atividades!$E$1:$N$2398,MATCH(BancoAjustado!L$1,Base_Atividades!$E$1:$N$1,0),FALSE),0)</f>
        <v>0</v>
      </c>
      <c r="M806">
        <f>IFERROR(VLOOKUP($K806,Base_Atividades!$E$1:$N$2398,MATCH(BancoAjustado!M$1,Base_Atividades!$E$1:$N$1,0),FALSE),0)</f>
        <v>0</v>
      </c>
      <c r="N806">
        <f>IFERROR(VLOOKUP($K806,Base_Atividades!$E$1:$N$2398,MATCH(BancoAjustado!N$1,Base_Atividades!$E$1:$N$1,0),FALSE),0)</f>
        <v>0</v>
      </c>
    </row>
    <row r="807" spans="1:14" x14ac:dyDescent="0.25">
      <c r="A807" t="s">
        <v>3043</v>
      </c>
      <c r="B807" t="s">
        <v>3086</v>
      </c>
      <c r="C807" t="s">
        <v>3260</v>
      </c>
      <c r="D807" t="s">
        <v>3265</v>
      </c>
      <c r="E807" t="s">
        <v>3266</v>
      </c>
      <c r="F807" t="str">
        <f>VLOOKUP(A807,Base!$A:$F,6,FALSE)</f>
        <v>COMÉRCIO; REPARAÇÃO DE VEÍCULOS AUTOMOTORES E MOTOCICLETAS</v>
      </c>
      <c r="G807" t="str">
        <f>VLOOKUP(B807,Base!$B:$F,5,FALSE)</f>
        <v>COMÉRCIO POR ATACADO, EXCETO VEÍCULOS AUTOMOTORES E MOTOCICLETAS</v>
      </c>
      <c r="H807" t="str">
        <f>VLOOKUP(C807,Base!$C:$F,4,FALSE)</f>
        <v>Comércio atacadista não especializado</v>
      </c>
      <c r="I807" t="str">
        <f>VLOOKUP(D807,Base!$D:$F,3,FALSE)</f>
        <v>Comércio atacadista de mercadorias em geral, sem predominância de alimentos ou de insumos agropecuários</v>
      </c>
      <c r="J807" t="str">
        <f>VLOOKUP(E807,Base!$E:$F,2,FALSE)</f>
        <v>Comércio atacadista de mercadorias em geral, sem predominância de alimentos ou de insumos agropecuários</v>
      </c>
      <c r="K807" t="s">
        <v>3266</v>
      </c>
      <c r="L807">
        <f>IFERROR(VLOOKUP($K807,Base_Atividades!$E$1:$N$2398,MATCH(BancoAjustado!L$1,Base_Atividades!$E$1:$N$1,0),FALSE),0)</f>
        <v>0</v>
      </c>
      <c r="M807">
        <f>IFERROR(VLOOKUP($K807,Base_Atividades!$E$1:$N$2398,MATCH(BancoAjustado!M$1,Base_Atividades!$E$1:$N$1,0),FALSE),0)</f>
        <v>0</v>
      </c>
      <c r="N807">
        <f>IFERROR(VLOOKUP($K807,Base_Atividades!$E$1:$N$2398,MATCH(BancoAjustado!N$1,Base_Atividades!$E$1:$N$1,0),FALSE),0)</f>
        <v>0</v>
      </c>
    </row>
    <row r="808" spans="1:14" x14ac:dyDescent="0.25">
      <c r="A808" t="s">
        <v>3043</v>
      </c>
      <c r="B808" t="s">
        <v>3267</v>
      </c>
      <c r="C808" t="s">
        <v>3268</v>
      </c>
      <c r="D808" t="s">
        <v>3269</v>
      </c>
      <c r="E808" t="s">
        <v>3270</v>
      </c>
      <c r="F808" t="str">
        <f>VLOOKUP(A808,Base!$A:$F,6,FALSE)</f>
        <v>COMÉRCIO; REPARAÇÃO DE VEÍCULOS AUTOMOTORES E MOTOCICLETAS</v>
      </c>
      <c r="G808" t="str">
        <f>VLOOKUP(B808,Base!$B:$F,5,FALSE)</f>
        <v>COMÉRCIO VAREJISTA</v>
      </c>
      <c r="H808" t="str">
        <f>VLOOKUP(C808,Base!$C:$F,4,FALSE)</f>
        <v>Comércio varejista não especializado</v>
      </c>
      <c r="I808" t="str">
        <f>VLOOKUP(D808,Base!$D:$F,3,FALSE)</f>
        <v>Comércio varejista de mercadorias em geral, com predominância de produtos alimentícios - hipermercados e supermercados</v>
      </c>
      <c r="J808" t="str">
        <f>VLOOKUP(E808,Base!$E:$F,2,FALSE)</f>
        <v>Comércio varejista de mercadorias em geral, com predominância de produtos alimentícios - hipermercados</v>
      </c>
      <c r="K808" t="s">
        <v>3270</v>
      </c>
      <c r="L808">
        <f>IFERROR(VLOOKUP($K808,Base_Atividades!$E$1:$N$2398,MATCH(BancoAjustado!L$1,Base_Atividades!$E$1:$N$1,0),FALSE),0)</f>
        <v>0</v>
      </c>
      <c r="M808">
        <f>IFERROR(VLOOKUP($K808,Base_Atividades!$E$1:$N$2398,MATCH(BancoAjustado!M$1,Base_Atividades!$E$1:$N$1,0),FALSE),0)</f>
        <v>0</v>
      </c>
      <c r="N808">
        <f>IFERROR(VLOOKUP($K808,Base_Atividades!$E$1:$N$2398,MATCH(BancoAjustado!N$1,Base_Atividades!$E$1:$N$1,0),FALSE),0)</f>
        <v>0</v>
      </c>
    </row>
    <row r="809" spans="1:14" x14ac:dyDescent="0.25">
      <c r="A809" t="s">
        <v>3043</v>
      </c>
      <c r="B809" t="s">
        <v>3267</v>
      </c>
      <c r="C809" t="s">
        <v>3268</v>
      </c>
      <c r="D809" t="s">
        <v>3269</v>
      </c>
      <c r="E809" t="s">
        <v>3271</v>
      </c>
      <c r="F809" t="str">
        <f>VLOOKUP(A809,Base!$A:$F,6,FALSE)</f>
        <v>COMÉRCIO; REPARAÇÃO DE VEÍCULOS AUTOMOTORES E MOTOCICLETAS</v>
      </c>
      <c r="G809" t="str">
        <f>VLOOKUP(B809,Base!$B:$F,5,FALSE)</f>
        <v>COMÉRCIO VAREJISTA</v>
      </c>
      <c r="H809" t="str">
        <f>VLOOKUP(C809,Base!$C:$F,4,FALSE)</f>
        <v>Comércio varejista não especializado</v>
      </c>
      <c r="I809" t="str">
        <f>VLOOKUP(D809,Base!$D:$F,3,FALSE)</f>
        <v>Comércio varejista de mercadorias em geral, com predominância de produtos alimentícios - hipermercados e supermercados</v>
      </c>
      <c r="J809" t="str">
        <f>VLOOKUP(E809,Base!$E:$F,2,FALSE)</f>
        <v>Comércio varejista de mercadorias em geral, com predominância de produtos alimentícios - supermercados</v>
      </c>
      <c r="K809" t="s">
        <v>3271</v>
      </c>
      <c r="L809">
        <f>IFERROR(VLOOKUP($K809,Base_Atividades!$E$1:$N$2398,MATCH(BancoAjustado!L$1,Base_Atividades!$E$1:$N$1,0),FALSE),0)</f>
        <v>0</v>
      </c>
      <c r="M809">
        <f>IFERROR(VLOOKUP($K809,Base_Atividades!$E$1:$N$2398,MATCH(BancoAjustado!M$1,Base_Atividades!$E$1:$N$1,0),FALSE),0)</f>
        <v>0</v>
      </c>
      <c r="N809">
        <f>IFERROR(VLOOKUP($K809,Base_Atividades!$E$1:$N$2398,MATCH(BancoAjustado!N$1,Base_Atividades!$E$1:$N$1,0),FALSE),0)</f>
        <v>0</v>
      </c>
    </row>
    <row r="810" spans="1:14" x14ac:dyDescent="0.25">
      <c r="A810" t="s">
        <v>3043</v>
      </c>
      <c r="B810" t="s">
        <v>3267</v>
      </c>
      <c r="C810" t="s">
        <v>3268</v>
      </c>
      <c r="D810" t="s">
        <v>3272</v>
      </c>
      <c r="E810" t="s">
        <v>3273</v>
      </c>
      <c r="F810" t="str">
        <f>VLOOKUP(A810,Base!$A:$F,6,FALSE)</f>
        <v>COMÉRCIO; REPARAÇÃO DE VEÍCULOS AUTOMOTORES E MOTOCICLETAS</v>
      </c>
      <c r="G810" t="str">
        <f>VLOOKUP(B810,Base!$B:$F,5,FALSE)</f>
        <v>COMÉRCIO VAREJISTA</v>
      </c>
      <c r="H810" t="str">
        <f>VLOOKUP(C810,Base!$C:$F,4,FALSE)</f>
        <v>Comércio varejista não especializado</v>
      </c>
      <c r="I810" t="str">
        <f>VLOOKUP(D810,Base!$D:$F,3,FALSE)</f>
        <v>Comércio varejista de mercadorias em geral, com
predominância de produtos alimentícios - minimercados,
mercearias e armazéns</v>
      </c>
      <c r="J810" t="str">
        <f>VLOOKUP(E810,Base!$E:$F,2,FALSE)</f>
        <v>Comércio varejista de mercadorias em geral, com predominância de produtos alimentícios - minimercados, mercearias e armazéns</v>
      </c>
      <c r="K810" t="s">
        <v>3273</v>
      </c>
      <c r="L810">
        <f>IFERROR(VLOOKUP($K810,Base_Atividades!$E$1:$N$2398,MATCH(BancoAjustado!L$1,Base_Atividades!$E$1:$N$1,0),FALSE),0)</f>
        <v>0</v>
      </c>
      <c r="M810">
        <f>IFERROR(VLOOKUP($K810,Base_Atividades!$E$1:$N$2398,MATCH(BancoAjustado!M$1,Base_Atividades!$E$1:$N$1,0),FALSE),0)</f>
        <v>0</v>
      </c>
      <c r="N810">
        <f>IFERROR(VLOOKUP($K810,Base_Atividades!$E$1:$N$2398,MATCH(BancoAjustado!N$1,Base_Atividades!$E$1:$N$1,0),FALSE),0)</f>
        <v>0</v>
      </c>
    </row>
    <row r="811" spans="1:14" x14ac:dyDescent="0.25">
      <c r="A811" t="s">
        <v>3043</v>
      </c>
      <c r="B811" t="s">
        <v>3267</v>
      </c>
      <c r="C811" t="s">
        <v>3268</v>
      </c>
      <c r="D811" t="s">
        <v>3274</v>
      </c>
      <c r="E811" t="s">
        <v>3275</v>
      </c>
      <c r="F811" t="str">
        <f>VLOOKUP(A811,Base!$A:$F,6,FALSE)</f>
        <v>COMÉRCIO; REPARAÇÃO DE VEÍCULOS AUTOMOTORES E MOTOCICLETAS</v>
      </c>
      <c r="G811" t="str">
        <f>VLOOKUP(B811,Base!$B:$F,5,FALSE)</f>
        <v>COMÉRCIO VAREJISTA</v>
      </c>
      <c r="H811" t="str">
        <f>VLOOKUP(C811,Base!$C:$F,4,FALSE)</f>
        <v>Comércio varejista não especializado</v>
      </c>
      <c r="I811" t="str">
        <f>VLOOKUP(D811,Base!$D:$F,3,FALSE)</f>
        <v>Comércio varejista de mercadorias em geral, sem predominância de produtos alimentícios</v>
      </c>
      <c r="J811" t="str">
        <f>VLOOKUP(E811,Base!$E:$F,2,FALSE)</f>
        <v>Lojas de variedades, exceto lojas de departamentos ou magazines</v>
      </c>
      <c r="K811" t="s">
        <v>3275</v>
      </c>
      <c r="L811">
        <f>IFERROR(VLOOKUP($K811,Base_Atividades!$E$1:$N$2398,MATCH(BancoAjustado!L$1,Base_Atividades!$E$1:$N$1,0),FALSE),0)</f>
        <v>0</v>
      </c>
      <c r="M811">
        <f>IFERROR(VLOOKUP($K811,Base_Atividades!$E$1:$N$2398,MATCH(BancoAjustado!M$1,Base_Atividades!$E$1:$N$1,0),FALSE),0)</f>
        <v>0</v>
      </c>
      <c r="N811">
        <f>IFERROR(VLOOKUP($K811,Base_Atividades!$E$1:$N$2398,MATCH(BancoAjustado!N$1,Base_Atividades!$E$1:$N$1,0),FALSE),0)</f>
        <v>0</v>
      </c>
    </row>
    <row r="812" spans="1:14" x14ac:dyDescent="0.25">
      <c r="A812" t="s">
        <v>3043</v>
      </c>
      <c r="B812" t="s">
        <v>3267</v>
      </c>
      <c r="C812" t="s">
        <v>3268</v>
      </c>
      <c r="D812" t="s">
        <v>3274</v>
      </c>
      <c r="E812" t="s">
        <v>3276</v>
      </c>
      <c r="F812" t="str">
        <f>VLOOKUP(A812,Base!$A:$F,6,FALSE)</f>
        <v>COMÉRCIO; REPARAÇÃO DE VEÍCULOS AUTOMOTORES E MOTOCICLETAS</v>
      </c>
      <c r="G812" t="str">
        <f>VLOOKUP(B812,Base!$B:$F,5,FALSE)</f>
        <v>COMÉRCIO VAREJISTA</v>
      </c>
      <c r="H812" t="str">
        <f>VLOOKUP(C812,Base!$C:$F,4,FALSE)</f>
        <v>Comércio varejista não especializado</v>
      </c>
      <c r="I812" t="str">
        <f>VLOOKUP(D812,Base!$D:$F,3,FALSE)</f>
        <v>Comércio varejista de mercadorias em geral, sem predominância de produtos alimentícios</v>
      </c>
      <c r="J812" t="str">
        <f>VLOOKUP(E812,Base!$E:$F,2,FALSE)</f>
        <v>Lojas de departamentos ou magazines, exceto lojas francas (Duty free)</v>
      </c>
      <c r="K812" t="s">
        <v>3276</v>
      </c>
      <c r="L812">
        <f>IFERROR(VLOOKUP($K812,Base_Atividades!$E$1:$N$2398,MATCH(BancoAjustado!L$1,Base_Atividades!$E$1:$N$1,0),FALSE),0)</f>
        <v>0</v>
      </c>
      <c r="M812">
        <f>IFERROR(VLOOKUP($K812,Base_Atividades!$E$1:$N$2398,MATCH(BancoAjustado!M$1,Base_Atividades!$E$1:$N$1,0),FALSE),0)</f>
        <v>0</v>
      </c>
      <c r="N812">
        <f>IFERROR(VLOOKUP($K812,Base_Atividades!$E$1:$N$2398,MATCH(BancoAjustado!N$1,Base_Atividades!$E$1:$N$1,0),FALSE),0)</f>
        <v>0</v>
      </c>
    </row>
    <row r="813" spans="1:14" x14ac:dyDescent="0.25">
      <c r="A813" t="s">
        <v>3043</v>
      </c>
      <c r="B813" t="s">
        <v>3267</v>
      </c>
      <c r="C813" t="s">
        <v>3268</v>
      </c>
      <c r="D813" t="s">
        <v>3274</v>
      </c>
      <c r="E813" t="s">
        <v>3278</v>
      </c>
      <c r="F813" t="str">
        <f>VLOOKUP(A813,Base!$A:$F,6,FALSE)</f>
        <v>COMÉRCIO; REPARAÇÃO DE VEÍCULOS AUTOMOTORES E MOTOCICLETAS</v>
      </c>
      <c r="G813" t="str">
        <f>VLOOKUP(B813,Base!$B:$F,5,FALSE)</f>
        <v>COMÉRCIO VAREJISTA</v>
      </c>
      <c r="H813" t="str">
        <f>VLOOKUP(C813,Base!$C:$F,4,FALSE)</f>
        <v>Comércio varejista não especializado</v>
      </c>
      <c r="I813" t="str">
        <f>VLOOKUP(D813,Base!$D:$F,3,FALSE)</f>
        <v>Comércio varejista de mercadorias em geral, sem predominância de produtos alimentícios</v>
      </c>
      <c r="J813" t="str">
        <f>VLOOKUP(E813,Base!$E:$F,2,FALSE)</f>
        <v>Lojas francas (Duty Free) de aeroportos, portos e em fronteiras terrestres</v>
      </c>
      <c r="K813" t="s">
        <v>3278</v>
      </c>
      <c r="L813">
        <f>IFERROR(VLOOKUP($K813,Base_Atividades!$E$1:$N$2398,MATCH(BancoAjustado!L$1,Base_Atividades!$E$1:$N$1,0),FALSE),0)</f>
        <v>0</v>
      </c>
      <c r="M813">
        <f>IFERROR(VLOOKUP($K813,Base_Atividades!$E$1:$N$2398,MATCH(BancoAjustado!M$1,Base_Atividades!$E$1:$N$1,0),FALSE),0)</f>
        <v>0</v>
      </c>
      <c r="N813">
        <f>IFERROR(VLOOKUP($K813,Base_Atividades!$E$1:$N$2398,MATCH(BancoAjustado!N$1,Base_Atividades!$E$1:$N$1,0),FALSE),0)</f>
        <v>0</v>
      </c>
    </row>
    <row r="814" spans="1:14" x14ac:dyDescent="0.25">
      <c r="A814" t="s">
        <v>3043</v>
      </c>
      <c r="B814" t="s">
        <v>3267</v>
      </c>
      <c r="C814" t="s">
        <v>3280</v>
      </c>
      <c r="D814" t="s">
        <v>3281</v>
      </c>
      <c r="E814" t="s">
        <v>3282</v>
      </c>
      <c r="F814" t="str">
        <f>VLOOKUP(A814,Base!$A:$F,6,FALSE)</f>
        <v>COMÉRCIO; REPARAÇÃO DE VEÍCULOS AUTOMOTORES E MOTOCICLETAS</v>
      </c>
      <c r="G814" t="str">
        <f>VLOOKUP(B814,Base!$B:$F,5,FALSE)</f>
        <v>COMÉRCIO VAREJISTA</v>
      </c>
      <c r="H814" t="str">
        <f>VLOOKUP(C814,Base!$C:$F,4,FALSE)</f>
        <v>Comércio varejista de produtos alimentícios, bebidas e fumo</v>
      </c>
      <c r="I814" t="str">
        <f>VLOOKUP(D814,Base!$D:$F,3,FALSE)</f>
        <v>Comércio varejista de produtos de padaria, laticínio, doces, balas e semelhantes</v>
      </c>
      <c r="J814" t="str">
        <f>VLOOKUP(E814,Base!$E:$F,2,FALSE)</f>
        <v>Padaria e confeitaria com predominância de revenda</v>
      </c>
      <c r="K814" t="s">
        <v>3282</v>
      </c>
      <c r="L814">
        <f>IFERROR(VLOOKUP($K814,Base_Atividades!$E$1:$N$2398,MATCH(BancoAjustado!L$1,Base_Atividades!$E$1:$N$1,0),FALSE),0)</f>
        <v>0</v>
      </c>
      <c r="M814">
        <f>IFERROR(VLOOKUP($K814,Base_Atividades!$E$1:$N$2398,MATCH(BancoAjustado!M$1,Base_Atividades!$E$1:$N$1,0),FALSE),0)</f>
        <v>0</v>
      </c>
      <c r="N814">
        <f>IFERROR(VLOOKUP($K814,Base_Atividades!$E$1:$N$2398,MATCH(BancoAjustado!N$1,Base_Atividades!$E$1:$N$1,0),FALSE),0)</f>
        <v>0</v>
      </c>
    </row>
    <row r="815" spans="1:14" x14ac:dyDescent="0.25">
      <c r="A815" t="s">
        <v>3043</v>
      </c>
      <c r="B815" t="s">
        <v>3267</v>
      </c>
      <c r="C815" t="s">
        <v>3280</v>
      </c>
      <c r="D815" t="s">
        <v>3281</v>
      </c>
      <c r="E815" t="s">
        <v>3283</v>
      </c>
      <c r="F815" t="str">
        <f>VLOOKUP(A815,Base!$A:$F,6,FALSE)</f>
        <v>COMÉRCIO; REPARAÇÃO DE VEÍCULOS AUTOMOTORES E MOTOCICLETAS</v>
      </c>
      <c r="G815" t="str">
        <f>VLOOKUP(B815,Base!$B:$F,5,FALSE)</f>
        <v>COMÉRCIO VAREJISTA</v>
      </c>
      <c r="H815" t="str">
        <f>VLOOKUP(C815,Base!$C:$F,4,FALSE)</f>
        <v>Comércio varejista de produtos alimentícios, bebidas e fumo</v>
      </c>
      <c r="I815" t="str">
        <f>VLOOKUP(D815,Base!$D:$F,3,FALSE)</f>
        <v>Comércio varejista de produtos de padaria, laticínio, doces, balas e semelhantes</v>
      </c>
      <c r="J815" t="str">
        <f>VLOOKUP(E815,Base!$E:$F,2,FALSE)</f>
        <v>Comércio varejista de laticínios e frios</v>
      </c>
      <c r="K815" t="s">
        <v>3283</v>
      </c>
      <c r="L815">
        <f>IFERROR(VLOOKUP($K815,Base_Atividades!$E$1:$N$2398,MATCH(BancoAjustado!L$1,Base_Atividades!$E$1:$N$1,0),FALSE),0)</f>
        <v>0</v>
      </c>
      <c r="M815">
        <f>IFERROR(VLOOKUP($K815,Base_Atividades!$E$1:$N$2398,MATCH(BancoAjustado!M$1,Base_Atividades!$E$1:$N$1,0),FALSE),0)</f>
        <v>0</v>
      </c>
      <c r="N815">
        <f>IFERROR(VLOOKUP($K815,Base_Atividades!$E$1:$N$2398,MATCH(BancoAjustado!N$1,Base_Atividades!$E$1:$N$1,0),FALSE),0)</f>
        <v>0</v>
      </c>
    </row>
    <row r="816" spans="1:14" x14ac:dyDescent="0.25">
      <c r="A816" t="s">
        <v>3043</v>
      </c>
      <c r="B816" t="s">
        <v>3267</v>
      </c>
      <c r="C816" t="s">
        <v>3280</v>
      </c>
      <c r="D816" t="s">
        <v>3281</v>
      </c>
      <c r="E816" t="s">
        <v>3284</v>
      </c>
      <c r="F816" t="str">
        <f>VLOOKUP(A816,Base!$A:$F,6,FALSE)</f>
        <v>COMÉRCIO; REPARAÇÃO DE VEÍCULOS AUTOMOTORES E MOTOCICLETAS</v>
      </c>
      <c r="G816" t="str">
        <f>VLOOKUP(B816,Base!$B:$F,5,FALSE)</f>
        <v>COMÉRCIO VAREJISTA</v>
      </c>
      <c r="H816" t="str">
        <f>VLOOKUP(C816,Base!$C:$F,4,FALSE)</f>
        <v>Comércio varejista de produtos alimentícios, bebidas e fumo</v>
      </c>
      <c r="I816" t="str">
        <f>VLOOKUP(D816,Base!$D:$F,3,FALSE)</f>
        <v>Comércio varejista de produtos de padaria, laticínio, doces, balas e semelhantes</v>
      </c>
      <c r="J816" t="str">
        <f>VLOOKUP(E816,Base!$E:$F,2,FALSE)</f>
        <v>Comércio varejista de doces, balas, bombons e semelhantes</v>
      </c>
      <c r="K816" t="s">
        <v>3284</v>
      </c>
      <c r="L816">
        <f>IFERROR(VLOOKUP($K816,Base_Atividades!$E$1:$N$2398,MATCH(BancoAjustado!L$1,Base_Atividades!$E$1:$N$1,0),FALSE),0)</f>
        <v>0</v>
      </c>
      <c r="M816">
        <f>IFERROR(VLOOKUP($K816,Base_Atividades!$E$1:$N$2398,MATCH(BancoAjustado!M$1,Base_Atividades!$E$1:$N$1,0),FALSE),0)</f>
        <v>0</v>
      </c>
      <c r="N816">
        <f>IFERROR(VLOOKUP($K816,Base_Atividades!$E$1:$N$2398,MATCH(BancoAjustado!N$1,Base_Atividades!$E$1:$N$1,0),FALSE),0)</f>
        <v>0</v>
      </c>
    </row>
    <row r="817" spans="1:14" x14ac:dyDescent="0.25">
      <c r="A817" t="s">
        <v>3043</v>
      </c>
      <c r="B817" t="s">
        <v>3267</v>
      </c>
      <c r="C817" t="s">
        <v>3280</v>
      </c>
      <c r="D817" t="s">
        <v>3285</v>
      </c>
      <c r="E817" t="s">
        <v>3286</v>
      </c>
      <c r="F817" t="str">
        <f>VLOOKUP(A817,Base!$A:$F,6,FALSE)</f>
        <v>COMÉRCIO; REPARAÇÃO DE VEÍCULOS AUTOMOTORES E MOTOCICLETAS</v>
      </c>
      <c r="G817" t="str">
        <f>VLOOKUP(B817,Base!$B:$F,5,FALSE)</f>
        <v>COMÉRCIO VAREJISTA</v>
      </c>
      <c r="H817" t="str">
        <f>VLOOKUP(C817,Base!$C:$F,4,FALSE)</f>
        <v>Comércio varejista de produtos alimentícios, bebidas e fumo</v>
      </c>
      <c r="I817" t="str">
        <f>VLOOKUP(D817,Base!$D:$F,3,FALSE)</f>
        <v>Comércio varejista de carnes e pescados - açougues e peixarias</v>
      </c>
      <c r="J817" t="str">
        <f>VLOOKUP(E817,Base!$E:$F,2,FALSE)</f>
        <v>Comércio varejista de carnes - açougues</v>
      </c>
      <c r="K817" t="s">
        <v>3286</v>
      </c>
      <c r="L817">
        <f>IFERROR(VLOOKUP($K817,Base_Atividades!$E$1:$N$2398,MATCH(BancoAjustado!L$1,Base_Atividades!$E$1:$N$1,0),FALSE),0)</f>
        <v>0</v>
      </c>
      <c r="M817">
        <f>IFERROR(VLOOKUP($K817,Base_Atividades!$E$1:$N$2398,MATCH(BancoAjustado!M$1,Base_Atividades!$E$1:$N$1,0),FALSE),0)</f>
        <v>0</v>
      </c>
      <c r="N817">
        <f>IFERROR(VLOOKUP($K817,Base_Atividades!$E$1:$N$2398,MATCH(BancoAjustado!N$1,Base_Atividades!$E$1:$N$1,0),FALSE),0)</f>
        <v>0</v>
      </c>
    </row>
    <row r="818" spans="1:14" x14ac:dyDescent="0.25">
      <c r="A818" t="s">
        <v>3043</v>
      </c>
      <c r="B818" t="s">
        <v>3267</v>
      </c>
      <c r="C818" t="s">
        <v>3280</v>
      </c>
      <c r="D818" t="s">
        <v>3285</v>
      </c>
      <c r="E818" t="s">
        <v>3287</v>
      </c>
      <c r="F818" t="str">
        <f>VLOOKUP(A818,Base!$A:$F,6,FALSE)</f>
        <v>COMÉRCIO; REPARAÇÃO DE VEÍCULOS AUTOMOTORES E MOTOCICLETAS</v>
      </c>
      <c r="G818" t="str">
        <f>VLOOKUP(B818,Base!$B:$F,5,FALSE)</f>
        <v>COMÉRCIO VAREJISTA</v>
      </c>
      <c r="H818" t="str">
        <f>VLOOKUP(C818,Base!$C:$F,4,FALSE)</f>
        <v>Comércio varejista de produtos alimentícios, bebidas e fumo</v>
      </c>
      <c r="I818" t="str">
        <f>VLOOKUP(D818,Base!$D:$F,3,FALSE)</f>
        <v>Comércio varejista de carnes e pescados - açougues e peixarias</v>
      </c>
      <c r="J818" t="str">
        <f>VLOOKUP(E818,Base!$E:$F,2,FALSE)</f>
        <v>Peixaria</v>
      </c>
      <c r="K818" t="s">
        <v>3287</v>
      </c>
      <c r="L818">
        <f>IFERROR(VLOOKUP($K818,Base_Atividades!$E$1:$N$2398,MATCH(BancoAjustado!L$1,Base_Atividades!$E$1:$N$1,0),FALSE),0)</f>
        <v>0</v>
      </c>
      <c r="M818">
        <f>IFERROR(VLOOKUP($K818,Base_Atividades!$E$1:$N$2398,MATCH(BancoAjustado!M$1,Base_Atividades!$E$1:$N$1,0),FALSE),0)</f>
        <v>0</v>
      </c>
      <c r="N818">
        <f>IFERROR(VLOOKUP($K818,Base_Atividades!$E$1:$N$2398,MATCH(BancoAjustado!N$1,Base_Atividades!$E$1:$N$1,0),FALSE),0)</f>
        <v>0</v>
      </c>
    </row>
    <row r="819" spans="1:14" x14ac:dyDescent="0.25">
      <c r="A819" t="s">
        <v>3043</v>
      </c>
      <c r="B819" t="s">
        <v>3267</v>
      </c>
      <c r="C819" t="s">
        <v>3280</v>
      </c>
      <c r="D819" t="s">
        <v>3288</v>
      </c>
      <c r="E819" t="s">
        <v>3289</v>
      </c>
      <c r="F819" t="str">
        <f>VLOOKUP(A819,Base!$A:$F,6,FALSE)</f>
        <v>COMÉRCIO; REPARAÇÃO DE VEÍCULOS AUTOMOTORES E MOTOCICLETAS</v>
      </c>
      <c r="G819" t="str">
        <f>VLOOKUP(B819,Base!$B:$F,5,FALSE)</f>
        <v>COMÉRCIO VAREJISTA</v>
      </c>
      <c r="H819" t="str">
        <f>VLOOKUP(C819,Base!$C:$F,4,FALSE)</f>
        <v>Comércio varejista de produtos alimentícios, bebidas e fumo</v>
      </c>
      <c r="I819" t="str">
        <f>VLOOKUP(D819,Base!$D:$F,3,FALSE)</f>
        <v>Comércio varejista de bebidas</v>
      </c>
      <c r="J819" t="str">
        <f>VLOOKUP(E819,Base!$E:$F,2,FALSE)</f>
        <v>Comércio varejista de bebidas</v>
      </c>
      <c r="K819" t="s">
        <v>3289</v>
      </c>
      <c r="L819">
        <f>IFERROR(VLOOKUP($K819,Base_Atividades!$E$1:$N$2398,MATCH(BancoAjustado!L$1,Base_Atividades!$E$1:$N$1,0),FALSE),0)</f>
        <v>0</v>
      </c>
      <c r="M819">
        <f>IFERROR(VLOOKUP($K819,Base_Atividades!$E$1:$N$2398,MATCH(BancoAjustado!M$1,Base_Atividades!$E$1:$N$1,0),FALSE),0)</f>
        <v>0</v>
      </c>
      <c r="N819">
        <f>IFERROR(VLOOKUP($K819,Base_Atividades!$E$1:$N$2398,MATCH(BancoAjustado!N$1,Base_Atividades!$E$1:$N$1,0),FALSE),0)</f>
        <v>0</v>
      </c>
    </row>
    <row r="820" spans="1:14" x14ac:dyDescent="0.25">
      <c r="A820" t="s">
        <v>3043</v>
      </c>
      <c r="B820" t="s">
        <v>3267</v>
      </c>
      <c r="C820" t="s">
        <v>3280</v>
      </c>
      <c r="D820" t="s">
        <v>3290</v>
      </c>
      <c r="E820" t="s">
        <v>3291</v>
      </c>
      <c r="F820" t="str">
        <f>VLOOKUP(A820,Base!$A:$F,6,FALSE)</f>
        <v>COMÉRCIO; REPARAÇÃO DE VEÍCULOS AUTOMOTORES E MOTOCICLETAS</v>
      </c>
      <c r="G820" t="str">
        <f>VLOOKUP(B820,Base!$B:$F,5,FALSE)</f>
        <v>COMÉRCIO VAREJISTA</v>
      </c>
      <c r="H820" t="str">
        <f>VLOOKUP(C820,Base!$C:$F,4,FALSE)</f>
        <v>Comércio varejista de produtos alimentícios, bebidas e fumo</v>
      </c>
      <c r="I820" t="str">
        <f>VLOOKUP(D820,Base!$D:$F,3,FALSE)</f>
        <v>Comércio varejista de hortifrutigranjeiros</v>
      </c>
      <c r="J820" t="str">
        <f>VLOOKUP(E820,Base!$E:$F,2,FALSE)</f>
        <v>Comércio varejista de hortifrutigranjeiros</v>
      </c>
      <c r="K820" t="s">
        <v>3291</v>
      </c>
      <c r="L820">
        <f>IFERROR(VLOOKUP($K820,Base_Atividades!$E$1:$N$2398,MATCH(BancoAjustado!L$1,Base_Atividades!$E$1:$N$1,0),FALSE),0)</f>
        <v>0</v>
      </c>
      <c r="M820">
        <f>IFERROR(VLOOKUP($K820,Base_Atividades!$E$1:$N$2398,MATCH(BancoAjustado!M$1,Base_Atividades!$E$1:$N$1,0),FALSE),0)</f>
        <v>0</v>
      </c>
      <c r="N820">
        <f>IFERROR(VLOOKUP($K820,Base_Atividades!$E$1:$N$2398,MATCH(BancoAjustado!N$1,Base_Atividades!$E$1:$N$1,0),FALSE),0)</f>
        <v>0</v>
      </c>
    </row>
    <row r="821" spans="1:14" x14ac:dyDescent="0.25">
      <c r="A821" t="s">
        <v>3043</v>
      </c>
      <c r="B821" t="s">
        <v>3267</v>
      </c>
      <c r="C821" t="s">
        <v>3280</v>
      </c>
      <c r="D821" t="s">
        <v>3292</v>
      </c>
      <c r="E821" t="s">
        <v>3293</v>
      </c>
      <c r="F821" t="str">
        <f>VLOOKUP(A821,Base!$A:$F,6,FALSE)</f>
        <v>COMÉRCIO; REPARAÇÃO DE VEÍCULOS AUTOMOTORES E MOTOCICLETAS</v>
      </c>
      <c r="G821" t="str">
        <f>VLOOKUP(B821,Base!$B:$F,5,FALSE)</f>
        <v>COMÉRCIO VAREJISTA</v>
      </c>
      <c r="H821" t="str">
        <f>VLOOKUP(C821,Base!$C:$F,4,FALSE)</f>
        <v>Comércio varejista de produtos alimentícios, bebidas e fumo</v>
      </c>
      <c r="I821" t="str">
        <f>VLOOKUP(D821,Base!$D:$F,3,FALSE)</f>
        <v>Comércio varejista de produtos alimentícios em geral ou especializado em produtos alimentícios não especificados anteriormente; produtos do fumo</v>
      </c>
      <c r="J821" t="str">
        <f>VLOOKUP(E821,Base!$E:$F,2,FALSE)</f>
        <v>Tabacaria</v>
      </c>
      <c r="K821" t="s">
        <v>3293</v>
      </c>
      <c r="L821">
        <f>IFERROR(VLOOKUP($K821,Base_Atividades!$E$1:$N$2398,MATCH(BancoAjustado!L$1,Base_Atividades!$E$1:$N$1,0),FALSE),0)</f>
        <v>0</v>
      </c>
      <c r="M821">
        <f>IFERROR(VLOOKUP($K821,Base_Atividades!$E$1:$N$2398,MATCH(BancoAjustado!M$1,Base_Atividades!$E$1:$N$1,0),FALSE),0)</f>
        <v>0</v>
      </c>
      <c r="N821">
        <f>IFERROR(VLOOKUP($K821,Base_Atividades!$E$1:$N$2398,MATCH(BancoAjustado!N$1,Base_Atividades!$E$1:$N$1,0),FALSE),0)</f>
        <v>0</v>
      </c>
    </row>
    <row r="822" spans="1:14" x14ac:dyDescent="0.25">
      <c r="A822" t="s">
        <v>3043</v>
      </c>
      <c r="B822" t="s">
        <v>3267</v>
      </c>
      <c r="C822" t="s">
        <v>3280</v>
      </c>
      <c r="D822" t="s">
        <v>3292</v>
      </c>
      <c r="E822" t="s">
        <v>3294</v>
      </c>
      <c r="F822" t="str">
        <f>VLOOKUP(A822,Base!$A:$F,6,FALSE)</f>
        <v>COMÉRCIO; REPARAÇÃO DE VEÍCULOS AUTOMOTORES E MOTOCICLETAS</v>
      </c>
      <c r="G822" t="str">
        <f>VLOOKUP(B822,Base!$B:$F,5,FALSE)</f>
        <v>COMÉRCIO VAREJISTA</v>
      </c>
      <c r="H822" t="str">
        <f>VLOOKUP(C822,Base!$C:$F,4,FALSE)</f>
        <v>Comércio varejista de produtos alimentícios, bebidas e fumo</v>
      </c>
      <c r="I822" t="str">
        <f>VLOOKUP(D822,Base!$D:$F,3,FALSE)</f>
        <v>Comércio varejista de produtos alimentícios em geral ou especializado em produtos alimentícios não especificados anteriormente; produtos do fumo</v>
      </c>
      <c r="J822" t="str">
        <f>VLOOKUP(E822,Base!$E:$F,2,FALSE)</f>
        <v>Comércio varejista de mercadorias em lojas de conveniência</v>
      </c>
      <c r="K822" t="s">
        <v>3294</v>
      </c>
      <c r="L822">
        <f>IFERROR(VLOOKUP($K822,Base_Atividades!$E$1:$N$2398,MATCH(BancoAjustado!L$1,Base_Atividades!$E$1:$N$1,0),FALSE),0)</f>
        <v>0</v>
      </c>
      <c r="M822">
        <f>IFERROR(VLOOKUP($K822,Base_Atividades!$E$1:$N$2398,MATCH(BancoAjustado!M$1,Base_Atividades!$E$1:$N$1,0),FALSE),0)</f>
        <v>0</v>
      </c>
      <c r="N822">
        <f>IFERROR(VLOOKUP($K822,Base_Atividades!$E$1:$N$2398,MATCH(BancoAjustado!N$1,Base_Atividades!$E$1:$N$1,0),FALSE),0)</f>
        <v>0</v>
      </c>
    </row>
    <row r="823" spans="1:14" x14ac:dyDescent="0.25">
      <c r="A823" t="s">
        <v>3043</v>
      </c>
      <c r="B823" t="s">
        <v>3267</v>
      </c>
      <c r="C823" t="s">
        <v>3280</v>
      </c>
      <c r="D823" t="s">
        <v>3292</v>
      </c>
      <c r="E823" t="s">
        <v>3295</v>
      </c>
      <c r="F823" t="str">
        <f>VLOOKUP(A823,Base!$A:$F,6,FALSE)</f>
        <v>COMÉRCIO; REPARAÇÃO DE VEÍCULOS AUTOMOTORES E MOTOCICLETAS</v>
      </c>
      <c r="G823" t="str">
        <f>VLOOKUP(B823,Base!$B:$F,5,FALSE)</f>
        <v>COMÉRCIO VAREJISTA</v>
      </c>
      <c r="H823" t="str">
        <f>VLOOKUP(C823,Base!$C:$F,4,FALSE)</f>
        <v>Comércio varejista de produtos alimentícios, bebidas e fumo</v>
      </c>
      <c r="I823" t="str">
        <f>VLOOKUP(D823,Base!$D:$F,3,FALSE)</f>
        <v>Comércio varejista de produtos alimentícios em geral ou especializado em produtos alimentícios não especificados anteriormente; produtos do fumo</v>
      </c>
      <c r="J823" t="str">
        <f>VLOOKUP(E823,Base!$E:$F,2,FALSE)</f>
        <v>Comércio varejista de produtos alimentícios em geral ou especializado em produtos alimentícios não especificados anteriormente</v>
      </c>
      <c r="K823" t="s">
        <v>3295</v>
      </c>
      <c r="L823">
        <f>IFERROR(VLOOKUP($K823,Base_Atividades!$E$1:$N$2398,MATCH(BancoAjustado!L$1,Base_Atividades!$E$1:$N$1,0),FALSE),0)</f>
        <v>0</v>
      </c>
      <c r="M823">
        <f>IFERROR(VLOOKUP($K823,Base_Atividades!$E$1:$N$2398,MATCH(BancoAjustado!M$1,Base_Atividades!$E$1:$N$1,0),FALSE),0)</f>
        <v>0</v>
      </c>
      <c r="N823">
        <f>IFERROR(VLOOKUP($K823,Base_Atividades!$E$1:$N$2398,MATCH(BancoAjustado!N$1,Base_Atividades!$E$1:$N$1,0),FALSE),0)</f>
        <v>0</v>
      </c>
    </row>
    <row r="824" spans="1:14" x14ac:dyDescent="0.25">
      <c r="A824" t="s">
        <v>3043</v>
      </c>
      <c r="B824" t="s">
        <v>3267</v>
      </c>
      <c r="C824" t="s">
        <v>3296</v>
      </c>
      <c r="D824" t="s">
        <v>3297</v>
      </c>
      <c r="E824" t="s">
        <v>3298</v>
      </c>
      <c r="F824" t="str">
        <f>VLOOKUP(A824,Base!$A:$F,6,FALSE)</f>
        <v>COMÉRCIO; REPARAÇÃO DE VEÍCULOS AUTOMOTORES E MOTOCICLETAS</v>
      </c>
      <c r="G824" t="str">
        <f>VLOOKUP(B824,Base!$B:$F,5,FALSE)</f>
        <v>COMÉRCIO VAREJISTA</v>
      </c>
      <c r="H824" t="str">
        <f>VLOOKUP(C824,Base!$C:$F,4,FALSE)</f>
        <v>Comércio varejista de combustíveis para veículos automotores</v>
      </c>
      <c r="I824" t="str">
        <f>VLOOKUP(D824,Base!$D:$F,3,FALSE)</f>
        <v>Comércio varejista de combustíveis para veículos automotores</v>
      </c>
      <c r="J824" t="str">
        <f>VLOOKUP(E824,Base!$E:$F,2,FALSE)</f>
        <v>Comércio varejista de combustíveis para veículos automotores</v>
      </c>
      <c r="K824" t="s">
        <v>3298</v>
      </c>
      <c r="L824">
        <f>IFERROR(VLOOKUP($K824,Base_Atividades!$E$1:$N$2398,MATCH(BancoAjustado!L$1,Base_Atividades!$E$1:$N$1,0),FALSE),0)</f>
        <v>0</v>
      </c>
      <c r="M824">
        <f>IFERROR(VLOOKUP($K824,Base_Atividades!$E$1:$N$2398,MATCH(BancoAjustado!M$1,Base_Atividades!$E$1:$N$1,0),FALSE),0)</f>
        <v>0</v>
      </c>
      <c r="N824">
        <f>IFERROR(VLOOKUP($K824,Base_Atividades!$E$1:$N$2398,MATCH(BancoAjustado!N$1,Base_Atividades!$E$1:$N$1,0),FALSE),0)</f>
        <v>0</v>
      </c>
    </row>
    <row r="825" spans="1:14" x14ac:dyDescent="0.25">
      <c r="A825" t="s">
        <v>3043</v>
      </c>
      <c r="B825" t="s">
        <v>3267</v>
      </c>
      <c r="C825" t="s">
        <v>3296</v>
      </c>
      <c r="D825" t="s">
        <v>3299</v>
      </c>
      <c r="E825" t="s">
        <v>3300</v>
      </c>
      <c r="F825" t="str">
        <f>VLOOKUP(A825,Base!$A:$F,6,FALSE)</f>
        <v>COMÉRCIO; REPARAÇÃO DE VEÍCULOS AUTOMOTORES E MOTOCICLETAS</v>
      </c>
      <c r="G825" t="str">
        <f>VLOOKUP(B825,Base!$B:$F,5,FALSE)</f>
        <v>COMÉRCIO VAREJISTA</v>
      </c>
      <c r="H825" t="str">
        <f>VLOOKUP(C825,Base!$C:$F,4,FALSE)</f>
        <v>Comércio varejista de combustíveis para veículos automotores</v>
      </c>
      <c r="I825" t="str">
        <f>VLOOKUP(D825,Base!$D:$F,3,FALSE)</f>
        <v>Comércio varejista de lubrificantes</v>
      </c>
      <c r="J825" t="str">
        <f>VLOOKUP(E825,Base!$E:$F,2,FALSE)</f>
        <v>Comércio varejista de lubrificantes</v>
      </c>
      <c r="K825" t="s">
        <v>3300</v>
      </c>
      <c r="L825">
        <f>IFERROR(VLOOKUP($K825,Base_Atividades!$E$1:$N$2398,MATCH(BancoAjustado!L$1,Base_Atividades!$E$1:$N$1,0),FALSE),0)</f>
        <v>0</v>
      </c>
      <c r="M825">
        <f>IFERROR(VLOOKUP($K825,Base_Atividades!$E$1:$N$2398,MATCH(BancoAjustado!M$1,Base_Atividades!$E$1:$N$1,0),FALSE),0)</f>
        <v>0</v>
      </c>
      <c r="N825">
        <f>IFERROR(VLOOKUP($K825,Base_Atividades!$E$1:$N$2398,MATCH(BancoAjustado!N$1,Base_Atividades!$E$1:$N$1,0),FALSE),0)</f>
        <v>0</v>
      </c>
    </row>
    <row r="826" spans="1:14" x14ac:dyDescent="0.25">
      <c r="A826" t="s">
        <v>3043</v>
      </c>
      <c r="B826" t="s">
        <v>3267</v>
      </c>
      <c r="C826" t="s">
        <v>3301</v>
      </c>
      <c r="D826" t="s">
        <v>3302</v>
      </c>
      <c r="E826" t="s">
        <v>3303</v>
      </c>
      <c r="F826" t="str">
        <f>VLOOKUP(A826,Base!$A:$F,6,FALSE)</f>
        <v>COMÉRCIO; REPARAÇÃO DE VEÍCULOS AUTOMOTORES E MOTOCICLETAS</v>
      </c>
      <c r="G826" t="str">
        <f>VLOOKUP(B826,Base!$B:$F,5,FALSE)</f>
        <v>COMÉRCIO VAREJISTA</v>
      </c>
      <c r="H826" t="str">
        <f>VLOOKUP(C826,Base!$C:$F,4,FALSE)</f>
        <v>Comércio varejista de material de construção</v>
      </c>
      <c r="I826" t="str">
        <f>VLOOKUP(D826,Base!$D:$F,3,FALSE)</f>
        <v>Comércio varejista de tintas e materiais para pintura</v>
      </c>
      <c r="J826" t="str">
        <f>VLOOKUP(E826,Base!$E:$F,2,FALSE)</f>
        <v>Comércio varejista de tintas e materiais para pintura</v>
      </c>
      <c r="K826" t="s">
        <v>3303</v>
      </c>
      <c r="L826">
        <f>IFERROR(VLOOKUP($K826,Base_Atividades!$E$1:$N$2398,MATCH(BancoAjustado!L$1,Base_Atividades!$E$1:$N$1,0),FALSE),0)</f>
        <v>0</v>
      </c>
      <c r="M826">
        <f>IFERROR(VLOOKUP($K826,Base_Atividades!$E$1:$N$2398,MATCH(BancoAjustado!M$1,Base_Atividades!$E$1:$N$1,0),FALSE),0)</f>
        <v>0</v>
      </c>
      <c r="N826">
        <f>IFERROR(VLOOKUP($K826,Base_Atividades!$E$1:$N$2398,MATCH(BancoAjustado!N$1,Base_Atividades!$E$1:$N$1,0),FALSE),0)</f>
        <v>0</v>
      </c>
    </row>
    <row r="827" spans="1:14" x14ac:dyDescent="0.25">
      <c r="A827" t="s">
        <v>3043</v>
      </c>
      <c r="B827" t="s">
        <v>3267</v>
      </c>
      <c r="C827" t="s">
        <v>3301</v>
      </c>
      <c r="D827" t="s">
        <v>3304</v>
      </c>
      <c r="E827" t="s">
        <v>3305</v>
      </c>
      <c r="F827" t="str">
        <f>VLOOKUP(A827,Base!$A:$F,6,FALSE)</f>
        <v>COMÉRCIO; REPARAÇÃO DE VEÍCULOS AUTOMOTORES E MOTOCICLETAS</v>
      </c>
      <c r="G827" t="str">
        <f>VLOOKUP(B827,Base!$B:$F,5,FALSE)</f>
        <v>COMÉRCIO VAREJISTA</v>
      </c>
      <c r="H827" t="str">
        <f>VLOOKUP(C827,Base!$C:$F,4,FALSE)</f>
        <v>Comércio varejista de material de construção</v>
      </c>
      <c r="I827" t="str">
        <f>VLOOKUP(D827,Base!$D:$F,3,FALSE)</f>
        <v>Comércio varejista de material elétrico</v>
      </c>
      <c r="J827" t="str">
        <f>VLOOKUP(E827,Base!$E:$F,2,FALSE)</f>
        <v>Comércio varejista de material elétrico</v>
      </c>
      <c r="K827" t="s">
        <v>3305</v>
      </c>
      <c r="L827">
        <f>IFERROR(VLOOKUP($K827,Base_Atividades!$E$1:$N$2398,MATCH(BancoAjustado!L$1,Base_Atividades!$E$1:$N$1,0),FALSE),0)</f>
        <v>0</v>
      </c>
      <c r="M827">
        <f>IFERROR(VLOOKUP($K827,Base_Atividades!$E$1:$N$2398,MATCH(BancoAjustado!M$1,Base_Atividades!$E$1:$N$1,0),FALSE),0)</f>
        <v>0</v>
      </c>
      <c r="N827">
        <f>IFERROR(VLOOKUP($K827,Base_Atividades!$E$1:$N$2398,MATCH(BancoAjustado!N$1,Base_Atividades!$E$1:$N$1,0),FALSE),0)</f>
        <v>0</v>
      </c>
    </row>
    <row r="828" spans="1:14" x14ac:dyDescent="0.25">
      <c r="A828" t="s">
        <v>3043</v>
      </c>
      <c r="B828" t="s">
        <v>3267</v>
      </c>
      <c r="C828" t="s">
        <v>3301</v>
      </c>
      <c r="D828" t="s">
        <v>3306</v>
      </c>
      <c r="E828" t="s">
        <v>3307</v>
      </c>
      <c r="F828" t="str">
        <f>VLOOKUP(A828,Base!$A:$F,6,FALSE)</f>
        <v>COMÉRCIO; REPARAÇÃO DE VEÍCULOS AUTOMOTORES E MOTOCICLETAS</v>
      </c>
      <c r="G828" t="str">
        <f>VLOOKUP(B828,Base!$B:$F,5,FALSE)</f>
        <v>COMÉRCIO VAREJISTA</v>
      </c>
      <c r="H828" t="str">
        <f>VLOOKUP(C828,Base!$C:$F,4,FALSE)</f>
        <v>Comércio varejista de material de construção</v>
      </c>
      <c r="I828" t="str">
        <f>VLOOKUP(D828,Base!$D:$F,3,FALSE)</f>
        <v>Comércio varejista de vidros</v>
      </c>
      <c r="J828" t="str">
        <f>VLOOKUP(E828,Base!$E:$F,2,FALSE)</f>
        <v>Comércio varejista de vidros</v>
      </c>
      <c r="K828" t="s">
        <v>3307</v>
      </c>
      <c r="L828">
        <f>IFERROR(VLOOKUP($K828,Base_Atividades!$E$1:$N$2398,MATCH(BancoAjustado!L$1,Base_Atividades!$E$1:$N$1,0),FALSE),0)</f>
        <v>0</v>
      </c>
      <c r="M828">
        <f>IFERROR(VLOOKUP($K828,Base_Atividades!$E$1:$N$2398,MATCH(BancoAjustado!M$1,Base_Atividades!$E$1:$N$1,0),FALSE),0)</f>
        <v>0</v>
      </c>
      <c r="N828">
        <f>IFERROR(VLOOKUP($K828,Base_Atividades!$E$1:$N$2398,MATCH(BancoAjustado!N$1,Base_Atividades!$E$1:$N$1,0),FALSE),0)</f>
        <v>0</v>
      </c>
    </row>
    <row r="829" spans="1:14" x14ac:dyDescent="0.25">
      <c r="A829" t="s">
        <v>3043</v>
      </c>
      <c r="B829" t="s">
        <v>3267</v>
      </c>
      <c r="C829" t="s">
        <v>3301</v>
      </c>
      <c r="D829" t="s">
        <v>3308</v>
      </c>
      <c r="E829" t="s">
        <v>3309</v>
      </c>
      <c r="F829" t="str">
        <f>VLOOKUP(A829,Base!$A:$F,6,FALSE)</f>
        <v>COMÉRCIO; REPARAÇÃO DE VEÍCULOS AUTOMOTORES E MOTOCICLETAS</v>
      </c>
      <c r="G829" t="str">
        <f>VLOOKUP(B829,Base!$B:$F,5,FALSE)</f>
        <v>COMÉRCIO VAREJISTA</v>
      </c>
      <c r="H829" t="str">
        <f>VLOOKUP(C829,Base!$C:$F,4,FALSE)</f>
        <v>Comércio varejista de material de construção</v>
      </c>
      <c r="I829" t="str">
        <f>VLOOKUP(D829,Base!$D:$F,3,FALSE)</f>
        <v>Comércio varejista de ferragens, madeira e materiais de construção</v>
      </c>
      <c r="J829" t="str">
        <f>VLOOKUP(E829,Base!$E:$F,2,FALSE)</f>
        <v>Comércio varejista de ferragens e ferramentas</v>
      </c>
      <c r="K829" t="s">
        <v>3309</v>
      </c>
      <c r="L829">
        <f>IFERROR(VLOOKUP($K829,Base_Atividades!$E$1:$N$2398,MATCH(BancoAjustado!L$1,Base_Atividades!$E$1:$N$1,0),FALSE),0)</f>
        <v>0</v>
      </c>
      <c r="M829">
        <f>IFERROR(VLOOKUP($K829,Base_Atividades!$E$1:$N$2398,MATCH(BancoAjustado!M$1,Base_Atividades!$E$1:$N$1,0),FALSE),0)</f>
        <v>0</v>
      </c>
      <c r="N829">
        <f>IFERROR(VLOOKUP($K829,Base_Atividades!$E$1:$N$2398,MATCH(BancoAjustado!N$1,Base_Atividades!$E$1:$N$1,0),FALSE),0)</f>
        <v>0</v>
      </c>
    </row>
    <row r="830" spans="1:14" x14ac:dyDescent="0.25">
      <c r="A830" t="s">
        <v>3043</v>
      </c>
      <c r="B830" t="s">
        <v>3267</v>
      </c>
      <c r="C830" t="s">
        <v>3301</v>
      </c>
      <c r="D830" t="s">
        <v>3308</v>
      </c>
      <c r="E830" t="s">
        <v>3310</v>
      </c>
      <c r="F830" t="str">
        <f>VLOOKUP(A830,Base!$A:$F,6,FALSE)</f>
        <v>COMÉRCIO; REPARAÇÃO DE VEÍCULOS AUTOMOTORES E MOTOCICLETAS</v>
      </c>
      <c r="G830" t="str">
        <f>VLOOKUP(B830,Base!$B:$F,5,FALSE)</f>
        <v>COMÉRCIO VAREJISTA</v>
      </c>
      <c r="H830" t="str">
        <f>VLOOKUP(C830,Base!$C:$F,4,FALSE)</f>
        <v>Comércio varejista de material de construção</v>
      </c>
      <c r="I830" t="str">
        <f>VLOOKUP(D830,Base!$D:$F,3,FALSE)</f>
        <v>Comércio varejista de ferragens, madeira e materiais de construção</v>
      </c>
      <c r="J830" t="str">
        <f>VLOOKUP(E830,Base!$E:$F,2,FALSE)</f>
        <v>Comércio varejista de madeira e artefatos</v>
      </c>
      <c r="K830" t="s">
        <v>3310</v>
      </c>
      <c r="L830">
        <f>IFERROR(VLOOKUP($K830,Base_Atividades!$E$1:$N$2398,MATCH(BancoAjustado!L$1,Base_Atividades!$E$1:$N$1,0),FALSE),0)</f>
        <v>0</v>
      </c>
      <c r="M830">
        <f>IFERROR(VLOOKUP($K830,Base_Atividades!$E$1:$N$2398,MATCH(BancoAjustado!M$1,Base_Atividades!$E$1:$N$1,0),FALSE),0)</f>
        <v>0</v>
      </c>
      <c r="N830">
        <f>IFERROR(VLOOKUP($K830,Base_Atividades!$E$1:$N$2398,MATCH(BancoAjustado!N$1,Base_Atividades!$E$1:$N$1,0),FALSE),0)</f>
        <v>0</v>
      </c>
    </row>
    <row r="831" spans="1:14" x14ac:dyDescent="0.25">
      <c r="A831" t="s">
        <v>3043</v>
      </c>
      <c r="B831" t="s">
        <v>3267</v>
      </c>
      <c r="C831" t="s">
        <v>3301</v>
      </c>
      <c r="D831" t="s">
        <v>3308</v>
      </c>
      <c r="E831" t="s">
        <v>3311</v>
      </c>
      <c r="F831" t="str">
        <f>VLOOKUP(A831,Base!$A:$F,6,FALSE)</f>
        <v>COMÉRCIO; REPARAÇÃO DE VEÍCULOS AUTOMOTORES E MOTOCICLETAS</v>
      </c>
      <c r="G831" t="str">
        <f>VLOOKUP(B831,Base!$B:$F,5,FALSE)</f>
        <v>COMÉRCIO VAREJISTA</v>
      </c>
      <c r="H831" t="str">
        <f>VLOOKUP(C831,Base!$C:$F,4,FALSE)</f>
        <v>Comércio varejista de material de construção</v>
      </c>
      <c r="I831" t="str">
        <f>VLOOKUP(D831,Base!$D:$F,3,FALSE)</f>
        <v>Comércio varejista de ferragens, madeira e materiais de construção</v>
      </c>
      <c r="J831" t="str">
        <f>VLOOKUP(E831,Base!$E:$F,2,FALSE)</f>
        <v>Comércio varejista de materiais hidráulicos</v>
      </c>
      <c r="K831" t="s">
        <v>3311</v>
      </c>
      <c r="L831">
        <f>IFERROR(VLOOKUP($K831,Base_Atividades!$E$1:$N$2398,MATCH(BancoAjustado!L$1,Base_Atividades!$E$1:$N$1,0),FALSE),0)</f>
        <v>0</v>
      </c>
      <c r="M831">
        <f>IFERROR(VLOOKUP($K831,Base_Atividades!$E$1:$N$2398,MATCH(BancoAjustado!M$1,Base_Atividades!$E$1:$N$1,0),FALSE),0)</f>
        <v>0</v>
      </c>
      <c r="N831">
        <f>IFERROR(VLOOKUP($K831,Base_Atividades!$E$1:$N$2398,MATCH(BancoAjustado!N$1,Base_Atividades!$E$1:$N$1,0),FALSE),0)</f>
        <v>0</v>
      </c>
    </row>
    <row r="832" spans="1:14" x14ac:dyDescent="0.25">
      <c r="A832" t="s">
        <v>3043</v>
      </c>
      <c r="B832" t="s">
        <v>3267</v>
      </c>
      <c r="C832" t="s">
        <v>3301</v>
      </c>
      <c r="D832" t="s">
        <v>3308</v>
      </c>
      <c r="E832" t="s">
        <v>3312</v>
      </c>
      <c r="F832" t="str">
        <f>VLOOKUP(A832,Base!$A:$F,6,FALSE)</f>
        <v>COMÉRCIO; REPARAÇÃO DE VEÍCULOS AUTOMOTORES E MOTOCICLETAS</v>
      </c>
      <c r="G832" t="str">
        <f>VLOOKUP(B832,Base!$B:$F,5,FALSE)</f>
        <v>COMÉRCIO VAREJISTA</v>
      </c>
      <c r="H832" t="str">
        <f>VLOOKUP(C832,Base!$C:$F,4,FALSE)</f>
        <v>Comércio varejista de material de construção</v>
      </c>
      <c r="I832" t="str">
        <f>VLOOKUP(D832,Base!$D:$F,3,FALSE)</f>
        <v>Comércio varejista de ferragens, madeira e materiais de construção</v>
      </c>
      <c r="J832" t="str">
        <f>VLOOKUP(E832,Base!$E:$F,2,FALSE)</f>
        <v>Comércio varejista de cal, areia, pedra britada, tijolos e telhas</v>
      </c>
      <c r="K832" t="s">
        <v>3312</v>
      </c>
      <c r="L832">
        <f>IFERROR(VLOOKUP($K832,Base_Atividades!$E$1:$N$2398,MATCH(BancoAjustado!L$1,Base_Atividades!$E$1:$N$1,0),FALSE),0)</f>
        <v>0</v>
      </c>
      <c r="M832">
        <f>IFERROR(VLOOKUP($K832,Base_Atividades!$E$1:$N$2398,MATCH(BancoAjustado!M$1,Base_Atividades!$E$1:$N$1,0),FALSE),0)</f>
        <v>0</v>
      </c>
      <c r="N832">
        <f>IFERROR(VLOOKUP($K832,Base_Atividades!$E$1:$N$2398,MATCH(BancoAjustado!N$1,Base_Atividades!$E$1:$N$1,0),FALSE),0)</f>
        <v>0</v>
      </c>
    </row>
    <row r="833" spans="1:14" x14ac:dyDescent="0.25">
      <c r="A833" t="s">
        <v>3043</v>
      </c>
      <c r="B833" t="s">
        <v>3267</v>
      </c>
      <c r="C833" t="s">
        <v>3301</v>
      </c>
      <c r="D833" t="s">
        <v>3308</v>
      </c>
      <c r="E833" t="s">
        <v>3313</v>
      </c>
      <c r="F833" t="str">
        <f>VLOOKUP(A833,Base!$A:$F,6,FALSE)</f>
        <v>COMÉRCIO; REPARAÇÃO DE VEÍCULOS AUTOMOTORES E MOTOCICLETAS</v>
      </c>
      <c r="G833" t="str">
        <f>VLOOKUP(B833,Base!$B:$F,5,FALSE)</f>
        <v>COMÉRCIO VAREJISTA</v>
      </c>
      <c r="H833" t="str">
        <f>VLOOKUP(C833,Base!$C:$F,4,FALSE)</f>
        <v>Comércio varejista de material de construção</v>
      </c>
      <c r="I833" t="str">
        <f>VLOOKUP(D833,Base!$D:$F,3,FALSE)</f>
        <v>Comércio varejista de ferragens, madeira e materiais de construção</v>
      </c>
      <c r="J833" t="str">
        <f>VLOOKUP(E833,Base!$E:$F,2,FALSE)</f>
        <v>Comércio varejista de materiais de construção não especificados anteriormente</v>
      </c>
      <c r="K833" t="s">
        <v>3313</v>
      </c>
      <c r="L833">
        <f>IFERROR(VLOOKUP($K833,Base_Atividades!$E$1:$N$2398,MATCH(BancoAjustado!L$1,Base_Atividades!$E$1:$N$1,0),FALSE),0)</f>
        <v>0</v>
      </c>
      <c r="M833">
        <f>IFERROR(VLOOKUP($K833,Base_Atividades!$E$1:$N$2398,MATCH(BancoAjustado!M$1,Base_Atividades!$E$1:$N$1,0),FALSE),0)</f>
        <v>0</v>
      </c>
      <c r="N833">
        <f>IFERROR(VLOOKUP($K833,Base_Atividades!$E$1:$N$2398,MATCH(BancoAjustado!N$1,Base_Atividades!$E$1:$N$1,0),FALSE),0)</f>
        <v>0</v>
      </c>
    </row>
    <row r="834" spans="1:14" x14ac:dyDescent="0.25">
      <c r="A834" t="s">
        <v>3043</v>
      </c>
      <c r="B834" t="s">
        <v>3267</v>
      </c>
      <c r="C834" t="s">
        <v>3301</v>
      </c>
      <c r="D834" t="s">
        <v>3308</v>
      </c>
      <c r="E834" t="s">
        <v>3314</v>
      </c>
      <c r="F834" t="str">
        <f>VLOOKUP(A834,Base!$A:$F,6,FALSE)</f>
        <v>COMÉRCIO; REPARAÇÃO DE VEÍCULOS AUTOMOTORES E MOTOCICLETAS</v>
      </c>
      <c r="G834" t="str">
        <f>VLOOKUP(B834,Base!$B:$F,5,FALSE)</f>
        <v>COMÉRCIO VAREJISTA</v>
      </c>
      <c r="H834" t="str">
        <f>VLOOKUP(C834,Base!$C:$F,4,FALSE)</f>
        <v>Comércio varejista de material de construção</v>
      </c>
      <c r="I834" t="str">
        <f>VLOOKUP(D834,Base!$D:$F,3,FALSE)</f>
        <v>Comércio varejista de ferragens, madeira e materiais de construção</v>
      </c>
      <c r="J834" t="str">
        <f>VLOOKUP(E834,Base!$E:$F,2,FALSE)</f>
        <v>Comércio varejista de pedras para revestimento</v>
      </c>
      <c r="K834" t="s">
        <v>3314</v>
      </c>
      <c r="L834">
        <f>IFERROR(VLOOKUP($K834,Base_Atividades!$E$1:$N$2398,MATCH(BancoAjustado!L$1,Base_Atividades!$E$1:$N$1,0),FALSE),0)</f>
        <v>0</v>
      </c>
      <c r="M834">
        <f>IFERROR(VLOOKUP($K834,Base_Atividades!$E$1:$N$2398,MATCH(BancoAjustado!M$1,Base_Atividades!$E$1:$N$1,0),FALSE),0)</f>
        <v>0</v>
      </c>
      <c r="N834">
        <f>IFERROR(VLOOKUP($K834,Base_Atividades!$E$1:$N$2398,MATCH(BancoAjustado!N$1,Base_Atividades!$E$1:$N$1,0),FALSE),0)</f>
        <v>0</v>
      </c>
    </row>
    <row r="835" spans="1:14" x14ac:dyDescent="0.25">
      <c r="A835" t="s">
        <v>3043</v>
      </c>
      <c r="B835" t="s">
        <v>3267</v>
      </c>
      <c r="C835" t="s">
        <v>3301</v>
      </c>
      <c r="D835" t="s">
        <v>3308</v>
      </c>
      <c r="E835" t="s">
        <v>3315</v>
      </c>
      <c r="F835" t="str">
        <f>VLOOKUP(A835,Base!$A:$F,6,FALSE)</f>
        <v>COMÉRCIO; REPARAÇÃO DE VEÍCULOS AUTOMOTORES E MOTOCICLETAS</v>
      </c>
      <c r="G835" t="str">
        <f>VLOOKUP(B835,Base!$B:$F,5,FALSE)</f>
        <v>COMÉRCIO VAREJISTA</v>
      </c>
      <c r="H835" t="str">
        <f>VLOOKUP(C835,Base!$C:$F,4,FALSE)</f>
        <v>Comércio varejista de material de construção</v>
      </c>
      <c r="I835" t="str">
        <f>VLOOKUP(D835,Base!$D:$F,3,FALSE)</f>
        <v>Comércio varejista de ferragens, madeira e materiais de construção</v>
      </c>
      <c r="J835" t="str">
        <f>VLOOKUP(E835,Base!$E:$F,2,FALSE)</f>
        <v>Comércio varejista de materiais de construção em geral</v>
      </c>
      <c r="K835" t="s">
        <v>3315</v>
      </c>
      <c r="L835">
        <f>IFERROR(VLOOKUP($K835,Base_Atividades!$E$1:$N$2398,MATCH(BancoAjustado!L$1,Base_Atividades!$E$1:$N$1,0),FALSE),0)</f>
        <v>0</v>
      </c>
      <c r="M835">
        <f>IFERROR(VLOOKUP($K835,Base_Atividades!$E$1:$N$2398,MATCH(BancoAjustado!M$1,Base_Atividades!$E$1:$N$1,0),FALSE),0)</f>
        <v>0</v>
      </c>
      <c r="N835">
        <f>IFERROR(VLOOKUP($K835,Base_Atividades!$E$1:$N$2398,MATCH(BancoAjustado!N$1,Base_Atividades!$E$1:$N$1,0),FALSE),0)</f>
        <v>0</v>
      </c>
    </row>
    <row r="836" spans="1:14" x14ac:dyDescent="0.25">
      <c r="A836" t="s">
        <v>3043</v>
      </c>
      <c r="B836" t="s">
        <v>3267</v>
      </c>
      <c r="C836" t="s">
        <v>3316</v>
      </c>
      <c r="D836" t="s">
        <v>3317</v>
      </c>
      <c r="E836" t="s">
        <v>3318</v>
      </c>
      <c r="F836" t="str">
        <f>VLOOKUP(A836,Base!$A:$F,6,FALSE)</f>
        <v>COMÉRCIO; REPARAÇÃO DE VEÍCULOS AUTOMOTORES E MOTOCICLETAS</v>
      </c>
      <c r="G836" t="str">
        <f>VLOOKUP(B836,Base!$B:$F,5,FALSE)</f>
        <v>COMÉRCIO VAREJISTA</v>
      </c>
      <c r="H836" t="str">
        <f>VLOOKUP(C836,Base!$C:$F,4,FALSE)</f>
        <v>Comércio varejista de equipamentos de informática e comunicação; equipamentos e artigos de uso doméstico</v>
      </c>
      <c r="I836" t="str">
        <f>VLOOKUP(D836,Base!$D:$F,3,FALSE)</f>
        <v>Comércio varejista especializado de equipamentos e suprimentos de informática</v>
      </c>
      <c r="J836" t="str">
        <f>VLOOKUP(E836,Base!$E:$F,2,FALSE)</f>
        <v>Comércio varejista especializado de equipamentos e suprimentos de informática</v>
      </c>
      <c r="K836" t="s">
        <v>3318</v>
      </c>
      <c r="L836">
        <f>IFERROR(VLOOKUP($K836,Base_Atividades!$E$1:$N$2398,MATCH(BancoAjustado!L$1,Base_Atividades!$E$1:$N$1,0),FALSE),0)</f>
        <v>0</v>
      </c>
      <c r="M836">
        <f>IFERROR(VLOOKUP($K836,Base_Atividades!$E$1:$N$2398,MATCH(BancoAjustado!M$1,Base_Atividades!$E$1:$N$1,0),FALSE),0)</f>
        <v>0</v>
      </c>
      <c r="N836">
        <f>IFERROR(VLOOKUP($K836,Base_Atividades!$E$1:$N$2398,MATCH(BancoAjustado!N$1,Base_Atividades!$E$1:$N$1,0),FALSE),0)</f>
        <v>0</v>
      </c>
    </row>
    <row r="837" spans="1:14" x14ac:dyDescent="0.25">
      <c r="A837" t="s">
        <v>3043</v>
      </c>
      <c r="B837" t="s">
        <v>3267</v>
      </c>
      <c r="C837" t="s">
        <v>3316</v>
      </c>
      <c r="D837" t="s">
        <v>3317</v>
      </c>
      <c r="E837" t="s">
        <v>3319</v>
      </c>
      <c r="F837" t="str">
        <f>VLOOKUP(A837,Base!$A:$F,6,FALSE)</f>
        <v>COMÉRCIO; REPARAÇÃO DE VEÍCULOS AUTOMOTORES E MOTOCICLETAS</v>
      </c>
      <c r="G837" t="str">
        <f>VLOOKUP(B837,Base!$B:$F,5,FALSE)</f>
        <v>COMÉRCIO VAREJISTA</v>
      </c>
      <c r="H837" t="str">
        <f>VLOOKUP(C837,Base!$C:$F,4,FALSE)</f>
        <v>Comércio varejista de equipamentos de informática e comunicação; equipamentos e artigos de uso doméstico</v>
      </c>
      <c r="I837" t="str">
        <f>VLOOKUP(D837,Base!$D:$F,3,FALSE)</f>
        <v>Comércio varejista especializado de equipamentos e suprimentos de informática</v>
      </c>
      <c r="J837" t="str">
        <f>VLOOKUP(E837,Base!$E:$F,2,FALSE)</f>
        <v>Recarga de cartuchos para equipamentos de informática</v>
      </c>
      <c r="K837" t="s">
        <v>3319</v>
      </c>
      <c r="L837">
        <f>IFERROR(VLOOKUP($K837,Base_Atividades!$E$1:$N$2398,MATCH(BancoAjustado!L$1,Base_Atividades!$E$1:$N$1,0),FALSE),0)</f>
        <v>0</v>
      </c>
      <c r="M837">
        <f>IFERROR(VLOOKUP($K837,Base_Atividades!$E$1:$N$2398,MATCH(BancoAjustado!M$1,Base_Atividades!$E$1:$N$1,0),FALSE),0)</f>
        <v>0</v>
      </c>
      <c r="N837">
        <f>IFERROR(VLOOKUP($K837,Base_Atividades!$E$1:$N$2398,MATCH(BancoAjustado!N$1,Base_Atividades!$E$1:$N$1,0),FALSE),0)</f>
        <v>0</v>
      </c>
    </row>
    <row r="838" spans="1:14" x14ac:dyDescent="0.25">
      <c r="A838" t="s">
        <v>3043</v>
      </c>
      <c r="B838" t="s">
        <v>3267</v>
      </c>
      <c r="C838" t="s">
        <v>3316</v>
      </c>
      <c r="D838" t="s">
        <v>3320</v>
      </c>
      <c r="E838" t="s">
        <v>3321</v>
      </c>
      <c r="F838" t="str">
        <f>VLOOKUP(A838,Base!$A:$F,6,FALSE)</f>
        <v>COMÉRCIO; REPARAÇÃO DE VEÍCULOS AUTOMOTORES E MOTOCICLETAS</v>
      </c>
      <c r="G838" t="str">
        <f>VLOOKUP(B838,Base!$B:$F,5,FALSE)</f>
        <v>COMÉRCIO VAREJISTA</v>
      </c>
      <c r="H838" t="str">
        <f>VLOOKUP(C838,Base!$C:$F,4,FALSE)</f>
        <v>Comércio varejista de equipamentos de informática e comunicação; equipamentos e artigos de uso doméstico</v>
      </c>
      <c r="I838" t="str">
        <f>VLOOKUP(D838,Base!$D:$F,3,FALSE)</f>
        <v>Comércio varejista especializado de equipamentos de telefonia e comunicação</v>
      </c>
      <c r="J838" t="str">
        <f>VLOOKUP(E838,Base!$E:$F,2,FALSE)</f>
        <v>Comércio varejista especializado de equipamentos de telefonia e comunicação</v>
      </c>
      <c r="K838" t="s">
        <v>3321</v>
      </c>
      <c r="L838">
        <f>IFERROR(VLOOKUP($K838,Base_Atividades!$E$1:$N$2398,MATCH(BancoAjustado!L$1,Base_Atividades!$E$1:$N$1,0),FALSE),0)</f>
        <v>0</v>
      </c>
      <c r="M838">
        <f>IFERROR(VLOOKUP($K838,Base_Atividades!$E$1:$N$2398,MATCH(BancoAjustado!M$1,Base_Atividades!$E$1:$N$1,0),FALSE),0)</f>
        <v>0</v>
      </c>
      <c r="N838">
        <f>IFERROR(VLOOKUP($K838,Base_Atividades!$E$1:$N$2398,MATCH(BancoAjustado!N$1,Base_Atividades!$E$1:$N$1,0),FALSE),0)</f>
        <v>0</v>
      </c>
    </row>
    <row r="839" spans="1:14" x14ac:dyDescent="0.25">
      <c r="A839" t="s">
        <v>3043</v>
      </c>
      <c r="B839" t="s">
        <v>3267</v>
      </c>
      <c r="C839" t="s">
        <v>3316</v>
      </c>
      <c r="D839" t="s">
        <v>3322</v>
      </c>
      <c r="E839" t="s">
        <v>3323</v>
      </c>
      <c r="F839" t="str">
        <f>VLOOKUP(A839,Base!$A:$F,6,FALSE)</f>
        <v>COMÉRCIO; REPARAÇÃO DE VEÍCULOS AUTOMOTORES E MOTOCICLETAS</v>
      </c>
      <c r="G839" t="str">
        <f>VLOOKUP(B839,Base!$B:$F,5,FALSE)</f>
        <v>COMÉRCIO VAREJISTA</v>
      </c>
      <c r="H839" t="str">
        <f>VLOOKUP(C839,Base!$C:$F,4,FALSE)</f>
        <v>Comércio varejista de equipamentos de informática e comunicação; equipamentos e artigos de uso doméstico</v>
      </c>
      <c r="I839" t="str">
        <f>VLOOKUP(D839,Base!$D:$F,3,FALSE)</f>
        <v>Comércio varejista especializado de eletrodomésticos e equipamentos de áudio e vídeo</v>
      </c>
      <c r="J839" t="str">
        <f>VLOOKUP(E839,Base!$E:$F,2,FALSE)</f>
        <v>Comércio varejista especializado de eletrodomésticos e equipamentos de áudio e vídeo</v>
      </c>
      <c r="K839" t="s">
        <v>3323</v>
      </c>
      <c r="L839">
        <f>IFERROR(VLOOKUP($K839,Base_Atividades!$E$1:$N$2398,MATCH(BancoAjustado!L$1,Base_Atividades!$E$1:$N$1,0),FALSE),0)</f>
        <v>0</v>
      </c>
      <c r="M839">
        <f>IFERROR(VLOOKUP($K839,Base_Atividades!$E$1:$N$2398,MATCH(BancoAjustado!M$1,Base_Atividades!$E$1:$N$1,0),FALSE),0)</f>
        <v>0</v>
      </c>
      <c r="N839">
        <f>IFERROR(VLOOKUP($K839,Base_Atividades!$E$1:$N$2398,MATCH(BancoAjustado!N$1,Base_Atividades!$E$1:$N$1,0),FALSE),0)</f>
        <v>0</v>
      </c>
    </row>
    <row r="840" spans="1:14" x14ac:dyDescent="0.25">
      <c r="A840" t="s">
        <v>3043</v>
      </c>
      <c r="B840" t="s">
        <v>3267</v>
      </c>
      <c r="C840" t="s">
        <v>3316</v>
      </c>
      <c r="D840" t="s">
        <v>3324</v>
      </c>
      <c r="E840" t="s">
        <v>3325</v>
      </c>
      <c r="F840" t="str">
        <f>VLOOKUP(A840,Base!$A:$F,6,FALSE)</f>
        <v>COMÉRCIO; REPARAÇÃO DE VEÍCULOS AUTOMOTORES E MOTOCICLETAS</v>
      </c>
      <c r="G840" t="str">
        <f>VLOOKUP(B840,Base!$B:$F,5,FALSE)</f>
        <v>COMÉRCIO VAREJISTA</v>
      </c>
      <c r="H840" t="str">
        <f>VLOOKUP(C840,Base!$C:$F,4,FALSE)</f>
        <v>Comércio varejista de equipamentos de informática e comunicação; equipamentos e artigos de uso doméstico</v>
      </c>
      <c r="I840" t="str">
        <f>VLOOKUP(D840,Base!$D:$F,3,FALSE)</f>
        <v>Comércio varejista especializado de móveis, colchoaria e artigos de iluminação</v>
      </c>
      <c r="J840" t="str">
        <f>VLOOKUP(E840,Base!$E:$F,2,FALSE)</f>
        <v>Comércio varejista de móveis</v>
      </c>
      <c r="K840" t="s">
        <v>3325</v>
      </c>
      <c r="L840">
        <f>IFERROR(VLOOKUP($K840,Base_Atividades!$E$1:$N$2398,MATCH(BancoAjustado!L$1,Base_Atividades!$E$1:$N$1,0),FALSE),0)</f>
        <v>0</v>
      </c>
      <c r="M840">
        <f>IFERROR(VLOOKUP($K840,Base_Atividades!$E$1:$N$2398,MATCH(BancoAjustado!M$1,Base_Atividades!$E$1:$N$1,0),FALSE),0)</f>
        <v>0</v>
      </c>
      <c r="N840">
        <f>IFERROR(VLOOKUP($K840,Base_Atividades!$E$1:$N$2398,MATCH(BancoAjustado!N$1,Base_Atividades!$E$1:$N$1,0),FALSE),0)</f>
        <v>0</v>
      </c>
    </row>
    <row r="841" spans="1:14" x14ac:dyDescent="0.25">
      <c r="A841" t="s">
        <v>3043</v>
      </c>
      <c r="B841" t="s">
        <v>3267</v>
      </c>
      <c r="C841" t="s">
        <v>3316</v>
      </c>
      <c r="D841" t="s">
        <v>3324</v>
      </c>
      <c r="E841" t="s">
        <v>3326</v>
      </c>
      <c r="F841" t="str">
        <f>VLOOKUP(A841,Base!$A:$F,6,FALSE)</f>
        <v>COMÉRCIO; REPARAÇÃO DE VEÍCULOS AUTOMOTORES E MOTOCICLETAS</v>
      </c>
      <c r="G841" t="str">
        <f>VLOOKUP(B841,Base!$B:$F,5,FALSE)</f>
        <v>COMÉRCIO VAREJISTA</v>
      </c>
      <c r="H841" t="str">
        <f>VLOOKUP(C841,Base!$C:$F,4,FALSE)</f>
        <v>Comércio varejista de equipamentos de informática e comunicação; equipamentos e artigos de uso doméstico</v>
      </c>
      <c r="I841" t="str">
        <f>VLOOKUP(D841,Base!$D:$F,3,FALSE)</f>
        <v>Comércio varejista especializado de móveis, colchoaria e artigos de iluminação</v>
      </c>
      <c r="J841" t="str">
        <f>VLOOKUP(E841,Base!$E:$F,2,FALSE)</f>
        <v>Comércio varejista de artigos de colchoaria</v>
      </c>
      <c r="K841" t="s">
        <v>3326</v>
      </c>
      <c r="L841">
        <f>IFERROR(VLOOKUP($K841,Base_Atividades!$E$1:$N$2398,MATCH(BancoAjustado!L$1,Base_Atividades!$E$1:$N$1,0),FALSE),0)</f>
        <v>0</v>
      </c>
      <c r="M841">
        <f>IFERROR(VLOOKUP($K841,Base_Atividades!$E$1:$N$2398,MATCH(BancoAjustado!M$1,Base_Atividades!$E$1:$N$1,0),FALSE),0)</f>
        <v>0</v>
      </c>
      <c r="N841">
        <f>IFERROR(VLOOKUP($K841,Base_Atividades!$E$1:$N$2398,MATCH(BancoAjustado!N$1,Base_Atividades!$E$1:$N$1,0),FALSE),0)</f>
        <v>0</v>
      </c>
    </row>
    <row r="842" spans="1:14" x14ac:dyDescent="0.25">
      <c r="A842" t="s">
        <v>3043</v>
      </c>
      <c r="B842" t="s">
        <v>3267</v>
      </c>
      <c r="C842" t="s">
        <v>3316</v>
      </c>
      <c r="D842" t="s">
        <v>3324</v>
      </c>
      <c r="E842" t="s">
        <v>3327</v>
      </c>
      <c r="F842" t="str">
        <f>VLOOKUP(A842,Base!$A:$F,6,FALSE)</f>
        <v>COMÉRCIO; REPARAÇÃO DE VEÍCULOS AUTOMOTORES E MOTOCICLETAS</v>
      </c>
      <c r="G842" t="str">
        <f>VLOOKUP(B842,Base!$B:$F,5,FALSE)</f>
        <v>COMÉRCIO VAREJISTA</v>
      </c>
      <c r="H842" t="str">
        <f>VLOOKUP(C842,Base!$C:$F,4,FALSE)</f>
        <v>Comércio varejista de equipamentos de informática e comunicação; equipamentos e artigos de uso doméstico</v>
      </c>
      <c r="I842" t="str">
        <f>VLOOKUP(D842,Base!$D:$F,3,FALSE)</f>
        <v>Comércio varejista especializado de móveis, colchoaria e artigos de iluminação</v>
      </c>
      <c r="J842" t="str">
        <f>VLOOKUP(E842,Base!$E:$F,2,FALSE)</f>
        <v>Comércio varejista de artigos de iluminação</v>
      </c>
      <c r="K842" t="s">
        <v>3327</v>
      </c>
      <c r="L842">
        <f>IFERROR(VLOOKUP($K842,Base_Atividades!$E$1:$N$2398,MATCH(BancoAjustado!L$1,Base_Atividades!$E$1:$N$1,0),FALSE),0)</f>
        <v>0</v>
      </c>
      <c r="M842">
        <f>IFERROR(VLOOKUP($K842,Base_Atividades!$E$1:$N$2398,MATCH(BancoAjustado!M$1,Base_Atividades!$E$1:$N$1,0),FALSE),0)</f>
        <v>0</v>
      </c>
      <c r="N842">
        <f>IFERROR(VLOOKUP($K842,Base_Atividades!$E$1:$N$2398,MATCH(BancoAjustado!N$1,Base_Atividades!$E$1:$N$1,0),FALSE),0)</f>
        <v>0</v>
      </c>
    </row>
    <row r="843" spans="1:14" x14ac:dyDescent="0.25">
      <c r="A843" t="s">
        <v>3043</v>
      </c>
      <c r="B843" t="s">
        <v>3267</v>
      </c>
      <c r="C843" t="s">
        <v>3316</v>
      </c>
      <c r="D843" t="s">
        <v>3328</v>
      </c>
      <c r="E843" t="s">
        <v>3329</v>
      </c>
      <c r="F843" t="str">
        <f>VLOOKUP(A843,Base!$A:$F,6,FALSE)</f>
        <v>COMÉRCIO; REPARAÇÃO DE VEÍCULOS AUTOMOTORES E MOTOCICLETAS</v>
      </c>
      <c r="G843" t="str">
        <f>VLOOKUP(B843,Base!$B:$F,5,FALSE)</f>
        <v>COMÉRCIO VAREJISTA</v>
      </c>
      <c r="H843" t="str">
        <f>VLOOKUP(C843,Base!$C:$F,4,FALSE)</f>
        <v>Comércio varejista de equipamentos de informática e comunicação; equipamentos e artigos de uso doméstico</v>
      </c>
      <c r="I843" t="str">
        <f>VLOOKUP(D843,Base!$D:$F,3,FALSE)</f>
        <v>Comércio varejista especializado de tecidos e artigos de cama, mesa e banho</v>
      </c>
      <c r="J843" t="str">
        <f>VLOOKUP(E843,Base!$E:$F,2,FALSE)</f>
        <v>Comércio varejista de tecidos</v>
      </c>
      <c r="K843" t="s">
        <v>3329</v>
      </c>
      <c r="L843">
        <f>IFERROR(VLOOKUP($K843,Base_Atividades!$E$1:$N$2398,MATCH(BancoAjustado!L$1,Base_Atividades!$E$1:$N$1,0),FALSE),0)</f>
        <v>0</v>
      </c>
      <c r="M843">
        <f>IFERROR(VLOOKUP($K843,Base_Atividades!$E$1:$N$2398,MATCH(BancoAjustado!M$1,Base_Atividades!$E$1:$N$1,0),FALSE),0)</f>
        <v>0</v>
      </c>
      <c r="N843">
        <f>IFERROR(VLOOKUP($K843,Base_Atividades!$E$1:$N$2398,MATCH(BancoAjustado!N$1,Base_Atividades!$E$1:$N$1,0),FALSE),0)</f>
        <v>0</v>
      </c>
    </row>
    <row r="844" spans="1:14" x14ac:dyDescent="0.25">
      <c r="A844" t="s">
        <v>3043</v>
      </c>
      <c r="B844" t="s">
        <v>3267</v>
      </c>
      <c r="C844" t="s">
        <v>3316</v>
      </c>
      <c r="D844" t="s">
        <v>3328</v>
      </c>
      <c r="E844" t="s">
        <v>3330</v>
      </c>
      <c r="F844" t="str">
        <f>VLOOKUP(A844,Base!$A:$F,6,FALSE)</f>
        <v>COMÉRCIO; REPARAÇÃO DE VEÍCULOS AUTOMOTORES E MOTOCICLETAS</v>
      </c>
      <c r="G844" t="str">
        <f>VLOOKUP(B844,Base!$B:$F,5,FALSE)</f>
        <v>COMÉRCIO VAREJISTA</v>
      </c>
      <c r="H844" t="str">
        <f>VLOOKUP(C844,Base!$C:$F,4,FALSE)</f>
        <v>Comércio varejista de equipamentos de informática e comunicação; equipamentos e artigos de uso doméstico</v>
      </c>
      <c r="I844" t="str">
        <f>VLOOKUP(D844,Base!$D:$F,3,FALSE)</f>
        <v>Comércio varejista especializado de tecidos e artigos de cama, mesa e banho</v>
      </c>
      <c r="J844" t="str">
        <f>VLOOKUP(E844,Base!$E:$F,2,FALSE)</f>
        <v>Comercio varejista de artigos de armarinho</v>
      </c>
      <c r="K844" t="s">
        <v>3330</v>
      </c>
      <c r="L844">
        <f>IFERROR(VLOOKUP($K844,Base_Atividades!$E$1:$N$2398,MATCH(BancoAjustado!L$1,Base_Atividades!$E$1:$N$1,0),FALSE),0)</f>
        <v>0</v>
      </c>
      <c r="M844">
        <f>IFERROR(VLOOKUP($K844,Base_Atividades!$E$1:$N$2398,MATCH(BancoAjustado!M$1,Base_Atividades!$E$1:$N$1,0),FALSE),0)</f>
        <v>0</v>
      </c>
      <c r="N844">
        <f>IFERROR(VLOOKUP($K844,Base_Atividades!$E$1:$N$2398,MATCH(BancoAjustado!N$1,Base_Atividades!$E$1:$N$1,0),FALSE),0)</f>
        <v>0</v>
      </c>
    </row>
    <row r="845" spans="1:14" x14ac:dyDescent="0.25">
      <c r="A845" t="s">
        <v>3043</v>
      </c>
      <c r="B845" t="s">
        <v>3267</v>
      </c>
      <c r="C845" t="s">
        <v>3316</v>
      </c>
      <c r="D845" t="s">
        <v>3328</v>
      </c>
      <c r="E845" t="s">
        <v>3331</v>
      </c>
      <c r="F845" t="str">
        <f>VLOOKUP(A845,Base!$A:$F,6,FALSE)</f>
        <v>COMÉRCIO; REPARAÇÃO DE VEÍCULOS AUTOMOTORES E MOTOCICLETAS</v>
      </c>
      <c r="G845" t="str">
        <f>VLOOKUP(B845,Base!$B:$F,5,FALSE)</f>
        <v>COMÉRCIO VAREJISTA</v>
      </c>
      <c r="H845" t="str">
        <f>VLOOKUP(C845,Base!$C:$F,4,FALSE)</f>
        <v>Comércio varejista de equipamentos de informática e comunicação; equipamentos e artigos de uso doméstico</v>
      </c>
      <c r="I845" t="str">
        <f>VLOOKUP(D845,Base!$D:$F,3,FALSE)</f>
        <v>Comércio varejista especializado de tecidos e artigos de cama, mesa e banho</v>
      </c>
      <c r="J845" t="str">
        <f>VLOOKUP(E845,Base!$E:$F,2,FALSE)</f>
        <v>Comercio varejista de artigos de cama, mesa e banho</v>
      </c>
      <c r="K845" t="s">
        <v>3331</v>
      </c>
      <c r="L845">
        <f>IFERROR(VLOOKUP($K845,Base_Atividades!$E$1:$N$2398,MATCH(BancoAjustado!L$1,Base_Atividades!$E$1:$N$1,0),FALSE),0)</f>
        <v>0</v>
      </c>
      <c r="M845">
        <f>IFERROR(VLOOKUP($K845,Base_Atividades!$E$1:$N$2398,MATCH(BancoAjustado!M$1,Base_Atividades!$E$1:$N$1,0),FALSE),0)</f>
        <v>0</v>
      </c>
      <c r="N845">
        <f>IFERROR(VLOOKUP($K845,Base_Atividades!$E$1:$N$2398,MATCH(BancoAjustado!N$1,Base_Atividades!$E$1:$N$1,0),FALSE),0)</f>
        <v>0</v>
      </c>
    </row>
    <row r="846" spans="1:14" x14ac:dyDescent="0.25">
      <c r="A846" t="s">
        <v>3043</v>
      </c>
      <c r="B846" t="s">
        <v>3267</v>
      </c>
      <c r="C846" t="s">
        <v>3316</v>
      </c>
      <c r="D846" t="s">
        <v>3332</v>
      </c>
      <c r="E846" t="s">
        <v>3333</v>
      </c>
      <c r="F846" t="str">
        <f>VLOOKUP(A846,Base!$A:$F,6,FALSE)</f>
        <v>COMÉRCIO; REPARAÇÃO DE VEÍCULOS AUTOMOTORES E MOTOCICLETAS</v>
      </c>
      <c r="G846" t="str">
        <f>VLOOKUP(B846,Base!$B:$F,5,FALSE)</f>
        <v>COMÉRCIO VAREJISTA</v>
      </c>
      <c r="H846" t="str">
        <f>VLOOKUP(C846,Base!$C:$F,4,FALSE)</f>
        <v>Comércio varejista de equipamentos de informática e comunicação; equipamentos e artigos de uso doméstico</v>
      </c>
      <c r="I846" t="str">
        <f>VLOOKUP(D846,Base!$D:$F,3,FALSE)</f>
        <v>Comércio varejista especializado de instrumentos musicais e acessórios</v>
      </c>
      <c r="J846" t="str">
        <f>VLOOKUP(E846,Base!$E:$F,2,FALSE)</f>
        <v>Comércio varejista especializado de instrumentos musicais e acessórios</v>
      </c>
      <c r="K846" t="s">
        <v>3333</v>
      </c>
      <c r="L846">
        <f>IFERROR(VLOOKUP($K846,Base_Atividades!$E$1:$N$2398,MATCH(BancoAjustado!L$1,Base_Atividades!$E$1:$N$1,0),FALSE),0)</f>
        <v>0</v>
      </c>
      <c r="M846">
        <f>IFERROR(VLOOKUP($K846,Base_Atividades!$E$1:$N$2398,MATCH(BancoAjustado!M$1,Base_Atividades!$E$1:$N$1,0),FALSE),0)</f>
        <v>0</v>
      </c>
      <c r="N846">
        <f>IFERROR(VLOOKUP($K846,Base_Atividades!$E$1:$N$2398,MATCH(BancoAjustado!N$1,Base_Atividades!$E$1:$N$1,0),FALSE),0)</f>
        <v>0</v>
      </c>
    </row>
    <row r="847" spans="1:14" x14ac:dyDescent="0.25">
      <c r="A847" t="s">
        <v>3043</v>
      </c>
      <c r="B847" t="s">
        <v>3267</v>
      </c>
      <c r="C847" t="s">
        <v>3316</v>
      </c>
      <c r="D847" t="s">
        <v>3334</v>
      </c>
      <c r="E847" t="s">
        <v>3335</v>
      </c>
      <c r="F847" t="str">
        <f>VLOOKUP(A847,Base!$A:$F,6,FALSE)</f>
        <v>COMÉRCIO; REPARAÇÃO DE VEÍCULOS AUTOMOTORES E MOTOCICLETAS</v>
      </c>
      <c r="G847" t="str">
        <f>VLOOKUP(B847,Base!$B:$F,5,FALSE)</f>
        <v>COMÉRCIO VAREJISTA</v>
      </c>
      <c r="H847" t="str">
        <f>VLOOKUP(C847,Base!$C:$F,4,FALSE)</f>
        <v>Comércio varejista de equipamentos de informática e comunicação; equipamentos e artigos de uso doméstico</v>
      </c>
      <c r="I847" t="str">
        <f>VLOOKUP(D847,Base!$D:$F,3,FALSE)</f>
        <v>Comércio varejista especializado de peças e acessórios para aparelhos eletroeletrônicos para uso doméstico, exceto informática e comunicação</v>
      </c>
      <c r="J847" t="str">
        <f>VLOOKUP(E847,Base!$E:$F,2,FALSE)</f>
        <v>Comércio varejista especializado de peças e acessórios para aparelhos eletroeletrônicos para uso doméstico, exceto informática e comunicação</v>
      </c>
      <c r="K847" t="s">
        <v>3335</v>
      </c>
      <c r="L847">
        <f>IFERROR(VLOOKUP($K847,Base_Atividades!$E$1:$N$2398,MATCH(BancoAjustado!L$1,Base_Atividades!$E$1:$N$1,0),FALSE),0)</f>
        <v>0</v>
      </c>
      <c r="M847">
        <f>IFERROR(VLOOKUP($K847,Base_Atividades!$E$1:$N$2398,MATCH(BancoAjustado!M$1,Base_Atividades!$E$1:$N$1,0),FALSE),0)</f>
        <v>0</v>
      </c>
      <c r="N847">
        <f>IFERROR(VLOOKUP($K847,Base_Atividades!$E$1:$N$2398,MATCH(BancoAjustado!N$1,Base_Atividades!$E$1:$N$1,0),FALSE),0)</f>
        <v>0</v>
      </c>
    </row>
    <row r="848" spans="1:14" x14ac:dyDescent="0.25">
      <c r="A848" t="s">
        <v>3043</v>
      </c>
      <c r="B848" t="s">
        <v>3267</v>
      </c>
      <c r="C848" t="s">
        <v>3316</v>
      </c>
      <c r="D848" t="s">
        <v>3336</v>
      </c>
      <c r="E848" t="s">
        <v>3337</v>
      </c>
      <c r="F848" t="str">
        <f>VLOOKUP(A848,Base!$A:$F,6,FALSE)</f>
        <v>COMÉRCIO; REPARAÇÃO DE VEÍCULOS AUTOMOTORES E MOTOCICLETAS</v>
      </c>
      <c r="G848" t="str">
        <f>VLOOKUP(B848,Base!$B:$F,5,FALSE)</f>
        <v>COMÉRCIO VAREJISTA</v>
      </c>
      <c r="H848" t="str">
        <f>VLOOKUP(C848,Base!$C:$F,4,FALSE)</f>
        <v>Comércio varejista de equipamentos de informática e comunicação; equipamentos e artigos de uso doméstico</v>
      </c>
      <c r="I848" t="str">
        <f>VLOOKUP(D848,Base!$D:$F,3,FALSE)</f>
        <v>Comércio varejista de artigos de uso doméstico não especificados anteriormente</v>
      </c>
      <c r="J848" t="str">
        <f>VLOOKUP(E848,Base!$E:$F,2,FALSE)</f>
        <v>Comércio varejista de artigos de tapeçaria, cortinas e persianas</v>
      </c>
      <c r="K848" t="s">
        <v>3337</v>
      </c>
      <c r="L848">
        <f>IFERROR(VLOOKUP($K848,Base_Atividades!$E$1:$N$2398,MATCH(BancoAjustado!L$1,Base_Atividades!$E$1:$N$1,0),FALSE),0)</f>
        <v>0</v>
      </c>
      <c r="M848">
        <f>IFERROR(VLOOKUP($K848,Base_Atividades!$E$1:$N$2398,MATCH(BancoAjustado!M$1,Base_Atividades!$E$1:$N$1,0),FALSE),0)</f>
        <v>0</v>
      </c>
      <c r="N848">
        <f>IFERROR(VLOOKUP($K848,Base_Atividades!$E$1:$N$2398,MATCH(BancoAjustado!N$1,Base_Atividades!$E$1:$N$1,0),FALSE),0)</f>
        <v>0</v>
      </c>
    </row>
    <row r="849" spans="1:14" x14ac:dyDescent="0.25">
      <c r="A849" t="s">
        <v>3043</v>
      </c>
      <c r="B849" t="s">
        <v>3267</v>
      </c>
      <c r="C849" t="s">
        <v>3316</v>
      </c>
      <c r="D849" t="s">
        <v>3336</v>
      </c>
      <c r="E849" t="s">
        <v>3338</v>
      </c>
      <c r="F849" t="str">
        <f>VLOOKUP(A849,Base!$A:$F,6,FALSE)</f>
        <v>COMÉRCIO; REPARAÇÃO DE VEÍCULOS AUTOMOTORES E MOTOCICLETAS</v>
      </c>
      <c r="G849" t="str">
        <f>VLOOKUP(B849,Base!$B:$F,5,FALSE)</f>
        <v>COMÉRCIO VAREJISTA</v>
      </c>
      <c r="H849" t="str">
        <f>VLOOKUP(C849,Base!$C:$F,4,FALSE)</f>
        <v>Comércio varejista de equipamentos de informática e comunicação; equipamentos e artigos de uso doméstico</v>
      </c>
      <c r="I849" t="str">
        <f>VLOOKUP(D849,Base!$D:$F,3,FALSE)</f>
        <v>Comércio varejista de artigos de uso doméstico não especificados anteriormente</v>
      </c>
      <c r="J849" t="str">
        <f>VLOOKUP(E849,Base!$E:$F,2,FALSE)</f>
        <v>Comércio varejista de outros artigos de uso doméstico não especificados anteriormente</v>
      </c>
      <c r="K849" t="s">
        <v>3338</v>
      </c>
      <c r="L849">
        <f>IFERROR(VLOOKUP($K849,Base_Atividades!$E$1:$N$2398,MATCH(BancoAjustado!L$1,Base_Atividades!$E$1:$N$1,0),FALSE),0)</f>
        <v>0</v>
      </c>
      <c r="M849">
        <f>IFERROR(VLOOKUP($K849,Base_Atividades!$E$1:$N$2398,MATCH(BancoAjustado!M$1,Base_Atividades!$E$1:$N$1,0),FALSE),0)</f>
        <v>0</v>
      </c>
      <c r="N849">
        <f>IFERROR(VLOOKUP($K849,Base_Atividades!$E$1:$N$2398,MATCH(BancoAjustado!N$1,Base_Atividades!$E$1:$N$1,0),FALSE),0)</f>
        <v>0</v>
      </c>
    </row>
    <row r="850" spans="1:14" x14ac:dyDescent="0.25">
      <c r="A850" t="s">
        <v>3043</v>
      </c>
      <c r="B850" t="s">
        <v>3267</v>
      </c>
      <c r="C850" t="s">
        <v>3339</v>
      </c>
      <c r="D850" t="s">
        <v>3340</v>
      </c>
      <c r="E850" t="s">
        <v>3341</v>
      </c>
      <c r="F850" t="str">
        <f>VLOOKUP(A850,Base!$A:$F,6,FALSE)</f>
        <v>COMÉRCIO; REPARAÇÃO DE VEÍCULOS AUTOMOTORES E MOTOCICLETAS</v>
      </c>
      <c r="G850" t="str">
        <f>VLOOKUP(B850,Base!$B:$F,5,FALSE)</f>
        <v>COMÉRCIO VAREJISTA</v>
      </c>
      <c r="H850" t="str">
        <f>VLOOKUP(C850,Base!$C:$F,4,FALSE)</f>
        <v>Comércio varejista de artigos culturais, recreativos e esportivos</v>
      </c>
      <c r="I850" t="str">
        <f>VLOOKUP(D850,Base!$D:$F,3,FALSE)</f>
        <v>Comércio varejista de livros, jornais, revistas e papelaria</v>
      </c>
      <c r="J850" t="str">
        <f>VLOOKUP(E850,Base!$E:$F,2,FALSE)</f>
        <v>Comércio varejista de livros</v>
      </c>
      <c r="K850" t="s">
        <v>3341</v>
      </c>
      <c r="L850">
        <f>IFERROR(VLOOKUP($K850,Base_Atividades!$E$1:$N$2398,MATCH(BancoAjustado!L$1,Base_Atividades!$E$1:$N$1,0),FALSE),0)</f>
        <v>0</v>
      </c>
      <c r="M850">
        <f>IFERROR(VLOOKUP($K850,Base_Atividades!$E$1:$N$2398,MATCH(BancoAjustado!M$1,Base_Atividades!$E$1:$N$1,0),FALSE),0)</f>
        <v>0</v>
      </c>
      <c r="N850">
        <f>IFERROR(VLOOKUP($K850,Base_Atividades!$E$1:$N$2398,MATCH(BancoAjustado!N$1,Base_Atividades!$E$1:$N$1,0),FALSE),0)</f>
        <v>0</v>
      </c>
    </row>
    <row r="851" spans="1:14" x14ac:dyDescent="0.25">
      <c r="A851" t="s">
        <v>3043</v>
      </c>
      <c r="B851" t="s">
        <v>3267</v>
      </c>
      <c r="C851" t="s">
        <v>3339</v>
      </c>
      <c r="D851" t="s">
        <v>3340</v>
      </c>
      <c r="E851" t="s">
        <v>3342</v>
      </c>
      <c r="F851" t="str">
        <f>VLOOKUP(A851,Base!$A:$F,6,FALSE)</f>
        <v>COMÉRCIO; REPARAÇÃO DE VEÍCULOS AUTOMOTORES E MOTOCICLETAS</v>
      </c>
      <c r="G851" t="str">
        <f>VLOOKUP(B851,Base!$B:$F,5,FALSE)</f>
        <v>COMÉRCIO VAREJISTA</v>
      </c>
      <c r="H851" t="str">
        <f>VLOOKUP(C851,Base!$C:$F,4,FALSE)</f>
        <v>Comércio varejista de artigos culturais, recreativos e esportivos</v>
      </c>
      <c r="I851" t="str">
        <f>VLOOKUP(D851,Base!$D:$F,3,FALSE)</f>
        <v>Comércio varejista de livros, jornais, revistas e papelaria</v>
      </c>
      <c r="J851" t="str">
        <f>VLOOKUP(E851,Base!$E:$F,2,FALSE)</f>
        <v>Comércio varejista de jornais e revistas</v>
      </c>
      <c r="K851" t="s">
        <v>3342</v>
      </c>
      <c r="L851">
        <f>IFERROR(VLOOKUP($K851,Base_Atividades!$E$1:$N$2398,MATCH(BancoAjustado!L$1,Base_Atividades!$E$1:$N$1,0),FALSE),0)</f>
        <v>0</v>
      </c>
      <c r="M851">
        <f>IFERROR(VLOOKUP($K851,Base_Atividades!$E$1:$N$2398,MATCH(BancoAjustado!M$1,Base_Atividades!$E$1:$N$1,0),FALSE),0)</f>
        <v>0</v>
      </c>
      <c r="N851">
        <f>IFERROR(VLOOKUP($K851,Base_Atividades!$E$1:$N$2398,MATCH(BancoAjustado!N$1,Base_Atividades!$E$1:$N$1,0),FALSE),0)</f>
        <v>0</v>
      </c>
    </row>
    <row r="852" spans="1:14" x14ac:dyDescent="0.25">
      <c r="A852" t="s">
        <v>3043</v>
      </c>
      <c r="B852" t="s">
        <v>3267</v>
      </c>
      <c r="C852" t="s">
        <v>3339</v>
      </c>
      <c r="D852" t="s">
        <v>3340</v>
      </c>
      <c r="E852" t="s">
        <v>3343</v>
      </c>
      <c r="F852" t="str">
        <f>VLOOKUP(A852,Base!$A:$F,6,FALSE)</f>
        <v>COMÉRCIO; REPARAÇÃO DE VEÍCULOS AUTOMOTORES E MOTOCICLETAS</v>
      </c>
      <c r="G852" t="str">
        <f>VLOOKUP(B852,Base!$B:$F,5,FALSE)</f>
        <v>COMÉRCIO VAREJISTA</v>
      </c>
      <c r="H852" t="str">
        <f>VLOOKUP(C852,Base!$C:$F,4,FALSE)</f>
        <v>Comércio varejista de artigos culturais, recreativos e esportivos</v>
      </c>
      <c r="I852" t="str">
        <f>VLOOKUP(D852,Base!$D:$F,3,FALSE)</f>
        <v>Comércio varejista de livros, jornais, revistas e papelaria</v>
      </c>
      <c r="J852" t="str">
        <f>VLOOKUP(E852,Base!$E:$F,2,FALSE)</f>
        <v>Comércio varejista de artigos de papelaria</v>
      </c>
      <c r="K852" t="s">
        <v>3343</v>
      </c>
      <c r="L852">
        <f>IFERROR(VLOOKUP($K852,Base_Atividades!$E$1:$N$2398,MATCH(BancoAjustado!L$1,Base_Atividades!$E$1:$N$1,0),FALSE),0)</f>
        <v>0</v>
      </c>
      <c r="M852">
        <f>IFERROR(VLOOKUP($K852,Base_Atividades!$E$1:$N$2398,MATCH(BancoAjustado!M$1,Base_Atividades!$E$1:$N$1,0),FALSE),0)</f>
        <v>0</v>
      </c>
      <c r="N852">
        <f>IFERROR(VLOOKUP($K852,Base_Atividades!$E$1:$N$2398,MATCH(BancoAjustado!N$1,Base_Atividades!$E$1:$N$1,0),FALSE),0)</f>
        <v>0</v>
      </c>
    </row>
    <row r="853" spans="1:14" x14ac:dyDescent="0.25">
      <c r="A853" t="s">
        <v>3043</v>
      </c>
      <c r="B853" t="s">
        <v>3267</v>
      </c>
      <c r="C853" t="s">
        <v>3339</v>
      </c>
      <c r="D853" t="s">
        <v>3344</v>
      </c>
      <c r="E853" t="s">
        <v>3345</v>
      </c>
      <c r="F853" t="str">
        <f>VLOOKUP(A853,Base!$A:$F,6,FALSE)</f>
        <v>COMÉRCIO; REPARAÇÃO DE VEÍCULOS AUTOMOTORES E MOTOCICLETAS</v>
      </c>
      <c r="G853" t="str">
        <f>VLOOKUP(B853,Base!$B:$F,5,FALSE)</f>
        <v>COMÉRCIO VAREJISTA</v>
      </c>
      <c r="H853" t="str">
        <f>VLOOKUP(C853,Base!$C:$F,4,FALSE)</f>
        <v>Comércio varejista de artigos culturais, recreativos e esportivos</v>
      </c>
      <c r="I853" t="str">
        <f>VLOOKUP(D853,Base!$D:$F,3,FALSE)</f>
        <v>Comércio varejista de discos, CDs, DVDs e fitas</v>
      </c>
      <c r="J853" t="str">
        <f>VLOOKUP(E853,Base!$E:$F,2,FALSE)</f>
        <v>Comércio varejista de discos, CDs, DVDs e fitas</v>
      </c>
      <c r="K853" t="s">
        <v>3345</v>
      </c>
      <c r="L853">
        <f>IFERROR(VLOOKUP($K853,Base_Atividades!$E$1:$N$2398,MATCH(BancoAjustado!L$1,Base_Atividades!$E$1:$N$1,0),FALSE),0)</f>
        <v>0</v>
      </c>
      <c r="M853">
        <f>IFERROR(VLOOKUP($K853,Base_Atividades!$E$1:$N$2398,MATCH(BancoAjustado!M$1,Base_Atividades!$E$1:$N$1,0),FALSE),0)</f>
        <v>0</v>
      </c>
      <c r="N853">
        <f>IFERROR(VLOOKUP($K853,Base_Atividades!$E$1:$N$2398,MATCH(BancoAjustado!N$1,Base_Atividades!$E$1:$N$1,0),FALSE),0)</f>
        <v>0</v>
      </c>
    </row>
    <row r="854" spans="1:14" x14ac:dyDescent="0.25">
      <c r="A854" t="s">
        <v>3043</v>
      </c>
      <c r="B854" t="s">
        <v>3267</v>
      </c>
      <c r="C854" t="s">
        <v>3339</v>
      </c>
      <c r="D854" t="s">
        <v>3346</v>
      </c>
      <c r="E854" t="s">
        <v>3347</v>
      </c>
      <c r="F854" t="str">
        <f>VLOOKUP(A854,Base!$A:$F,6,FALSE)</f>
        <v>COMÉRCIO; REPARAÇÃO DE VEÍCULOS AUTOMOTORES E MOTOCICLETAS</v>
      </c>
      <c r="G854" t="str">
        <f>VLOOKUP(B854,Base!$B:$F,5,FALSE)</f>
        <v>COMÉRCIO VAREJISTA</v>
      </c>
      <c r="H854" t="str">
        <f>VLOOKUP(C854,Base!$C:$F,4,FALSE)</f>
        <v>Comércio varejista de artigos culturais, recreativos e esportivos</v>
      </c>
      <c r="I854" t="str">
        <f>VLOOKUP(D854,Base!$D:$F,3,FALSE)</f>
        <v>Comércio varejista de artigos recreativos e esportivos</v>
      </c>
      <c r="J854" t="str">
        <f>VLOOKUP(E854,Base!$E:$F,2,FALSE)</f>
        <v>Comércio varejista de brinquedos e artigos recreativos</v>
      </c>
      <c r="K854" t="s">
        <v>3347</v>
      </c>
      <c r="L854">
        <f>IFERROR(VLOOKUP($K854,Base_Atividades!$E$1:$N$2398,MATCH(BancoAjustado!L$1,Base_Atividades!$E$1:$N$1,0),FALSE),0)</f>
        <v>0</v>
      </c>
      <c r="M854">
        <f>IFERROR(VLOOKUP($K854,Base_Atividades!$E$1:$N$2398,MATCH(BancoAjustado!M$1,Base_Atividades!$E$1:$N$1,0),FALSE),0)</f>
        <v>0</v>
      </c>
      <c r="N854">
        <f>IFERROR(VLOOKUP($K854,Base_Atividades!$E$1:$N$2398,MATCH(BancoAjustado!N$1,Base_Atividades!$E$1:$N$1,0),FALSE),0)</f>
        <v>0</v>
      </c>
    </row>
    <row r="855" spans="1:14" x14ac:dyDescent="0.25">
      <c r="A855" t="s">
        <v>3043</v>
      </c>
      <c r="B855" t="s">
        <v>3267</v>
      </c>
      <c r="C855" t="s">
        <v>3339</v>
      </c>
      <c r="D855" t="s">
        <v>3346</v>
      </c>
      <c r="E855" t="s">
        <v>3348</v>
      </c>
      <c r="F855" t="str">
        <f>VLOOKUP(A855,Base!$A:$F,6,FALSE)</f>
        <v>COMÉRCIO; REPARAÇÃO DE VEÍCULOS AUTOMOTORES E MOTOCICLETAS</v>
      </c>
      <c r="G855" t="str">
        <f>VLOOKUP(B855,Base!$B:$F,5,FALSE)</f>
        <v>COMÉRCIO VAREJISTA</v>
      </c>
      <c r="H855" t="str">
        <f>VLOOKUP(C855,Base!$C:$F,4,FALSE)</f>
        <v>Comércio varejista de artigos culturais, recreativos e esportivos</v>
      </c>
      <c r="I855" t="str">
        <f>VLOOKUP(D855,Base!$D:$F,3,FALSE)</f>
        <v>Comércio varejista de artigos recreativos e esportivos</v>
      </c>
      <c r="J855" t="str">
        <f>VLOOKUP(E855,Base!$E:$F,2,FALSE)</f>
        <v>Comércio varejista de artigos esportivos</v>
      </c>
      <c r="K855" t="s">
        <v>3348</v>
      </c>
      <c r="L855">
        <f>IFERROR(VLOOKUP($K855,Base_Atividades!$E$1:$N$2398,MATCH(BancoAjustado!L$1,Base_Atividades!$E$1:$N$1,0),FALSE),0)</f>
        <v>0</v>
      </c>
      <c r="M855">
        <f>IFERROR(VLOOKUP($K855,Base_Atividades!$E$1:$N$2398,MATCH(BancoAjustado!M$1,Base_Atividades!$E$1:$N$1,0),FALSE),0)</f>
        <v>0</v>
      </c>
      <c r="N855">
        <f>IFERROR(VLOOKUP($K855,Base_Atividades!$E$1:$N$2398,MATCH(BancoAjustado!N$1,Base_Atividades!$E$1:$N$1,0),FALSE),0)</f>
        <v>0</v>
      </c>
    </row>
    <row r="856" spans="1:14" x14ac:dyDescent="0.25">
      <c r="A856" t="s">
        <v>3043</v>
      </c>
      <c r="B856" t="s">
        <v>3267</v>
      </c>
      <c r="C856" t="s">
        <v>3339</v>
      </c>
      <c r="D856" t="s">
        <v>3346</v>
      </c>
      <c r="E856" t="s">
        <v>3349</v>
      </c>
      <c r="F856" t="str">
        <f>VLOOKUP(A856,Base!$A:$F,6,FALSE)</f>
        <v>COMÉRCIO; REPARAÇÃO DE VEÍCULOS AUTOMOTORES E MOTOCICLETAS</v>
      </c>
      <c r="G856" t="str">
        <f>VLOOKUP(B856,Base!$B:$F,5,FALSE)</f>
        <v>COMÉRCIO VAREJISTA</v>
      </c>
      <c r="H856" t="str">
        <f>VLOOKUP(C856,Base!$C:$F,4,FALSE)</f>
        <v>Comércio varejista de artigos culturais, recreativos e esportivos</v>
      </c>
      <c r="I856" t="str">
        <f>VLOOKUP(D856,Base!$D:$F,3,FALSE)</f>
        <v>Comércio varejista de artigos recreativos e esportivos</v>
      </c>
      <c r="J856" t="str">
        <f>VLOOKUP(E856,Base!$E:$F,2,FALSE)</f>
        <v>Comércio varejista de bicicletas e triciclos; peças e acessórios</v>
      </c>
      <c r="K856" t="s">
        <v>3349</v>
      </c>
      <c r="L856">
        <f>IFERROR(VLOOKUP($K856,Base_Atividades!$E$1:$N$2398,MATCH(BancoAjustado!L$1,Base_Atividades!$E$1:$N$1,0),FALSE),0)</f>
        <v>0</v>
      </c>
      <c r="M856">
        <f>IFERROR(VLOOKUP($K856,Base_Atividades!$E$1:$N$2398,MATCH(BancoAjustado!M$1,Base_Atividades!$E$1:$N$1,0),FALSE),0)</f>
        <v>0</v>
      </c>
      <c r="N856">
        <f>IFERROR(VLOOKUP($K856,Base_Atividades!$E$1:$N$2398,MATCH(BancoAjustado!N$1,Base_Atividades!$E$1:$N$1,0),FALSE),0)</f>
        <v>0</v>
      </c>
    </row>
    <row r="857" spans="1:14" x14ac:dyDescent="0.25">
      <c r="A857" t="s">
        <v>3043</v>
      </c>
      <c r="B857" t="s">
        <v>3267</v>
      </c>
      <c r="C857" t="s">
        <v>3339</v>
      </c>
      <c r="D857" t="s">
        <v>3346</v>
      </c>
      <c r="E857" t="s">
        <v>3350</v>
      </c>
      <c r="F857" t="str">
        <f>VLOOKUP(A857,Base!$A:$F,6,FALSE)</f>
        <v>COMÉRCIO; REPARAÇÃO DE VEÍCULOS AUTOMOTORES E MOTOCICLETAS</v>
      </c>
      <c r="G857" t="str">
        <f>VLOOKUP(B857,Base!$B:$F,5,FALSE)</f>
        <v>COMÉRCIO VAREJISTA</v>
      </c>
      <c r="H857" t="str">
        <f>VLOOKUP(C857,Base!$C:$F,4,FALSE)</f>
        <v>Comércio varejista de artigos culturais, recreativos e esportivos</v>
      </c>
      <c r="I857" t="str">
        <f>VLOOKUP(D857,Base!$D:$F,3,FALSE)</f>
        <v>Comércio varejista de artigos recreativos e esportivos</v>
      </c>
      <c r="J857" t="str">
        <f>VLOOKUP(E857,Base!$E:$F,2,FALSE)</f>
        <v>Comércio varejista de artigos de caça, pesca e camping</v>
      </c>
      <c r="K857" t="s">
        <v>3350</v>
      </c>
      <c r="L857">
        <f>IFERROR(VLOOKUP($K857,Base_Atividades!$E$1:$N$2398,MATCH(BancoAjustado!L$1,Base_Atividades!$E$1:$N$1,0),FALSE),0)</f>
        <v>0</v>
      </c>
      <c r="M857">
        <f>IFERROR(VLOOKUP($K857,Base_Atividades!$E$1:$N$2398,MATCH(BancoAjustado!M$1,Base_Atividades!$E$1:$N$1,0),FALSE),0)</f>
        <v>0</v>
      </c>
      <c r="N857">
        <f>IFERROR(VLOOKUP($K857,Base_Atividades!$E$1:$N$2398,MATCH(BancoAjustado!N$1,Base_Atividades!$E$1:$N$1,0),FALSE),0)</f>
        <v>0</v>
      </c>
    </row>
    <row r="858" spans="1:14" x14ac:dyDescent="0.25">
      <c r="A858" t="s">
        <v>3043</v>
      </c>
      <c r="B858" t="s">
        <v>3267</v>
      </c>
      <c r="C858" t="s">
        <v>3339</v>
      </c>
      <c r="D858" t="s">
        <v>3346</v>
      </c>
      <c r="E858" t="s">
        <v>3352</v>
      </c>
      <c r="F858" t="str">
        <f>VLOOKUP(A858,Base!$A:$F,6,FALSE)</f>
        <v>COMÉRCIO; REPARAÇÃO DE VEÍCULOS AUTOMOTORES E MOTOCICLETAS</v>
      </c>
      <c r="G858" t="str">
        <f>VLOOKUP(B858,Base!$B:$F,5,FALSE)</f>
        <v>COMÉRCIO VAREJISTA</v>
      </c>
      <c r="H858" t="str">
        <f>VLOOKUP(C858,Base!$C:$F,4,FALSE)</f>
        <v>Comércio varejista de artigos culturais, recreativos e esportivos</v>
      </c>
      <c r="I858" t="str">
        <f>VLOOKUP(D858,Base!$D:$F,3,FALSE)</f>
        <v>Comércio varejista de artigos recreativos e esportivos</v>
      </c>
      <c r="J858" t="str">
        <f>VLOOKUP(E858,Base!$E:$F,2,FALSE)</f>
        <v>Comércio varejista de embarcações e outros veículos recreativos; peças e acessórios</v>
      </c>
      <c r="K858" t="s">
        <v>3352</v>
      </c>
      <c r="L858">
        <f>IFERROR(VLOOKUP($K858,Base_Atividades!$E$1:$N$2398,MATCH(BancoAjustado!L$1,Base_Atividades!$E$1:$N$1,0),FALSE),0)</f>
        <v>0</v>
      </c>
      <c r="M858">
        <f>IFERROR(VLOOKUP($K858,Base_Atividades!$E$1:$N$2398,MATCH(BancoAjustado!M$1,Base_Atividades!$E$1:$N$1,0),FALSE),0)</f>
        <v>0</v>
      </c>
      <c r="N858">
        <f>IFERROR(VLOOKUP($K858,Base_Atividades!$E$1:$N$2398,MATCH(BancoAjustado!N$1,Base_Atividades!$E$1:$N$1,0),FALSE),0)</f>
        <v>0</v>
      </c>
    </row>
    <row r="859" spans="1:14" x14ac:dyDescent="0.25">
      <c r="A859" t="s">
        <v>3043</v>
      </c>
      <c r="B859" t="s">
        <v>3267</v>
      </c>
      <c r="C859" t="s">
        <v>3353</v>
      </c>
      <c r="D859" t="s">
        <v>3354</v>
      </c>
      <c r="E859" t="s">
        <v>3355</v>
      </c>
      <c r="F859" t="str">
        <f>VLOOKUP(A859,Base!$A:$F,6,FALSE)</f>
        <v>COMÉRCIO; REPARAÇÃO DE VEÍCULOS AUTOMOTORES E MOTOCICLETAS</v>
      </c>
      <c r="G859" t="str">
        <f>VLOOKUP(B859,Base!$B:$F,5,FALSE)</f>
        <v>COMÉRCIO VAREJISTA</v>
      </c>
      <c r="H859" t="str">
        <f>VLOOKUP(C859,Base!$C:$F,4,FALSE)</f>
        <v>Comércio varejista de produtos farmacêuticos, perfumaria e cosméticos e artigos médicos, ópticos e ortopédicos</v>
      </c>
      <c r="I859" t="str">
        <f>VLOOKUP(D859,Base!$D:$F,3,FALSE)</f>
        <v>Comércio varejista de produtos farmacêuticos para uso humano e veterinário</v>
      </c>
      <c r="J859" t="str">
        <f>VLOOKUP(E859,Base!$E:$F,2,FALSE)</f>
        <v>Comércio varejista de produtos farmacêuticos, sem manipulação de fórmulas</v>
      </c>
      <c r="K859" t="s">
        <v>3355</v>
      </c>
      <c r="L859">
        <f>IFERROR(VLOOKUP($K859,Base_Atividades!$E$1:$N$2398,MATCH(BancoAjustado!L$1,Base_Atividades!$E$1:$N$1,0),FALSE),0)</f>
        <v>0</v>
      </c>
      <c r="M859">
        <f>IFERROR(VLOOKUP($K859,Base_Atividades!$E$1:$N$2398,MATCH(BancoAjustado!M$1,Base_Atividades!$E$1:$N$1,0),FALSE),0)</f>
        <v>0</v>
      </c>
      <c r="N859">
        <f>IFERROR(VLOOKUP($K859,Base_Atividades!$E$1:$N$2398,MATCH(BancoAjustado!N$1,Base_Atividades!$E$1:$N$1,0),FALSE),0)</f>
        <v>0</v>
      </c>
    </row>
    <row r="860" spans="1:14" x14ac:dyDescent="0.25">
      <c r="A860" t="s">
        <v>3043</v>
      </c>
      <c r="B860" t="s">
        <v>3267</v>
      </c>
      <c r="C860" t="s">
        <v>3353</v>
      </c>
      <c r="D860" t="s">
        <v>3354</v>
      </c>
      <c r="E860" t="s">
        <v>3356</v>
      </c>
      <c r="F860" t="str">
        <f>VLOOKUP(A860,Base!$A:$F,6,FALSE)</f>
        <v>COMÉRCIO; REPARAÇÃO DE VEÍCULOS AUTOMOTORES E MOTOCICLETAS</v>
      </c>
      <c r="G860" t="str">
        <f>VLOOKUP(B860,Base!$B:$F,5,FALSE)</f>
        <v>COMÉRCIO VAREJISTA</v>
      </c>
      <c r="H860" t="str">
        <f>VLOOKUP(C860,Base!$C:$F,4,FALSE)</f>
        <v>Comércio varejista de produtos farmacêuticos, perfumaria e cosméticos e artigos médicos, ópticos e ortopédicos</v>
      </c>
      <c r="I860" t="str">
        <f>VLOOKUP(D860,Base!$D:$F,3,FALSE)</f>
        <v>Comércio varejista de produtos farmacêuticos para uso humano e veterinário</v>
      </c>
      <c r="J860" t="str">
        <f>VLOOKUP(E860,Base!$E:$F,2,FALSE)</f>
        <v>Comércio varejista de produtos farmacêuticos, com manipulação de fórmulas</v>
      </c>
      <c r="K860" t="s">
        <v>3356</v>
      </c>
      <c r="L860">
        <f>IFERROR(VLOOKUP($K860,Base_Atividades!$E$1:$N$2398,MATCH(BancoAjustado!L$1,Base_Atividades!$E$1:$N$1,0),FALSE),0)</f>
        <v>0</v>
      </c>
      <c r="M860">
        <f>IFERROR(VLOOKUP($K860,Base_Atividades!$E$1:$N$2398,MATCH(BancoAjustado!M$1,Base_Atividades!$E$1:$N$1,0),FALSE),0)</f>
        <v>0</v>
      </c>
      <c r="N860">
        <f>IFERROR(VLOOKUP($K860,Base_Atividades!$E$1:$N$2398,MATCH(BancoAjustado!N$1,Base_Atividades!$E$1:$N$1,0),FALSE),0)</f>
        <v>0</v>
      </c>
    </row>
    <row r="861" spans="1:14" x14ac:dyDescent="0.25">
      <c r="A861" t="s">
        <v>3043</v>
      </c>
      <c r="B861" t="s">
        <v>3267</v>
      </c>
      <c r="C861" t="s">
        <v>3353</v>
      </c>
      <c r="D861" t="s">
        <v>3354</v>
      </c>
      <c r="E861" t="s">
        <v>3357</v>
      </c>
      <c r="F861" t="str">
        <f>VLOOKUP(A861,Base!$A:$F,6,FALSE)</f>
        <v>COMÉRCIO; REPARAÇÃO DE VEÍCULOS AUTOMOTORES E MOTOCICLETAS</v>
      </c>
      <c r="G861" t="str">
        <f>VLOOKUP(B861,Base!$B:$F,5,FALSE)</f>
        <v>COMÉRCIO VAREJISTA</v>
      </c>
      <c r="H861" t="str">
        <f>VLOOKUP(C861,Base!$C:$F,4,FALSE)</f>
        <v>Comércio varejista de produtos farmacêuticos, perfumaria e cosméticos e artigos médicos, ópticos e ortopédicos</v>
      </c>
      <c r="I861" t="str">
        <f>VLOOKUP(D861,Base!$D:$F,3,FALSE)</f>
        <v>Comércio varejista de produtos farmacêuticos para uso humano e veterinário</v>
      </c>
      <c r="J861" t="str">
        <f>VLOOKUP(E861,Base!$E:$F,2,FALSE)</f>
        <v>Comércio varejista de produtos farmacêuticos homeopáticos</v>
      </c>
      <c r="K861" t="s">
        <v>3357</v>
      </c>
      <c r="L861">
        <f>IFERROR(VLOOKUP($K861,Base_Atividades!$E$1:$N$2398,MATCH(BancoAjustado!L$1,Base_Atividades!$E$1:$N$1,0),FALSE),0)</f>
        <v>0</v>
      </c>
      <c r="M861">
        <f>IFERROR(VLOOKUP($K861,Base_Atividades!$E$1:$N$2398,MATCH(BancoAjustado!M$1,Base_Atividades!$E$1:$N$1,0),FALSE),0)</f>
        <v>0</v>
      </c>
      <c r="N861">
        <f>IFERROR(VLOOKUP($K861,Base_Atividades!$E$1:$N$2398,MATCH(BancoAjustado!N$1,Base_Atividades!$E$1:$N$1,0),FALSE),0)</f>
        <v>0</v>
      </c>
    </row>
    <row r="862" spans="1:14" x14ac:dyDescent="0.25">
      <c r="A862" t="s">
        <v>3043</v>
      </c>
      <c r="B862" t="s">
        <v>3267</v>
      </c>
      <c r="C862" t="s">
        <v>3353</v>
      </c>
      <c r="D862" t="s">
        <v>3354</v>
      </c>
      <c r="E862" t="s">
        <v>3358</v>
      </c>
      <c r="F862" t="str">
        <f>VLOOKUP(A862,Base!$A:$F,6,FALSE)</f>
        <v>COMÉRCIO; REPARAÇÃO DE VEÍCULOS AUTOMOTORES E MOTOCICLETAS</v>
      </c>
      <c r="G862" t="str">
        <f>VLOOKUP(B862,Base!$B:$F,5,FALSE)</f>
        <v>COMÉRCIO VAREJISTA</v>
      </c>
      <c r="H862" t="str">
        <f>VLOOKUP(C862,Base!$C:$F,4,FALSE)</f>
        <v>Comércio varejista de produtos farmacêuticos, perfumaria e cosméticos e artigos médicos, ópticos e ortopédicos</v>
      </c>
      <c r="I862" t="str">
        <f>VLOOKUP(D862,Base!$D:$F,3,FALSE)</f>
        <v>Comércio varejista de produtos farmacêuticos para uso humano e veterinário</v>
      </c>
      <c r="J862" t="str">
        <f>VLOOKUP(E862,Base!$E:$F,2,FALSE)</f>
        <v>Comércio varejista de medicamentos veterinários</v>
      </c>
      <c r="K862" t="s">
        <v>3358</v>
      </c>
      <c r="L862">
        <f>IFERROR(VLOOKUP($K862,Base_Atividades!$E$1:$N$2398,MATCH(BancoAjustado!L$1,Base_Atividades!$E$1:$N$1,0),FALSE),0)</f>
        <v>0</v>
      </c>
      <c r="M862">
        <f>IFERROR(VLOOKUP($K862,Base_Atividades!$E$1:$N$2398,MATCH(BancoAjustado!M$1,Base_Atividades!$E$1:$N$1,0),FALSE),0)</f>
        <v>0</v>
      </c>
      <c r="N862">
        <f>IFERROR(VLOOKUP($K862,Base_Atividades!$E$1:$N$2398,MATCH(BancoAjustado!N$1,Base_Atividades!$E$1:$N$1,0),FALSE),0)</f>
        <v>0</v>
      </c>
    </row>
    <row r="863" spans="1:14" x14ac:dyDescent="0.25">
      <c r="A863" t="s">
        <v>3043</v>
      </c>
      <c r="B863" t="s">
        <v>3267</v>
      </c>
      <c r="C863" t="s">
        <v>3353</v>
      </c>
      <c r="D863" t="s">
        <v>3359</v>
      </c>
      <c r="E863" t="s">
        <v>3360</v>
      </c>
      <c r="F863" t="str">
        <f>VLOOKUP(A863,Base!$A:$F,6,FALSE)</f>
        <v>COMÉRCIO; REPARAÇÃO DE VEÍCULOS AUTOMOTORES E MOTOCICLETAS</v>
      </c>
      <c r="G863" t="str">
        <f>VLOOKUP(B863,Base!$B:$F,5,FALSE)</f>
        <v>COMÉRCIO VAREJISTA</v>
      </c>
      <c r="H863" t="str">
        <f>VLOOKUP(C863,Base!$C:$F,4,FALSE)</f>
        <v>Comércio varejista de produtos farmacêuticos, perfumaria e cosméticos e artigos médicos, ópticos e ortopédicos</v>
      </c>
      <c r="I863" t="str">
        <f>VLOOKUP(D863,Base!$D:$F,3,FALSE)</f>
        <v>Comércio varejista de cosméticos, produtos de perfumaria e de higiene pessoal</v>
      </c>
      <c r="J863" t="str">
        <f>VLOOKUP(E863,Base!$E:$F,2,FALSE)</f>
        <v>Comércio varejista de cosméticos, produtos de perfumaria e de higiene pessoal</v>
      </c>
      <c r="K863" t="s">
        <v>3360</v>
      </c>
      <c r="L863">
        <f>IFERROR(VLOOKUP($K863,Base_Atividades!$E$1:$N$2398,MATCH(BancoAjustado!L$1,Base_Atividades!$E$1:$N$1,0),FALSE),0)</f>
        <v>0</v>
      </c>
      <c r="M863">
        <f>IFERROR(VLOOKUP($K863,Base_Atividades!$E$1:$N$2398,MATCH(BancoAjustado!M$1,Base_Atividades!$E$1:$N$1,0),FALSE),0)</f>
        <v>0</v>
      </c>
      <c r="N863">
        <f>IFERROR(VLOOKUP($K863,Base_Atividades!$E$1:$N$2398,MATCH(BancoAjustado!N$1,Base_Atividades!$E$1:$N$1,0),FALSE),0)</f>
        <v>0</v>
      </c>
    </row>
    <row r="864" spans="1:14" x14ac:dyDescent="0.25">
      <c r="A864" t="s">
        <v>3043</v>
      </c>
      <c r="B864" t="s">
        <v>3267</v>
      </c>
      <c r="C864" t="s">
        <v>3353</v>
      </c>
      <c r="D864" t="s">
        <v>3361</v>
      </c>
      <c r="E864" t="s">
        <v>3362</v>
      </c>
      <c r="F864" t="str">
        <f>VLOOKUP(A864,Base!$A:$F,6,FALSE)</f>
        <v>COMÉRCIO; REPARAÇÃO DE VEÍCULOS AUTOMOTORES E MOTOCICLETAS</v>
      </c>
      <c r="G864" t="str">
        <f>VLOOKUP(B864,Base!$B:$F,5,FALSE)</f>
        <v>COMÉRCIO VAREJISTA</v>
      </c>
      <c r="H864" t="str">
        <f>VLOOKUP(C864,Base!$C:$F,4,FALSE)</f>
        <v>Comércio varejista de produtos farmacêuticos, perfumaria e cosméticos e artigos médicos, ópticos e ortopédicos</v>
      </c>
      <c r="I864" t="str">
        <f>VLOOKUP(D864,Base!$D:$F,3,FALSE)</f>
        <v>Comércio varejista de artigos médicos e ortopédicos</v>
      </c>
      <c r="J864" t="str">
        <f>VLOOKUP(E864,Base!$E:$F,2,FALSE)</f>
        <v>Comércio varejista de artigos médicos e ortopédicos</v>
      </c>
      <c r="K864" t="s">
        <v>3362</v>
      </c>
      <c r="L864">
        <f>IFERROR(VLOOKUP($K864,Base_Atividades!$E$1:$N$2398,MATCH(BancoAjustado!L$1,Base_Atividades!$E$1:$N$1,0),FALSE),0)</f>
        <v>0</v>
      </c>
      <c r="M864">
        <f>IFERROR(VLOOKUP($K864,Base_Atividades!$E$1:$N$2398,MATCH(BancoAjustado!M$1,Base_Atividades!$E$1:$N$1,0),FALSE),0)</f>
        <v>0</v>
      </c>
      <c r="N864">
        <f>IFERROR(VLOOKUP($K864,Base_Atividades!$E$1:$N$2398,MATCH(BancoAjustado!N$1,Base_Atividades!$E$1:$N$1,0),FALSE),0)</f>
        <v>0</v>
      </c>
    </row>
    <row r="865" spans="1:14" x14ac:dyDescent="0.25">
      <c r="A865" t="s">
        <v>3043</v>
      </c>
      <c r="B865" t="s">
        <v>3267</v>
      </c>
      <c r="C865" t="s">
        <v>3353</v>
      </c>
      <c r="D865" t="s">
        <v>3363</v>
      </c>
      <c r="E865" t="s">
        <v>3364</v>
      </c>
      <c r="F865" t="str">
        <f>VLOOKUP(A865,Base!$A:$F,6,FALSE)</f>
        <v>COMÉRCIO; REPARAÇÃO DE VEÍCULOS AUTOMOTORES E MOTOCICLETAS</v>
      </c>
      <c r="G865" t="str">
        <f>VLOOKUP(B865,Base!$B:$F,5,FALSE)</f>
        <v>COMÉRCIO VAREJISTA</v>
      </c>
      <c r="H865" t="str">
        <f>VLOOKUP(C865,Base!$C:$F,4,FALSE)</f>
        <v>Comércio varejista de produtos farmacêuticos, perfumaria e cosméticos e artigos médicos, ópticos e ortopédicos</v>
      </c>
      <c r="I865" t="str">
        <f>VLOOKUP(D865,Base!$D:$F,3,FALSE)</f>
        <v>Comércio varejista de artigos de óptica</v>
      </c>
      <c r="J865" t="str">
        <f>VLOOKUP(E865,Base!$E:$F,2,FALSE)</f>
        <v>Comércio varejista de artigos de óptica</v>
      </c>
      <c r="K865" t="s">
        <v>3364</v>
      </c>
      <c r="L865">
        <f>IFERROR(VLOOKUP($K865,Base_Atividades!$E$1:$N$2398,MATCH(BancoAjustado!L$1,Base_Atividades!$E$1:$N$1,0),FALSE),0)</f>
        <v>0</v>
      </c>
      <c r="M865">
        <f>IFERROR(VLOOKUP($K865,Base_Atividades!$E$1:$N$2398,MATCH(BancoAjustado!M$1,Base_Atividades!$E$1:$N$1,0),FALSE),0)</f>
        <v>0</v>
      </c>
      <c r="N865">
        <f>IFERROR(VLOOKUP($K865,Base_Atividades!$E$1:$N$2398,MATCH(BancoAjustado!N$1,Base_Atividades!$E$1:$N$1,0),FALSE),0)</f>
        <v>0</v>
      </c>
    </row>
    <row r="866" spans="1:14" x14ac:dyDescent="0.25">
      <c r="A866" t="s">
        <v>3043</v>
      </c>
      <c r="B866" t="s">
        <v>3267</v>
      </c>
      <c r="C866" t="s">
        <v>3365</v>
      </c>
      <c r="D866" t="s">
        <v>3366</v>
      </c>
      <c r="E866" t="s">
        <v>3367</v>
      </c>
      <c r="F866" t="str">
        <f>VLOOKUP(A866,Base!$A:$F,6,FALSE)</f>
        <v>COMÉRCIO; REPARAÇÃO DE VEÍCULOS AUTOMOTORES E MOTOCICLETAS</v>
      </c>
      <c r="G866" t="str">
        <f>VLOOKUP(B866,Base!$B:$F,5,FALSE)</f>
        <v>COMÉRCIO VAREJISTA</v>
      </c>
      <c r="H866" t="str">
        <f>VLOOKUP(C866,Base!$C:$F,4,FALSE)</f>
        <v>Comércio varejista de produtos novos não especificados anteriormente e de produtos usados</v>
      </c>
      <c r="I866" t="str">
        <f>VLOOKUP(D866,Base!$D:$F,3,FALSE)</f>
        <v>Comércio varejista de artigos do vestuário e acessórios</v>
      </c>
      <c r="J866" t="str">
        <f>VLOOKUP(E866,Base!$E:$F,2,FALSE)</f>
        <v>Comércio varejista de artigos do vestuário e acessórios</v>
      </c>
      <c r="K866" t="s">
        <v>3367</v>
      </c>
      <c r="L866">
        <f>IFERROR(VLOOKUP($K866,Base_Atividades!$E$1:$N$2398,MATCH(BancoAjustado!L$1,Base_Atividades!$E$1:$N$1,0),FALSE),0)</f>
        <v>0</v>
      </c>
      <c r="M866">
        <f>IFERROR(VLOOKUP($K866,Base_Atividades!$E$1:$N$2398,MATCH(BancoAjustado!M$1,Base_Atividades!$E$1:$N$1,0),FALSE),0)</f>
        <v>0</v>
      </c>
      <c r="N866">
        <f>IFERROR(VLOOKUP($K866,Base_Atividades!$E$1:$N$2398,MATCH(BancoAjustado!N$1,Base_Atividades!$E$1:$N$1,0),FALSE),0)</f>
        <v>0</v>
      </c>
    </row>
    <row r="867" spans="1:14" x14ac:dyDescent="0.25">
      <c r="A867" t="s">
        <v>3043</v>
      </c>
      <c r="B867" t="s">
        <v>3267</v>
      </c>
      <c r="C867" t="s">
        <v>3365</v>
      </c>
      <c r="D867" t="s">
        <v>3368</v>
      </c>
      <c r="E867" t="s">
        <v>3369</v>
      </c>
      <c r="F867" t="str">
        <f>VLOOKUP(A867,Base!$A:$F,6,FALSE)</f>
        <v>COMÉRCIO; REPARAÇÃO DE VEÍCULOS AUTOMOTORES E MOTOCICLETAS</v>
      </c>
      <c r="G867" t="str">
        <f>VLOOKUP(B867,Base!$B:$F,5,FALSE)</f>
        <v>COMÉRCIO VAREJISTA</v>
      </c>
      <c r="H867" t="str">
        <f>VLOOKUP(C867,Base!$C:$F,4,FALSE)</f>
        <v>Comércio varejista de produtos novos não especificados anteriormente e de produtos usados</v>
      </c>
      <c r="I867" t="str">
        <f>VLOOKUP(D867,Base!$D:$F,3,FALSE)</f>
        <v>Comércio varejista de calçados e artigos de viagem</v>
      </c>
      <c r="J867" t="str">
        <f>VLOOKUP(E867,Base!$E:$F,2,FALSE)</f>
        <v>Comércio varejista de calçados</v>
      </c>
      <c r="K867" t="s">
        <v>3369</v>
      </c>
      <c r="L867">
        <f>IFERROR(VLOOKUP($K867,Base_Atividades!$E$1:$N$2398,MATCH(BancoAjustado!L$1,Base_Atividades!$E$1:$N$1,0),FALSE),0)</f>
        <v>0</v>
      </c>
      <c r="M867">
        <f>IFERROR(VLOOKUP($K867,Base_Atividades!$E$1:$N$2398,MATCH(BancoAjustado!M$1,Base_Atividades!$E$1:$N$1,0),FALSE),0)</f>
        <v>0</v>
      </c>
      <c r="N867">
        <f>IFERROR(VLOOKUP($K867,Base_Atividades!$E$1:$N$2398,MATCH(BancoAjustado!N$1,Base_Atividades!$E$1:$N$1,0),FALSE),0)</f>
        <v>0</v>
      </c>
    </row>
    <row r="868" spans="1:14" x14ac:dyDescent="0.25">
      <c r="A868" t="s">
        <v>3043</v>
      </c>
      <c r="B868" t="s">
        <v>3267</v>
      </c>
      <c r="C868" t="s">
        <v>3365</v>
      </c>
      <c r="D868" t="s">
        <v>3368</v>
      </c>
      <c r="E868" t="s">
        <v>3370</v>
      </c>
      <c r="F868" t="str">
        <f>VLOOKUP(A868,Base!$A:$F,6,FALSE)</f>
        <v>COMÉRCIO; REPARAÇÃO DE VEÍCULOS AUTOMOTORES E MOTOCICLETAS</v>
      </c>
      <c r="G868" t="str">
        <f>VLOOKUP(B868,Base!$B:$F,5,FALSE)</f>
        <v>COMÉRCIO VAREJISTA</v>
      </c>
      <c r="H868" t="str">
        <f>VLOOKUP(C868,Base!$C:$F,4,FALSE)</f>
        <v>Comércio varejista de produtos novos não especificados anteriormente e de produtos usados</v>
      </c>
      <c r="I868" t="str">
        <f>VLOOKUP(D868,Base!$D:$F,3,FALSE)</f>
        <v>Comércio varejista de calçados e artigos de viagem</v>
      </c>
      <c r="J868" t="str">
        <f>VLOOKUP(E868,Base!$E:$F,2,FALSE)</f>
        <v>Comércio varejista de artigos de viagem</v>
      </c>
      <c r="K868" t="s">
        <v>3370</v>
      </c>
      <c r="L868">
        <f>IFERROR(VLOOKUP($K868,Base_Atividades!$E$1:$N$2398,MATCH(BancoAjustado!L$1,Base_Atividades!$E$1:$N$1,0),FALSE),0)</f>
        <v>0</v>
      </c>
      <c r="M868">
        <f>IFERROR(VLOOKUP($K868,Base_Atividades!$E$1:$N$2398,MATCH(BancoAjustado!M$1,Base_Atividades!$E$1:$N$1,0),FALSE),0)</f>
        <v>0</v>
      </c>
      <c r="N868">
        <f>IFERROR(VLOOKUP($K868,Base_Atividades!$E$1:$N$2398,MATCH(BancoAjustado!N$1,Base_Atividades!$E$1:$N$1,0),FALSE),0)</f>
        <v>0</v>
      </c>
    </row>
    <row r="869" spans="1:14" x14ac:dyDescent="0.25">
      <c r="A869" t="s">
        <v>3043</v>
      </c>
      <c r="B869" t="s">
        <v>3267</v>
      </c>
      <c r="C869" t="s">
        <v>3365</v>
      </c>
      <c r="D869" t="s">
        <v>3371</v>
      </c>
      <c r="E869" t="s">
        <v>3372</v>
      </c>
      <c r="F869" t="str">
        <f>VLOOKUP(A869,Base!$A:$F,6,FALSE)</f>
        <v>COMÉRCIO; REPARAÇÃO DE VEÍCULOS AUTOMOTORES E MOTOCICLETAS</v>
      </c>
      <c r="G869" t="str">
        <f>VLOOKUP(B869,Base!$B:$F,5,FALSE)</f>
        <v>COMÉRCIO VAREJISTA</v>
      </c>
      <c r="H869" t="str">
        <f>VLOOKUP(C869,Base!$C:$F,4,FALSE)</f>
        <v>Comércio varejista de produtos novos não especificados anteriormente e de produtos usados</v>
      </c>
      <c r="I869" t="str">
        <f>VLOOKUP(D869,Base!$D:$F,3,FALSE)</f>
        <v>Comércio varejista de jóias e relógios</v>
      </c>
      <c r="J869" t="str">
        <f>VLOOKUP(E869,Base!$E:$F,2,FALSE)</f>
        <v>Comércio varejista de artigos de joalheria</v>
      </c>
      <c r="K869" t="s">
        <v>3372</v>
      </c>
      <c r="L869">
        <f>IFERROR(VLOOKUP($K869,Base_Atividades!$E$1:$N$2398,MATCH(BancoAjustado!L$1,Base_Atividades!$E$1:$N$1,0),FALSE),0)</f>
        <v>0</v>
      </c>
      <c r="M869">
        <f>IFERROR(VLOOKUP($K869,Base_Atividades!$E$1:$N$2398,MATCH(BancoAjustado!M$1,Base_Atividades!$E$1:$N$1,0),FALSE),0)</f>
        <v>0</v>
      </c>
      <c r="N869">
        <f>IFERROR(VLOOKUP($K869,Base_Atividades!$E$1:$N$2398,MATCH(BancoAjustado!N$1,Base_Atividades!$E$1:$N$1,0),FALSE),0)</f>
        <v>0</v>
      </c>
    </row>
    <row r="870" spans="1:14" x14ac:dyDescent="0.25">
      <c r="A870" t="s">
        <v>3043</v>
      </c>
      <c r="B870" t="s">
        <v>3267</v>
      </c>
      <c r="C870" t="s">
        <v>3365</v>
      </c>
      <c r="D870" t="s">
        <v>3371</v>
      </c>
      <c r="E870" t="s">
        <v>3373</v>
      </c>
      <c r="F870" t="str">
        <f>VLOOKUP(A870,Base!$A:$F,6,FALSE)</f>
        <v>COMÉRCIO; REPARAÇÃO DE VEÍCULOS AUTOMOTORES E MOTOCICLETAS</v>
      </c>
      <c r="G870" t="str">
        <f>VLOOKUP(B870,Base!$B:$F,5,FALSE)</f>
        <v>COMÉRCIO VAREJISTA</v>
      </c>
      <c r="H870" t="str">
        <f>VLOOKUP(C870,Base!$C:$F,4,FALSE)</f>
        <v>Comércio varejista de produtos novos não especificados anteriormente e de produtos usados</v>
      </c>
      <c r="I870" t="str">
        <f>VLOOKUP(D870,Base!$D:$F,3,FALSE)</f>
        <v>Comércio varejista de jóias e relógios</v>
      </c>
      <c r="J870" t="str">
        <f>VLOOKUP(E870,Base!$E:$F,2,FALSE)</f>
        <v>Comércio varejista de artigos de relojoaria</v>
      </c>
      <c r="K870" t="s">
        <v>3373</v>
      </c>
      <c r="L870">
        <f>IFERROR(VLOOKUP($K870,Base_Atividades!$E$1:$N$2398,MATCH(BancoAjustado!L$1,Base_Atividades!$E$1:$N$1,0),FALSE),0)</f>
        <v>0</v>
      </c>
      <c r="M870">
        <f>IFERROR(VLOOKUP($K870,Base_Atividades!$E$1:$N$2398,MATCH(BancoAjustado!M$1,Base_Atividades!$E$1:$N$1,0),FALSE),0)</f>
        <v>0</v>
      </c>
      <c r="N870">
        <f>IFERROR(VLOOKUP($K870,Base_Atividades!$E$1:$N$2398,MATCH(BancoAjustado!N$1,Base_Atividades!$E$1:$N$1,0),FALSE),0)</f>
        <v>0</v>
      </c>
    </row>
    <row r="871" spans="1:14" x14ac:dyDescent="0.25">
      <c r="A871" t="s">
        <v>3043</v>
      </c>
      <c r="B871" t="s">
        <v>3267</v>
      </c>
      <c r="C871" t="s">
        <v>3365</v>
      </c>
      <c r="D871" t="s">
        <v>3374</v>
      </c>
      <c r="E871" t="s">
        <v>3375</v>
      </c>
      <c r="F871" t="str">
        <f>VLOOKUP(A871,Base!$A:$F,6,FALSE)</f>
        <v>COMÉRCIO; REPARAÇÃO DE VEÍCULOS AUTOMOTORES E MOTOCICLETAS</v>
      </c>
      <c r="G871" t="str">
        <f>VLOOKUP(B871,Base!$B:$F,5,FALSE)</f>
        <v>COMÉRCIO VAREJISTA</v>
      </c>
      <c r="H871" t="str">
        <f>VLOOKUP(C871,Base!$C:$F,4,FALSE)</f>
        <v>Comércio varejista de produtos novos não especificados anteriormente e de produtos usados</v>
      </c>
      <c r="I871" t="str">
        <f>VLOOKUP(D871,Base!$D:$F,3,FALSE)</f>
        <v>Comércio varejista de gás liqüefeito de petróleo (GLP)</v>
      </c>
      <c r="J871" t="str">
        <f>VLOOKUP(E871,Base!$E:$F,2,FALSE)</f>
        <v>Comércio varejista de gás liqüefeito de petróleo (GLP)</v>
      </c>
      <c r="K871" t="s">
        <v>3375</v>
      </c>
      <c r="L871">
        <f>IFERROR(VLOOKUP($K871,Base_Atividades!$E$1:$N$2398,MATCH(BancoAjustado!L$1,Base_Atividades!$E$1:$N$1,0),FALSE),0)</f>
        <v>0</v>
      </c>
      <c r="M871">
        <f>IFERROR(VLOOKUP($K871,Base_Atividades!$E$1:$N$2398,MATCH(BancoAjustado!M$1,Base_Atividades!$E$1:$N$1,0),FALSE),0)</f>
        <v>0</v>
      </c>
      <c r="N871">
        <f>IFERROR(VLOOKUP($K871,Base_Atividades!$E$1:$N$2398,MATCH(BancoAjustado!N$1,Base_Atividades!$E$1:$N$1,0),FALSE),0)</f>
        <v>0</v>
      </c>
    </row>
    <row r="872" spans="1:14" x14ac:dyDescent="0.25">
      <c r="A872" t="s">
        <v>3043</v>
      </c>
      <c r="B872" t="s">
        <v>3267</v>
      </c>
      <c r="C872" t="s">
        <v>3365</v>
      </c>
      <c r="D872" t="s">
        <v>3376</v>
      </c>
      <c r="E872" t="s">
        <v>3377</v>
      </c>
      <c r="F872" t="str">
        <f>VLOOKUP(A872,Base!$A:$F,6,FALSE)</f>
        <v>COMÉRCIO; REPARAÇÃO DE VEÍCULOS AUTOMOTORES E MOTOCICLETAS</v>
      </c>
      <c r="G872" t="str">
        <f>VLOOKUP(B872,Base!$B:$F,5,FALSE)</f>
        <v>COMÉRCIO VAREJISTA</v>
      </c>
      <c r="H872" t="str">
        <f>VLOOKUP(C872,Base!$C:$F,4,FALSE)</f>
        <v>Comércio varejista de produtos novos não especificados anteriormente e de produtos usados</v>
      </c>
      <c r="I872" t="str">
        <f>VLOOKUP(D872,Base!$D:$F,3,FALSE)</f>
        <v>Comércio varejista de artigos usados</v>
      </c>
      <c r="J872" t="str">
        <f>VLOOKUP(E872,Base!$E:$F,2,FALSE)</f>
        <v>Comércio varejista de antiguidades</v>
      </c>
      <c r="K872" t="s">
        <v>3377</v>
      </c>
      <c r="L872">
        <f>IFERROR(VLOOKUP($K872,Base_Atividades!$E$1:$N$2398,MATCH(BancoAjustado!L$1,Base_Atividades!$E$1:$N$1,0),FALSE),0)</f>
        <v>0</v>
      </c>
      <c r="M872">
        <f>IFERROR(VLOOKUP($K872,Base_Atividades!$E$1:$N$2398,MATCH(BancoAjustado!M$1,Base_Atividades!$E$1:$N$1,0),FALSE),0)</f>
        <v>0</v>
      </c>
      <c r="N872">
        <f>IFERROR(VLOOKUP($K872,Base_Atividades!$E$1:$N$2398,MATCH(BancoAjustado!N$1,Base_Atividades!$E$1:$N$1,0),FALSE),0)</f>
        <v>0</v>
      </c>
    </row>
    <row r="873" spans="1:14" x14ac:dyDescent="0.25">
      <c r="A873" t="s">
        <v>3043</v>
      </c>
      <c r="B873" t="s">
        <v>3267</v>
      </c>
      <c r="C873" t="s">
        <v>3365</v>
      </c>
      <c r="D873" t="s">
        <v>3376</v>
      </c>
      <c r="E873" t="s">
        <v>3378</v>
      </c>
      <c r="F873" t="str">
        <f>VLOOKUP(A873,Base!$A:$F,6,FALSE)</f>
        <v>COMÉRCIO; REPARAÇÃO DE VEÍCULOS AUTOMOTORES E MOTOCICLETAS</v>
      </c>
      <c r="G873" t="str">
        <f>VLOOKUP(B873,Base!$B:$F,5,FALSE)</f>
        <v>COMÉRCIO VAREJISTA</v>
      </c>
      <c r="H873" t="str">
        <f>VLOOKUP(C873,Base!$C:$F,4,FALSE)</f>
        <v>Comércio varejista de produtos novos não especificados anteriormente e de produtos usados</v>
      </c>
      <c r="I873" t="str">
        <f>VLOOKUP(D873,Base!$D:$F,3,FALSE)</f>
        <v>Comércio varejista de artigos usados</v>
      </c>
      <c r="J873" t="str">
        <f>VLOOKUP(E873,Base!$E:$F,2,FALSE)</f>
        <v>Comércio varejista de outros artigos usados</v>
      </c>
      <c r="K873" t="s">
        <v>3378</v>
      </c>
      <c r="L873">
        <f>IFERROR(VLOOKUP($K873,Base_Atividades!$E$1:$N$2398,MATCH(BancoAjustado!L$1,Base_Atividades!$E$1:$N$1,0),FALSE),0)</f>
        <v>0</v>
      </c>
      <c r="M873">
        <f>IFERROR(VLOOKUP($K873,Base_Atividades!$E$1:$N$2398,MATCH(BancoAjustado!M$1,Base_Atividades!$E$1:$N$1,0),FALSE),0)</f>
        <v>0</v>
      </c>
      <c r="N873">
        <f>IFERROR(VLOOKUP($K873,Base_Atividades!$E$1:$N$2398,MATCH(BancoAjustado!N$1,Base_Atividades!$E$1:$N$1,0),FALSE),0)</f>
        <v>0</v>
      </c>
    </row>
    <row r="874" spans="1:14" x14ac:dyDescent="0.25">
      <c r="A874" t="s">
        <v>3043</v>
      </c>
      <c r="B874" t="s">
        <v>3267</v>
      </c>
      <c r="C874" t="s">
        <v>3365</v>
      </c>
      <c r="D874" t="s">
        <v>3379</v>
      </c>
      <c r="E874" t="s">
        <v>3380</v>
      </c>
      <c r="F874" t="str">
        <f>VLOOKUP(A874,Base!$A:$F,6,FALSE)</f>
        <v>COMÉRCIO; REPARAÇÃO DE VEÍCULOS AUTOMOTORES E MOTOCICLETAS</v>
      </c>
      <c r="G874" t="str">
        <f>VLOOKUP(B874,Base!$B:$F,5,FALSE)</f>
        <v>COMÉRCIO VAREJISTA</v>
      </c>
      <c r="H874" t="str">
        <f>VLOOKUP(C874,Base!$C:$F,4,FALSE)</f>
        <v>Comércio varejista de produtos novos não especificados anteriormente e de produtos usados</v>
      </c>
      <c r="I874" t="str">
        <f>VLOOKUP(D874,Base!$D:$F,3,FALSE)</f>
        <v>Comércio varejista de outros produtos novos não especificados anteriormente</v>
      </c>
      <c r="J874" t="str">
        <f>VLOOKUP(E874,Base!$E:$F,2,FALSE)</f>
        <v>Comércio varejista de suvenires, bijuterias e artesanatos</v>
      </c>
      <c r="K874" t="s">
        <v>3380</v>
      </c>
      <c r="L874">
        <f>IFERROR(VLOOKUP($K874,Base_Atividades!$E$1:$N$2398,MATCH(BancoAjustado!L$1,Base_Atividades!$E$1:$N$1,0),FALSE),0)</f>
        <v>0</v>
      </c>
      <c r="M874">
        <f>IFERROR(VLOOKUP($K874,Base_Atividades!$E$1:$N$2398,MATCH(BancoAjustado!M$1,Base_Atividades!$E$1:$N$1,0),FALSE),0)</f>
        <v>0</v>
      </c>
      <c r="N874">
        <f>IFERROR(VLOOKUP($K874,Base_Atividades!$E$1:$N$2398,MATCH(BancoAjustado!N$1,Base_Atividades!$E$1:$N$1,0),FALSE),0)</f>
        <v>0</v>
      </c>
    </row>
    <row r="875" spans="1:14" x14ac:dyDescent="0.25">
      <c r="A875" t="s">
        <v>3043</v>
      </c>
      <c r="B875" t="s">
        <v>3267</v>
      </c>
      <c r="C875" t="s">
        <v>3365</v>
      </c>
      <c r="D875" t="s">
        <v>3379</v>
      </c>
      <c r="E875" t="s">
        <v>3381</v>
      </c>
      <c r="F875" t="str">
        <f>VLOOKUP(A875,Base!$A:$F,6,FALSE)</f>
        <v>COMÉRCIO; REPARAÇÃO DE VEÍCULOS AUTOMOTORES E MOTOCICLETAS</v>
      </c>
      <c r="G875" t="str">
        <f>VLOOKUP(B875,Base!$B:$F,5,FALSE)</f>
        <v>COMÉRCIO VAREJISTA</v>
      </c>
      <c r="H875" t="str">
        <f>VLOOKUP(C875,Base!$C:$F,4,FALSE)</f>
        <v>Comércio varejista de produtos novos não especificados anteriormente e de produtos usados</v>
      </c>
      <c r="I875" t="str">
        <f>VLOOKUP(D875,Base!$D:$F,3,FALSE)</f>
        <v>Comércio varejista de outros produtos novos não especificados anteriormente</v>
      </c>
      <c r="J875" t="str">
        <f>VLOOKUP(E875,Base!$E:$F,2,FALSE)</f>
        <v>Comércio varejista de plantas e flores naturais</v>
      </c>
      <c r="K875" t="s">
        <v>3381</v>
      </c>
      <c r="L875">
        <f>IFERROR(VLOOKUP($K875,Base_Atividades!$E$1:$N$2398,MATCH(BancoAjustado!L$1,Base_Atividades!$E$1:$N$1,0),FALSE),0)</f>
        <v>0</v>
      </c>
      <c r="M875">
        <f>IFERROR(VLOOKUP($K875,Base_Atividades!$E$1:$N$2398,MATCH(BancoAjustado!M$1,Base_Atividades!$E$1:$N$1,0),FALSE),0)</f>
        <v>0</v>
      </c>
      <c r="N875">
        <f>IFERROR(VLOOKUP($K875,Base_Atividades!$E$1:$N$2398,MATCH(BancoAjustado!N$1,Base_Atividades!$E$1:$N$1,0),FALSE),0)</f>
        <v>0</v>
      </c>
    </row>
    <row r="876" spans="1:14" x14ac:dyDescent="0.25">
      <c r="A876" t="s">
        <v>3043</v>
      </c>
      <c r="B876" t="s">
        <v>3267</v>
      </c>
      <c r="C876" t="s">
        <v>3365</v>
      </c>
      <c r="D876" t="s">
        <v>3379</v>
      </c>
      <c r="E876" t="s">
        <v>3382</v>
      </c>
      <c r="F876" t="str">
        <f>VLOOKUP(A876,Base!$A:$F,6,FALSE)</f>
        <v>COMÉRCIO; REPARAÇÃO DE VEÍCULOS AUTOMOTORES E MOTOCICLETAS</v>
      </c>
      <c r="G876" t="str">
        <f>VLOOKUP(B876,Base!$B:$F,5,FALSE)</f>
        <v>COMÉRCIO VAREJISTA</v>
      </c>
      <c r="H876" t="str">
        <f>VLOOKUP(C876,Base!$C:$F,4,FALSE)</f>
        <v>Comércio varejista de produtos novos não especificados anteriormente e de produtos usados</v>
      </c>
      <c r="I876" t="str">
        <f>VLOOKUP(D876,Base!$D:$F,3,FALSE)</f>
        <v>Comércio varejista de outros produtos novos não especificados anteriormente</v>
      </c>
      <c r="J876" t="str">
        <f>VLOOKUP(E876,Base!$E:$F,2,FALSE)</f>
        <v>Comércio varejista de objetos de arte</v>
      </c>
      <c r="K876" t="s">
        <v>3382</v>
      </c>
      <c r="L876">
        <f>IFERROR(VLOOKUP($K876,Base_Atividades!$E$1:$N$2398,MATCH(BancoAjustado!L$1,Base_Atividades!$E$1:$N$1,0),FALSE),0)</f>
        <v>0</v>
      </c>
      <c r="M876">
        <f>IFERROR(VLOOKUP($K876,Base_Atividades!$E$1:$N$2398,MATCH(BancoAjustado!M$1,Base_Atividades!$E$1:$N$1,0),FALSE),0)</f>
        <v>0</v>
      </c>
      <c r="N876">
        <f>IFERROR(VLOOKUP($K876,Base_Atividades!$E$1:$N$2398,MATCH(BancoAjustado!N$1,Base_Atividades!$E$1:$N$1,0),FALSE),0)</f>
        <v>0</v>
      </c>
    </row>
    <row r="877" spans="1:14" x14ac:dyDescent="0.25">
      <c r="A877" t="s">
        <v>3043</v>
      </c>
      <c r="B877" t="s">
        <v>3267</v>
      </c>
      <c r="C877" t="s">
        <v>3365</v>
      </c>
      <c r="D877" t="s">
        <v>3379</v>
      </c>
      <c r="E877" t="s">
        <v>3383</v>
      </c>
      <c r="F877" t="str">
        <f>VLOOKUP(A877,Base!$A:$F,6,FALSE)</f>
        <v>COMÉRCIO; REPARAÇÃO DE VEÍCULOS AUTOMOTORES E MOTOCICLETAS</v>
      </c>
      <c r="G877" t="str">
        <f>VLOOKUP(B877,Base!$B:$F,5,FALSE)</f>
        <v>COMÉRCIO VAREJISTA</v>
      </c>
      <c r="H877" t="str">
        <f>VLOOKUP(C877,Base!$C:$F,4,FALSE)</f>
        <v>Comércio varejista de produtos novos não especificados anteriormente e de produtos usados</v>
      </c>
      <c r="I877" t="str">
        <f>VLOOKUP(D877,Base!$D:$F,3,FALSE)</f>
        <v>Comércio varejista de outros produtos novos não especificados anteriormente</v>
      </c>
      <c r="J877" t="str">
        <f>VLOOKUP(E877,Base!$E:$F,2,FALSE)</f>
        <v>Comércio varejista de animais vivos e de artigos e alimentos para animais de estimação</v>
      </c>
      <c r="K877" t="s">
        <v>3383</v>
      </c>
      <c r="L877">
        <f>IFERROR(VLOOKUP($K877,Base_Atividades!$E$1:$N$2398,MATCH(BancoAjustado!L$1,Base_Atividades!$E$1:$N$1,0),FALSE),0)</f>
        <v>0</v>
      </c>
      <c r="M877">
        <f>IFERROR(VLOOKUP($K877,Base_Atividades!$E$1:$N$2398,MATCH(BancoAjustado!M$1,Base_Atividades!$E$1:$N$1,0),FALSE),0)</f>
        <v>0</v>
      </c>
      <c r="N877">
        <f>IFERROR(VLOOKUP($K877,Base_Atividades!$E$1:$N$2398,MATCH(BancoAjustado!N$1,Base_Atividades!$E$1:$N$1,0),FALSE),0)</f>
        <v>0</v>
      </c>
    </row>
    <row r="878" spans="1:14" x14ac:dyDescent="0.25">
      <c r="A878" t="s">
        <v>3043</v>
      </c>
      <c r="B878" t="s">
        <v>3267</v>
      </c>
      <c r="C878" t="s">
        <v>3365</v>
      </c>
      <c r="D878" t="s">
        <v>3379</v>
      </c>
      <c r="E878" t="s">
        <v>3384</v>
      </c>
      <c r="F878" t="str">
        <f>VLOOKUP(A878,Base!$A:$F,6,FALSE)</f>
        <v>COMÉRCIO; REPARAÇÃO DE VEÍCULOS AUTOMOTORES E MOTOCICLETAS</v>
      </c>
      <c r="G878" t="str">
        <f>VLOOKUP(B878,Base!$B:$F,5,FALSE)</f>
        <v>COMÉRCIO VAREJISTA</v>
      </c>
      <c r="H878" t="str">
        <f>VLOOKUP(C878,Base!$C:$F,4,FALSE)</f>
        <v>Comércio varejista de produtos novos não especificados anteriormente e de produtos usados</v>
      </c>
      <c r="I878" t="str">
        <f>VLOOKUP(D878,Base!$D:$F,3,FALSE)</f>
        <v>Comércio varejista de outros produtos novos não especificados anteriormente</v>
      </c>
      <c r="J878" t="str">
        <f>VLOOKUP(E878,Base!$E:$F,2,FALSE)</f>
        <v>Comércio varejista de produtos saneantes domissanitários</v>
      </c>
      <c r="K878" t="s">
        <v>3384</v>
      </c>
      <c r="L878">
        <f>IFERROR(VLOOKUP($K878,Base_Atividades!$E$1:$N$2398,MATCH(BancoAjustado!L$1,Base_Atividades!$E$1:$N$1,0),FALSE),0)</f>
        <v>0</v>
      </c>
      <c r="M878">
        <f>IFERROR(VLOOKUP($K878,Base_Atividades!$E$1:$N$2398,MATCH(BancoAjustado!M$1,Base_Atividades!$E$1:$N$1,0),FALSE),0)</f>
        <v>0</v>
      </c>
      <c r="N878">
        <f>IFERROR(VLOOKUP($K878,Base_Atividades!$E$1:$N$2398,MATCH(BancoAjustado!N$1,Base_Atividades!$E$1:$N$1,0),FALSE),0)</f>
        <v>0</v>
      </c>
    </row>
    <row r="879" spans="1:14" x14ac:dyDescent="0.25">
      <c r="A879" t="s">
        <v>3043</v>
      </c>
      <c r="B879" t="s">
        <v>3267</v>
      </c>
      <c r="C879" t="s">
        <v>3365</v>
      </c>
      <c r="D879" t="s">
        <v>3379</v>
      </c>
      <c r="E879" t="s">
        <v>3385</v>
      </c>
      <c r="F879" t="str">
        <f>VLOOKUP(A879,Base!$A:$F,6,FALSE)</f>
        <v>COMÉRCIO; REPARAÇÃO DE VEÍCULOS AUTOMOTORES E MOTOCICLETAS</v>
      </c>
      <c r="G879" t="str">
        <f>VLOOKUP(B879,Base!$B:$F,5,FALSE)</f>
        <v>COMÉRCIO VAREJISTA</v>
      </c>
      <c r="H879" t="str">
        <f>VLOOKUP(C879,Base!$C:$F,4,FALSE)</f>
        <v>Comércio varejista de produtos novos não especificados anteriormente e de produtos usados</v>
      </c>
      <c r="I879" t="str">
        <f>VLOOKUP(D879,Base!$D:$F,3,FALSE)</f>
        <v>Comércio varejista de outros produtos novos não especificados anteriormente</v>
      </c>
      <c r="J879" t="str">
        <f>VLOOKUP(E879,Base!$E:$F,2,FALSE)</f>
        <v>Comércio varejista de fogos de artifício e artigos pirotécnicos</v>
      </c>
      <c r="K879" t="s">
        <v>3385</v>
      </c>
      <c r="L879">
        <f>IFERROR(VLOOKUP($K879,Base_Atividades!$E$1:$N$2398,MATCH(BancoAjustado!L$1,Base_Atividades!$E$1:$N$1,0),FALSE),0)</f>
        <v>0</v>
      </c>
      <c r="M879">
        <f>IFERROR(VLOOKUP($K879,Base_Atividades!$E$1:$N$2398,MATCH(BancoAjustado!M$1,Base_Atividades!$E$1:$N$1,0),FALSE),0)</f>
        <v>0</v>
      </c>
      <c r="N879">
        <f>IFERROR(VLOOKUP($K879,Base_Atividades!$E$1:$N$2398,MATCH(BancoAjustado!N$1,Base_Atividades!$E$1:$N$1,0),FALSE),0)</f>
        <v>0</v>
      </c>
    </row>
    <row r="880" spans="1:14" x14ac:dyDescent="0.25">
      <c r="A880" t="s">
        <v>3043</v>
      </c>
      <c r="B880" t="s">
        <v>3267</v>
      </c>
      <c r="C880" t="s">
        <v>3365</v>
      </c>
      <c r="D880" t="s">
        <v>3379</v>
      </c>
      <c r="E880" t="s">
        <v>3386</v>
      </c>
      <c r="F880" t="str">
        <f>VLOOKUP(A880,Base!$A:$F,6,FALSE)</f>
        <v>COMÉRCIO; REPARAÇÃO DE VEÍCULOS AUTOMOTORES E MOTOCICLETAS</v>
      </c>
      <c r="G880" t="str">
        <f>VLOOKUP(B880,Base!$B:$F,5,FALSE)</f>
        <v>COMÉRCIO VAREJISTA</v>
      </c>
      <c r="H880" t="str">
        <f>VLOOKUP(C880,Base!$C:$F,4,FALSE)</f>
        <v>Comércio varejista de produtos novos não especificados anteriormente e de produtos usados</v>
      </c>
      <c r="I880" t="str">
        <f>VLOOKUP(D880,Base!$D:$F,3,FALSE)</f>
        <v>Comércio varejista de outros produtos novos não especificados anteriormente</v>
      </c>
      <c r="J880" t="str">
        <f>VLOOKUP(E880,Base!$E:$F,2,FALSE)</f>
        <v>Comércio varejista de equipamentos para escritório</v>
      </c>
      <c r="K880" t="s">
        <v>3386</v>
      </c>
      <c r="L880">
        <f>IFERROR(VLOOKUP($K880,Base_Atividades!$E$1:$N$2398,MATCH(BancoAjustado!L$1,Base_Atividades!$E$1:$N$1,0),FALSE),0)</f>
        <v>0</v>
      </c>
      <c r="M880">
        <f>IFERROR(VLOOKUP($K880,Base_Atividades!$E$1:$N$2398,MATCH(BancoAjustado!M$1,Base_Atividades!$E$1:$N$1,0),FALSE),0)</f>
        <v>0</v>
      </c>
      <c r="N880">
        <f>IFERROR(VLOOKUP($K880,Base_Atividades!$E$1:$N$2398,MATCH(BancoAjustado!N$1,Base_Atividades!$E$1:$N$1,0),FALSE),0)</f>
        <v>0</v>
      </c>
    </row>
    <row r="881" spans="1:14" x14ac:dyDescent="0.25">
      <c r="A881" t="s">
        <v>3043</v>
      </c>
      <c r="B881" t="s">
        <v>3267</v>
      </c>
      <c r="C881" t="s">
        <v>3365</v>
      </c>
      <c r="D881" t="s">
        <v>3379</v>
      </c>
      <c r="E881" t="s">
        <v>3387</v>
      </c>
      <c r="F881" t="str">
        <f>VLOOKUP(A881,Base!$A:$F,6,FALSE)</f>
        <v>COMÉRCIO; REPARAÇÃO DE VEÍCULOS AUTOMOTORES E MOTOCICLETAS</v>
      </c>
      <c r="G881" t="str">
        <f>VLOOKUP(B881,Base!$B:$F,5,FALSE)</f>
        <v>COMÉRCIO VAREJISTA</v>
      </c>
      <c r="H881" t="str">
        <f>VLOOKUP(C881,Base!$C:$F,4,FALSE)</f>
        <v>Comércio varejista de produtos novos não especificados anteriormente e de produtos usados</v>
      </c>
      <c r="I881" t="str">
        <f>VLOOKUP(D881,Base!$D:$F,3,FALSE)</f>
        <v>Comércio varejista de outros produtos novos não especificados anteriormente</v>
      </c>
      <c r="J881" t="str">
        <f>VLOOKUP(E881,Base!$E:$F,2,FALSE)</f>
        <v>Comércio varejista de artigos fotográficos e para filmagem</v>
      </c>
      <c r="K881" t="s">
        <v>3387</v>
      </c>
      <c r="L881">
        <f>IFERROR(VLOOKUP($K881,Base_Atividades!$E$1:$N$2398,MATCH(BancoAjustado!L$1,Base_Atividades!$E$1:$N$1,0),FALSE),0)</f>
        <v>0</v>
      </c>
      <c r="M881">
        <f>IFERROR(VLOOKUP($K881,Base_Atividades!$E$1:$N$2398,MATCH(BancoAjustado!M$1,Base_Atividades!$E$1:$N$1,0),FALSE),0)</f>
        <v>0</v>
      </c>
      <c r="N881">
        <f>IFERROR(VLOOKUP($K881,Base_Atividades!$E$1:$N$2398,MATCH(BancoAjustado!N$1,Base_Atividades!$E$1:$N$1,0),FALSE),0)</f>
        <v>0</v>
      </c>
    </row>
    <row r="882" spans="1:14" x14ac:dyDescent="0.25">
      <c r="A882" t="s">
        <v>3043</v>
      </c>
      <c r="B882" t="s">
        <v>3267</v>
      </c>
      <c r="C882" t="s">
        <v>3365</v>
      </c>
      <c r="D882" t="s">
        <v>3379</v>
      </c>
      <c r="E882" t="s">
        <v>3388</v>
      </c>
      <c r="F882" t="str">
        <f>VLOOKUP(A882,Base!$A:$F,6,FALSE)</f>
        <v>COMÉRCIO; REPARAÇÃO DE VEÍCULOS AUTOMOTORES E MOTOCICLETAS</v>
      </c>
      <c r="G882" t="str">
        <f>VLOOKUP(B882,Base!$B:$F,5,FALSE)</f>
        <v>COMÉRCIO VAREJISTA</v>
      </c>
      <c r="H882" t="str">
        <f>VLOOKUP(C882,Base!$C:$F,4,FALSE)</f>
        <v>Comércio varejista de produtos novos não especificados anteriormente e de produtos usados</v>
      </c>
      <c r="I882" t="str">
        <f>VLOOKUP(D882,Base!$D:$F,3,FALSE)</f>
        <v>Comércio varejista de outros produtos novos não especificados anteriormente</v>
      </c>
      <c r="J882" t="str">
        <f>VLOOKUP(E882,Base!$E:$F,2,FALSE)</f>
        <v>Comércio varejista de armas e munições</v>
      </c>
      <c r="K882" t="s">
        <v>3388</v>
      </c>
      <c r="L882">
        <f>IFERROR(VLOOKUP($K882,Base_Atividades!$E$1:$N$2398,MATCH(BancoAjustado!L$1,Base_Atividades!$E$1:$N$1,0),FALSE),0)</f>
        <v>0</v>
      </c>
      <c r="M882">
        <f>IFERROR(VLOOKUP($K882,Base_Atividades!$E$1:$N$2398,MATCH(BancoAjustado!M$1,Base_Atividades!$E$1:$N$1,0),FALSE),0)</f>
        <v>0</v>
      </c>
      <c r="N882">
        <f>IFERROR(VLOOKUP($K882,Base_Atividades!$E$1:$N$2398,MATCH(BancoAjustado!N$1,Base_Atividades!$E$1:$N$1,0),FALSE),0)</f>
        <v>0</v>
      </c>
    </row>
    <row r="883" spans="1:14" x14ac:dyDescent="0.25">
      <c r="A883" t="s">
        <v>3043</v>
      </c>
      <c r="B883" t="s">
        <v>3267</v>
      </c>
      <c r="C883" t="s">
        <v>3365</v>
      </c>
      <c r="D883" t="s">
        <v>3379</v>
      </c>
      <c r="E883" t="s">
        <v>3389</v>
      </c>
      <c r="F883" t="str">
        <f>VLOOKUP(A883,Base!$A:$F,6,FALSE)</f>
        <v>COMÉRCIO; REPARAÇÃO DE VEÍCULOS AUTOMOTORES E MOTOCICLETAS</v>
      </c>
      <c r="G883" t="str">
        <f>VLOOKUP(B883,Base!$B:$F,5,FALSE)</f>
        <v>COMÉRCIO VAREJISTA</v>
      </c>
      <c r="H883" t="str">
        <f>VLOOKUP(C883,Base!$C:$F,4,FALSE)</f>
        <v>Comércio varejista de produtos novos não especificados anteriormente e de produtos usados</v>
      </c>
      <c r="I883" t="str">
        <f>VLOOKUP(D883,Base!$D:$F,3,FALSE)</f>
        <v>Comércio varejista de outros produtos novos não especificados anteriormente</v>
      </c>
      <c r="J883" t="str">
        <f>VLOOKUP(E883,Base!$E:$F,2,FALSE)</f>
        <v>Comércio varejista de outros produtos não especificados anteriormente</v>
      </c>
      <c r="K883" t="s">
        <v>3389</v>
      </c>
      <c r="L883">
        <f>IFERROR(VLOOKUP($K883,Base_Atividades!$E$1:$N$2398,MATCH(BancoAjustado!L$1,Base_Atividades!$E$1:$N$1,0),FALSE),0)</f>
        <v>0</v>
      </c>
      <c r="M883">
        <f>IFERROR(VLOOKUP($K883,Base_Atividades!$E$1:$N$2398,MATCH(BancoAjustado!M$1,Base_Atividades!$E$1:$N$1,0),FALSE),0)</f>
        <v>0</v>
      </c>
      <c r="N883">
        <f>IFERROR(VLOOKUP($K883,Base_Atividades!$E$1:$N$2398,MATCH(BancoAjustado!N$1,Base_Atividades!$E$1:$N$1,0),FALSE),0)</f>
        <v>0</v>
      </c>
    </row>
    <row r="884" spans="1:14" x14ac:dyDescent="0.25">
      <c r="A884" t="s">
        <v>3392</v>
      </c>
      <c r="B884" t="s">
        <v>3393</v>
      </c>
      <c r="C884" t="s">
        <v>3394</v>
      </c>
      <c r="D884" t="s">
        <v>3395</v>
      </c>
      <c r="E884" t="s">
        <v>3396</v>
      </c>
      <c r="F884" t="str">
        <f>VLOOKUP(A884,Base!$A:$F,6,FALSE)</f>
        <v>TRANSPORTE, ARMAZENAGEM E CORREIO</v>
      </c>
      <c r="G884" t="str">
        <f>VLOOKUP(B884,Base!$B:$F,5,FALSE)</f>
        <v>TRANSPORTE TERRESTRE</v>
      </c>
      <c r="H884" t="str">
        <f>VLOOKUP(C884,Base!$C:$F,4,FALSE)</f>
        <v>Transporte ferroviário e metroferroviário</v>
      </c>
      <c r="I884" t="str">
        <f>VLOOKUP(D884,Base!$D:$F,3,FALSE)</f>
        <v>Transporte ferroviário de carga</v>
      </c>
      <c r="J884" t="str">
        <f>VLOOKUP(E884,Base!$E:$F,2,FALSE)</f>
        <v>Transporte ferroviário de carga</v>
      </c>
      <c r="K884" t="s">
        <v>3396</v>
      </c>
      <c r="L884">
        <f>IFERROR(VLOOKUP($K884,Base_Atividades!$E$1:$N$2398,MATCH(BancoAjustado!L$1,Base_Atividades!$E$1:$N$1,0),FALSE),0)</f>
        <v>0</v>
      </c>
      <c r="M884">
        <f>IFERROR(VLOOKUP($K884,Base_Atividades!$E$1:$N$2398,MATCH(BancoAjustado!M$1,Base_Atividades!$E$1:$N$1,0),FALSE),0)</f>
        <v>0</v>
      </c>
      <c r="N884">
        <f>IFERROR(VLOOKUP($K884,Base_Atividades!$E$1:$N$2398,MATCH(BancoAjustado!N$1,Base_Atividades!$E$1:$N$1,0),FALSE),0)</f>
        <v>0</v>
      </c>
    </row>
    <row r="885" spans="1:14" x14ac:dyDescent="0.25">
      <c r="A885" t="s">
        <v>3392</v>
      </c>
      <c r="B885" t="s">
        <v>3393</v>
      </c>
      <c r="C885" t="s">
        <v>3394</v>
      </c>
      <c r="D885" t="s">
        <v>3397</v>
      </c>
      <c r="E885" t="s">
        <v>3398</v>
      </c>
      <c r="F885" t="str">
        <f>VLOOKUP(A885,Base!$A:$F,6,FALSE)</f>
        <v>TRANSPORTE, ARMAZENAGEM E CORREIO</v>
      </c>
      <c r="G885" t="str">
        <f>VLOOKUP(B885,Base!$B:$F,5,FALSE)</f>
        <v>TRANSPORTE TERRESTRE</v>
      </c>
      <c r="H885" t="str">
        <f>VLOOKUP(C885,Base!$C:$F,4,FALSE)</f>
        <v>Transporte ferroviário e metroferroviário</v>
      </c>
      <c r="I885" t="str">
        <f>VLOOKUP(D885,Base!$D:$F,3,FALSE)</f>
        <v>Transporte metroferroviário de passageiros</v>
      </c>
      <c r="J885" t="str">
        <f>VLOOKUP(E885,Base!$E:$F,2,FALSE)</f>
        <v>Transporte ferroviário de passageiros intermunicipal e interestadual</v>
      </c>
      <c r="K885" t="s">
        <v>3398</v>
      </c>
      <c r="L885">
        <f>IFERROR(VLOOKUP($K885,Base_Atividades!$E$1:$N$2398,MATCH(BancoAjustado!L$1,Base_Atividades!$E$1:$N$1,0),FALSE),0)</f>
        <v>0</v>
      </c>
      <c r="M885">
        <f>IFERROR(VLOOKUP($K885,Base_Atividades!$E$1:$N$2398,MATCH(BancoAjustado!M$1,Base_Atividades!$E$1:$N$1,0),FALSE),0)</f>
        <v>0</v>
      </c>
      <c r="N885">
        <f>IFERROR(VLOOKUP($K885,Base_Atividades!$E$1:$N$2398,MATCH(BancoAjustado!N$1,Base_Atividades!$E$1:$N$1,0),FALSE),0)</f>
        <v>0</v>
      </c>
    </row>
    <row r="886" spans="1:14" x14ac:dyDescent="0.25">
      <c r="A886" t="s">
        <v>3392</v>
      </c>
      <c r="B886" t="s">
        <v>3393</v>
      </c>
      <c r="C886" t="s">
        <v>3394</v>
      </c>
      <c r="D886" t="s">
        <v>3397</v>
      </c>
      <c r="E886" t="s">
        <v>3399</v>
      </c>
      <c r="F886" t="str">
        <f>VLOOKUP(A886,Base!$A:$F,6,FALSE)</f>
        <v>TRANSPORTE, ARMAZENAGEM E CORREIO</v>
      </c>
      <c r="G886" t="str">
        <f>VLOOKUP(B886,Base!$B:$F,5,FALSE)</f>
        <v>TRANSPORTE TERRESTRE</v>
      </c>
      <c r="H886" t="str">
        <f>VLOOKUP(C886,Base!$C:$F,4,FALSE)</f>
        <v>Transporte ferroviário e metroferroviário</v>
      </c>
      <c r="I886" t="str">
        <f>VLOOKUP(D886,Base!$D:$F,3,FALSE)</f>
        <v>Transporte metroferroviário de passageiros</v>
      </c>
      <c r="J886" t="str">
        <f>VLOOKUP(E886,Base!$E:$F,2,FALSE)</f>
        <v>Transporte ferroviário de passageiros municipal e em região metropolitana</v>
      </c>
      <c r="K886" t="s">
        <v>3399</v>
      </c>
      <c r="L886">
        <f>IFERROR(VLOOKUP($K886,Base_Atividades!$E$1:$N$2398,MATCH(BancoAjustado!L$1,Base_Atividades!$E$1:$N$1,0),FALSE),0)</f>
        <v>0</v>
      </c>
      <c r="M886">
        <f>IFERROR(VLOOKUP($K886,Base_Atividades!$E$1:$N$2398,MATCH(BancoAjustado!M$1,Base_Atividades!$E$1:$N$1,0),FALSE),0)</f>
        <v>0</v>
      </c>
      <c r="N886">
        <f>IFERROR(VLOOKUP($K886,Base_Atividades!$E$1:$N$2398,MATCH(BancoAjustado!N$1,Base_Atividades!$E$1:$N$1,0),FALSE),0)</f>
        <v>0</v>
      </c>
    </row>
    <row r="887" spans="1:14" x14ac:dyDescent="0.25">
      <c r="A887" t="s">
        <v>3392</v>
      </c>
      <c r="B887" t="s">
        <v>3393</v>
      </c>
      <c r="C887" t="s">
        <v>3394</v>
      </c>
      <c r="D887" t="s">
        <v>3397</v>
      </c>
      <c r="E887" t="s">
        <v>3400</v>
      </c>
      <c r="F887" t="str">
        <f>VLOOKUP(A887,Base!$A:$F,6,FALSE)</f>
        <v>TRANSPORTE, ARMAZENAGEM E CORREIO</v>
      </c>
      <c r="G887" t="str">
        <f>VLOOKUP(B887,Base!$B:$F,5,FALSE)</f>
        <v>TRANSPORTE TERRESTRE</v>
      </c>
      <c r="H887" t="str">
        <f>VLOOKUP(C887,Base!$C:$F,4,FALSE)</f>
        <v>Transporte ferroviário e metroferroviário</v>
      </c>
      <c r="I887" t="str">
        <f>VLOOKUP(D887,Base!$D:$F,3,FALSE)</f>
        <v>Transporte metroferroviário de passageiros</v>
      </c>
      <c r="J887" t="str">
        <f>VLOOKUP(E887,Base!$E:$F,2,FALSE)</f>
        <v>Transporte metroviário</v>
      </c>
      <c r="K887" t="s">
        <v>3400</v>
      </c>
      <c r="L887">
        <f>IFERROR(VLOOKUP($K887,Base_Atividades!$E$1:$N$2398,MATCH(BancoAjustado!L$1,Base_Atividades!$E$1:$N$1,0),FALSE),0)</f>
        <v>0</v>
      </c>
      <c r="M887">
        <f>IFERROR(VLOOKUP($K887,Base_Atividades!$E$1:$N$2398,MATCH(BancoAjustado!M$1,Base_Atividades!$E$1:$N$1,0),FALSE),0)</f>
        <v>0</v>
      </c>
      <c r="N887">
        <f>IFERROR(VLOOKUP($K887,Base_Atividades!$E$1:$N$2398,MATCH(BancoAjustado!N$1,Base_Atividades!$E$1:$N$1,0),FALSE),0)</f>
        <v>0</v>
      </c>
    </row>
    <row r="888" spans="1:14" x14ac:dyDescent="0.25">
      <c r="A888" t="s">
        <v>3392</v>
      </c>
      <c r="B888" t="s">
        <v>3393</v>
      </c>
      <c r="C888" t="s">
        <v>3401</v>
      </c>
      <c r="D888" t="s">
        <v>3402</v>
      </c>
      <c r="E888" t="s">
        <v>3403</v>
      </c>
      <c r="F888" t="str">
        <f>VLOOKUP(A888,Base!$A:$F,6,FALSE)</f>
        <v>TRANSPORTE, ARMAZENAGEM E CORREIO</v>
      </c>
      <c r="G888" t="str">
        <f>VLOOKUP(B888,Base!$B:$F,5,FALSE)</f>
        <v>TRANSPORTE TERRESTRE</v>
      </c>
      <c r="H888" t="str">
        <f>VLOOKUP(C888,Base!$C:$F,4,FALSE)</f>
        <v>Transporte rodoviário de passageiros</v>
      </c>
      <c r="I888" t="str">
        <f>VLOOKUP(D888,Base!$D:$F,3,FALSE)</f>
        <v>Transporte rodoviário coletivo de passageiros, com itinerário fixo, municipal e em região metropolitana</v>
      </c>
      <c r="J888" t="str">
        <f>VLOOKUP(E888,Base!$E:$F,2,FALSE)</f>
        <v>Transporte rodoviário coletivo de passageiros, com itinerário fixo, municipal</v>
      </c>
      <c r="K888" t="s">
        <v>3403</v>
      </c>
      <c r="L888">
        <f>IFERROR(VLOOKUP($K888,Base_Atividades!$E$1:$N$2398,MATCH(BancoAjustado!L$1,Base_Atividades!$E$1:$N$1,0),FALSE),0)</f>
        <v>0</v>
      </c>
      <c r="M888">
        <f>IFERROR(VLOOKUP($K888,Base_Atividades!$E$1:$N$2398,MATCH(BancoAjustado!M$1,Base_Atividades!$E$1:$N$1,0),FALSE),0)</f>
        <v>0</v>
      </c>
      <c r="N888">
        <f>IFERROR(VLOOKUP($K888,Base_Atividades!$E$1:$N$2398,MATCH(BancoAjustado!N$1,Base_Atividades!$E$1:$N$1,0),FALSE),0)</f>
        <v>0</v>
      </c>
    </row>
    <row r="889" spans="1:14" x14ac:dyDescent="0.25">
      <c r="A889" t="s">
        <v>3392</v>
      </c>
      <c r="B889" t="s">
        <v>3393</v>
      </c>
      <c r="C889" t="s">
        <v>3401</v>
      </c>
      <c r="D889" t="s">
        <v>3402</v>
      </c>
      <c r="E889" t="s">
        <v>3404</v>
      </c>
      <c r="F889" t="str">
        <f>VLOOKUP(A889,Base!$A:$F,6,FALSE)</f>
        <v>TRANSPORTE, ARMAZENAGEM E CORREIO</v>
      </c>
      <c r="G889" t="str">
        <f>VLOOKUP(B889,Base!$B:$F,5,FALSE)</f>
        <v>TRANSPORTE TERRESTRE</v>
      </c>
      <c r="H889" t="str">
        <f>VLOOKUP(C889,Base!$C:$F,4,FALSE)</f>
        <v>Transporte rodoviário de passageiros</v>
      </c>
      <c r="I889" t="str">
        <f>VLOOKUP(D889,Base!$D:$F,3,FALSE)</f>
        <v>Transporte rodoviário coletivo de passageiros, com itinerário fixo, municipal e em região metropolitana</v>
      </c>
      <c r="J889" t="str">
        <f>VLOOKUP(E889,Base!$E:$F,2,FALSE)</f>
        <v>Transporte rodoviário coletivo de passageiros, com itinerário fixo, intermunicipal em região metropolitana</v>
      </c>
      <c r="K889" t="s">
        <v>3404</v>
      </c>
      <c r="L889">
        <f>IFERROR(VLOOKUP($K889,Base_Atividades!$E$1:$N$2398,MATCH(BancoAjustado!L$1,Base_Atividades!$E$1:$N$1,0),FALSE),0)</f>
        <v>0</v>
      </c>
      <c r="M889">
        <f>IFERROR(VLOOKUP($K889,Base_Atividades!$E$1:$N$2398,MATCH(BancoAjustado!M$1,Base_Atividades!$E$1:$N$1,0),FALSE),0)</f>
        <v>0</v>
      </c>
      <c r="N889">
        <f>IFERROR(VLOOKUP($K889,Base_Atividades!$E$1:$N$2398,MATCH(BancoAjustado!N$1,Base_Atividades!$E$1:$N$1,0),FALSE),0)</f>
        <v>0</v>
      </c>
    </row>
    <row r="890" spans="1:14" x14ac:dyDescent="0.25">
      <c r="A890" t="s">
        <v>3392</v>
      </c>
      <c r="B890" t="s">
        <v>3393</v>
      </c>
      <c r="C890" t="s">
        <v>3401</v>
      </c>
      <c r="D890" t="s">
        <v>3405</v>
      </c>
      <c r="E890" t="s">
        <v>3406</v>
      </c>
      <c r="F890" t="str">
        <f>VLOOKUP(A890,Base!$A:$F,6,FALSE)</f>
        <v>TRANSPORTE, ARMAZENAGEM E CORREIO</v>
      </c>
      <c r="G890" t="str">
        <f>VLOOKUP(B890,Base!$B:$F,5,FALSE)</f>
        <v>TRANSPORTE TERRESTRE</v>
      </c>
      <c r="H890" t="str">
        <f>VLOOKUP(C890,Base!$C:$F,4,FALSE)</f>
        <v>Transporte rodoviário de passageiros</v>
      </c>
      <c r="I890" t="str">
        <f>VLOOKUP(D890,Base!$D:$F,3,FALSE)</f>
        <v>Transporte rodoviário coletivo de passageiros, com itinerário fixo, intermunicipal, interestadual e internacional</v>
      </c>
      <c r="J890" t="str">
        <f>VLOOKUP(E890,Base!$E:$F,2,FALSE)</f>
        <v>Transporte rodoviário coletivo de passageiros, com itinerário fixo, intermunicipal, exceto em região metropolitana</v>
      </c>
      <c r="K890" t="s">
        <v>3406</v>
      </c>
      <c r="L890">
        <f>IFERROR(VLOOKUP($K890,Base_Atividades!$E$1:$N$2398,MATCH(BancoAjustado!L$1,Base_Atividades!$E$1:$N$1,0),FALSE),0)</f>
        <v>0</v>
      </c>
      <c r="M890">
        <f>IFERROR(VLOOKUP($K890,Base_Atividades!$E$1:$N$2398,MATCH(BancoAjustado!M$1,Base_Atividades!$E$1:$N$1,0),FALSE),0)</f>
        <v>0</v>
      </c>
      <c r="N890">
        <f>IFERROR(VLOOKUP($K890,Base_Atividades!$E$1:$N$2398,MATCH(BancoAjustado!N$1,Base_Atividades!$E$1:$N$1,0),FALSE),0)</f>
        <v>0</v>
      </c>
    </row>
    <row r="891" spans="1:14" x14ac:dyDescent="0.25">
      <c r="A891" t="s">
        <v>3392</v>
      </c>
      <c r="B891" t="s">
        <v>3393</v>
      </c>
      <c r="C891" t="s">
        <v>3401</v>
      </c>
      <c r="D891" t="s">
        <v>3405</v>
      </c>
      <c r="E891" t="s">
        <v>3407</v>
      </c>
      <c r="F891" t="str">
        <f>VLOOKUP(A891,Base!$A:$F,6,FALSE)</f>
        <v>TRANSPORTE, ARMAZENAGEM E CORREIO</v>
      </c>
      <c r="G891" t="str">
        <f>VLOOKUP(B891,Base!$B:$F,5,FALSE)</f>
        <v>TRANSPORTE TERRESTRE</v>
      </c>
      <c r="H891" t="str">
        <f>VLOOKUP(C891,Base!$C:$F,4,FALSE)</f>
        <v>Transporte rodoviário de passageiros</v>
      </c>
      <c r="I891" t="str">
        <f>VLOOKUP(D891,Base!$D:$F,3,FALSE)</f>
        <v>Transporte rodoviário coletivo de passageiros, com itinerário fixo, intermunicipal, interestadual e internacional</v>
      </c>
      <c r="J891" t="str">
        <f>VLOOKUP(E891,Base!$E:$F,2,FALSE)</f>
        <v>Transporte rodoviário coletivo de passageiros, com itinerário fixo, interestadual</v>
      </c>
      <c r="K891" t="s">
        <v>3407</v>
      </c>
      <c r="L891">
        <f>IFERROR(VLOOKUP($K891,Base_Atividades!$E$1:$N$2398,MATCH(BancoAjustado!L$1,Base_Atividades!$E$1:$N$1,0),FALSE),0)</f>
        <v>0</v>
      </c>
      <c r="M891">
        <f>IFERROR(VLOOKUP($K891,Base_Atividades!$E$1:$N$2398,MATCH(BancoAjustado!M$1,Base_Atividades!$E$1:$N$1,0),FALSE),0)</f>
        <v>0</v>
      </c>
      <c r="N891">
        <f>IFERROR(VLOOKUP($K891,Base_Atividades!$E$1:$N$2398,MATCH(BancoAjustado!N$1,Base_Atividades!$E$1:$N$1,0),FALSE),0)</f>
        <v>0</v>
      </c>
    </row>
    <row r="892" spans="1:14" x14ac:dyDescent="0.25">
      <c r="A892" t="s">
        <v>3392</v>
      </c>
      <c r="B892" t="s">
        <v>3393</v>
      </c>
      <c r="C892" t="s">
        <v>3401</v>
      </c>
      <c r="D892" t="s">
        <v>3405</v>
      </c>
      <c r="E892" t="s">
        <v>3408</v>
      </c>
      <c r="F892" t="str">
        <f>VLOOKUP(A892,Base!$A:$F,6,FALSE)</f>
        <v>TRANSPORTE, ARMAZENAGEM E CORREIO</v>
      </c>
      <c r="G892" t="str">
        <f>VLOOKUP(B892,Base!$B:$F,5,FALSE)</f>
        <v>TRANSPORTE TERRESTRE</v>
      </c>
      <c r="H892" t="str">
        <f>VLOOKUP(C892,Base!$C:$F,4,FALSE)</f>
        <v>Transporte rodoviário de passageiros</v>
      </c>
      <c r="I892" t="str">
        <f>VLOOKUP(D892,Base!$D:$F,3,FALSE)</f>
        <v>Transporte rodoviário coletivo de passageiros, com itinerário fixo, intermunicipal, interestadual e internacional</v>
      </c>
      <c r="J892" t="str">
        <f>VLOOKUP(E892,Base!$E:$F,2,FALSE)</f>
        <v>Transporte rodoviário coletivo de passageiros, com itinerário fixo, internacional</v>
      </c>
      <c r="K892" t="s">
        <v>3408</v>
      </c>
      <c r="L892">
        <f>IFERROR(VLOOKUP($K892,Base_Atividades!$E$1:$N$2398,MATCH(BancoAjustado!L$1,Base_Atividades!$E$1:$N$1,0),FALSE),0)</f>
        <v>0</v>
      </c>
      <c r="M892">
        <f>IFERROR(VLOOKUP($K892,Base_Atividades!$E$1:$N$2398,MATCH(BancoAjustado!M$1,Base_Atividades!$E$1:$N$1,0),FALSE),0)</f>
        <v>0</v>
      </c>
      <c r="N892">
        <f>IFERROR(VLOOKUP($K892,Base_Atividades!$E$1:$N$2398,MATCH(BancoAjustado!N$1,Base_Atividades!$E$1:$N$1,0),FALSE),0)</f>
        <v>0</v>
      </c>
    </row>
    <row r="893" spans="1:14" x14ac:dyDescent="0.25">
      <c r="A893" t="s">
        <v>3392</v>
      </c>
      <c r="B893" t="s">
        <v>3393</v>
      </c>
      <c r="C893" t="s">
        <v>3401</v>
      </c>
      <c r="D893" t="s">
        <v>3409</v>
      </c>
      <c r="E893" t="s">
        <v>3410</v>
      </c>
      <c r="F893" t="str">
        <f>VLOOKUP(A893,Base!$A:$F,6,FALSE)</f>
        <v>TRANSPORTE, ARMAZENAGEM E CORREIO</v>
      </c>
      <c r="G893" t="str">
        <f>VLOOKUP(B893,Base!$B:$F,5,FALSE)</f>
        <v>TRANSPORTE TERRESTRE</v>
      </c>
      <c r="H893" t="str">
        <f>VLOOKUP(C893,Base!$C:$F,4,FALSE)</f>
        <v>Transporte rodoviário de passageiros</v>
      </c>
      <c r="I893" t="str">
        <f>VLOOKUP(D893,Base!$D:$F,3,FALSE)</f>
        <v>Transporte rodoviário de táxi</v>
      </c>
      <c r="J893" t="str">
        <f>VLOOKUP(E893,Base!$E:$F,2,FALSE)</f>
        <v>Serviço de táxi</v>
      </c>
      <c r="K893" t="s">
        <v>3410</v>
      </c>
      <c r="L893">
        <f>IFERROR(VLOOKUP($K893,Base_Atividades!$E$1:$N$2398,MATCH(BancoAjustado!L$1,Base_Atividades!$E$1:$N$1,0),FALSE),0)</f>
        <v>0</v>
      </c>
      <c r="M893">
        <f>IFERROR(VLOOKUP($K893,Base_Atividades!$E$1:$N$2398,MATCH(BancoAjustado!M$1,Base_Atividades!$E$1:$N$1,0),FALSE),0)</f>
        <v>0</v>
      </c>
      <c r="N893">
        <f>IFERROR(VLOOKUP($K893,Base_Atividades!$E$1:$N$2398,MATCH(BancoAjustado!N$1,Base_Atividades!$E$1:$N$1,0),FALSE),0)</f>
        <v>0</v>
      </c>
    </row>
    <row r="894" spans="1:14" x14ac:dyDescent="0.25">
      <c r="A894" t="s">
        <v>3392</v>
      </c>
      <c r="B894" t="s">
        <v>3393</v>
      </c>
      <c r="C894" t="s">
        <v>3401</v>
      </c>
      <c r="D894" t="s">
        <v>3409</v>
      </c>
      <c r="E894" t="s">
        <v>3411</v>
      </c>
      <c r="F894" t="str">
        <f>VLOOKUP(A894,Base!$A:$F,6,FALSE)</f>
        <v>TRANSPORTE, ARMAZENAGEM E CORREIO</v>
      </c>
      <c r="G894" t="str">
        <f>VLOOKUP(B894,Base!$B:$F,5,FALSE)</f>
        <v>TRANSPORTE TERRESTRE</v>
      </c>
      <c r="H894" t="str">
        <f>VLOOKUP(C894,Base!$C:$F,4,FALSE)</f>
        <v>Transporte rodoviário de passageiros</v>
      </c>
      <c r="I894" t="str">
        <f>VLOOKUP(D894,Base!$D:$F,3,FALSE)</f>
        <v>Transporte rodoviário de táxi</v>
      </c>
      <c r="J894" t="str">
        <f>VLOOKUP(E894,Base!$E:$F,2,FALSE)</f>
        <v>Serviço de transporte de passageiros - locação de automóveis com motorista</v>
      </c>
      <c r="K894" t="s">
        <v>3411</v>
      </c>
      <c r="L894">
        <f>IFERROR(VLOOKUP($K894,Base_Atividades!$E$1:$N$2398,MATCH(BancoAjustado!L$1,Base_Atividades!$E$1:$N$1,0),FALSE),0)</f>
        <v>0</v>
      </c>
      <c r="M894">
        <f>IFERROR(VLOOKUP($K894,Base_Atividades!$E$1:$N$2398,MATCH(BancoAjustado!M$1,Base_Atividades!$E$1:$N$1,0),FALSE),0)</f>
        <v>0</v>
      </c>
      <c r="N894">
        <f>IFERROR(VLOOKUP($K894,Base_Atividades!$E$1:$N$2398,MATCH(BancoAjustado!N$1,Base_Atividades!$E$1:$N$1,0),FALSE),0)</f>
        <v>0</v>
      </c>
    </row>
    <row r="895" spans="1:14" x14ac:dyDescent="0.25">
      <c r="A895" t="s">
        <v>3392</v>
      </c>
      <c r="B895" t="s">
        <v>3393</v>
      </c>
      <c r="C895" t="s">
        <v>3401</v>
      </c>
      <c r="D895" t="s">
        <v>3412</v>
      </c>
      <c r="E895" t="s">
        <v>3413</v>
      </c>
      <c r="F895" t="str">
        <f>VLOOKUP(A895,Base!$A:$F,6,FALSE)</f>
        <v>TRANSPORTE, ARMAZENAGEM E CORREIO</v>
      </c>
      <c r="G895" t="str">
        <f>VLOOKUP(B895,Base!$B:$F,5,FALSE)</f>
        <v>TRANSPORTE TERRESTRE</v>
      </c>
      <c r="H895" t="str">
        <f>VLOOKUP(C895,Base!$C:$F,4,FALSE)</f>
        <v>Transporte rodoviário de passageiros</v>
      </c>
      <c r="I895" t="str">
        <f>VLOOKUP(D895,Base!$D:$F,3,FALSE)</f>
        <v>Transporte escolar</v>
      </c>
      <c r="J895" t="str">
        <f>VLOOKUP(E895,Base!$E:$F,2,FALSE)</f>
        <v>Transporte escolar</v>
      </c>
      <c r="K895" t="s">
        <v>3413</v>
      </c>
      <c r="L895">
        <f>IFERROR(VLOOKUP($K895,Base_Atividades!$E$1:$N$2398,MATCH(BancoAjustado!L$1,Base_Atividades!$E$1:$N$1,0),FALSE),0)</f>
        <v>0</v>
      </c>
      <c r="M895">
        <f>IFERROR(VLOOKUP($K895,Base_Atividades!$E$1:$N$2398,MATCH(BancoAjustado!M$1,Base_Atividades!$E$1:$N$1,0),FALSE),0)</f>
        <v>0</v>
      </c>
      <c r="N895">
        <f>IFERROR(VLOOKUP($K895,Base_Atividades!$E$1:$N$2398,MATCH(BancoAjustado!N$1,Base_Atividades!$E$1:$N$1,0),FALSE),0)</f>
        <v>0</v>
      </c>
    </row>
    <row r="896" spans="1:14" x14ac:dyDescent="0.25">
      <c r="A896" t="s">
        <v>3392</v>
      </c>
      <c r="B896" t="s">
        <v>3393</v>
      </c>
      <c r="C896" t="s">
        <v>3401</v>
      </c>
      <c r="D896" t="s">
        <v>3414</v>
      </c>
      <c r="E896" t="s">
        <v>3415</v>
      </c>
      <c r="F896" t="str">
        <f>VLOOKUP(A896,Base!$A:$F,6,FALSE)</f>
        <v>TRANSPORTE, ARMAZENAGEM E CORREIO</v>
      </c>
      <c r="G896" t="str">
        <f>VLOOKUP(B896,Base!$B:$F,5,FALSE)</f>
        <v>TRANSPORTE TERRESTRE</v>
      </c>
      <c r="H896" t="str">
        <f>VLOOKUP(C896,Base!$C:$F,4,FALSE)</f>
        <v>Transporte rodoviário de passageiros</v>
      </c>
      <c r="I896" t="str">
        <f>VLOOKUP(D896,Base!$D:$F,3,FALSE)</f>
        <v>Transporte rodoviário coletivo de passageiros, sob regime de fretamento, e outros transportes rodoviários não especificados anteriormente</v>
      </c>
      <c r="J896" t="str">
        <f>VLOOKUP(E896,Base!$E:$F,2,FALSE)</f>
        <v>Transporte rodoviário coletivo de passageiros, sob regime de fretamento, municipal</v>
      </c>
      <c r="K896" t="s">
        <v>3415</v>
      </c>
      <c r="L896">
        <f>IFERROR(VLOOKUP($K896,Base_Atividades!$E$1:$N$2398,MATCH(BancoAjustado!L$1,Base_Atividades!$E$1:$N$1,0),FALSE),0)</f>
        <v>0</v>
      </c>
      <c r="M896">
        <f>IFERROR(VLOOKUP($K896,Base_Atividades!$E$1:$N$2398,MATCH(BancoAjustado!M$1,Base_Atividades!$E$1:$N$1,0),FALSE),0)</f>
        <v>0</v>
      </c>
      <c r="N896">
        <f>IFERROR(VLOOKUP($K896,Base_Atividades!$E$1:$N$2398,MATCH(BancoAjustado!N$1,Base_Atividades!$E$1:$N$1,0),FALSE),0)</f>
        <v>0</v>
      </c>
    </row>
    <row r="897" spans="1:14" x14ac:dyDescent="0.25">
      <c r="A897" t="s">
        <v>3392</v>
      </c>
      <c r="B897" t="s">
        <v>3393</v>
      </c>
      <c r="C897" t="s">
        <v>3401</v>
      </c>
      <c r="D897" t="s">
        <v>3414</v>
      </c>
      <c r="E897" t="s">
        <v>3416</v>
      </c>
      <c r="F897" t="str">
        <f>VLOOKUP(A897,Base!$A:$F,6,FALSE)</f>
        <v>TRANSPORTE, ARMAZENAGEM E CORREIO</v>
      </c>
      <c r="G897" t="str">
        <f>VLOOKUP(B897,Base!$B:$F,5,FALSE)</f>
        <v>TRANSPORTE TERRESTRE</v>
      </c>
      <c r="H897" t="str">
        <f>VLOOKUP(C897,Base!$C:$F,4,FALSE)</f>
        <v>Transporte rodoviário de passageiros</v>
      </c>
      <c r="I897" t="str">
        <f>VLOOKUP(D897,Base!$D:$F,3,FALSE)</f>
        <v>Transporte rodoviário coletivo de passageiros, sob regime de fretamento, e outros transportes rodoviários não especificados anteriormente</v>
      </c>
      <c r="J897" t="str">
        <f>VLOOKUP(E897,Base!$E:$F,2,FALSE)</f>
        <v>Transporte rodoviário coletivo de passageiros, sob regime de fretamento, intermunicipal, interestadual e internacional</v>
      </c>
      <c r="K897" t="s">
        <v>3416</v>
      </c>
      <c r="L897">
        <f>IFERROR(VLOOKUP($K897,Base_Atividades!$E$1:$N$2398,MATCH(BancoAjustado!L$1,Base_Atividades!$E$1:$N$1,0),FALSE),0)</f>
        <v>0</v>
      </c>
      <c r="M897">
        <f>IFERROR(VLOOKUP($K897,Base_Atividades!$E$1:$N$2398,MATCH(BancoAjustado!M$1,Base_Atividades!$E$1:$N$1,0),FALSE),0)</f>
        <v>0</v>
      </c>
      <c r="N897">
        <f>IFERROR(VLOOKUP($K897,Base_Atividades!$E$1:$N$2398,MATCH(BancoAjustado!N$1,Base_Atividades!$E$1:$N$1,0),FALSE),0)</f>
        <v>0</v>
      </c>
    </row>
    <row r="898" spans="1:14" x14ac:dyDescent="0.25">
      <c r="A898" t="s">
        <v>3392</v>
      </c>
      <c r="B898" t="s">
        <v>3393</v>
      </c>
      <c r="C898" t="s">
        <v>3401</v>
      </c>
      <c r="D898" t="s">
        <v>3414</v>
      </c>
      <c r="E898" t="s">
        <v>3417</v>
      </c>
      <c r="F898" t="str">
        <f>VLOOKUP(A898,Base!$A:$F,6,FALSE)</f>
        <v>TRANSPORTE, ARMAZENAGEM E CORREIO</v>
      </c>
      <c r="G898" t="str">
        <f>VLOOKUP(B898,Base!$B:$F,5,FALSE)</f>
        <v>TRANSPORTE TERRESTRE</v>
      </c>
      <c r="H898" t="str">
        <f>VLOOKUP(C898,Base!$C:$F,4,FALSE)</f>
        <v>Transporte rodoviário de passageiros</v>
      </c>
      <c r="I898" t="str">
        <f>VLOOKUP(D898,Base!$D:$F,3,FALSE)</f>
        <v>Transporte rodoviário coletivo de passageiros, sob regime de fretamento, e outros transportes rodoviários não especificados anteriormente</v>
      </c>
      <c r="J898" t="str">
        <f>VLOOKUP(E898,Base!$E:$F,2,FALSE)</f>
        <v>Organização de excursões em veículos rodoviários próprios, municipal</v>
      </c>
      <c r="K898" t="s">
        <v>3417</v>
      </c>
      <c r="L898">
        <f>IFERROR(VLOOKUP($K898,Base_Atividades!$E$1:$N$2398,MATCH(BancoAjustado!L$1,Base_Atividades!$E$1:$N$1,0),FALSE),0)</f>
        <v>0</v>
      </c>
      <c r="M898">
        <f>IFERROR(VLOOKUP($K898,Base_Atividades!$E$1:$N$2398,MATCH(BancoAjustado!M$1,Base_Atividades!$E$1:$N$1,0),FALSE),0)</f>
        <v>0</v>
      </c>
      <c r="N898">
        <f>IFERROR(VLOOKUP($K898,Base_Atividades!$E$1:$N$2398,MATCH(BancoAjustado!N$1,Base_Atividades!$E$1:$N$1,0),FALSE),0)</f>
        <v>0</v>
      </c>
    </row>
    <row r="899" spans="1:14" x14ac:dyDescent="0.25">
      <c r="A899" t="s">
        <v>3392</v>
      </c>
      <c r="B899" t="s">
        <v>3393</v>
      </c>
      <c r="C899" t="s">
        <v>3401</v>
      </c>
      <c r="D899" t="s">
        <v>3414</v>
      </c>
      <c r="E899" t="s">
        <v>3418</v>
      </c>
      <c r="F899" t="str">
        <f>VLOOKUP(A899,Base!$A:$F,6,FALSE)</f>
        <v>TRANSPORTE, ARMAZENAGEM E CORREIO</v>
      </c>
      <c r="G899" t="str">
        <f>VLOOKUP(B899,Base!$B:$F,5,FALSE)</f>
        <v>TRANSPORTE TERRESTRE</v>
      </c>
      <c r="H899" t="str">
        <f>VLOOKUP(C899,Base!$C:$F,4,FALSE)</f>
        <v>Transporte rodoviário de passageiros</v>
      </c>
      <c r="I899" t="str">
        <f>VLOOKUP(D899,Base!$D:$F,3,FALSE)</f>
        <v>Transporte rodoviário coletivo de passageiros, sob regime de fretamento, e outros transportes rodoviários não especificados anteriormente</v>
      </c>
      <c r="J899" t="str">
        <f>VLOOKUP(E899,Base!$E:$F,2,FALSE)</f>
        <v>Organização de excursões em veículos rodoviários próprios, intermunicipal, interestadual e internacional</v>
      </c>
      <c r="K899" t="s">
        <v>3418</v>
      </c>
      <c r="L899">
        <f>IFERROR(VLOOKUP($K899,Base_Atividades!$E$1:$N$2398,MATCH(BancoAjustado!L$1,Base_Atividades!$E$1:$N$1,0),FALSE),0)</f>
        <v>0</v>
      </c>
      <c r="M899">
        <f>IFERROR(VLOOKUP($K899,Base_Atividades!$E$1:$N$2398,MATCH(BancoAjustado!M$1,Base_Atividades!$E$1:$N$1,0),FALSE),0)</f>
        <v>0</v>
      </c>
      <c r="N899">
        <f>IFERROR(VLOOKUP($K899,Base_Atividades!$E$1:$N$2398,MATCH(BancoAjustado!N$1,Base_Atividades!$E$1:$N$1,0),FALSE),0)</f>
        <v>0</v>
      </c>
    </row>
    <row r="900" spans="1:14" x14ac:dyDescent="0.25">
      <c r="A900" t="s">
        <v>3392</v>
      </c>
      <c r="B900" t="s">
        <v>3393</v>
      </c>
      <c r="C900" t="s">
        <v>3401</v>
      </c>
      <c r="D900" t="s">
        <v>3414</v>
      </c>
      <c r="E900" t="s">
        <v>3419</v>
      </c>
      <c r="F900" t="str">
        <f>VLOOKUP(A900,Base!$A:$F,6,FALSE)</f>
        <v>TRANSPORTE, ARMAZENAGEM E CORREIO</v>
      </c>
      <c r="G900" t="str">
        <f>VLOOKUP(B900,Base!$B:$F,5,FALSE)</f>
        <v>TRANSPORTE TERRESTRE</v>
      </c>
      <c r="H900" t="str">
        <f>VLOOKUP(C900,Base!$C:$F,4,FALSE)</f>
        <v>Transporte rodoviário de passageiros</v>
      </c>
      <c r="I900" t="str">
        <f>VLOOKUP(D900,Base!$D:$F,3,FALSE)</f>
        <v>Transporte rodoviário coletivo de passageiros, sob regime de fretamento, e outros transportes rodoviários não especificados anteriormente</v>
      </c>
      <c r="J900" t="str">
        <f>VLOOKUP(E900,Base!$E:$F,2,FALSE)</f>
        <v>Outros transportes rodoviários de passageiros não especificados anteriormente</v>
      </c>
      <c r="K900" t="s">
        <v>3419</v>
      </c>
      <c r="L900">
        <f>IFERROR(VLOOKUP($K900,Base_Atividades!$E$1:$N$2398,MATCH(BancoAjustado!L$1,Base_Atividades!$E$1:$N$1,0),FALSE),0)</f>
        <v>0</v>
      </c>
      <c r="M900">
        <f>IFERROR(VLOOKUP($K900,Base_Atividades!$E$1:$N$2398,MATCH(BancoAjustado!M$1,Base_Atividades!$E$1:$N$1,0),FALSE),0)</f>
        <v>0</v>
      </c>
      <c r="N900">
        <f>IFERROR(VLOOKUP($K900,Base_Atividades!$E$1:$N$2398,MATCH(BancoAjustado!N$1,Base_Atividades!$E$1:$N$1,0),FALSE),0)</f>
        <v>0</v>
      </c>
    </row>
    <row r="901" spans="1:14" x14ac:dyDescent="0.25">
      <c r="A901" t="s">
        <v>3392</v>
      </c>
      <c r="B901" t="s">
        <v>3393</v>
      </c>
      <c r="C901" t="s">
        <v>3420</v>
      </c>
      <c r="D901" t="s">
        <v>3421</v>
      </c>
      <c r="E901" t="s">
        <v>3422</v>
      </c>
      <c r="F901" t="str">
        <f>VLOOKUP(A901,Base!$A:$F,6,FALSE)</f>
        <v>TRANSPORTE, ARMAZENAGEM E CORREIO</v>
      </c>
      <c r="G901" t="str">
        <f>VLOOKUP(B901,Base!$B:$F,5,FALSE)</f>
        <v>TRANSPORTE TERRESTRE</v>
      </c>
      <c r="H901" t="str">
        <f>VLOOKUP(C901,Base!$C:$F,4,FALSE)</f>
        <v>Transporte rodoviário de carga</v>
      </c>
      <c r="I901" t="str">
        <f>VLOOKUP(D901,Base!$D:$F,3,FALSE)</f>
        <v>Transporte rodoviário de carga</v>
      </c>
      <c r="J901" t="str">
        <f>VLOOKUP(E901,Base!$E:$F,2,FALSE)</f>
        <v>Transporte rodoviário de carga, exceto produtos perigosos e mudanças, municipal</v>
      </c>
      <c r="K901" t="s">
        <v>3422</v>
      </c>
      <c r="L901">
        <f>IFERROR(VLOOKUP($K901,Base_Atividades!$E$1:$N$2398,MATCH(BancoAjustado!L$1,Base_Atividades!$E$1:$N$1,0),FALSE),0)</f>
        <v>0</v>
      </c>
      <c r="M901">
        <f>IFERROR(VLOOKUP($K901,Base_Atividades!$E$1:$N$2398,MATCH(BancoAjustado!M$1,Base_Atividades!$E$1:$N$1,0),FALSE),0)</f>
        <v>0</v>
      </c>
      <c r="N901">
        <f>IFERROR(VLOOKUP($K901,Base_Atividades!$E$1:$N$2398,MATCH(BancoAjustado!N$1,Base_Atividades!$E$1:$N$1,0),FALSE),0)</f>
        <v>0</v>
      </c>
    </row>
    <row r="902" spans="1:14" x14ac:dyDescent="0.25">
      <c r="A902" t="s">
        <v>3392</v>
      </c>
      <c r="B902" t="s">
        <v>3393</v>
      </c>
      <c r="C902" t="s">
        <v>3420</v>
      </c>
      <c r="D902" t="s">
        <v>3421</v>
      </c>
      <c r="E902" t="s">
        <v>3423</v>
      </c>
      <c r="F902" t="str">
        <f>VLOOKUP(A902,Base!$A:$F,6,FALSE)</f>
        <v>TRANSPORTE, ARMAZENAGEM E CORREIO</v>
      </c>
      <c r="G902" t="str">
        <f>VLOOKUP(B902,Base!$B:$F,5,FALSE)</f>
        <v>TRANSPORTE TERRESTRE</v>
      </c>
      <c r="H902" t="str">
        <f>VLOOKUP(C902,Base!$C:$F,4,FALSE)</f>
        <v>Transporte rodoviário de carga</v>
      </c>
      <c r="I902" t="str">
        <f>VLOOKUP(D902,Base!$D:$F,3,FALSE)</f>
        <v>Transporte rodoviário de carga</v>
      </c>
      <c r="J902" t="str">
        <f>VLOOKUP(E902,Base!$E:$F,2,FALSE)</f>
        <v>Transporte rodoviário de carga, exceto produtos perigosos e mudanças, intermunicipal, interestadual e internacional</v>
      </c>
      <c r="K902" t="s">
        <v>3423</v>
      </c>
      <c r="L902">
        <f>IFERROR(VLOOKUP($K902,Base_Atividades!$E$1:$N$2398,MATCH(BancoAjustado!L$1,Base_Atividades!$E$1:$N$1,0),FALSE),0)</f>
        <v>0</v>
      </c>
      <c r="M902">
        <f>IFERROR(VLOOKUP($K902,Base_Atividades!$E$1:$N$2398,MATCH(BancoAjustado!M$1,Base_Atividades!$E$1:$N$1,0),FALSE),0)</f>
        <v>0</v>
      </c>
      <c r="N902">
        <f>IFERROR(VLOOKUP($K902,Base_Atividades!$E$1:$N$2398,MATCH(BancoAjustado!N$1,Base_Atividades!$E$1:$N$1,0),FALSE),0)</f>
        <v>0</v>
      </c>
    </row>
    <row r="903" spans="1:14" x14ac:dyDescent="0.25">
      <c r="A903" t="s">
        <v>3392</v>
      </c>
      <c r="B903" t="s">
        <v>3393</v>
      </c>
      <c r="C903" t="s">
        <v>3420</v>
      </c>
      <c r="D903" t="s">
        <v>3421</v>
      </c>
      <c r="E903" t="s">
        <v>3424</v>
      </c>
      <c r="F903" t="str">
        <f>VLOOKUP(A903,Base!$A:$F,6,FALSE)</f>
        <v>TRANSPORTE, ARMAZENAGEM E CORREIO</v>
      </c>
      <c r="G903" t="str">
        <f>VLOOKUP(B903,Base!$B:$F,5,FALSE)</f>
        <v>TRANSPORTE TERRESTRE</v>
      </c>
      <c r="H903" t="str">
        <f>VLOOKUP(C903,Base!$C:$F,4,FALSE)</f>
        <v>Transporte rodoviário de carga</v>
      </c>
      <c r="I903" t="str">
        <f>VLOOKUP(D903,Base!$D:$F,3,FALSE)</f>
        <v>Transporte rodoviário de carga</v>
      </c>
      <c r="J903" t="str">
        <f>VLOOKUP(E903,Base!$E:$F,2,FALSE)</f>
        <v>Transporte rodoviário de produtos perigosos</v>
      </c>
      <c r="K903" t="s">
        <v>3424</v>
      </c>
      <c r="L903">
        <f>IFERROR(VLOOKUP($K903,Base_Atividades!$E$1:$N$2398,MATCH(BancoAjustado!L$1,Base_Atividades!$E$1:$N$1,0),FALSE),0)</f>
        <v>0</v>
      </c>
      <c r="M903">
        <f>IFERROR(VLOOKUP($K903,Base_Atividades!$E$1:$N$2398,MATCH(BancoAjustado!M$1,Base_Atividades!$E$1:$N$1,0),FALSE),0)</f>
        <v>0</v>
      </c>
      <c r="N903">
        <f>IFERROR(VLOOKUP($K903,Base_Atividades!$E$1:$N$2398,MATCH(BancoAjustado!N$1,Base_Atividades!$E$1:$N$1,0),FALSE),0)</f>
        <v>0</v>
      </c>
    </row>
    <row r="904" spans="1:14" x14ac:dyDescent="0.25">
      <c r="A904" t="s">
        <v>3392</v>
      </c>
      <c r="B904" t="s">
        <v>3393</v>
      </c>
      <c r="C904" t="s">
        <v>3420</v>
      </c>
      <c r="D904" t="s">
        <v>3421</v>
      </c>
      <c r="E904" t="s">
        <v>3425</v>
      </c>
      <c r="F904" t="str">
        <f>VLOOKUP(A904,Base!$A:$F,6,FALSE)</f>
        <v>TRANSPORTE, ARMAZENAGEM E CORREIO</v>
      </c>
      <c r="G904" t="str">
        <f>VLOOKUP(B904,Base!$B:$F,5,FALSE)</f>
        <v>TRANSPORTE TERRESTRE</v>
      </c>
      <c r="H904" t="str">
        <f>VLOOKUP(C904,Base!$C:$F,4,FALSE)</f>
        <v>Transporte rodoviário de carga</v>
      </c>
      <c r="I904" t="str">
        <f>VLOOKUP(D904,Base!$D:$F,3,FALSE)</f>
        <v>Transporte rodoviário de carga</v>
      </c>
      <c r="J904" t="str">
        <f>VLOOKUP(E904,Base!$E:$F,2,FALSE)</f>
        <v>Transporte rodoviário de mudanças</v>
      </c>
      <c r="K904" t="s">
        <v>3425</v>
      </c>
      <c r="L904">
        <f>IFERROR(VLOOKUP($K904,Base_Atividades!$E$1:$N$2398,MATCH(BancoAjustado!L$1,Base_Atividades!$E$1:$N$1,0),FALSE),0)</f>
        <v>0</v>
      </c>
      <c r="M904">
        <f>IFERROR(VLOOKUP($K904,Base_Atividades!$E$1:$N$2398,MATCH(BancoAjustado!M$1,Base_Atividades!$E$1:$N$1,0),FALSE),0)</f>
        <v>0</v>
      </c>
      <c r="N904">
        <f>IFERROR(VLOOKUP($K904,Base_Atividades!$E$1:$N$2398,MATCH(BancoAjustado!N$1,Base_Atividades!$E$1:$N$1,0),FALSE),0)</f>
        <v>0</v>
      </c>
    </row>
    <row r="905" spans="1:14" x14ac:dyDescent="0.25">
      <c r="A905" t="s">
        <v>3392</v>
      </c>
      <c r="B905" t="s">
        <v>3393</v>
      </c>
      <c r="C905" t="s">
        <v>3426</v>
      </c>
      <c r="D905" t="s">
        <v>3427</v>
      </c>
      <c r="E905" t="s">
        <v>3428</v>
      </c>
      <c r="F905" t="str">
        <f>VLOOKUP(A905,Base!$A:$F,6,FALSE)</f>
        <v>TRANSPORTE, ARMAZENAGEM E CORREIO</v>
      </c>
      <c r="G905" t="str">
        <f>VLOOKUP(B905,Base!$B:$F,5,FALSE)</f>
        <v>TRANSPORTE TERRESTRE</v>
      </c>
      <c r="H905" t="str">
        <f>VLOOKUP(C905,Base!$C:$F,4,FALSE)</f>
        <v>Transporte dutoviário</v>
      </c>
      <c r="I905" t="str">
        <f>VLOOKUP(D905,Base!$D:$F,3,FALSE)</f>
        <v>Transporte dutoviário</v>
      </c>
      <c r="J905" t="str">
        <f>VLOOKUP(E905,Base!$E:$F,2,FALSE)</f>
        <v>Transporte dutoviário</v>
      </c>
      <c r="K905" t="s">
        <v>3428</v>
      </c>
      <c r="L905">
        <f>IFERROR(VLOOKUP($K905,Base_Atividades!$E$1:$N$2398,MATCH(BancoAjustado!L$1,Base_Atividades!$E$1:$N$1,0),FALSE),0)</f>
        <v>0</v>
      </c>
      <c r="M905">
        <f>IFERROR(VLOOKUP($K905,Base_Atividades!$E$1:$N$2398,MATCH(BancoAjustado!M$1,Base_Atividades!$E$1:$N$1,0),FALSE),0)</f>
        <v>0</v>
      </c>
      <c r="N905">
        <f>IFERROR(VLOOKUP($K905,Base_Atividades!$E$1:$N$2398,MATCH(BancoAjustado!N$1,Base_Atividades!$E$1:$N$1,0),FALSE),0)</f>
        <v>0</v>
      </c>
    </row>
    <row r="906" spans="1:14" x14ac:dyDescent="0.25">
      <c r="A906" t="s">
        <v>3392</v>
      </c>
      <c r="B906" t="s">
        <v>3393</v>
      </c>
      <c r="C906" t="s">
        <v>3429</v>
      </c>
      <c r="D906" t="s">
        <v>3430</v>
      </c>
      <c r="E906" t="s">
        <v>3431</v>
      </c>
      <c r="F906" t="str">
        <f>VLOOKUP(A906,Base!$A:$F,6,FALSE)</f>
        <v>TRANSPORTE, ARMAZENAGEM E CORREIO</v>
      </c>
      <c r="G906" t="str">
        <f>VLOOKUP(B906,Base!$B:$F,5,FALSE)</f>
        <v>TRANSPORTE TERRESTRE</v>
      </c>
      <c r="H906" t="str">
        <f>VLOOKUP(C906,Base!$C:$F,4,FALSE)</f>
        <v>Trens turísticos, teleféricos e similares</v>
      </c>
      <c r="I906" t="str">
        <f>VLOOKUP(D906,Base!$D:$F,3,FALSE)</f>
        <v>Trens turísticos, teleféricos e similares</v>
      </c>
      <c r="J906" t="str">
        <f>VLOOKUP(E906,Base!$E:$F,2,FALSE)</f>
        <v>Trens turísticos, teleféricos e similares</v>
      </c>
      <c r="K906" t="s">
        <v>3431</v>
      </c>
      <c r="L906">
        <f>IFERROR(VLOOKUP($K906,Base_Atividades!$E$1:$N$2398,MATCH(BancoAjustado!L$1,Base_Atividades!$E$1:$N$1,0),FALSE),0)</f>
        <v>0</v>
      </c>
      <c r="M906">
        <f>IFERROR(VLOOKUP($K906,Base_Atividades!$E$1:$N$2398,MATCH(BancoAjustado!M$1,Base_Atividades!$E$1:$N$1,0),FALSE),0)</f>
        <v>0</v>
      </c>
      <c r="N906">
        <f>IFERROR(VLOOKUP($K906,Base_Atividades!$E$1:$N$2398,MATCH(BancoAjustado!N$1,Base_Atividades!$E$1:$N$1,0),FALSE),0)</f>
        <v>0</v>
      </c>
    </row>
    <row r="907" spans="1:14" x14ac:dyDescent="0.25">
      <c r="A907" t="s">
        <v>3392</v>
      </c>
      <c r="B907" t="s">
        <v>3432</v>
      </c>
      <c r="C907" t="s">
        <v>3433</v>
      </c>
      <c r="D907" t="s">
        <v>3434</v>
      </c>
      <c r="E907" t="s">
        <v>3435</v>
      </c>
      <c r="F907" t="str">
        <f>VLOOKUP(A907,Base!$A:$F,6,FALSE)</f>
        <v>TRANSPORTE, ARMAZENAGEM E CORREIO</v>
      </c>
      <c r="G907" t="str">
        <f>VLOOKUP(B907,Base!$B:$F,5,FALSE)</f>
        <v>TRANSPORTE AQUAVIÁRIO</v>
      </c>
      <c r="H907" t="str">
        <f>VLOOKUP(C907,Base!$C:$F,4,FALSE)</f>
        <v>Transporte marítimo de cabotagem e longo curso</v>
      </c>
      <c r="I907" t="str">
        <f>VLOOKUP(D907,Base!$D:$F,3,FALSE)</f>
        <v>Transporte marítimo de cabotagem</v>
      </c>
      <c r="J907" t="str">
        <f>VLOOKUP(E907,Base!$E:$F,2,FALSE)</f>
        <v>Transporte marítimo de cabotagem - Carga</v>
      </c>
      <c r="K907" t="s">
        <v>3435</v>
      </c>
      <c r="L907">
        <f>IFERROR(VLOOKUP($K907,Base_Atividades!$E$1:$N$2398,MATCH(BancoAjustado!L$1,Base_Atividades!$E$1:$N$1,0),FALSE),0)</f>
        <v>0</v>
      </c>
      <c r="M907">
        <f>IFERROR(VLOOKUP($K907,Base_Atividades!$E$1:$N$2398,MATCH(BancoAjustado!M$1,Base_Atividades!$E$1:$N$1,0),FALSE),0)</f>
        <v>0</v>
      </c>
      <c r="N907">
        <f>IFERROR(VLOOKUP($K907,Base_Atividades!$E$1:$N$2398,MATCH(BancoAjustado!N$1,Base_Atividades!$E$1:$N$1,0),FALSE),0)</f>
        <v>0</v>
      </c>
    </row>
    <row r="908" spans="1:14" x14ac:dyDescent="0.25">
      <c r="A908" t="s">
        <v>3392</v>
      </c>
      <c r="B908" t="s">
        <v>3432</v>
      </c>
      <c r="C908" t="s">
        <v>3433</v>
      </c>
      <c r="D908" t="s">
        <v>3434</v>
      </c>
      <c r="E908" t="s">
        <v>3436</v>
      </c>
      <c r="F908" t="str">
        <f>VLOOKUP(A908,Base!$A:$F,6,FALSE)</f>
        <v>TRANSPORTE, ARMAZENAGEM E CORREIO</v>
      </c>
      <c r="G908" t="str">
        <f>VLOOKUP(B908,Base!$B:$F,5,FALSE)</f>
        <v>TRANSPORTE AQUAVIÁRIO</v>
      </c>
      <c r="H908" t="str">
        <f>VLOOKUP(C908,Base!$C:$F,4,FALSE)</f>
        <v>Transporte marítimo de cabotagem e longo curso</v>
      </c>
      <c r="I908" t="str">
        <f>VLOOKUP(D908,Base!$D:$F,3,FALSE)</f>
        <v>Transporte marítimo de cabotagem</v>
      </c>
      <c r="J908" t="str">
        <f>VLOOKUP(E908,Base!$E:$F,2,FALSE)</f>
        <v>Transporte marítimo de cabotagem - Passageiros</v>
      </c>
      <c r="K908" t="s">
        <v>3436</v>
      </c>
      <c r="L908">
        <f>IFERROR(VLOOKUP($K908,Base_Atividades!$E$1:$N$2398,MATCH(BancoAjustado!L$1,Base_Atividades!$E$1:$N$1,0),FALSE),0)</f>
        <v>0</v>
      </c>
      <c r="M908">
        <f>IFERROR(VLOOKUP($K908,Base_Atividades!$E$1:$N$2398,MATCH(BancoAjustado!M$1,Base_Atividades!$E$1:$N$1,0),FALSE),0)</f>
        <v>0</v>
      </c>
      <c r="N908">
        <f>IFERROR(VLOOKUP($K908,Base_Atividades!$E$1:$N$2398,MATCH(BancoAjustado!N$1,Base_Atividades!$E$1:$N$1,0),FALSE),0)</f>
        <v>0</v>
      </c>
    </row>
    <row r="909" spans="1:14" x14ac:dyDescent="0.25">
      <c r="A909" t="s">
        <v>3392</v>
      </c>
      <c r="B909" t="s">
        <v>3432</v>
      </c>
      <c r="C909" t="s">
        <v>3433</v>
      </c>
      <c r="D909" t="s">
        <v>3437</v>
      </c>
      <c r="E909" t="s">
        <v>3438</v>
      </c>
      <c r="F909" t="str">
        <f>VLOOKUP(A909,Base!$A:$F,6,FALSE)</f>
        <v>TRANSPORTE, ARMAZENAGEM E CORREIO</v>
      </c>
      <c r="G909" t="str">
        <f>VLOOKUP(B909,Base!$B:$F,5,FALSE)</f>
        <v>TRANSPORTE AQUAVIÁRIO</v>
      </c>
      <c r="H909" t="str">
        <f>VLOOKUP(C909,Base!$C:$F,4,FALSE)</f>
        <v>Transporte marítimo de cabotagem e longo curso</v>
      </c>
      <c r="I909" t="str">
        <f>VLOOKUP(D909,Base!$D:$F,3,FALSE)</f>
        <v>Transporte marítimo de longo curso</v>
      </c>
      <c r="J909" t="str">
        <f>VLOOKUP(E909,Base!$E:$F,2,FALSE)</f>
        <v>Transporte marítimo de longo curso - Carga</v>
      </c>
      <c r="K909" t="s">
        <v>3438</v>
      </c>
      <c r="L909">
        <f>IFERROR(VLOOKUP($K909,Base_Atividades!$E$1:$N$2398,MATCH(BancoAjustado!L$1,Base_Atividades!$E$1:$N$1,0),FALSE),0)</f>
        <v>0</v>
      </c>
      <c r="M909">
        <f>IFERROR(VLOOKUP($K909,Base_Atividades!$E$1:$N$2398,MATCH(BancoAjustado!M$1,Base_Atividades!$E$1:$N$1,0),FALSE),0)</f>
        <v>0</v>
      </c>
      <c r="N909">
        <f>IFERROR(VLOOKUP($K909,Base_Atividades!$E$1:$N$2398,MATCH(BancoAjustado!N$1,Base_Atividades!$E$1:$N$1,0),FALSE),0)</f>
        <v>0</v>
      </c>
    </row>
    <row r="910" spans="1:14" x14ac:dyDescent="0.25">
      <c r="A910" t="s">
        <v>3392</v>
      </c>
      <c r="B910" t="s">
        <v>3432</v>
      </c>
      <c r="C910" t="s">
        <v>3433</v>
      </c>
      <c r="D910" t="s">
        <v>3437</v>
      </c>
      <c r="E910" t="s">
        <v>3439</v>
      </c>
      <c r="F910" t="str">
        <f>VLOOKUP(A910,Base!$A:$F,6,FALSE)</f>
        <v>TRANSPORTE, ARMAZENAGEM E CORREIO</v>
      </c>
      <c r="G910" t="str">
        <f>VLOOKUP(B910,Base!$B:$F,5,FALSE)</f>
        <v>TRANSPORTE AQUAVIÁRIO</v>
      </c>
      <c r="H910" t="str">
        <f>VLOOKUP(C910,Base!$C:$F,4,FALSE)</f>
        <v>Transporte marítimo de cabotagem e longo curso</v>
      </c>
      <c r="I910" t="str">
        <f>VLOOKUP(D910,Base!$D:$F,3,FALSE)</f>
        <v>Transporte marítimo de longo curso</v>
      </c>
      <c r="J910" t="str">
        <f>VLOOKUP(E910,Base!$E:$F,2,FALSE)</f>
        <v>Transporte marítimo de longo curso - Passageiros</v>
      </c>
      <c r="K910" t="s">
        <v>3439</v>
      </c>
      <c r="L910">
        <f>IFERROR(VLOOKUP($K910,Base_Atividades!$E$1:$N$2398,MATCH(BancoAjustado!L$1,Base_Atividades!$E$1:$N$1,0),FALSE),0)</f>
        <v>0</v>
      </c>
      <c r="M910">
        <f>IFERROR(VLOOKUP($K910,Base_Atividades!$E$1:$N$2398,MATCH(BancoAjustado!M$1,Base_Atividades!$E$1:$N$1,0),FALSE),0)</f>
        <v>0</v>
      </c>
      <c r="N910">
        <f>IFERROR(VLOOKUP($K910,Base_Atividades!$E$1:$N$2398,MATCH(BancoAjustado!N$1,Base_Atividades!$E$1:$N$1,0),FALSE),0)</f>
        <v>0</v>
      </c>
    </row>
    <row r="911" spans="1:14" x14ac:dyDescent="0.25">
      <c r="A911" t="s">
        <v>3392</v>
      </c>
      <c r="B911" t="s">
        <v>3432</v>
      </c>
      <c r="C911" t="s">
        <v>3440</v>
      </c>
      <c r="D911" t="s">
        <v>3441</v>
      </c>
      <c r="E911" t="s">
        <v>3442</v>
      </c>
      <c r="F911" t="str">
        <f>VLOOKUP(A911,Base!$A:$F,6,FALSE)</f>
        <v>TRANSPORTE, ARMAZENAGEM E CORREIO</v>
      </c>
      <c r="G911" t="str">
        <f>VLOOKUP(B911,Base!$B:$F,5,FALSE)</f>
        <v>TRANSPORTE AQUAVIÁRIO</v>
      </c>
      <c r="H911" t="str">
        <f>VLOOKUP(C911,Base!$C:$F,4,FALSE)</f>
        <v>Transporte por navegação interior</v>
      </c>
      <c r="I911" t="str">
        <f>VLOOKUP(D911,Base!$D:$F,3,FALSE)</f>
        <v>Transporte por navegação interior de carga</v>
      </c>
      <c r="J911" t="str">
        <f>VLOOKUP(E911,Base!$E:$F,2,FALSE)</f>
        <v>Transporte por navegação interior de carga, municipal, exceto travessia</v>
      </c>
      <c r="K911" t="s">
        <v>3442</v>
      </c>
      <c r="L911">
        <f>IFERROR(VLOOKUP($K911,Base_Atividades!$E$1:$N$2398,MATCH(BancoAjustado!L$1,Base_Atividades!$E$1:$N$1,0),FALSE),0)</f>
        <v>0</v>
      </c>
      <c r="M911">
        <f>IFERROR(VLOOKUP($K911,Base_Atividades!$E$1:$N$2398,MATCH(BancoAjustado!M$1,Base_Atividades!$E$1:$N$1,0),FALSE),0)</f>
        <v>0</v>
      </c>
      <c r="N911">
        <f>IFERROR(VLOOKUP($K911,Base_Atividades!$E$1:$N$2398,MATCH(BancoAjustado!N$1,Base_Atividades!$E$1:$N$1,0),FALSE),0)</f>
        <v>0</v>
      </c>
    </row>
    <row r="912" spans="1:14" x14ac:dyDescent="0.25">
      <c r="A912" t="s">
        <v>3392</v>
      </c>
      <c r="B912" t="s">
        <v>3432</v>
      </c>
      <c r="C912" t="s">
        <v>3440</v>
      </c>
      <c r="D912" t="s">
        <v>3441</v>
      </c>
      <c r="E912" t="s">
        <v>3443</v>
      </c>
      <c r="F912" t="str">
        <f>VLOOKUP(A912,Base!$A:$F,6,FALSE)</f>
        <v>TRANSPORTE, ARMAZENAGEM E CORREIO</v>
      </c>
      <c r="G912" t="str">
        <f>VLOOKUP(B912,Base!$B:$F,5,FALSE)</f>
        <v>TRANSPORTE AQUAVIÁRIO</v>
      </c>
      <c r="H912" t="str">
        <f>VLOOKUP(C912,Base!$C:$F,4,FALSE)</f>
        <v>Transporte por navegação interior</v>
      </c>
      <c r="I912" t="str">
        <f>VLOOKUP(D912,Base!$D:$F,3,FALSE)</f>
        <v>Transporte por navegação interior de carga</v>
      </c>
      <c r="J912" t="str">
        <f>VLOOKUP(E912,Base!$E:$F,2,FALSE)</f>
        <v>Transporte por navegação interior de carga, intermunicipal, interestadual e internacional, exceto travessia</v>
      </c>
      <c r="K912" t="s">
        <v>3443</v>
      </c>
      <c r="L912">
        <f>IFERROR(VLOOKUP($K912,Base_Atividades!$E$1:$N$2398,MATCH(BancoAjustado!L$1,Base_Atividades!$E$1:$N$1,0),FALSE),0)</f>
        <v>0</v>
      </c>
      <c r="M912">
        <f>IFERROR(VLOOKUP($K912,Base_Atividades!$E$1:$N$2398,MATCH(BancoAjustado!M$1,Base_Atividades!$E$1:$N$1,0),FALSE),0)</f>
        <v>0</v>
      </c>
      <c r="N912">
        <f>IFERROR(VLOOKUP($K912,Base_Atividades!$E$1:$N$2398,MATCH(BancoAjustado!N$1,Base_Atividades!$E$1:$N$1,0),FALSE),0)</f>
        <v>0</v>
      </c>
    </row>
    <row r="913" spans="1:14" x14ac:dyDescent="0.25">
      <c r="A913" t="s">
        <v>3392</v>
      </c>
      <c r="B913" t="s">
        <v>3432</v>
      </c>
      <c r="C913" t="s">
        <v>3440</v>
      </c>
      <c r="D913" t="s">
        <v>3444</v>
      </c>
      <c r="E913" t="s">
        <v>3445</v>
      </c>
      <c r="F913" t="str">
        <f>VLOOKUP(A913,Base!$A:$F,6,FALSE)</f>
        <v>TRANSPORTE, ARMAZENAGEM E CORREIO</v>
      </c>
      <c r="G913" t="str">
        <f>VLOOKUP(B913,Base!$B:$F,5,FALSE)</f>
        <v>TRANSPORTE AQUAVIÁRIO</v>
      </c>
      <c r="H913" t="str">
        <f>VLOOKUP(C913,Base!$C:$F,4,FALSE)</f>
        <v>Transporte por navegação interior</v>
      </c>
      <c r="I913" t="str">
        <f>VLOOKUP(D913,Base!$D:$F,3,FALSE)</f>
        <v>Transporte por navegação interior de passageiros em linhas regulares</v>
      </c>
      <c r="J913" t="str">
        <f>VLOOKUP(E913,Base!$E:$F,2,FALSE)</f>
        <v>Transporte por navegação interior de passageiros em linhas regulares, municipal, exceto travessia</v>
      </c>
      <c r="K913" t="s">
        <v>3445</v>
      </c>
      <c r="L913">
        <f>IFERROR(VLOOKUP($K913,Base_Atividades!$E$1:$N$2398,MATCH(BancoAjustado!L$1,Base_Atividades!$E$1:$N$1,0),FALSE),0)</f>
        <v>0</v>
      </c>
      <c r="M913">
        <f>IFERROR(VLOOKUP($K913,Base_Atividades!$E$1:$N$2398,MATCH(BancoAjustado!M$1,Base_Atividades!$E$1:$N$1,0),FALSE),0)</f>
        <v>0</v>
      </c>
      <c r="N913">
        <f>IFERROR(VLOOKUP($K913,Base_Atividades!$E$1:$N$2398,MATCH(BancoAjustado!N$1,Base_Atividades!$E$1:$N$1,0),FALSE),0)</f>
        <v>0</v>
      </c>
    </row>
    <row r="914" spans="1:14" x14ac:dyDescent="0.25">
      <c r="A914" t="s">
        <v>3392</v>
      </c>
      <c r="B914" t="s">
        <v>3432</v>
      </c>
      <c r="C914" t="s">
        <v>3440</v>
      </c>
      <c r="D914" t="s">
        <v>3444</v>
      </c>
      <c r="E914" t="s">
        <v>3446</v>
      </c>
      <c r="F914" t="str">
        <f>VLOOKUP(A914,Base!$A:$F,6,FALSE)</f>
        <v>TRANSPORTE, ARMAZENAGEM E CORREIO</v>
      </c>
      <c r="G914" t="str">
        <f>VLOOKUP(B914,Base!$B:$F,5,FALSE)</f>
        <v>TRANSPORTE AQUAVIÁRIO</v>
      </c>
      <c r="H914" t="str">
        <f>VLOOKUP(C914,Base!$C:$F,4,FALSE)</f>
        <v>Transporte por navegação interior</v>
      </c>
      <c r="I914" t="str">
        <f>VLOOKUP(D914,Base!$D:$F,3,FALSE)</f>
        <v>Transporte por navegação interior de passageiros em linhas regulares</v>
      </c>
      <c r="J914" t="str">
        <f>VLOOKUP(E914,Base!$E:$F,2,FALSE)</f>
        <v>Transporte por navegação interior de passageiros em linhas regulares, intermunicipal, interestadual e internacional, exceto travessia</v>
      </c>
      <c r="K914" t="s">
        <v>3446</v>
      </c>
      <c r="L914">
        <f>IFERROR(VLOOKUP($K914,Base_Atividades!$E$1:$N$2398,MATCH(BancoAjustado!L$1,Base_Atividades!$E$1:$N$1,0),FALSE),0)</f>
        <v>0</v>
      </c>
      <c r="M914">
        <f>IFERROR(VLOOKUP($K914,Base_Atividades!$E$1:$N$2398,MATCH(BancoAjustado!M$1,Base_Atividades!$E$1:$N$1,0),FALSE),0)</f>
        <v>0</v>
      </c>
      <c r="N914">
        <f>IFERROR(VLOOKUP($K914,Base_Atividades!$E$1:$N$2398,MATCH(BancoAjustado!N$1,Base_Atividades!$E$1:$N$1,0),FALSE),0)</f>
        <v>0</v>
      </c>
    </row>
    <row r="915" spans="1:14" x14ac:dyDescent="0.25">
      <c r="A915" t="s">
        <v>3392</v>
      </c>
      <c r="B915" t="s">
        <v>3432</v>
      </c>
      <c r="C915" t="s">
        <v>3447</v>
      </c>
      <c r="D915" t="s">
        <v>3448</v>
      </c>
      <c r="E915" t="s">
        <v>3449</v>
      </c>
      <c r="F915" t="str">
        <f>VLOOKUP(A915,Base!$A:$F,6,FALSE)</f>
        <v>TRANSPORTE, ARMAZENAGEM E CORREIO</v>
      </c>
      <c r="G915" t="str">
        <f>VLOOKUP(B915,Base!$B:$F,5,FALSE)</f>
        <v>TRANSPORTE AQUAVIÁRIO</v>
      </c>
      <c r="H915" t="str">
        <f>VLOOKUP(C915,Base!$C:$F,4,FALSE)</f>
        <v>Navegação de apoio</v>
      </c>
      <c r="I915" t="str">
        <f>VLOOKUP(D915,Base!$D:$F,3,FALSE)</f>
        <v>Navegação de apoio</v>
      </c>
      <c r="J915" t="str">
        <f>VLOOKUP(E915,Base!$E:$F,2,FALSE)</f>
        <v>Navegação de apoio marítimo</v>
      </c>
      <c r="K915" t="s">
        <v>3449</v>
      </c>
      <c r="L915">
        <f>IFERROR(VLOOKUP($K915,Base_Atividades!$E$1:$N$2398,MATCH(BancoAjustado!L$1,Base_Atividades!$E$1:$N$1,0),FALSE),0)</f>
        <v>0</v>
      </c>
      <c r="M915">
        <f>IFERROR(VLOOKUP($K915,Base_Atividades!$E$1:$N$2398,MATCH(BancoAjustado!M$1,Base_Atividades!$E$1:$N$1,0),FALSE),0)</f>
        <v>0</v>
      </c>
      <c r="N915">
        <f>IFERROR(VLOOKUP($K915,Base_Atividades!$E$1:$N$2398,MATCH(BancoAjustado!N$1,Base_Atividades!$E$1:$N$1,0),FALSE),0)</f>
        <v>0</v>
      </c>
    </row>
    <row r="916" spans="1:14" x14ac:dyDescent="0.25">
      <c r="A916" t="s">
        <v>3392</v>
      </c>
      <c r="B916" t="s">
        <v>3432</v>
      </c>
      <c r="C916" t="s">
        <v>3447</v>
      </c>
      <c r="D916" t="s">
        <v>3448</v>
      </c>
      <c r="E916" t="s">
        <v>3450</v>
      </c>
      <c r="F916" t="str">
        <f>VLOOKUP(A916,Base!$A:$F,6,FALSE)</f>
        <v>TRANSPORTE, ARMAZENAGEM E CORREIO</v>
      </c>
      <c r="G916" t="str">
        <f>VLOOKUP(B916,Base!$B:$F,5,FALSE)</f>
        <v>TRANSPORTE AQUAVIÁRIO</v>
      </c>
      <c r="H916" t="str">
        <f>VLOOKUP(C916,Base!$C:$F,4,FALSE)</f>
        <v>Navegação de apoio</v>
      </c>
      <c r="I916" t="str">
        <f>VLOOKUP(D916,Base!$D:$F,3,FALSE)</f>
        <v>Navegação de apoio</v>
      </c>
      <c r="J916" t="str">
        <f>VLOOKUP(E916,Base!$E:$F,2,FALSE)</f>
        <v>Navegação de apoio portuário</v>
      </c>
      <c r="K916" t="s">
        <v>3450</v>
      </c>
      <c r="L916">
        <f>IFERROR(VLOOKUP($K916,Base_Atividades!$E$1:$N$2398,MATCH(BancoAjustado!L$1,Base_Atividades!$E$1:$N$1,0),FALSE),0)</f>
        <v>0</v>
      </c>
      <c r="M916">
        <f>IFERROR(VLOOKUP($K916,Base_Atividades!$E$1:$N$2398,MATCH(BancoAjustado!M$1,Base_Atividades!$E$1:$N$1,0),FALSE),0)</f>
        <v>0</v>
      </c>
      <c r="N916">
        <f>IFERROR(VLOOKUP($K916,Base_Atividades!$E$1:$N$2398,MATCH(BancoAjustado!N$1,Base_Atividades!$E$1:$N$1,0),FALSE),0)</f>
        <v>0</v>
      </c>
    </row>
    <row r="917" spans="1:14" x14ac:dyDescent="0.25">
      <c r="A917" t="s">
        <v>3392</v>
      </c>
      <c r="B917" t="s">
        <v>3432</v>
      </c>
      <c r="C917" t="s">
        <v>3447</v>
      </c>
      <c r="D917" t="s">
        <v>3448</v>
      </c>
      <c r="E917" t="s">
        <v>3451</v>
      </c>
      <c r="F917" t="str">
        <f>VLOOKUP(A917,Base!$A:$F,6,FALSE)</f>
        <v>TRANSPORTE, ARMAZENAGEM E CORREIO</v>
      </c>
      <c r="G917" t="str">
        <f>VLOOKUP(B917,Base!$B:$F,5,FALSE)</f>
        <v>TRANSPORTE AQUAVIÁRIO</v>
      </c>
      <c r="H917" t="str">
        <f>VLOOKUP(C917,Base!$C:$F,4,FALSE)</f>
        <v>Navegação de apoio</v>
      </c>
      <c r="I917" t="str">
        <f>VLOOKUP(D917,Base!$D:$F,3,FALSE)</f>
        <v>Navegação de apoio</v>
      </c>
      <c r="J917" t="str">
        <f>VLOOKUP(E917,Base!$E:$F,2,FALSE)</f>
        <v>Serviço de rebocadores e empurradores</v>
      </c>
      <c r="K917" t="s">
        <v>3451</v>
      </c>
      <c r="L917">
        <f>IFERROR(VLOOKUP($K917,Base_Atividades!$E$1:$N$2398,MATCH(BancoAjustado!L$1,Base_Atividades!$E$1:$N$1,0),FALSE),0)</f>
        <v>0</v>
      </c>
      <c r="M917">
        <f>IFERROR(VLOOKUP($K917,Base_Atividades!$E$1:$N$2398,MATCH(BancoAjustado!M$1,Base_Atividades!$E$1:$N$1,0),FALSE),0)</f>
        <v>0</v>
      </c>
      <c r="N917">
        <f>IFERROR(VLOOKUP($K917,Base_Atividades!$E$1:$N$2398,MATCH(BancoAjustado!N$1,Base_Atividades!$E$1:$N$1,0),FALSE),0)</f>
        <v>0</v>
      </c>
    </row>
    <row r="918" spans="1:14" x14ac:dyDescent="0.25">
      <c r="A918" t="s">
        <v>3392</v>
      </c>
      <c r="B918" t="s">
        <v>3432</v>
      </c>
      <c r="C918" t="s">
        <v>3452</v>
      </c>
      <c r="D918" t="s">
        <v>3453</v>
      </c>
      <c r="E918" t="s">
        <v>3454</v>
      </c>
      <c r="F918" t="str">
        <f>VLOOKUP(A918,Base!$A:$F,6,FALSE)</f>
        <v>TRANSPORTE, ARMAZENAGEM E CORREIO</v>
      </c>
      <c r="G918" t="str">
        <f>VLOOKUP(B918,Base!$B:$F,5,FALSE)</f>
        <v>TRANSPORTE AQUAVIÁRIO</v>
      </c>
      <c r="H918" t="str">
        <f>VLOOKUP(C918,Base!$C:$F,4,FALSE)</f>
        <v>Outros transportes aquaviários</v>
      </c>
      <c r="I918" t="str">
        <f>VLOOKUP(D918,Base!$D:$F,3,FALSE)</f>
        <v>Transporte por navegação de travessia</v>
      </c>
      <c r="J918" t="str">
        <f>VLOOKUP(E918,Base!$E:$F,2,FALSE)</f>
        <v>Transporte por navegação de travessia, municipal</v>
      </c>
      <c r="K918" t="s">
        <v>3454</v>
      </c>
      <c r="L918">
        <f>IFERROR(VLOOKUP($K918,Base_Atividades!$E$1:$N$2398,MATCH(BancoAjustado!L$1,Base_Atividades!$E$1:$N$1,0),FALSE),0)</f>
        <v>0</v>
      </c>
      <c r="M918">
        <f>IFERROR(VLOOKUP($K918,Base_Atividades!$E$1:$N$2398,MATCH(BancoAjustado!M$1,Base_Atividades!$E$1:$N$1,0),FALSE),0)</f>
        <v>0</v>
      </c>
      <c r="N918">
        <f>IFERROR(VLOOKUP($K918,Base_Atividades!$E$1:$N$2398,MATCH(BancoAjustado!N$1,Base_Atividades!$E$1:$N$1,0),FALSE),0)</f>
        <v>0</v>
      </c>
    </row>
    <row r="919" spans="1:14" x14ac:dyDescent="0.25">
      <c r="A919" t="s">
        <v>3392</v>
      </c>
      <c r="B919" t="s">
        <v>3432</v>
      </c>
      <c r="C919" t="s">
        <v>3452</v>
      </c>
      <c r="D919" t="s">
        <v>3453</v>
      </c>
      <c r="E919" t="s">
        <v>3455</v>
      </c>
      <c r="F919" t="str">
        <f>VLOOKUP(A919,Base!$A:$F,6,FALSE)</f>
        <v>TRANSPORTE, ARMAZENAGEM E CORREIO</v>
      </c>
      <c r="G919" t="str">
        <f>VLOOKUP(B919,Base!$B:$F,5,FALSE)</f>
        <v>TRANSPORTE AQUAVIÁRIO</v>
      </c>
      <c r="H919" t="str">
        <f>VLOOKUP(C919,Base!$C:$F,4,FALSE)</f>
        <v>Outros transportes aquaviários</v>
      </c>
      <c r="I919" t="str">
        <f>VLOOKUP(D919,Base!$D:$F,3,FALSE)</f>
        <v>Transporte por navegação de travessia</v>
      </c>
      <c r="J919" t="str">
        <f>VLOOKUP(E919,Base!$E:$F,2,FALSE)</f>
        <v>Transporte por navegação de travessia, intermunicipal, interestadual e internacional</v>
      </c>
      <c r="K919" t="s">
        <v>3455</v>
      </c>
      <c r="L919">
        <f>IFERROR(VLOOKUP($K919,Base_Atividades!$E$1:$N$2398,MATCH(BancoAjustado!L$1,Base_Atividades!$E$1:$N$1,0),FALSE),0)</f>
        <v>0</v>
      </c>
      <c r="M919">
        <f>IFERROR(VLOOKUP($K919,Base_Atividades!$E$1:$N$2398,MATCH(BancoAjustado!M$1,Base_Atividades!$E$1:$N$1,0),FALSE),0)</f>
        <v>0</v>
      </c>
      <c r="N919">
        <f>IFERROR(VLOOKUP($K919,Base_Atividades!$E$1:$N$2398,MATCH(BancoAjustado!N$1,Base_Atividades!$E$1:$N$1,0),FALSE),0)</f>
        <v>0</v>
      </c>
    </row>
    <row r="920" spans="1:14" x14ac:dyDescent="0.25">
      <c r="A920" t="s">
        <v>3392</v>
      </c>
      <c r="B920" t="s">
        <v>3432</v>
      </c>
      <c r="C920" t="s">
        <v>3452</v>
      </c>
      <c r="D920" t="s">
        <v>3456</v>
      </c>
      <c r="E920" t="s">
        <v>3457</v>
      </c>
      <c r="F920" t="str">
        <f>VLOOKUP(A920,Base!$A:$F,6,FALSE)</f>
        <v>TRANSPORTE, ARMAZENAGEM E CORREIO</v>
      </c>
      <c r="G920" t="str">
        <f>VLOOKUP(B920,Base!$B:$F,5,FALSE)</f>
        <v>TRANSPORTE AQUAVIÁRIO</v>
      </c>
      <c r="H920" t="str">
        <f>VLOOKUP(C920,Base!$C:$F,4,FALSE)</f>
        <v>Outros transportes aquaviários</v>
      </c>
      <c r="I920" t="str">
        <f>VLOOKUP(D920,Base!$D:$F,3,FALSE)</f>
        <v>Transportes aquaviários não especificados anteriormente</v>
      </c>
      <c r="J920" t="str">
        <f>VLOOKUP(E920,Base!$E:$F,2,FALSE)</f>
        <v>Transporte aquaviário para passeios turísticos</v>
      </c>
      <c r="K920" t="s">
        <v>3457</v>
      </c>
      <c r="L920">
        <f>IFERROR(VLOOKUP($K920,Base_Atividades!$E$1:$N$2398,MATCH(BancoAjustado!L$1,Base_Atividades!$E$1:$N$1,0),FALSE),0)</f>
        <v>0</v>
      </c>
      <c r="M920">
        <f>IFERROR(VLOOKUP($K920,Base_Atividades!$E$1:$N$2398,MATCH(BancoAjustado!M$1,Base_Atividades!$E$1:$N$1,0),FALSE),0)</f>
        <v>0</v>
      </c>
      <c r="N920">
        <f>IFERROR(VLOOKUP($K920,Base_Atividades!$E$1:$N$2398,MATCH(BancoAjustado!N$1,Base_Atividades!$E$1:$N$1,0),FALSE),0)</f>
        <v>0</v>
      </c>
    </row>
    <row r="921" spans="1:14" x14ac:dyDescent="0.25">
      <c r="A921" t="s">
        <v>3392</v>
      </c>
      <c r="B921" t="s">
        <v>3432</v>
      </c>
      <c r="C921" t="s">
        <v>3452</v>
      </c>
      <c r="D921" t="s">
        <v>3456</v>
      </c>
      <c r="E921" t="s">
        <v>3458</v>
      </c>
      <c r="F921" t="str">
        <f>VLOOKUP(A921,Base!$A:$F,6,FALSE)</f>
        <v>TRANSPORTE, ARMAZENAGEM E CORREIO</v>
      </c>
      <c r="G921" t="str">
        <f>VLOOKUP(B921,Base!$B:$F,5,FALSE)</f>
        <v>TRANSPORTE AQUAVIÁRIO</v>
      </c>
      <c r="H921" t="str">
        <f>VLOOKUP(C921,Base!$C:$F,4,FALSE)</f>
        <v>Outros transportes aquaviários</v>
      </c>
      <c r="I921" t="str">
        <f>VLOOKUP(D921,Base!$D:$F,3,FALSE)</f>
        <v>Transportes aquaviários não especificados anteriormente</v>
      </c>
      <c r="J921" t="str">
        <f>VLOOKUP(E921,Base!$E:$F,2,FALSE)</f>
        <v>Outros transportes aquaviários não especificados anteriormente</v>
      </c>
      <c r="K921" t="s">
        <v>3458</v>
      </c>
      <c r="L921">
        <f>IFERROR(VLOOKUP($K921,Base_Atividades!$E$1:$N$2398,MATCH(BancoAjustado!L$1,Base_Atividades!$E$1:$N$1,0),FALSE),0)</f>
        <v>0</v>
      </c>
      <c r="M921">
        <f>IFERROR(VLOOKUP($K921,Base_Atividades!$E$1:$N$2398,MATCH(BancoAjustado!M$1,Base_Atividades!$E$1:$N$1,0),FALSE),0)</f>
        <v>0</v>
      </c>
      <c r="N921">
        <f>IFERROR(VLOOKUP($K921,Base_Atividades!$E$1:$N$2398,MATCH(BancoAjustado!N$1,Base_Atividades!$E$1:$N$1,0),FALSE),0)</f>
        <v>0</v>
      </c>
    </row>
    <row r="922" spans="1:14" x14ac:dyDescent="0.25">
      <c r="A922" t="s">
        <v>3392</v>
      </c>
      <c r="B922" t="s">
        <v>3459</v>
      </c>
      <c r="C922" t="s">
        <v>3460</v>
      </c>
      <c r="D922" t="s">
        <v>3461</v>
      </c>
      <c r="E922" t="s">
        <v>3462</v>
      </c>
      <c r="F922" t="str">
        <f>VLOOKUP(A922,Base!$A:$F,6,FALSE)</f>
        <v>TRANSPORTE, ARMAZENAGEM E CORREIO</v>
      </c>
      <c r="G922" t="str">
        <f>VLOOKUP(B922,Base!$B:$F,5,FALSE)</f>
        <v>TRANSPORTE AÉREO</v>
      </c>
      <c r="H922" t="str">
        <f>VLOOKUP(C922,Base!$C:$F,4,FALSE)</f>
        <v>Transporte aéreo de passageiros</v>
      </c>
      <c r="I922" t="str">
        <f>VLOOKUP(D922,Base!$D:$F,3,FALSE)</f>
        <v>Transporte aéreo de passageiros regular</v>
      </c>
      <c r="J922" t="str">
        <f>VLOOKUP(E922,Base!$E:$F,2,FALSE)</f>
        <v>Transporte aéreo de passageiros regular</v>
      </c>
      <c r="K922" t="s">
        <v>3462</v>
      </c>
      <c r="L922">
        <f>IFERROR(VLOOKUP($K922,Base_Atividades!$E$1:$N$2398,MATCH(BancoAjustado!L$1,Base_Atividades!$E$1:$N$1,0),FALSE),0)</f>
        <v>0</v>
      </c>
      <c r="M922">
        <f>IFERROR(VLOOKUP($K922,Base_Atividades!$E$1:$N$2398,MATCH(BancoAjustado!M$1,Base_Atividades!$E$1:$N$1,0),FALSE),0)</f>
        <v>0</v>
      </c>
      <c r="N922">
        <f>IFERROR(VLOOKUP($K922,Base_Atividades!$E$1:$N$2398,MATCH(BancoAjustado!N$1,Base_Atividades!$E$1:$N$1,0),FALSE),0)</f>
        <v>0</v>
      </c>
    </row>
    <row r="923" spans="1:14" x14ac:dyDescent="0.25">
      <c r="A923" t="s">
        <v>3392</v>
      </c>
      <c r="B923" t="s">
        <v>3459</v>
      </c>
      <c r="C923" t="s">
        <v>3460</v>
      </c>
      <c r="D923" t="s">
        <v>3463</v>
      </c>
      <c r="E923" t="s">
        <v>3464</v>
      </c>
      <c r="F923" t="str">
        <f>VLOOKUP(A923,Base!$A:$F,6,FALSE)</f>
        <v>TRANSPORTE, ARMAZENAGEM E CORREIO</v>
      </c>
      <c r="G923" t="str">
        <f>VLOOKUP(B923,Base!$B:$F,5,FALSE)</f>
        <v>TRANSPORTE AÉREO</v>
      </c>
      <c r="H923" t="str">
        <f>VLOOKUP(C923,Base!$C:$F,4,FALSE)</f>
        <v>Transporte aéreo de passageiros</v>
      </c>
      <c r="I923" t="str">
        <f>VLOOKUP(D923,Base!$D:$F,3,FALSE)</f>
        <v>Transporte aéreo de passageiros não regular</v>
      </c>
      <c r="J923" t="str">
        <f>VLOOKUP(E923,Base!$E:$F,2,FALSE)</f>
        <v>Serviço de táxi aéreo e locação de aeronaves com tripulação</v>
      </c>
      <c r="K923" t="s">
        <v>3464</v>
      </c>
      <c r="L923">
        <f>IFERROR(VLOOKUP($K923,Base_Atividades!$E$1:$N$2398,MATCH(BancoAjustado!L$1,Base_Atividades!$E$1:$N$1,0),FALSE),0)</f>
        <v>0</v>
      </c>
      <c r="M923">
        <f>IFERROR(VLOOKUP($K923,Base_Atividades!$E$1:$N$2398,MATCH(BancoAjustado!M$1,Base_Atividades!$E$1:$N$1,0),FALSE),0)</f>
        <v>0</v>
      </c>
      <c r="N923">
        <f>IFERROR(VLOOKUP($K923,Base_Atividades!$E$1:$N$2398,MATCH(BancoAjustado!N$1,Base_Atividades!$E$1:$N$1,0),FALSE),0)</f>
        <v>0</v>
      </c>
    </row>
    <row r="924" spans="1:14" x14ac:dyDescent="0.25">
      <c r="A924" t="s">
        <v>3392</v>
      </c>
      <c r="B924" t="s">
        <v>3459</v>
      </c>
      <c r="C924" t="s">
        <v>3460</v>
      </c>
      <c r="D924" t="s">
        <v>3463</v>
      </c>
      <c r="E924" t="s">
        <v>3465</v>
      </c>
      <c r="F924" t="str">
        <f>VLOOKUP(A924,Base!$A:$F,6,FALSE)</f>
        <v>TRANSPORTE, ARMAZENAGEM E CORREIO</v>
      </c>
      <c r="G924" t="str">
        <f>VLOOKUP(B924,Base!$B:$F,5,FALSE)</f>
        <v>TRANSPORTE AÉREO</v>
      </c>
      <c r="H924" t="str">
        <f>VLOOKUP(C924,Base!$C:$F,4,FALSE)</f>
        <v>Transporte aéreo de passageiros</v>
      </c>
      <c r="I924" t="str">
        <f>VLOOKUP(D924,Base!$D:$F,3,FALSE)</f>
        <v>Transporte aéreo de passageiros não regular</v>
      </c>
      <c r="J924" t="str">
        <f>VLOOKUP(E924,Base!$E:$F,2,FALSE)</f>
        <v>Outros serviços de transporte aéreo de passageiros não regular</v>
      </c>
      <c r="K924" t="s">
        <v>3465</v>
      </c>
      <c r="L924">
        <f>IFERROR(VLOOKUP($K924,Base_Atividades!$E$1:$N$2398,MATCH(BancoAjustado!L$1,Base_Atividades!$E$1:$N$1,0),FALSE),0)</f>
        <v>0</v>
      </c>
      <c r="M924">
        <f>IFERROR(VLOOKUP($K924,Base_Atividades!$E$1:$N$2398,MATCH(BancoAjustado!M$1,Base_Atividades!$E$1:$N$1,0),FALSE),0)</f>
        <v>0</v>
      </c>
      <c r="N924">
        <f>IFERROR(VLOOKUP($K924,Base_Atividades!$E$1:$N$2398,MATCH(BancoAjustado!N$1,Base_Atividades!$E$1:$N$1,0),FALSE),0)</f>
        <v>0</v>
      </c>
    </row>
    <row r="925" spans="1:14" x14ac:dyDescent="0.25">
      <c r="A925" t="s">
        <v>3392</v>
      </c>
      <c r="B925" t="s">
        <v>3459</v>
      </c>
      <c r="C925" t="s">
        <v>3466</v>
      </c>
      <c r="D925" t="s">
        <v>3467</v>
      </c>
      <c r="E925" t="s">
        <v>3468</v>
      </c>
      <c r="F925" t="str">
        <f>VLOOKUP(A925,Base!$A:$F,6,FALSE)</f>
        <v>TRANSPORTE, ARMAZENAGEM E CORREIO</v>
      </c>
      <c r="G925" t="str">
        <f>VLOOKUP(B925,Base!$B:$F,5,FALSE)</f>
        <v>TRANSPORTE AÉREO</v>
      </c>
      <c r="H925" t="str">
        <f>VLOOKUP(C925,Base!$C:$F,4,FALSE)</f>
        <v>Transporte aéreo de carga</v>
      </c>
      <c r="I925" t="str">
        <f>VLOOKUP(D925,Base!$D:$F,3,FALSE)</f>
        <v>Transporte aéreo de carga</v>
      </c>
      <c r="J925" t="str">
        <f>VLOOKUP(E925,Base!$E:$F,2,FALSE)</f>
        <v>Transporte aéreo de carga</v>
      </c>
      <c r="K925" t="s">
        <v>3468</v>
      </c>
      <c r="L925">
        <f>IFERROR(VLOOKUP($K925,Base_Atividades!$E$1:$N$2398,MATCH(BancoAjustado!L$1,Base_Atividades!$E$1:$N$1,0),FALSE),0)</f>
        <v>0</v>
      </c>
      <c r="M925">
        <f>IFERROR(VLOOKUP($K925,Base_Atividades!$E$1:$N$2398,MATCH(BancoAjustado!M$1,Base_Atividades!$E$1:$N$1,0),FALSE),0)</f>
        <v>0</v>
      </c>
      <c r="N925">
        <f>IFERROR(VLOOKUP($K925,Base_Atividades!$E$1:$N$2398,MATCH(BancoAjustado!N$1,Base_Atividades!$E$1:$N$1,0),FALSE),0)</f>
        <v>0</v>
      </c>
    </row>
    <row r="926" spans="1:14" x14ac:dyDescent="0.25">
      <c r="A926" t="s">
        <v>3392</v>
      </c>
      <c r="B926" t="s">
        <v>3459</v>
      </c>
      <c r="C926" t="s">
        <v>3469</v>
      </c>
      <c r="D926" t="s">
        <v>3470</v>
      </c>
      <c r="E926" t="s">
        <v>3471</v>
      </c>
      <c r="F926" t="str">
        <f>VLOOKUP(A926,Base!$A:$F,6,FALSE)</f>
        <v>TRANSPORTE, ARMAZENAGEM E CORREIO</v>
      </c>
      <c r="G926" t="str">
        <f>VLOOKUP(B926,Base!$B:$F,5,FALSE)</f>
        <v>TRANSPORTE AÉREO</v>
      </c>
      <c r="H926" t="str">
        <f>VLOOKUP(C926,Base!$C:$F,4,FALSE)</f>
        <v>Transporte espacial</v>
      </c>
      <c r="I926" t="str">
        <f>VLOOKUP(D926,Base!$D:$F,3,FALSE)</f>
        <v>Transporte espacial</v>
      </c>
      <c r="J926" t="str">
        <f>VLOOKUP(E926,Base!$E:$F,2,FALSE)</f>
        <v>Transporte espacial</v>
      </c>
      <c r="K926" t="s">
        <v>3471</v>
      </c>
      <c r="L926">
        <f>IFERROR(VLOOKUP($K926,Base_Atividades!$E$1:$N$2398,MATCH(BancoAjustado!L$1,Base_Atividades!$E$1:$N$1,0),FALSE),0)</f>
        <v>0</v>
      </c>
      <c r="M926">
        <f>IFERROR(VLOOKUP($K926,Base_Atividades!$E$1:$N$2398,MATCH(BancoAjustado!M$1,Base_Atividades!$E$1:$N$1,0),FALSE),0)</f>
        <v>0</v>
      </c>
      <c r="N926">
        <f>IFERROR(VLOOKUP($K926,Base_Atividades!$E$1:$N$2398,MATCH(BancoAjustado!N$1,Base_Atividades!$E$1:$N$1,0),FALSE),0)</f>
        <v>0</v>
      </c>
    </row>
    <row r="927" spans="1:14" x14ac:dyDescent="0.25">
      <c r="A927" t="s">
        <v>3392</v>
      </c>
      <c r="B927" t="s">
        <v>3472</v>
      </c>
      <c r="C927" t="s">
        <v>3473</v>
      </c>
      <c r="D927" t="s">
        <v>3474</v>
      </c>
      <c r="E927" t="s">
        <v>3475</v>
      </c>
      <c r="F927" t="str">
        <f>VLOOKUP(A927,Base!$A:$F,6,FALSE)</f>
        <v>TRANSPORTE, ARMAZENAGEM E CORREIO</v>
      </c>
      <c r="G927" t="str">
        <f>VLOOKUP(B927,Base!$B:$F,5,FALSE)</f>
        <v>ARMAZENAMENTO E ATIVIDADES AUXILIARES DOS TRANSPORTES</v>
      </c>
      <c r="H927" t="str">
        <f>VLOOKUP(C927,Base!$C:$F,4,FALSE)</f>
        <v>Armazenamento, carga e descarga</v>
      </c>
      <c r="I927" t="str">
        <f>VLOOKUP(D927,Base!$D:$F,3,FALSE)</f>
        <v>Armazenamento</v>
      </c>
      <c r="J927" t="str">
        <f>VLOOKUP(E927,Base!$E:$F,2,FALSE)</f>
        <v>Armazéns gerais - emissão de warrant</v>
      </c>
      <c r="K927" t="s">
        <v>3475</v>
      </c>
      <c r="L927">
        <f>IFERROR(VLOOKUP($K927,Base_Atividades!$E$1:$N$2398,MATCH(BancoAjustado!L$1,Base_Atividades!$E$1:$N$1,0),FALSE),0)</f>
        <v>0</v>
      </c>
      <c r="M927">
        <f>IFERROR(VLOOKUP($K927,Base_Atividades!$E$1:$N$2398,MATCH(BancoAjustado!M$1,Base_Atividades!$E$1:$N$1,0),FALSE),0)</f>
        <v>0</v>
      </c>
      <c r="N927">
        <f>IFERROR(VLOOKUP($K927,Base_Atividades!$E$1:$N$2398,MATCH(BancoAjustado!N$1,Base_Atividades!$E$1:$N$1,0),FALSE),0)</f>
        <v>0</v>
      </c>
    </row>
    <row r="928" spans="1:14" x14ac:dyDescent="0.25">
      <c r="A928" t="s">
        <v>3392</v>
      </c>
      <c r="B928" t="s">
        <v>3472</v>
      </c>
      <c r="C928" t="s">
        <v>3473</v>
      </c>
      <c r="D928" t="s">
        <v>3474</v>
      </c>
      <c r="E928" t="s">
        <v>3477</v>
      </c>
      <c r="F928" t="str">
        <f>VLOOKUP(A928,Base!$A:$F,6,FALSE)</f>
        <v>TRANSPORTE, ARMAZENAGEM E CORREIO</v>
      </c>
      <c r="G928" t="str">
        <f>VLOOKUP(B928,Base!$B:$F,5,FALSE)</f>
        <v>ARMAZENAMENTO E ATIVIDADES AUXILIARES DOS TRANSPORTES</v>
      </c>
      <c r="H928" t="str">
        <f>VLOOKUP(C928,Base!$C:$F,4,FALSE)</f>
        <v>Armazenamento, carga e descarga</v>
      </c>
      <c r="I928" t="str">
        <f>VLOOKUP(D928,Base!$D:$F,3,FALSE)</f>
        <v>Armazenamento</v>
      </c>
      <c r="J928" t="str">
        <f>VLOOKUP(E928,Base!$E:$F,2,FALSE)</f>
        <v>Guarda-móveis</v>
      </c>
      <c r="K928" t="s">
        <v>3477</v>
      </c>
      <c r="L928">
        <f>IFERROR(VLOOKUP($K928,Base_Atividades!$E$1:$N$2398,MATCH(BancoAjustado!L$1,Base_Atividades!$E$1:$N$1,0),FALSE),0)</f>
        <v>0</v>
      </c>
      <c r="M928">
        <f>IFERROR(VLOOKUP($K928,Base_Atividades!$E$1:$N$2398,MATCH(BancoAjustado!M$1,Base_Atividades!$E$1:$N$1,0),FALSE),0)</f>
        <v>0</v>
      </c>
      <c r="N928">
        <f>IFERROR(VLOOKUP($K928,Base_Atividades!$E$1:$N$2398,MATCH(BancoAjustado!N$1,Base_Atividades!$E$1:$N$1,0),FALSE),0)</f>
        <v>0</v>
      </c>
    </row>
    <row r="929" spans="1:14" x14ac:dyDescent="0.25">
      <c r="A929" t="s">
        <v>3392</v>
      </c>
      <c r="B929" t="s">
        <v>3472</v>
      </c>
      <c r="C929" t="s">
        <v>3473</v>
      </c>
      <c r="D929" t="s">
        <v>3474</v>
      </c>
      <c r="E929" t="s">
        <v>3478</v>
      </c>
      <c r="F929" t="str">
        <f>VLOOKUP(A929,Base!$A:$F,6,FALSE)</f>
        <v>TRANSPORTE, ARMAZENAGEM E CORREIO</v>
      </c>
      <c r="G929" t="str">
        <f>VLOOKUP(B929,Base!$B:$F,5,FALSE)</f>
        <v>ARMAZENAMENTO E ATIVIDADES AUXILIARES DOS TRANSPORTES</v>
      </c>
      <c r="H929" t="str">
        <f>VLOOKUP(C929,Base!$C:$F,4,FALSE)</f>
        <v>Armazenamento, carga e descarga</v>
      </c>
      <c r="I929" t="str">
        <f>VLOOKUP(D929,Base!$D:$F,3,FALSE)</f>
        <v>Armazenamento</v>
      </c>
      <c r="J929" t="str">
        <f>VLOOKUP(E929,Base!$E:$F,2,FALSE)</f>
        <v>Depósitos de mercadorias para terceiros, exceto armazéns gerais e guarda-móveis</v>
      </c>
      <c r="K929" t="s">
        <v>3478</v>
      </c>
      <c r="L929">
        <f>IFERROR(VLOOKUP($K929,Base_Atividades!$E$1:$N$2398,MATCH(BancoAjustado!L$1,Base_Atividades!$E$1:$N$1,0),FALSE),0)</f>
        <v>0</v>
      </c>
      <c r="M929">
        <f>IFERROR(VLOOKUP($K929,Base_Atividades!$E$1:$N$2398,MATCH(BancoAjustado!M$1,Base_Atividades!$E$1:$N$1,0),FALSE),0)</f>
        <v>0</v>
      </c>
      <c r="N929">
        <f>IFERROR(VLOOKUP($K929,Base_Atividades!$E$1:$N$2398,MATCH(BancoAjustado!N$1,Base_Atividades!$E$1:$N$1,0),FALSE),0)</f>
        <v>0</v>
      </c>
    </row>
    <row r="930" spans="1:14" x14ac:dyDescent="0.25">
      <c r="A930" t="s">
        <v>3392</v>
      </c>
      <c r="B930" t="s">
        <v>3472</v>
      </c>
      <c r="C930" t="s">
        <v>3473</v>
      </c>
      <c r="D930" t="s">
        <v>3479</v>
      </c>
      <c r="E930" t="s">
        <v>3480</v>
      </c>
      <c r="F930" t="str">
        <f>VLOOKUP(A930,Base!$A:$F,6,FALSE)</f>
        <v>TRANSPORTE, ARMAZENAGEM E CORREIO</v>
      </c>
      <c r="G930" t="str">
        <f>VLOOKUP(B930,Base!$B:$F,5,FALSE)</f>
        <v>ARMAZENAMENTO E ATIVIDADES AUXILIARES DOS TRANSPORTES</v>
      </c>
      <c r="H930" t="str">
        <f>VLOOKUP(C930,Base!$C:$F,4,FALSE)</f>
        <v>Armazenamento, carga e descarga</v>
      </c>
      <c r="I930" t="str">
        <f>VLOOKUP(D930,Base!$D:$F,3,FALSE)</f>
        <v>Carga e descarga</v>
      </c>
      <c r="J930" t="str">
        <f>VLOOKUP(E930,Base!$E:$F,2,FALSE)</f>
        <v>Carga e descarga</v>
      </c>
      <c r="K930" t="s">
        <v>3480</v>
      </c>
      <c r="L930">
        <f>IFERROR(VLOOKUP($K930,Base_Atividades!$E$1:$N$2398,MATCH(BancoAjustado!L$1,Base_Atividades!$E$1:$N$1,0),FALSE),0)</f>
        <v>0</v>
      </c>
      <c r="M930">
        <f>IFERROR(VLOOKUP($K930,Base_Atividades!$E$1:$N$2398,MATCH(BancoAjustado!M$1,Base_Atividades!$E$1:$N$1,0),FALSE),0)</f>
        <v>0</v>
      </c>
      <c r="N930">
        <f>IFERROR(VLOOKUP($K930,Base_Atividades!$E$1:$N$2398,MATCH(BancoAjustado!N$1,Base_Atividades!$E$1:$N$1,0),FALSE),0)</f>
        <v>0</v>
      </c>
    </row>
    <row r="931" spans="1:14" x14ac:dyDescent="0.25">
      <c r="A931" t="s">
        <v>3392</v>
      </c>
      <c r="B931" t="s">
        <v>3472</v>
      </c>
      <c r="C931" t="s">
        <v>3481</v>
      </c>
      <c r="D931" t="s">
        <v>3482</v>
      </c>
      <c r="E931" t="s">
        <v>3483</v>
      </c>
      <c r="F931" t="str">
        <f>VLOOKUP(A931,Base!$A:$F,6,FALSE)</f>
        <v>TRANSPORTE, ARMAZENAGEM E CORREIO</v>
      </c>
      <c r="G931" t="str">
        <f>VLOOKUP(B931,Base!$B:$F,5,FALSE)</f>
        <v>ARMAZENAMENTO E ATIVIDADES AUXILIARES DOS TRANSPORTES</v>
      </c>
      <c r="H931" t="str">
        <f>VLOOKUP(C931,Base!$C:$F,4,FALSE)</f>
        <v>Atividades auxiliares dos transportes terrestres</v>
      </c>
      <c r="I931" t="str">
        <f>VLOOKUP(D931,Base!$D:$F,3,FALSE)</f>
        <v>Concessionárias de rodovias, pontes, túneis e serviços relacionados</v>
      </c>
      <c r="J931" t="str">
        <f>VLOOKUP(E931,Base!$E:$F,2,FALSE)</f>
        <v>Concessionárias de rodovias, pontes, túneis e serviços relacionados</v>
      </c>
      <c r="K931" t="s">
        <v>3483</v>
      </c>
      <c r="L931">
        <f>IFERROR(VLOOKUP($K931,Base_Atividades!$E$1:$N$2398,MATCH(BancoAjustado!L$1,Base_Atividades!$E$1:$N$1,0),FALSE),0)</f>
        <v>0</v>
      </c>
      <c r="M931">
        <f>IFERROR(VLOOKUP($K931,Base_Atividades!$E$1:$N$2398,MATCH(BancoAjustado!M$1,Base_Atividades!$E$1:$N$1,0),FALSE),0)</f>
        <v>0</v>
      </c>
      <c r="N931">
        <f>IFERROR(VLOOKUP($K931,Base_Atividades!$E$1:$N$2398,MATCH(BancoAjustado!N$1,Base_Atividades!$E$1:$N$1,0),FALSE),0)</f>
        <v>0</v>
      </c>
    </row>
    <row r="932" spans="1:14" x14ac:dyDescent="0.25">
      <c r="A932" t="s">
        <v>3392</v>
      </c>
      <c r="B932" t="s">
        <v>3472</v>
      </c>
      <c r="C932" t="s">
        <v>3481</v>
      </c>
      <c r="D932" t="s">
        <v>3484</v>
      </c>
      <c r="E932" t="s">
        <v>3485</v>
      </c>
      <c r="F932" t="str">
        <f>VLOOKUP(A932,Base!$A:$F,6,FALSE)</f>
        <v>TRANSPORTE, ARMAZENAGEM E CORREIO</v>
      </c>
      <c r="G932" t="str">
        <f>VLOOKUP(B932,Base!$B:$F,5,FALSE)</f>
        <v>ARMAZENAMENTO E ATIVIDADES AUXILIARES DOS TRANSPORTES</v>
      </c>
      <c r="H932" t="str">
        <f>VLOOKUP(C932,Base!$C:$F,4,FALSE)</f>
        <v>Atividades auxiliares dos transportes terrestres</v>
      </c>
      <c r="I932" t="str">
        <f>VLOOKUP(D932,Base!$D:$F,3,FALSE)</f>
        <v>Terminais rodoviários e ferroviários</v>
      </c>
      <c r="J932" t="str">
        <f>VLOOKUP(E932,Base!$E:$F,2,FALSE)</f>
        <v>Terminais rodoviários e ferroviários</v>
      </c>
      <c r="K932" t="s">
        <v>3485</v>
      </c>
      <c r="L932">
        <f>IFERROR(VLOOKUP($K932,Base_Atividades!$E$1:$N$2398,MATCH(BancoAjustado!L$1,Base_Atividades!$E$1:$N$1,0),FALSE),0)</f>
        <v>0</v>
      </c>
      <c r="M932">
        <f>IFERROR(VLOOKUP($K932,Base_Atividades!$E$1:$N$2398,MATCH(BancoAjustado!M$1,Base_Atividades!$E$1:$N$1,0),FALSE),0)</f>
        <v>0</v>
      </c>
      <c r="N932">
        <f>IFERROR(VLOOKUP($K932,Base_Atividades!$E$1:$N$2398,MATCH(BancoAjustado!N$1,Base_Atividades!$E$1:$N$1,0),FALSE),0)</f>
        <v>0</v>
      </c>
    </row>
    <row r="933" spans="1:14" x14ac:dyDescent="0.25">
      <c r="A933" t="s">
        <v>3392</v>
      </c>
      <c r="B933" t="s">
        <v>3472</v>
      </c>
      <c r="C933" t="s">
        <v>3481</v>
      </c>
      <c r="D933" t="s">
        <v>3486</v>
      </c>
      <c r="E933" t="s">
        <v>3487</v>
      </c>
      <c r="F933" t="str">
        <f>VLOOKUP(A933,Base!$A:$F,6,FALSE)</f>
        <v>TRANSPORTE, ARMAZENAGEM E CORREIO</v>
      </c>
      <c r="G933" t="str">
        <f>VLOOKUP(B933,Base!$B:$F,5,FALSE)</f>
        <v>ARMAZENAMENTO E ATIVIDADES AUXILIARES DOS TRANSPORTES</v>
      </c>
      <c r="H933" t="str">
        <f>VLOOKUP(C933,Base!$C:$F,4,FALSE)</f>
        <v>Atividades auxiliares dos transportes terrestres</v>
      </c>
      <c r="I933" t="str">
        <f>VLOOKUP(D933,Base!$D:$F,3,FALSE)</f>
        <v>Estacionamento de veículos</v>
      </c>
      <c r="J933" t="str">
        <f>VLOOKUP(E933,Base!$E:$F,2,FALSE)</f>
        <v>Estacionamento de veículos</v>
      </c>
      <c r="K933" t="s">
        <v>3487</v>
      </c>
      <c r="L933">
        <f>IFERROR(VLOOKUP($K933,Base_Atividades!$E$1:$N$2398,MATCH(BancoAjustado!L$1,Base_Atividades!$E$1:$N$1,0),FALSE),0)</f>
        <v>0</v>
      </c>
      <c r="M933">
        <f>IFERROR(VLOOKUP($K933,Base_Atividades!$E$1:$N$2398,MATCH(BancoAjustado!M$1,Base_Atividades!$E$1:$N$1,0),FALSE),0)</f>
        <v>0</v>
      </c>
      <c r="N933">
        <f>IFERROR(VLOOKUP($K933,Base_Atividades!$E$1:$N$2398,MATCH(BancoAjustado!N$1,Base_Atividades!$E$1:$N$1,0),FALSE),0)</f>
        <v>0</v>
      </c>
    </row>
    <row r="934" spans="1:14" x14ac:dyDescent="0.25">
      <c r="A934" t="s">
        <v>3392</v>
      </c>
      <c r="B934" t="s">
        <v>3472</v>
      </c>
      <c r="C934" t="s">
        <v>3481</v>
      </c>
      <c r="D934" t="s">
        <v>3488</v>
      </c>
      <c r="E934" t="s">
        <v>3489</v>
      </c>
      <c r="F934" t="str">
        <f>VLOOKUP(A934,Base!$A:$F,6,FALSE)</f>
        <v>TRANSPORTE, ARMAZENAGEM E CORREIO</v>
      </c>
      <c r="G934" t="str">
        <f>VLOOKUP(B934,Base!$B:$F,5,FALSE)</f>
        <v>ARMAZENAMENTO E ATIVIDADES AUXILIARES DOS TRANSPORTES</v>
      </c>
      <c r="H934" t="str">
        <f>VLOOKUP(C934,Base!$C:$F,4,FALSE)</f>
        <v>Atividades auxiliares dos transportes terrestres</v>
      </c>
      <c r="I934" t="str">
        <f>VLOOKUP(D934,Base!$D:$F,3,FALSE)</f>
        <v>Atividades auxiliares dos transportes terrestres não especificadas anteriormente</v>
      </c>
      <c r="J934" t="str">
        <f>VLOOKUP(E934,Base!$E:$F,2,FALSE)</f>
        <v>Serviços de apoio ao transporte por táxi, inclusive centrais de chamada</v>
      </c>
      <c r="K934" t="s">
        <v>3489</v>
      </c>
      <c r="L934">
        <f>IFERROR(VLOOKUP($K934,Base_Atividades!$E$1:$N$2398,MATCH(BancoAjustado!L$1,Base_Atividades!$E$1:$N$1,0),FALSE),0)</f>
        <v>0</v>
      </c>
      <c r="M934">
        <f>IFERROR(VLOOKUP($K934,Base_Atividades!$E$1:$N$2398,MATCH(BancoAjustado!M$1,Base_Atividades!$E$1:$N$1,0),FALSE),0)</f>
        <v>0</v>
      </c>
      <c r="N934">
        <f>IFERROR(VLOOKUP($K934,Base_Atividades!$E$1:$N$2398,MATCH(BancoAjustado!N$1,Base_Atividades!$E$1:$N$1,0),FALSE),0)</f>
        <v>0</v>
      </c>
    </row>
    <row r="935" spans="1:14" x14ac:dyDescent="0.25">
      <c r="A935" t="s">
        <v>3392</v>
      </c>
      <c r="B935" t="s">
        <v>3472</v>
      </c>
      <c r="C935" t="s">
        <v>3481</v>
      </c>
      <c r="D935" t="s">
        <v>3488</v>
      </c>
      <c r="E935" t="s">
        <v>3490</v>
      </c>
      <c r="F935" t="str">
        <f>VLOOKUP(A935,Base!$A:$F,6,FALSE)</f>
        <v>TRANSPORTE, ARMAZENAGEM E CORREIO</v>
      </c>
      <c r="G935" t="str">
        <f>VLOOKUP(B935,Base!$B:$F,5,FALSE)</f>
        <v>ARMAZENAMENTO E ATIVIDADES AUXILIARES DOS TRANSPORTES</v>
      </c>
      <c r="H935" t="str">
        <f>VLOOKUP(C935,Base!$C:$F,4,FALSE)</f>
        <v>Atividades auxiliares dos transportes terrestres</v>
      </c>
      <c r="I935" t="str">
        <f>VLOOKUP(D935,Base!$D:$F,3,FALSE)</f>
        <v>Atividades auxiliares dos transportes terrestres não especificadas anteriormente</v>
      </c>
      <c r="J935" t="str">
        <f>VLOOKUP(E935,Base!$E:$F,2,FALSE)</f>
        <v>Serviços de reboque de veículos</v>
      </c>
      <c r="K935" t="s">
        <v>3490</v>
      </c>
      <c r="L935">
        <f>IFERROR(VLOOKUP($K935,Base_Atividades!$E$1:$N$2398,MATCH(BancoAjustado!L$1,Base_Atividades!$E$1:$N$1,0),FALSE),0)</f>
        <v>0</v>
      </c>
      <c r="M935">
        <f>IFERROR(VLOOKUP($K935,Base_Atividades!$E$1:$N$2398,MATCH(BancoAjustado!M$1,Base_Atividades!$E$1:$N$1,0),FALSE),0)</f>
        <v>0</v>
      </c>
      <c r="N935">
        <f>IFERROR(VLOOKUP($K935,Base_Atividades!$E$1:$N$2398,MATCH(BancoAjustado!N$1,Base_Atividades!$E$1:$N$1,0),FALSE),0)</f>
        <v>0</v>
      </c>
    </row>
    <row r="936" spans="1:14" x14ac:dyDescent="0.25">
      <c r="A936" t="s">
        <v>3392</v>
      </c>
      <c r="B936" t="s">
        <v>3472</v>
      </c>
      <c r="C936" t="s">
        <v>3481</v>
      </c>
      <c r="D936" t="s">
        <v>3488</v>
      </c>
      <c r="E936" t="s">
        <v>3491</v>
      </c>
      <c r="F936" t="str">
        <f>VLOOKUP(A936,Base!$A:$F,6,FALSE)</f>
        <v>TRANSPORTE, ARMAZENAGEM E CORREIO</v>
      </c>
      <c r="G936" t="str">
        <f>VLOOKUP(B936,Base!$B:$F,5,FALSE)</f>
        <v>ARMAZENAMENTO E ATIVIDADES AUXILIARES DOS TRANSPORTES</v>
      </c>
      <c r="H936" t="str">
        <f>VLOOKUP(C936,Base!$C:$F,4,FALSE)</f>
        <v>Atividades auxiliares dos transportes terrestres</v>
      </c>
      <c r="I936" t="str">
        <f>VLOOKUP(D936,Base!$D:$F,3,FALSE)</f>
        <v>Atividades auxiliares dos transportes terrestres não especificadas anteriormente</v>
      </c>
      <c r="J936" t="str">
        <f>VLOOKUP(E936,Base!$E:$F,2,FALSE)</f>
        <v>Outras atividades auxiliares dos transportes terrestres não especificadas anteriormente</v>
      </c>
      <c r="K936" t="s">
        <v>3491</v>
      </c>
      <c r="L936">
        <f>IFERROR(VLOOKUP($K936,Base_Atividades!$E$1:$N$2398,MATCH(BancoAjustado!L$1,Base_Atividades!$E$1:$N$1,0),FALSE),0)</f>
        <v>0</v>
      </c>
      <c r="M936">
        <f>IFERROR(VLOOKUP($K936,Base_Atividades!$E$1:$N$2398,MATCH(BancoAjustado!M$1,Base_Atividades!$E$1:$N$1,0),FALSE),0)</f>
        <v>0</v>
      </c>
      <c r="N936">
        <f>IFERROR(VLOOKUP($K936,Base_Atividades!$E$1:$N$2398,MATCH(BancoAjustado!N$1,Base_Atividades!$E$1:$N$1,0),FALSE),0)</f>
        <v>0</v>
      </c>
    </row>
    <row r="937" spans="1:14" x14ac:dyDescent="0.25">
      <c r="A937" t="s">
        <v>3392</v>
      </c>
      <c r="B937" t="s">
        <v>3472</v>
      </c>
      <c r="C937" t="s">
        <v>3492</v>
      </c>
      <c r="D937" t="s">
        <v>3493</v>
      </c>
      <c r="E937" t="s">
        <v>3494</v>
      </c>
      <c r="F937" t="str">
        <f>VLOOKUP(A937,Base!$A:$F,6,FALSE)</f>
        <v>TRANSPORTE, ARMAZENAGEM E CORREIO</v>
      </c>
      <c r="G937" t="str">
        <f>VLOOKUP(B937,Base!$B:$F,5,FALSE)</f>
        <v>ARMAZENAMENTO E ATIVIDADES AUXILIARES DOS TRANSPORTES</v>
      </c>
      <c r="H937" t="str">
        <f>VLOOKUP(C937,Base!$C:$F,4,FALSE)</f>
        <v>Atividades auxiliares dos transportes aquaviários</v>
      </c>
      <c r="I937" t="str">
        <f>VLOOKUP(D937,Base!$D:$F,3,FALSE)</f>
        <v>Gestão de portos e terminais</v>
      </c>
      <c r="J937" t="str">
        <f>VLOOKUP(E937,Base!$E:$F,2,FALSE)</f>
        <v>Administração da infraestrutura portuária</v>
      </c>
      <c r="K937" t="s">
        <v>3494</v>
      </c>
      <c r="L937">
        <f>IFERROR(VLOOKUP($K937,Base_Atividades!$E$1:$N$2398,MATCH(BancoAjustado!L$1,Base_Atividades!$E$1:$N$1,0),FALSE),0)</f>
        <v>0</v>
      </c>
      <c r="M937">
        <f>IFERROR(VLOOKUP($K937,Base_Atividades!$E$1:$N$2398,MATCH(BancoAjustado!M$1,Base_Atividades!$E$1:$N$1,0),FALSE),0)</f>
        <v>0</v>
      </c>
      <c r="N937">
        <f>IFERROR(VLOOKUP($K937,Base_Atividades!$E$1:$N$2398,MATCH(BancoAjustado!N$1,Base_Atividades!$E$1:$N$1,0),FALSE),0)</f>
        <v>0</v>
      </c>
    </row>
    <row r="938" spans="1:14" x14ac:dyDescent="0.25">
      <c r="A938" t="s">
        <v>3392</v>
      </c>
      <c r="B938" t="s">
        <v>3472</v>
      </c>
      <c r="C938" t="s">
        <v>3492</v>
      </c>
      <c r="D938" t="s">
        <v>3493</v>
      </c>
      <c r="E938" t="s">
        <v>3495</v>
      </c>
      <c r="F938" t="str">
        <f>VLOOKUP(A938,Base!$A:$F,6,FALSE)</f>
        <v>TRANSPORTE, ARMAZENAGEM E CORREIO</v>
      </c>
      <c r="G938" t="str">
        <f>VLOOKUP(B938,Base!$B:$F,5,FALSE)</f>
        <v>ARMAZENAMENTO E ATIVIDADES AUXILIARES DOS TRANSPORTES</v>
      </c>
      <c r="H938" t="str">
        <f>VLOOKUP(C938,Base!$C:$F,4,FALSE)</f>
        <v>Atividades auxiliares dos transportes aquaviários</v>
      </c>
      <c r="I938" t="str">
        <f>VLOOKUP(D938,Base!$D:$F,3,FALSE)</f>
        <v>Gestão de portos e terminais</v>
      </c>
      <c r="J938" t="str">
        <f>VLOOKUP(E938,Base!$E:$F,2,FALSE)</f>
        <v>Atividades do Operador Portuário</v>
      </c>
      <c r="K938" t="s">
        <v>3495</v>
      </c>
      <c r="L938">
        <f>IFERROR(VLOOKUP($K938,Base_Atividades!$E$1:$N$2398,MATCH(BancoAjustado!L$1,Base_Atividades!$E$1:$N$1,0),FALSE),0)</f>
        <v>0</v>
      </c>
      <c r="M938">
        <f>IFERROR(VLOOKUP($K938,Base_Atividades!$E$1:$N$2398,MATCH(BancoAjustado!M$1,Base_Atividades!$E$1:$N$1,0),FALSE),0)</f>
        <v>0</v>
      </c>
      <c r="N938">
        <f>IFERROR(VLOOKUP($K938,Base_Atividades!$E$1:$N$2398,MATCH(BancoAjustado!N$1,Base_Atividades!$E$1:$N$1,0),FALSE),0)</f>
        <v>0</v>
      </c>
    </row>
    <row r="939" spans="1:14" x14ac:dyDescent="0.25">
      <c r="A939" t="s">
        <v>3392</v>
      </c>
      <c r="B939" t="s">
        <v>3472</v>
      </c>
      <c r="C939" t="s">
        <v>3492</v>
      </c>
      <c r="D939" t="s">
        <v>3493</v>
      </c>
      <c r="E939" t="s">
        <v>3496</v>
      </c>
      <c r="F939" t="str">
        <f>VLOOKUP(A939,Base!$A:$F,6,FALSE)</f>
        <v>TRANSPORTE, ARMAZENAGEM E CORREIO</v>
      </c>
      <c r="G939" t="str">
        <f>VLOOKUP(B939,Base!$B:$F,5,FALSE)</f>
        <v>ARMAZENAMENTO E ATIVIDADES AUXILIARES DOS TRANSPORTES</v>
      </c>
      <c r="H939" t="str">
        <f>VLOOKUP(C939,Base!$C:$F,4,FALSE)</f>
        <v>Atividades auxiliares dos transportes aquaviários</v>
      </c>
      <c r="I939" t="str">
        <f>VLOOKUP(D939,Base!$D:$F,3,FALSE)</f>
        <v>Gestão de portos e terminais</v>
      </c>
      <c r="J939" t="str">
        <f>VLOOKUP(E939,Base!$E:$F,2,FALSE)</f>
        <v>Gestão de terminais aquaviários</v>
      </c>
      <c r="K939" t="s">
        <v>3496</v>
      </c>
      <c r="L939">
        <f>IFERROR(VLOOKUP($K939,Base_Atividades!$E$1:$N$2398,MATCH(BancoAjustado!L$1,Base_Atividades!$E$1:$N$1,0),FALSE),0)</f>
        <v>0</v>
      </c>
      <c r="M939">
        <f>IFERROR(VLOOKUP($K939,Base_Atividades!$E$1:$N$2398,MATCH(BancoAjustado!M$1,Base_Atividades!$E$1:$N$1,0),FALSE),0)</f>
        <v>0</v>
      </c>
      <c r="N939">
        <f>IFERROR(VLOOKUP($K939,Base_Atividades!$E$1:$N$2398,MATCH(BancoAjustado!N$1,Base_Atividades!$E$1:$N$1,0),FALSE),0)</f>
        <v>0</v>
      </c>
    </row>
    <row r="940" spans="1:14" x14ac:dyDescent="0.25">
      <c r="A940" t="s">
        <v>3392</v>
      </c>
      <c r="B940" t="s">
        <v>3472</v>
      </c>
      <c r="C940" t="s">
        <v>3492</v>
      </c>
      <c r="D940" t="s">
        <v>3497</v>
      </c>
      <c r="E940" t="s">
        <v>3498</v>
      </c>
      <c r="F940" t="str">
        <f>VLOOKUP(A940,Base!$A:$F,6,FALSE)</f>
        <v>TRANSPORTE, ARMAZENAGEM E CORREIO</v>
      </c>
      <c r="G940" t="str">
        <f>VLOOKUP(B940,Base!$B:$F,5,FALSE)</f>
        <v>ARMAZENAMENTO E ATIVIDADES AUXILIARES DOS TRANSPORTES</v>
      </c>
      <c r="H940" t="str">
        <f>VLOOKUP(C940,Base!$C:$F,4,FALSE)</f>
        <v>Atividades auxiliares dos transportes aquaviários</v>
      </c>
      <c r="I940" t="str">
        <f>VLOOKUP(D940,Base!$D:$F,3,FALSE)</f>
        <v>Atividades de agenciamento marítimo</v>
      </c>
      <c r="J940" t="str">
        <f>VLOOKUP(E940,Base!$E:$F,2,FALSE)</f>
        <v>Atividades de agenciamento marítimo</v>
      </c>
      <c r="K940" t="s">
        <v>3498</v>
      </c>
      <c r="L940">
        <f>IFERROR(VLOOKUP($K940,Base_Atividades!$E$1:$N$2398,MATCH(BancoAjustado!L$1,Base_Atividades!$E$1:$N$1,0),FALSE),0)</f>
        <v>0</v>
      </c>
      <c r="M940">
        <f>IFERROR(VLOOKUP($K940,Base_Atividades!$E$1:$N$2398,MATCH(BancoAjustado!M$1,Base_Atividades!$E$1:$N$1,0),FALSE),0)</f>
        <v>0</v>
      </c>
      <c r="N940">
        <f>IFERROR(VLOOKUP($K940,Base_Atividades!$E$1:$N$2398,MATCH(BancoAjustado!N$1,Base_Atividades!$E$1:$N$1,0),FALSE),0)</f>
        <v>0</v>
      </c>
    </row>
    <row r="941" spans="1:14" x14ac:dyDescent="0.25">
      <c r="A941" t="s">
        <v>3392</v>
      </c>
      <c r="B941" t="s">
        <v>3472</v>
      </c>
      <c r="C941" t="s">
        <v>3492</v>
      </c>
      <c r="D941" t="s">
        <v>3499</v>
      </c>
      <c r="E941" t="s">
        <v>3500</v>
      </c>
      <c r="F941" t="str">
        <f>VLOOKUP(A941,Base!$A:$F,6,FALSE)</f>
        <v>TRANSPORTE, ARMAZENAGEM E CORREIO</v>
      </c>
      <c r="G941" t="str">
        <f>VLOOKUP(B941,Base!$B:$F,5,FALSE)</f>
        <v>ARMAZENAMENTO E ATIVIDADES AUXILIARES DOS TRANSPORTES</v>
      </c>
      <c r="H941" t="str">
        <f>VLOOKUP(C941,Base!$C:$F,4,FALSE)</f>
        <v>Atividades auxiliares dos transportes aquaviários</v>
      </c>
      <c r="I941" t="str">
        <f>VLOOKUP(D941,Base!$D:$F,3,FALSE)</f>
        <v>Atividades auxiliares dos transportes aquaviários não especificadas anteriormente</v>
      </c>
      <c r="J941" t="str">
        <f>VLOOKUP(E941,Base!$E:$F,2,FALSE)</f>
        <v>Serviços de praticagem</v>
      </c>
      <c r="K941" t="s">
        <v>3500</v>
      </c>
      <c r="L941">
        <f>IFERROR(VLOOKUP($K941,Base_Atividades!$E$1:$N$2398,MATCH(BancoAjustado!L$1,Base_Atividades!$E$1:$N$1,0),FALSE),0)</f>
        <v>0</v>
      </c>
      <c r="M941">
        <f>IFERROR(VLOOKUP($K941,Base_Atividades!$E$1:$N$2398,MATCH(BancoAjustado!M$1,Base_Atividades!$E$1:$N$1,0),FALSE),0)</f>
        <v>0</v>
      </c>
      <c r="N941">
        <f>IFERROR(VLOOKUP($K941,Base_Atividades!$E$1:$N$2398,MATCH(BancoAjustado!N$1,Base_Atividades!$E$1:$N$1,0),FALSE),0)</f>
        <v>0</v>
      </c>
    </row>
    <row r="942" spans="1:14" x14ac:dyDescent="0.25">
      <c r="A942" t="s">
        <v>3392</v>
      </c>
      <c r="B942" t="s">
        <v>3472</v>
      </c>
      <c r="C942" t="s">
        <v>3492</v>
      </c>
      <c r="D942" t="s">
        <v>3499</v>
      </c>
      <c r="E942" t="s">
        <v>3501</v>
      </c>
      <c r="F942" t="str">
        <f>VLOOKUP(A942,Base!$A:$F,6,FALSE)</f>
        <v>TRANSPORTE, ARMAZENAGEM E CORREIO</v>
      </c>
      <c r="G942" t="str">
        <f>VLOOKUP(B942,Base!$B:$F,5,FALSE)</f>
        <v>ARMAZENAMENTO E ATIVIDADES AUXILIARES DOS TRANSPORTES</v>
      </c>
      <c r="H942" t="str">
        <f>VLOOKUP(C942,Base!$C:$F,4,FALSE)</f>
        <v>Atividades auxiliares dos transportes aquaviários</v>
      </c>
      <c r="I942" t="str">
        <f>VLOOKUP(D942,Base!$D:$F,3,FALSE)</f>
        <v>Atividades auxiliares dos transportes aquaviários não especificadas anteriormente</v>
      </c>
      <c r="J942" t="str">
        <f>VLOOKUP(E942,Base!$E:$F,2,FALSE)</f>
        <v>Atividades auxiliares dos transportes aquaviários não especificadas anteriormente</v>
      </c>
      <c r="K942" t="s">
        <v>3501</v>
      </c>
      <c r="L942">
        <f>IFERROR(VLOOKUP($K942,Base_Atividades!$E$1:$N$2398,MATCH(BancoAjustado!L$1,Base_Atividades!$E$1:$N$1,0),FALSE),0)</f>
        <v>0</v>
      </c>
      <c r="M942">
        <f>IFERROR(VLOOKUP($K942,Base_Atividades!$E$1:$N$2398,MATCH(BancoAjustado!M$1,Base_Atividades!$E$1:$N$1,0),FALSE),0)</f>
        <v>0</v>
      </c>
      <c r="N942">
        <f>IFERROR(VLOOKUP($K942,Base_Atividades!$E$1:$N$2398,MATCH(BancoAjustado!N$1,Base_Atividades!$E$1:$N$1,0),FALSE),0)</f>
        <v>0</v>
      </c>
    </row>
    <row r="943" spans="1:14" x14ac:dyDescent="0.25">
      <c r="A943" t="s">
        <v>3392</v>
      </c>
      <c r="B943" t="s">
        <v>3472</v>
      </c>
      <c r="C943" t="s">
        <v>3502</v>
      </c>
      <c r="D943" t="s">
        <v>3503</v>
      </c>
      <c r="E943" t="s">
        <v>3504</v>
      </c>
      <c r="F943" t="str">
        <f>VLOOKUP(A943,Base!$A:$F,6,FALSE)</f>
        <v>TRANSPORTE, ARMAZENAGEM E CORREIO</v>
      </c>
      <c r="G943" t="str">
        <f>VLOOKUP(B943,Base!$B:$F,5,FALSE)</f>
        <v>ARMAZENAMENTO E ATIVIDADES AUXILIARES DOS TRANSPORTES</v>
      </c>
      <c r="H943" t="str">
        <f>VLOOKUP(C943,Base!$C:$F,4,FALSE)</f>
        <v>Atividades auxiliares dos transportes aéreos</v>
      </c>
      <c r="I943" t="str">
        <f>VLOOKUP(D943,Base!$D:$F,3,FALSE)</f>
        <v>Atividades auxiliares dos transportes aéreos</v>
      </c>
      <c r="J943" t="str">
        <f>VLOOKUP(E943,Base!$E:$F,2,FALSE)</f>
        <v>Operação dos aeroportos e campos de aterrissagem</v>
      </c>
      <c r="K943" t="s">
        <v>3504</v>
      </c>
      <c r="L943">
        <f>IFERROR(VLOOKUP($K943,Base_Atividades!$E$1:$N$2398,MATCH(BancoAjustado!L$1,Base_Atividades!$E$1:$N$1,0),FALSE),0)</f>
        <v>0</v>
      </c>
      <c r="M943">
        <f>IFERROR(VLOOKUP($K943,Base_Atividades!$E$1:$N$2398,MATCH(BancoAjustado!M$1,Base_Atividades!$E$1:$N$1,0),FALSE),0)</f>
        <v>0</v>
      </c>
      <c r="N943">
        <f>IFERROR(VLOOKUP($K943,Base_Atividades!$E$1:$N$2398,MATCH(BancoAjustado!N$1,Base_Atividades!$E$1:$N$1,0),FALSE),0)</f>
        <v>0</v>
      </c>
    </row>
    <row r="944" spans="1:14" x14ac:dyDescent="0.25">
      <c r="A944" t="s">
        <v>3392</v>
      </c>
      <c r="B944" t="s">
        <v>3472</v>
      </c>
      <c r="C944" t="s">
        <v>3502</v>
      </c>
      <c r="D944" t="s">
        <v>3503</v>
      </c>
      <c r="E944" t="s">
        <v>3505</v>
      </c>
      <c r="F944" t="str">
        <f>VLOOKUP(A944,Base!$A:$F,6,FALSE)</f>
        <v>TRANSPORTE, ARMAZENAGEM E CORREIO</v>
      </c>
      <c r="G944" t="str">
        <f>VLOOKUP(B944,Base!$B:$F,5,FALSE)</f>
        <v>ARMAZENAMENTO E ATIVIDADES AUXILIARES DOS TRANSPORTES</v>
      </c>
      <c r="H944" t="str">
        <f>VLOOKUP(C944,Base!$C:$F,4,FALSE)</f>
        <v>Atividades auxiliares dos transportes aéreos</v>
      </c>
      <c r="I944" t="str">
        <f>VLOOKUP(D944,Base!$D:$F,3,FALSE)</f>
        <v>Atividades auxiliares dos transportes aéreos</v>
      </c>
      <c r="J944" t="str">
        <f>VLOOKUP(E944,Base!$E:$F,2,FALSE)</f>
        <v>Atividades auxiliares dos transportes aéreos, exceto operação dos aeroportos e campos de aterrissagem</v>
      </c>
      <c r="K944" t="s">
        <v>3505</v>
      </c>
      <c r="L944">
        <f>IFERROR(VLOOKUP($K944,Base_Atividades!$E$1:$N$2398,MATCH(BancoAjustado!L$1,Base_Atividades!$E$1:$N$1,0),FALSE),0)</f>
        <v>0</v>
      </c>
      <c r="M944">
        <f>IFERROR(VLOOKUP($K944,Base_Atividades!$E$1:$N$2398,MATCH(BancoAjustado!M$1,Base_Atividades!$E$1:$N$1,0),FALSE),0)</f>
        <v>0</v>
      </c>
      <c r="N944">
        <f>IFERROR(VLOOKUP($K944,Base_Atividades!$E$1:$N$2398,MATCH(BancoAjustado!N$1,Base_Atividades!$E$1:$N$1,0),FALSE),0)</f>
        <v>0</v>
      </c>
    </row>
    <row r="945" spans="1:14" x14ac:dyDescent="0.25">
      <c r="A945" t="s">
        <v>3392</v>
      </c>
      <c r="B945" t="s">
        <v>3472</v>
      </c>
      <c r="C945" t="s">
        <v>3506</v>
      </c>
      <c r="D945" t="s">
        <v>3507</v>
      </c>
      <c r="E945" t="s">
        <v>3508</v>
      </c>
      <c r="F945" t="str">
        <f>VLOOKUP(A945,Base!$A:$F,6,FALSE)</f>
        <v>TRANSPORTE, ARMAZENAGEM E CORREIO</v>
      </c>
      <c r="G945" t="str">
        <f>VLOOKUP(B945,Base!$B:$F,5,FALSE)</f>
        <v>ARMAZENAMENTO E ATIVIDADES AUXILIARES DOS TRANSPORTES</v>
      </c>
      <c r="H945" t="str">
        <f>VLOOKUP(C945,Base!$C:$F,4,FALSE)</f>
        <v>Atividades relacionadas à organização do transporte de carga</v>
      </c>
      <c r="I945" t="str">
        <f>VLOOKUP(D945,Base!$D:$F,3,FALSE)</f>
        <v>Atividades relacionadas à organização do transporte de carga</v>
      </c>
      <c r="J945" t="str">
        <f>VLOOKUP(E945,Base!$E:$F,2,FALSE)</f>
        <v>Comissaria de despachos</v>
      </c>
      <c r="K945" t="s">
        <v>3508</v>
      </c>
      <c r="L945">
        <f>IFERROR(VLOOKUP($K945,Base_Atividades!$E$1:$N$2398,MATCH(BancoAjustado!L$1,Base_Atividades!$E$1:$N$1,0),FALSE),0)</f>
        <v>0</v>
      </c>
      <c r="M945">
        <f>IFERROR(VLOOKUP($K945,Base_Atividades!$E$1:$N$2398,MATCH(BancoAjustado!M$1,Base_Atividades!$E$1:$N$1,0),FALSE),0)</f>
        <v>0</v>
      </c>
      <c r="N945">
        <f>IFERROR(VLOOKUP($K945,Base_Atividades!$E$1:$N$2398,MATCH(BancoAjustado!N$1,Base_Atividades!$E$1:$N$1,0),FALSE),0)</f>
        <v>0</v>
      </c>
    </row>
    <row r="946" spans="1:14" x14ac:dyDescent="0.25">
      <c r="A946" t="s">
        <v>3392</v>
      </c>
      <c r="B946" t="s">
        <v>3472</v>
      </c>
      <c r="C946" t="s">
        <v>3506</v>
      </c>
      <c r="D946" t="s">
        <v>3507</v>
      </c>
      <c r="E946" t="s">
        <v>3509</v>
      </c>
      <c r="F946" t="str">
        <f>VLOOKUP(A946,Base!$A:$F,6,FALSE)</f>
        <v>TRANSPORTE, ARMAZENAGEM E CORREIO</v>
      </c>
      <c r="G946" t="str">
        <f>VLOOKUP(B946,Base!$B:$F,5,FALSE)</f>
        <v>ARMAZENAMENTO E ATIVIDADES AUXILIARES DOS TRANSPORTES</v>
      </c>
      <c r="H946" t="str">
        <f>VLOOKUP(C946,Base!$C:$F,4,FALSE)</f>
        <v>Atividades relacionadas à organização do transporte de carga</v>
      </c>
      <c r="I946" t="str">
        <f>VLOOKUP(D946,Base!$D:$F,3,FALSE)</f>
        <v>Atividades relacionadas à organização do transporte de carga</v>
      </c>
      <c r="J946" t="str">
        <f>VLOOKUP(E946,Base!$E:$F,2,FALSE)</f>
        <v>Atividades de despachantes aduaneiros</v>
      </c>
      <c r="K946" t="s">
        <v>3509</v>
      </c>
      <c r="L946">
        <f>IFERROR(VLOOKUP($K946,Base_Atividades!$E$1:$N$2398,MATCH(BancoAjustado!L$1,Base_Atividades!$E$1:$N$1,0),FALSE),0)</f>
        <v>0</v>
      </c>
      <c r="M946">
        <f>IFERROR(VLOOKUP($K946,Base_Atividades!$E$1:$N$2398,MATCH(BancoAjustado!M$1,Base_Atividades!$E$1:$N$1,0),FALSE),0)</f>
        <v>0</v>
      </c>
      <c r="N946">
        <f>IFERROR(VLOOKUP($K946,Base_Atividades!$E$1:$N$2398,MATCH(BancoAjustado!N$1,Base_Atividades!$E$1:$N$1,0),FALSE),0)</f>
        <v>0</v>
      </c>
    </row>
    <row r="947" spans="1:14" x14ac:dyDescent="0.25">
      <c r="A947" t="s">
        <v>3392</v>
      </c>
      <c r="B947" t="s">
        <v>3472</v>
      </c>
      <c r="C947" t="s">
        <v>3506</v>
      </c>
      <c r="D947" t="s">
        <v>3507</v>
      </c>
      <c r="E947" t="s">
        <v>3510</v>
      </c>
      <c r="F947" t="str">
        <f>VLOOKUP(A947,Base!$A:$F,6,FALSE)</f>
        <v>TRANSPORTE, ARMAZENAGEM E CORREIO</v>
      </c>
      <c r="G947" t="str">
        <f>VLOOKUP(B947,Base!$B:$F,5,FALSE)</f>
        <v>ARMAZENAMENTO E ATIVIDADES AUXILIARES DOS TRANSPORTES</v>
      </c>
      <c r="H947" t="str">
        <f>VLOOKUP(C947,Base!$C:$F,4,FALSE)</f>
        <v>Atividades relacionadas à organização do transporte de carga</v>
      </c>
      <c r="I947" t="str">
        <f>VLOOKUP(D947,Base!$D:$F,3,FALSE)</f>
        <v>Atividades relacionadas à organização do transporte de carga</v>
      </c>
      <c r="J947" t="str">
        <f>VLOOKUP(E947,Base!$E:$F,2,FALSE)</f>
        <v>Agenciamento de cargas, exceto para o transporte marítimo</v>
      </c>
      <c r="K947" t="s">
        <v>3510</v>
      </c>
      <c r="L947">
        <f>IFERROR(VLOOKUP($K947,Base_Atividades!$E$1:$N$2398,MATCH(BancoAjustado!L$1,Base_Atividades!$E$1:$N$1,0),FALSE),0)</f>
        <v>0</v>
      </c>
      <c r="M947">
        <f>IFERROR(VLOOKUP($K947,Base_Atividades!$E$1:$N$2398,MATCH(BancoAjustado!M$1,Base_Atividades!$E$1:$N$1,0),FALSE),0)</f>
        <v>0</v>
      </c>
      <c r="N947">
        <f>IFERROR(VLOOKUP($K947,Base_Atividades!$E$1:$N$2398,MATCH(BancoAjustado!N$1,Base_Atividades!$E$1:$N$1,0),FALSE),0)</f>
        <v>0</v>
      </c>
    </row>
    <row r="948" spans="1:14" x14ac:dyDescent="0.25">
      <c r="A948" t="s">
        <v>3392</v>
      </c>
      <c r="B948" t="s">
        <v>3472</v>
      </c>
      <c r="C948" t="s">
        <v>3506</v>
      </c>
      <c r="D948" t="s">
        <v>3507</v>
      </c>
      <c r="E948" t="s">
        <v>3511</v>
      </c>
      <c r="F948" t="str">
        <f>VLOOKUP(A948,Base!$A:$F,6,FALSE)</f>
        <v>TRANSPORTE, ARMAZENAGEM E CORREIO</v>
      </c>
      <c r="G948" t="str">
        <f>VLOOKUP(B948,Base!$B:$F,5,FALSE)</f>
        <v>ARMAZENAMENTO E ATIVIDADES AUXILIARES DOS TRANSPORTES</v>
      </c>
      <c r="H948" t="str">
        <f>VLOOKUP(C948,Base!$C:$F,4,FALSE)</f>
        <v>Atividades relacionadas à organização do transporte de carga</v>
      </c>
      <c r="I948" t="str">
        <f>VLOOKUP(D948,Base!$D:$F,3,FALSE)</f>
        <v>Atividades relacionadas à organização do transporte de carga</v>
      </c>
      <c r="J948" t="str">
        <f>VLOOKUP(E948,Base!$E:$F,2,FALSE)</f>
        <v>Organização logística do transporte de carga</v>
      </c>
      <c r="K948" t="s">
        <v>3511</v>
      </c>
      <c r="L948">
        <f>IFERROR(VLOOKUP($K948,Base_Atividades!$E$1:$N$2398,MATCH(BancoAjustado!L$1,Base_Atividades!$E$1:$N$1,0),FALSE),0)</f>
        <v>0</v>
      </c>
      <c r="M948">
        <f>IFERROR(VLOOKUP($K948,Base_Atividades!$E$1:$N$2398,MATCH(BancoAjustado!M$1,Base_Atividades!$E$1:$N$1,0),FALSE),0)</f>
        <v>0</v>
      </c>
      <c r="N948">
        <f>IFERROR(VLOOKUP($K948,Base_Atividades!$E$1:$N$2398,MATCH(BancoAjustado!N$1,Base_Atividades!$E$1:$N$1,0),FALSE),0)</f>
        <v>0</v>
      </c>
    </row>
    <row r="949" spans="1:14" x14ac:dyDescent="0.25">
      <c r="A949" t="s">
        <v>3392</v>
      </c>
      <c r="B949" t="s">
        <v>3472</v>
      </c>
      <c r="C949" t="s">
        <v>3506</v>
      </c>
      <c r="D949" t="s">
        <v>3507</v>
      </c>
      <c r="E949" t="s">
        <v>3512</v>
      </c>
      <c r="F949" t="str">
        <f>VLOOKUP(A949,Base!$A:$F,6,FALSE)</f>
        <v>TRANSPORTE, ARMAZENAGEM E CORREIO</v>
      </c>
      <c r="G949" t="str">
        <f>VLOOKUP(B949,Base!$B:$F,5,FALSE)</f>
        <v>ARMAZENAMENTO E ATIVIDADES AUXILIARES DOS TRANSPORTES</v>
      </c>
      <c r="H949" t="str">
        <f>VLOOKUP(C949,Base!$C:$F,4,FALSE)</f>
        <v>Atividades relacionadas à organização do transporte de carga</v>
      </c>
      <c r="I949" t="str">
        <f>VLOOKUP(D949,Base!$D:$F,3,FALSE)</f>
        <v>Atividades relacionadas à organização do transporte de carga</v>
      </c>
      <c r="J949" t="str">
        <f>VLOOKUP(E949,Base!$E:$F,2,FALSE)</f>
        <v>Operador de transporte multimodal - OTM</v>
      </c>
      <c r="K949" t="s">
        <v>3512</v>
      </c>
      <c r="L949">
        <f>IFERROR(VLOOKUP($K949,Base_Atividades!$E$1:$N$2398,MATCH(BancoAjustado!L$1,Base_Atividades!$E$1:$N$1,0),FALSE),0)</f>
        <v>0</v>
      </c>
      <c r="M949">
        <f>IFERROR(VLOOKUP($K949,Base_Atividades!$E$1:$N$2398,MATCH(BancoAjustado!M$1,Base_Atividades!$E$1:$N$1,0),FALSE),0)</f>
        <v>0</v>
      </c>
      <c r="N949">
        <f>IFERROR(VLOOKUP($K949,Base_Atividades!$E$1:$N$2398,MATCH(BancoAjustado!N$1,Base_Atividades!$E$1:$N$1,0),FALSE),0)</f>
        <v>0</v>
      </c>
    </row>
    <row r="950" spans="1:14" x14ac:dyDescent="0.25">
      <c r="A950" t="s">
        <v>3392</v>
      </c>
      <c r="B950" t="s">
        <v>3513</v>
      </c>
      <c r="C950" t="s">
        <v>3514</v>
      </c>
      <c r="D950" t="s">
        <v>3515</v>
      </c>
      <c r="E950" t="s">
        <v>3516</v>
      </c>
      <c r="F950" t="str">
        <f>VLOOKUP(A950,Base!$A:$F,6,FALSE)</f>
        <v>TRANSPORTE, ARMAZENAGEM E CORREIO</v>
      </c>
      <c r="G950" t="str">
        <f>VLOOKUP(B950,Base!$B:$F,5,FALSE)</f>
        <v>CORREIO E OUTRAS ATIVIDADES DE ENTREGA</v>
      </c>
      <c r="H950" t="str">
        <f>VLOOKUP(C950,Base!$C:$F,4,FALSE)</f>
        <v>Atividades de Correio</v>
      </c>
      <c r="I950" t="str">
        <f>VLOOKUP(D950,Base!$D:$F,3,FALSE)</f>
        <v>Atividades de Correio</v>
      </c>
      <c r="J950" t="str">
        <f>VLOOKUP(E950,Base!$E:$F,2,FALSE)</f>
        <v>Atividades do Correio Nacional</v>
      </c>
      <c r="K950" t="s">
        <v>3516</v>
      </c>
      <c r="L950">
        <f>IFERROR(VLOOKUP($K950,Base_Atividades!$E$1:$N$2398,MATCH(BancoAjustado!L$1,Base_Atividades!$E$1:$N$1,0),FALSE),0)</f>
        <v>0</v>
      </c>
      <c r="M950">
        <f>IFERROR(VLOOKUP($K950,Base_Atividades!$E$1:$N$2398,MATCH(BancoAjustado!M$1,Base_Atividades!$E$1:$N$1,0),FALSE),0)</f>
        <v>0</v>
      </c>
      <c r="N950">
        <f>IFERROR(VLOOKUP($K950,Base_Atividades!$E$1:$N$2398,MATCH(BancoAjustado!N$1,Base_Atividades!$E$1:$N$1,0),FALSE),0)</f>
        <v>0</v>
      </c>
    </row>
    <row r="951" spans="1:14" x14ac:dyDescent="0.25">
      <c r="A951" t="s">
        <v>3392</v>
      </c>
      <c r="B951" t="s">
        <v>3513</v>
      </c>
      <c r="C951" t="s">
        <v>3514</v>
      </c>
      <c r="D951" t="s">
        <v>3515</v>
      </c>
      <c r="E951" t="s">
        <v>3517</v>
      </c>
      <c r="F951" t="str">
        <f>VLOOKUP(A951,Base!$A:$F,6,FALSE)</f>
        <v>TRANSPORTE, ARMAZENAGEM E CORREIO</v>
      </c>
      <c r="G951" t="str">
        <f>VLOOKUP(B951,Base!$B:$F,5,FALSE)</f>
        <v>CORREIO E OUTRAS ATIVIDADES DE ENTREGA</v>
      </c>
      <c r="H951" t="str">
        <f>VLOOKUP(C951,Base!$C:$F,4,FALSE)</f>
        <v>Atividades de Correio</v>
      </c>
      <c r="I951" t="str">
        <f>VLOOKUP(D951,Base!$D:$F,3,FALSE)</f>
        <v>Atividades de Correio</v>
      </c>
      <c r="J951" t="str">
        <f>VLOOKUP(E951,Base!$E:$F,2,FALSE)</f>
        <v>Atividades de franqueadas e permissionárias do Correio Nacional</v>
      </c>
      <c r="K951" t="s">
        <v>3517</v>
      </c>
      <c r="L951">
        <f>IFERROR(VLOOKUP($K951,Base_Atividades!$E$1:$N$2398,MATCH(BancoAjustado!L$1,Base_Atividades!$E$1:$N$1,0),FALSE),0)</f>
        <v>0</v>
      </c>
      <c r="M951">
        <f>IFERROR(VLOOKUP($K951,Base_Atividades!$E$1:$N$2398,MATCH(BancoAjustado!M$1,Base_Atividades!$E$1:$N$1,0),FALSE),0)</f>
        <v>0</v>
      </c>
      <c r="N951">
        <f>IFERROR(VLOOKUP($K951,Base_Atividades!$E$1:$N$2398,MATCH(BancoAjustado!N$1,Base_Atividades!$E$1:$N$1,0),FALSE),0)</f>
        <v>0</v>
      </c>
    </row>
    <row r="952" spans="1:14" x14ac:dyDescent="0.25">
      <c r="A952" t="s">
        <v>3392</v>
      </c>
      <c r="B952" t="s">
        <v>3513</v>
      </c>
      <c r="C952" t="s">
        <v>3518</v>
      </c>
      <c r="D952" t="s">
        <v>3519</v>
      </c>
      <c r="E952" t="s">
        <v>3520</v>
      </c>
      <c r="F952" t="str">
        <f>VLOOKUP(A952,Base!$A:$F,6,FALSE)</f>
        <v>TRANSPORTE, ARMAZENAGEM E CORREIO</v>
      </c>
      <c r="G952" t="str">
        <f>VLOOKUP(B952,Base!$B:$F,5,FALSE)</f>
        <v>CORREIO E OUTRAS ATIVIDADES DE ENTREGA</v>
      </c>
      <c r="H952" t="str">
        <f>VLOOKUP(C952,Base!$C:$F,4,FALSE)</f>
        <v>Atividades de malote e de entrega</v>
      </c>
      <c r="I952" t="str">
        <f>VLOOKUP(D952,Base!$D:$F,3,FALSE)</f>
        <v>Atividades de malote e de entrega</v>
      </c>
      <c r="J952" t="str">
        <f>VLOOKUP(E952,Base!$E:$F,2,FALSE)</f>
        <v>Serviços de malote não realizados pelo Correio Nacional</v>
      </c>
      <c r="K952" t="s">
        <v>3520</v>
      </c>
      <c r="L952">
        <f>IFERROR(VLOOKUP($K952,Base_Atividades!$E$1:$N$2398,MATCH(BancoAjustado!L$1,Base_Atividades!$E$1:$N$1,0),FALSE),0)</f>
        <v>0</v>
      </c>
      <c r="M952">
        <f>IFERROR(VLOOKUP($K952,Base_Atividades!$E$1:$N$2398,MATCH(BancoAjustado!M$1,Base_Atividades!$E$1:$N$1,0),FALSE),0)</f>
        <v>0</v>
      </c>
      <c r="N952">
        <f>IFERROR(VLOOKUP($K952,Base_Atividades!$E$1:$N$2398,MATCH(BancoAjustado!N$1,Base_Atividades!$E$1:$N$1,0),FALSE),0)</f>
        <v>0</v>
      </c>
    </row>
    <row r="953" spans="1:14" x14ac:dyDescent="0.25">
      <c r="A953" t="s">
        <v>3392</v>
      </c>
      <c r="B953" t="s">
        <v>3513</v>
      </c>
      <c r="C953" t="s">
        <v>3518</v>
      </c>
      <c r="D953" t="s">
        <v>3519</v>
      </c>
      <c r="E953" t="s">
        <v>3521</v>
      </c>
      <c r="F953" t="str">
        <f>VLOOKUP(A953,Base!$A:$F,6,FALSE)</f>
        <v>TRANSPORTE, ARMAZENAGEM E CORREIO</v>
      </c>
      <c r="G953" t="str">
        <f>VLOOKUP(B953,Base!$B:$F,5,FALSE)</f>
        <v>CORREIO E OUTRAS ATIVIDADES DE ENTREGA</v>
      </c>
      <c r="H953" t="str">
        <f>VLOOKUP(C953,Base!$C:$F,4,FALSE)</f>
        <v>Atividades de malote e de entrega</v>
      </c>
      <c r="I953" t="str">
        <f>VLOOKUP(D953,Base!$D:$F,3,FALSE)</f>
        <v>Atividades de malote e de entrega</v>
      </c>
      <c r="J953" t="str">
        <f>VLOOKUP(E953,Base!$E:$F,2,FALSE)</f>
        <v>Serviços de entrega rápida</v>
      </c>
      <c r="K953" t="s">
        <v>3521</v>
      </c>
      <c r="L953">
        <f>IFERROR(VLOOKUP($K953,Base_Atividades!$E$1:$N$2398,MATCH(BancoAjustado!L$1,Base_Atividades!$E$1:$N$1,0),FALSE),0)</f>
        <v>0</v>
      </c>
      <c r="M953">
        <f>IFERROR(VLOOKUP($K953,Base_Atividades!$E$1:$N$2398,MATCH(BancoAjustado!M$1,Base_Atividades!$E$1:$N$1,0),FALSE),0)</f>
        <v>0</v>
      </c>
      <c r="N953">
        <f>IFERROR(VLOOKUP($K953,Base_Atividades!$E$1:$N$2398,MATCH(BancoAjustado!N$1,Base_Atividades!$E$1:$N$1,0),FALSE),0)</f>
        <v>0</v>
      </c>
    </row>
    <row r="954" spans="1:14" x14ac:dyDescent="0.25">
      <c r="A954" t="s">
        <v>3522</v>
      </c>
      <c r="B954" t="s">
        <v>3523</v>
      </c>
      <c r="C954" t="s">
        <v>3524</v>
      </c>
      <c r="D954" t="s">
        <v>3525</v>
      </c>
      <c r="E954" t="s">
        <v>3526</v>
      </c>
      <c r="F954" t="str">
        <f>VLOOKUP(A954,Base!$A:$F,6,FALSE)</f>
        <v>ALOJAMENTO E ALIMENTAÇÃO</v>
      </c>
      <c r="G954" t="str">
        <f>VLOOKUP(B954,Base!$B:$F,5,FALSE)</f>
        <v>ALOJAMENTO</v>
      </c>
      <c r="H954" t="str">
        <f>VLOOKUP(C954,Base!$C:$F,4,FALSE)</f>
        <v>Hotéis e similares</v>
      </c>
      <c r="I954" t="str">
        <f>VLOOKUP(D954,Base!$D:$F,3,FALSE)</f>
        <v>Hotéis e similares</v>
      </c>
      <c r="J954" t="str">
        <f>VLOOKUP(E954,Base!$E:$F,2,FALSE)</f>
        <v>Hotéis</v>
      </c>
      <c r="K954" t="s">
        <v>3526</v>
      </c>
      <c r="L954">
        <f>IFERROR(VLOOKUP($K954,Base_Atividades!$E$1:$N$2398,MATCH(BancoAjustado!L$1,Base_Atividades!$E$1:$N$1,0),FALSE),0)</f>
        <v>1</v>
      </c>
      <c r="M954">
        <f>IFERROR(VLOOKUP($K954,Base_Atividades!$E$1:$N$2398,MATCH(BancoAjustado!M$1,Base_Atividades!$E$1:$N$1,0),FALSE),0)</f>
        <v>0</v>
      </c>
      <c r="N954">
        <f>IFERROR(VLOOKUP($K954,Base_Atividades!$E$1:$N$2398,MATCH(BancoAjustado!N$1,Base_Atividades!$E$1:$N$1,0),FALSE),0)</f>
        <v>0</v>
      </c>
    </row>
    <row r="955" spans="1:14" x14ac:dyDescent="0.25">
      <c r="A955" t="s">
        <v>3522</v>
      </c>
      <c r="B955" t="s">
        <v>3523</v>
      </c>
      <c r="C955" t="s">
        <v>3524</v>
      </c>
      <c r="D955" t="s">
        <v>3525</v>
      </c>
      <c r="E955" t="s">
        <v>3527</v>
      </c>
      <c r="F955" t="str">
        <f>VLOOKUP(A955,Base!$A:$F,6,FALSE)</f>
        <v>ALOJAMENTO E ALIMENTAÇÃO</v>
      </c>
      <c r="G955" t="str">
        <f>VLOOKUP(B955,Base!$B:$F,5,FALSE)</f>
        <v>ALOJAMENTO</v>
      </c>
      <c r="H955" t="str">
        <f>VLOOKUP(C955,Base!$C:$F,4,FALSE)</f>
        <v>Hotéis e similares</v>
      </c>
      <c r="I955" t="str">
        <f>VLOOKUP(D955,Base!$D:$F,3,FALSE)</f>
        <v>Hotéis e similares</v>
      </c>
      <c r="J955" t="str">
        <f>VLOOKUP(E955,Base!$E:$F,2,FALSE)</f>
        <v>Apart-hotéis</v>
      </c>
      <c r="K955" t="s">
        <v>3527</v>
      </c>
      <c r="L955">
        <f>IFERROR(VLOOKUP($K955,Base_Atividades!$E$1:$N$2398,MATCH(BancoAjustado!L$1,Base_Atividades!$E$1:$N$1,0),FALSE),0)</f>
        <v>1</v>
      </c>
      <c r="M955">
        <f>IFERROR(VLOOKUP($K955,Base_Atividades!$E$1:$N$2398,MATCH(BancoAjustado!M$1,Base_Atividades!$E$1:$N$1,0),FALSE),0)</f>
        <v>0</v>
      </c>
      <c r="N955">
        <f>IFERROR(VLOOKUP($K955,Base_Atividades!$E$1:$N$2398,MATCH(BancoAjustado!N$1,Base_Atividades!$E$1:$N$1,0),FALSE),0)</f>
        <v>0</v>
      </c>
    </row>
    <row r="956" spans="1:14" x14ac:dyDescent="0.25">
      <c r="A956" t="s">
        <v>3522</v>
      </c>
      <c r="B956" t="s">
        <v>3523</v>
      </c>
      <c r="C956" t="s">
        <v>3524</v>
      </c>
      <c r="D956" t="s">
        <v>3525</v>
      </c>
      <c r="E956" t="s">
        <v>3528</v>
      </c>
      <c r="F956" t="str">
        <f>VLOOKUP(A956,Base!$A:$F,6,FALSE)</f>
        <v>ALOJAMENTO E ALIMENTAÇÃO</v>
      </c>
      <c r="G956" t="str">
        <f>VLOOKUP(B956,Base!$B:$F,5,FALSE)</f>
        <v>ALOJAMENTO</v>
      </c>
      <c r="H956" t="str">
        <f>VLOOKUP(C956,Base!$C:$F,4,FALSE)</f>
        <v>Hotéis e similares</v>
      </c>
      <c r="I956" t="str">
        <f>VLOOKUP(D956,Base!$D:$F,3,FALSE)</f>
        <v>Hotéis e similares</v>
      </c>
      <c r="J956" t="str">
        <f>VLOOKUP(E956,Base!$E:$F,2,FALSE)</f>
        <v>Motéis</v>
      </c>
      <c r="K956" t="s">
        <v>3528</v>
      </c>
      <c r="L956">
        <f>IFERROR(VLOOKUP($K956,Base_Atividades!$E$1:$N$2398,MATCH(BancoAjustado!L$1,Base_Atividades!$E$1:$N$1,0),FALSE),0)</f>
        <v>1</v>
      </c>
      <c r="M956">
        <f>IFERROR(VLOOKUP($K956,Base_Atividades!$E$1:$N$2398,MATCH(BancoAjustado!M$1,Base_Atividades!$E$1:$N$1,0),FALSE),0)</f>
        <v>0</v>
      </c>
      <c r="N956">
        <f>IFERROR(VLOOKUP($K956,Base_Atividades!$E$1:$N$2398,MATCH(BancoAjustado!N$1,Base_Atividades!$E$1:$N$1,0),FALSE),0)</f>
        <v>0</v>
      </c>
    </row>
    <row r="957" spans="1:14" x14ac:dyDescent="0.25">
      <c r="A957" t="s">
        <v>3522</v>
      </c>
      <c r="B957" t="s">
        <v>3523</v>
      </c>
      <c r="C957" t="s">
        <v>3529</v>
      </c>
      <c r="D957" t="s">
        <v>3530</v>
      </c>
      <c r="E957" t="s">
        <v>3531</v>
      </c>
      <c r="F957" t="str">
        <f>VLOOKUP(A957,Base!$A:$F,6,FALSE)</f>
        <v>ALOJAMENTO E ALIMENTAÇÃO</v>
      </c>
      <c r="G957" t="str">
        <f>VLOOKUP(B957,Base!$B:$F,5,FALSE)</f>
        <v>ALOJAMENTO</v>
      </c>
      <c r="H957" t="str">
        <f>VLOOKUP(C957,Base!$C:$F,4,FALSE)</f>
        <v>Outros tipos de alojamento não especificados anteriormente</v>
      </c>
      <c r="I957" t="str">
        <f>VLOOKUP(D957,Base!$D:$F,3,FALSE)</f>
        <v>Outros tipos de alojamento não especificados anteriormente</v>
      </c>
      <c r="J957" t="str">
        <f>VLOOKUP(E957,Base!$E:$F,2,FALSE)</f>
        <v>Albergues, exceto assistenciais</v>
      </c>
      <c r="K957" t="s">
        <v>3531</v>
      </c>
      <c r="L957">
        <f>IFERROR(VLOOKUP($K957,Base_Atividades!$E$1:$N$2398,MATCH(BancoAjustado!L$1,Base_Atividades!$E$1:$N$1,0),FALSE),0)</f>
        <v>1</v>
      </c>
      <c r="M957">
        <f>IFERROR(VLOOKUP($K957,Base_Atividades!$E$1:$N$2398,MATCH(BancoAjustado!M$1,Base_Atividades!$E$1:$N$1,0),FALSE),0)</f>
        <v>0</v>
      </c>
      <c r="N957">
        <f>IFERROR(VLOOKUP($K957,Base_Atividades!$E$1:$N$2398,MATCH(BancoAjustado!N$1,Base_Atividades!$E$1:$N$1,0),FALSE),0)</f>
        <v>0</v>
      </c>
    </row>
    <row r="958" spans="1:14" x14ac:dyDescent="0.25">
      <c r="A958" t="s">
        <v>3522</v>
      </c>
      <c r="B958" t="s">
        <v>3523</v>
      </c>
      <c r="C958" t="s">
        <v>3529</v>
      </c>
      <c r="D958" t="s">
        <v>3530</v>
      </c>
      <c r="E958" t="s">
        <v>3532</v>
      </c>
      <c r="F958" t="str">
        <f>VLOOKUP(A958,Base!$A:$F,6,FALSE)</f>
        <v>ALOJAMENTO E ALIMENTAÇÃO</v>
      </c>
      <c r="G958" t="str">
        <f>VLOOKUP(B958,Base!$B:$F,5,FALSE)</f>
        <v>ALOJAMENTO</v>
      </c>
      <c r="H958" t="str">
        <f>VLOOKUP(C958,Base!$C:$F,4,FALSE)</f>
        <v>Outros tipos de alojamento não especificados anteriormente</v>
      </c>
      <c r="I958" t="str">
        <f>VLOOKUP(D958,Base!$D:$F,3,FALSE)</f>
        <v>Outros tipos de alojamento não especificados anteriormente</v>
      </c>
      <c r="J958" t="str">
        <f>VLOOKUP(E958,Base!$E:$F,2,FALSE)</f>
        <v>Campings</v>
      </c>
      <c r="K958" t="s">
        <v>3532</v>
      </c>
      <c r="L958">
        <f>IFERROR(VLOOKUP($K958,Base_Atividades!$E$1:$N$2398,MATCH(BancoAjustado!L$1,Base_Atividades!$E$1:$N$1,0),FALSE),0)</f>
        <v>1</v>
      </c>
      <c r="M958">
        <f>IFERROR(VLOOKUP($K958,Base_Atividades!$E$1:$N$2398,MATCH(BancoAjustado!M$1,Base_Atividades!$E$1:$N$1,0),FALSE),0)</f>
        <v>0</v>
      </c>
      <c r="N958">
        <f>IFERROR(VLOOKUP($K958,Base_Atividades!$E$1:$N$2398,MATCH(BancoAjustado!N$1,Base_Atividades!$E$1:$N$1,0),FALSE),0)</f>
        <v>0</v>
      </c>
    </row>
    <row r="959" spans="1:14" x14ac:dyDescent="0.25">
      <c r="A959" t="s">
        <v>3522</v>
      </c>
      <c r="B959" t="s">
        <v>3523</v>
      </c>
      <c r="C959" t="s">
        <v>3529</v>
      </c>
      <c r="D959" t="s">
        <v>3530</v>
      </c>
      <c r="E959" t="s">
        <v>3533</v>
      </c>
      <c r="F959" t="str">
        <f>VLOOKUP(A959,Base!$A:$F,6,FALSE)</f>
        <v>ALOJAMENTO E ALIMENTAÇÃO</v>
      </c>
      <c r="G959" t="str">
        <f>VLOOKUP(B959,Base!$B:$F,5,FALSE)</f>
        <v>ALOJAMENTO</v>
      </c>
      <c r="H959" t="str">
        <f>VLOOKUP(C959,Base!$C:$F,4,FALSE)</f>
        <v>Outros tipos de alojamento não especificados anteriormente</v>
      </c>
      <c r="I959" t="str">
        <f>VLOOKUP(D959,Base!$D:$F,3,FALSE)</f>
        <v>Outros tipos de alojamento não especificados anteriormente</v>
      </c>
      <c r="J959" t="str">
        <f>VLOOKUP(E959,Base!$E:$F,2,FALSE)</f>
        <v>Pensões (alojamento)</v>
      </c>
      <c r="K959" t="s">
        <v>3533</v>
      </c>
      <c r="L959">
        <f>IFERROR(VLOOKUP($K959,Base_Atividades!$E$1:$N$2398,MATCH(BancoAjustado!L$1,Base_Atividades!$E$1:$N$1,0),FALSE),0)</f>
        <v>1</v>
      </c>
      <c r="M959">
        <f>IFERROR(VLOOKUP($K959,Base_Atividades!$E$1:$N$2398,MATCH(BancoAjustado!M$1,Base_Atividades!$E$1:$N$1,0),FALSE),0)</f>
        <v>0</v>
      </c>
      <c r="N959">
        <f>IFERROR(VLOOKUP($K959,Base_Atividades!$E$1:$N$2398,MATCH(BancoAjustado!N$1,Base_Atividades!$E$1:$N$1,0),FALSE),0)</f>
        <v>0</v>
      </c>
    </row>
    <row r="960" spans="1:14" x14ac:dyDescent="0.25">
      <c r="A960" t="s">
        <v>3522</v>
      </c>
      <c r="B960" t="s">
        <v>3523</v>
      </c>
      <c r="C960" t="s">
        <v>3529</v>
      </c>
      <c r="D960" t="s">
        <v>3530</v>
      </c>
      <c r="E960" t="s">
        <v>3534</v>
      </c>
      <c r="F960" t="str">
        <f>VLOOKUP(A960,Base!$A:$F,6,FALSE)</f>
        <v>ALOJAMENTO E ALIMENTAÇÃO</v>
      </c>
      <c r="G960" t="str">
        <f>VLOOKUP(B960,Base!$B:$F,5,FALSE)</f>
        <v>ALOJAMENTO</v>
      </c>
      <c r="H960" t="str">
        <f>VLOOKUP(C960,Base!$C:$F,4,FALSE)</f>
        <v>Outros tipos de alojamento não especificados anteriormente</v>
      </c>
      <c r="I960" t="str">
        <f>VLOOKUP(D960,Base!$D:$F,3,FALSE)</f>
        <v>Outros tipos de alojamento não especificados anteriormente</v>
      </c>
      <c r="J960" t="str">
        <f>VLOOKUP(E960,Base!$E:$F,2,FALSE)</f>
        <v>Outros alojamentos não especificados anteriormente</v>
      </c>
      <c r="K960" t="s">
        <v>3534</v>
      </c>
      <c r="L960">
        <f>IFERROR(VLOOKUP($K960,Base_Atividades!$E$1:$N$2398,MATCH(BancoAjustado!L$1,Base_Atividades!$E$1:$N$1,0),FALSE),0)</f>
        <v>1</v>
      </c>
      <c r="M960">
        <f>IFERROR(VLOOKUP($K960,Base_Atividades!$E$1:$N$2398,MATCH(BancoAjustado!M$1,Base_Atividades!$E$1:$N$1,0),FALSE),0)</f>
        <v>0</v>
      </c>
      <c r="N960">
        <f>IFERROR(VLOOKUP($K960,Base_Atividades!$E$1:$N$2398,MATCH(BancoAjustado!N$1,Base_Atividades!$E$1:$N$1,0),FALSE),0)</f>
        <v>0</v>
      </c>
    </row>
    <row r="961" spans="1:14" x14ac:dyDescent="0.25">
      <c r="A961" t="s">
        <v>3522</v>
      </c>
      <c r="B961" t="s">
        <v>3535</v>
      </c>
      <c r="C961" t="s">
        <v>3536</v>
      </c>
      <c r="D961" t="s">
        <v>3537</v>
      </c>
      <c r="E961" t="s">
        <v>3538</v>
      </c>
      <c r="F961" t="str">
        <f>VLOOKUP(A961,Base!$A:$F,6,FALSE)</f>
        <v>ALOJAMENTO E ALIMENTAÇÃO</v>
      </c>
      <c r="G961" t="str">
        <f>VLOOKUP(B961,Base!$B:$F,5,FALSE)</f>
        <v>ALIMENTAÇÃO</v>
      </c>
      <c r="H961" t="str">
        <f>VLOOKUP(C961,Base!$C:$F,4,FALSE)</f>
        <v>Restaurantes e outros serviços de alimentação e bebidas</v>
      </c>
      <c r="I961" t="str">
        <f>VLOOKUP(D961,Base!$D:$F,3,FALSE)</f>
        <v>Restaurantes e outros estabelecimentos de serviços de alimentação e bebidas</v>
      </c>
      <c r="J961" t="str">
        <f>VLOOKUP(E961,Base!$E:$F,2,FALSE)</f>
        <v>Restaurantes e similares</v>
      </c>
      <c r="K961" t="s">
        <v>3538</v>
      </c>
      <c r="L961">
        <f>IFERROR(VLOOKUP($K961,Base_Atividades!$E$1:$N$2398,MATCH(BancoAjustado!L$1,Base_Atividades!$E$1:$N$1,0),FALSE),0)</f>
        <v>1</v>
      </c>
      <c r="M961">
        <f>IFERROR(VLOOKUP($K961,Base_Atividades!$E$1:$N$2398,MATCH(BancoAjustado!M$1,Base_Atividades!$E$1:$N$1,0),FALSE),0)</f>
        <v>0</v>
      </c>
      <c r="N961">
        <f>IFERROR(VLOOKUP($K961,Base_Atividades!$E$1:$N$2398,MATCH(BancoAjustado!N$1,Base_Atividades!$E$1:$N$1,0),FALSE),0)</f>
        <v>0</v>
      </c>
    </row>
    <row r="962" spans="1:14" x14ac:dyDescent="0.25">
      <c r="A962" t="s">
        <v>3522</v>
      </c>
      <c r="B962" t="s">
        <v>3535</v>
      </c>
      <c r="C962" t="s">
        <v>3536</v>
      </c>
      <c r="D962" t="s">
        <v>3537</v>
      </c>
      <c r="E962" t="s">
        <v>3539</v>
      </c>
      <c r="F962" t="str">
        <f>VLOOKUP(A962,Base!$A:$F,6,FALSE)</f>
        <v>ALOJAMENTO E ALIMENTAÇÃO</v>
      </c>
      <c r="G962" t="str">
        <f>VLOOKUP(B962,Base!$B:$F,5,FALSE)</f>
        <v>ALIMENTAÇÃO</v>
      </c>
      <c r="H962" t="str">
        <f>VLOOKUP(C962,Base!$C:$F,4,FALSE)</f>
        <v>Restaurantes e outros serviços de alimentação e bebidas</v>
      </c>
      <c r="I962" t="str">
        <f>VLOOKUP(D962,Base!$D:$F,3,FALSE)</f>
        <v>Restaurantes e outros estabelecimentos de serviços de alimentação e bebidas</v>
      </c>
      <c r="J962" t="str">
        <f>VLOOKUP(E962,Base!$E:$F,2,FALSE)</f>
        <v>Lanchonetes, casas de chá, de sucos e similares</v>
      </c>
      <c r="K962" t="s">
        <v>3539</v>
      </c>
      <c r="L962">
        <f>IFERROR(VLOOKUP($K962,Base_Atividades!$E$1:$N$2398,MATCH(BancoAjustado!L$1,Base_Atividades!$E$1:$N$1,0),FALSE),0)</f>
        <v>1</v>
      </c>
      <c r="M962">
        <f>IFERROR(VLOOKUP($K962,Base_Atividades!$E$1:$N$2398,MATCH(BancoAjustado!M$1,Base_Atividades!$E$1:$N$1,0),FALSE),0)</f>
        <v>0</v>
      </c>
      <c r="N962">
        <f>IFERROR(VLOOKUP($K962,Base_Atividades!$E$1:$N$2398,MATCH(BancoAjustado!N$1,Base_Atividades!$E$1:$N$1,0),FALSE),0)</f>
        <v>0</v>
      </c>
    </row>
    <row r="963" spans="1:14" x14ac:dyDescent="0.25">
      <c r="A963" t="s">
        <v>3522</v>
      </c>
      <c r="B963" t="s">
        <v>3535</v>
      </c>
      <c r="C963" t="s">
        <v>3536</v>
      </c>
      <c r="D963" t="s">
        <v>3537</v>
      </c>
      <c r="E963" t="s">
        <v>3540</v>
      </c>
      <c r="F963" t="str">
        <f>VLOOKUP(A963,Base!$A:$F,6,FALSE)</f>
        <v>ALOJAMENTO E ALIMENTAÇÃO</v>
      </c>
      <c r="G963" t="str">
        <f>VLOOKUP(B963,Base!$B:$F,5,FALSE)</f>
        <v>ALIMENTAÇÃO</v>
      </c>
      <c r="H963" t="str">
        <f>VLOOKUP(C963,Base!$C:$F,4,FALSE)</f>
        <v>Restaurantes e outros serviços de alimentação e bebidas</v>
      </c>
      <c r="I963" t="str">
        <f>VLOOKUP(D963,Base!$D:$F,3,FALSE)</f>
        <v>Restaurantes e outros estabelecimentos de serviços de alimentação e bebidas</v>
      </c>
      <c r="J963" t="str">
        <f>VLOOKUP(E963,Base!$E:$F,2,FALSE)</f>
        <v>Bares e outros estabelecimentos especializados em servir bebidas, sem entretenimento</v>
      </c>
      <c r="K963" t="s">
        <v>3540</v>
      </c>
      <c r="L963">
        <f>IFERROR(VLOOKUP($K963,Base_Atividades!$E$1:$N$2398,MATCH(BancoAjustado!L$1,Base_Atividades!$E$1:$N$1,0),FALSE),0)</f>
        <v>0</v>
      </c>
      <c r="M963">
        <f>IFERROR(VLOOKUP($K963,Base_Atividades!$E$1:$N$2398,MATCH(BancoAjustado!M$1,Base_Atividades!$E$1:$N$1,0),FALSE),0)</f>
        <v>0</v>
      </c>
      <c r="N963">
        <f>IFERROR(VLOOKUP($K963,Base_Atividades!$E$1:$N$2398,MATCH(BancoAjustado!N$1,Base_Atividades!$E$1:$N$1,0),FALSE),0)</f>
        <v>0</v>
      </c>
    </row>
    <row r="964" spans="1:14" x14ac:dyDescent="0.25">
      <c r="A964" t="s">
        <v>3522</v>
      </c>
      <c r="B964" t="s">
        <v>3535</v>
      </c>
      <c r="C964" t="s">
        <v>3536</v>
      </c>
      <c r="D964" t="s">
        <v>3537</v>
      </c>
      <c r="E964" t="s">
        <v>3541</v>
      </c>
      <c r="F964" t="str">
        <f>VLOOKUP(A964,Base!$A:$F,6,FALSE)</f>
        <v>ALOJAMENTO E ALIMENTAÇÃO</v>
      </c>
      <c r="G964" t="str">
        <f>VLOOKUP(B964,Base!$B:$F,5,FALSE)</f>
        <v>ALIMENTAÇÃO</v>
      </c>
      <c r="H964" t="str">
        <f>VLOOKUP(C964,Base!$C:$F,4,FALSE)</f>
        <v>Restaurantes e outros serviços de alimentação e bebidas</v>
      </c>
      <c r="I964" t="str">
        <f>VLOOKUP(D964,Base!$D:$F,3,FALSE)</f>
        <v>Restaurantes e outros estabelecimentos de serviços de alimentação e bebidas</v>
      </c>
      <c r="J964" t="str">
        <f>VLOOKUP(E964,Base!$E:$F,2,FALSE)</f>
        <v>Bares e outros estabelecimentos especializados em servir bebidas, com entretenimento</v>
      </c>
      <c r="K964" t="s">
        <v>3541</v>
      </c>
      <c r="L964">
        <f>IFERROR(VLOOKUP($K964,Base_Atividades!$E$1:$N$2398,MATCH(BancoAjustado!L$1,Base_Atividades!$E$1:$N$1,0),FALSE),0)</f>
        <v>0</v>
      </c>
      <c r="M964">
        <f>IFERROR(VLOOKUP($K964,Base_Atividades!$E$1:$N$2398,MATCH(BancoAjustado!M$1,Base_Atividades!$E$1:$N$1,0),FALSE),0)</f>
        <v>0</v>
      </c>
      <c r="N964">
        <f>IFERROR(VLOOKUP($K964,Base_Atividades!$E$1:$N$2398,MATCH(BancoAjustado!N$1,Base_Atividades!$E$1:$N$1,0),FALSE),0)</f>
        <v>0</v>
      </c>
    </row>
    <row r="965" spans="1:14" x14ac:dyDescent="0.25">
      <c r="A965" t="s">
        <v>3522</v>
      </c>
      <c r="B965" t="s">
        <v>3535</v>
      </c>
      <c r="C965" t="s">
        <v>3536</v>
      </c>
      <c r="D965" t="s">
        <v>3542</v>
      </c>
      <c r="E965" t="s">
        <v>3543</v>
      </c>
      <c r="F965" t="str">
        <f>VLOOKUP(A965,Base!$A:$F,6,FALSE)</f>
        <v>ALOJAMENTO E ALIMENTAÇÃO</v>
      </c>
      <c r="G965" t="str">
        <f>VLOOKUP(B965,Base!$B:$F,5,FALSE)</f>
        <v>ALIMENTAÇÃO</v>
      </c>
      <c r="H965" t="str">
        <f>VLOOKUP(C965,Base!$C:$F,4,FALSE)</f>
        <v>Restaurantes e outros serviços de alimentação e bebidas</v>
      </c>
      <c r="I965" t="str">
        <f>VLOOKUP(D965,Base!$D:$F,3,FALSE)</f>
        <v>Serviços ambulantes de alimentação</v>
      </c>
      <c r="J965" t="str">
        <f>VLOOKUP(E965,Base!$E:$F,2,FALSE)</f>
        <v>Serviços ambulantes de alimentação</v>
      </c>
      <c r="K965" t="s">
        <v>3543</v>
      </c>
      <c r="L965">
        <f>IFERROR(VLOOKUP($K965,Base_Atividades!$E$1:$N$2398,MATCH(BancoAjustado!L$1,Base_Atividades!$E$1:$N$1,0),FALSE),0)</f>
        <v>1</v>
      </c>
      <c r="M965">
        <f>IFERROR(VLOOKUP($K965,Base_Atividades!$E$1:$N$2398,MATCH(BancoAjustado!M$1,Base_Atividades!$E$1:$N$1,0),FALSE),0)</f>
        <v>0</v>
      </c>
      <c r="N965">
        <f>IFERROR(VLOOKUP($K965,Base_Atividades!$E$1:$N$2398,MATCH(BancoAjustado!N$1,Base_Atividades!$E$1:$N$1,0),FALSE),0)</f>
        <v>0</v>
      </c>
    </row>
    <row r="966" spans="1:14" x14ac:dyDescent="0.25">
      <c r="A966" t="s">
        <v>3522</v>
      </c>
      <c r="B966" t="s">
        <v>3535</v>
      </c>
      <c r="C966" t="s">
        <v>3544</v>
      </c>
      <c r="D966" t="s">
        <v>3546</v>
      </c>
      <c r="E966" t="s">
        <v>3547</v>
      </c>
      <c r="F966" t="str">
        <f>VLOOKUP(A966,Base!$A:$F,6,FALSE)</f>
        <v>ALOJAMENTO E ALIMENTAÇÃO</v>
      </c>
      <c r="G966" t="str">
        <f>VLOOKUP(B966,Base!$B:$F,5,FALSE)</f>
        <v>ALIMENTAÇÃO</v>
      </c>
      <c r="H966" t="str">
        <f>VLOOKUP(C966,Base!$C:$F,4,FALSE)</f>
        <v>Serviços de catering, bufê e outros serviços de comida preparada</v>
      </c>
      <c r="I966" t="str">
        <f>VLOOKUP(D966,Base!$D:$F,3,FALSE)</f>
        <v>Serviços de catering, bufê e outros serviços de comida preparada</v>
      </c>
      <c r="J966" t="str">
        <f>VLOOKUP(E966,Base!$E:$F,2,FALSE)</f>
        <v>Fornecimento de alimentos preparados preponderantemente para empresas</v>
      </c>
      <c r="K966" t="s">
        <v>3547</v>
      </c>
      <c r="L966">
        <f>IFERROR(VLOOKUP($K966,Base_Atividades!$E$1:$N$2398,MATCH(BancoAjustado!L$1,Base_Atividades!$E$1:$N$1,0),FALSE),0)</f>
        <v>1</v>
      </c>
      <c r="M966">
        <f>IFERROR(VLOOKUP($K966,Base_Atividades!$E$1:$N$2398,MATCH(BancoAjustado!M$1,Base_Atividades!$E$1:$N$1,0),FALSE),0)</f>
        <v>0</v>
      </c>
      <c r="N966">
        <f>IFERROR(VLOOKUP($K966,Base_Atividades!$E$1:$N$2398,MATCH(BancoAjustado!N$1,Base_Atividades!$E$1:$N$1,0),FALSE),0)</f>
        <v>0</v>
      </c>
    </row>
    <row r="967" spans="1:14" x14ac:dyDescent="0.25">
      <c r="A967" t="s">
        <v>3522</v>
      </c>
      <c r="B967" t="s">
        <v>3535</v>
      </c>
      <c r="C967" t="s">
        <v>3544</v>
      </c>
      <c r="D967" t="s">
        <v>3546</v>
      </c>
      <c r="E967" t="s">
        <v>3548</v>
      </c>
      <c r="F967" t="str">
        <f>VLOOKUP(A967,Base!$A:$F,6,FALSE)</f>
        <v>ALOJAMENTO E ALIMENTAÇÃO</v>
      </c>
      <c r="G967" t="str">
        <f>VLOOKUP(B967,Base!$B:$F,5,FALSE)</f>
        <v>ALIMENTAÇÃO</v>
      </c>
      <c r="H967" t="str">
        <f>VLOOKUP(C967,Base!$C:$F,4,FALSE)</f>
        <v>Serviços de catering, bufê e outros serviços de comida preparada</v>
      </c>
      <c r="I967" t="str">
        <f>VLOOKUP(D967,Base!$D:$F,3,FALSE)</f>
        <v>Serviços de catering, bufê e outros serviços de comida preparada</v>
      </c>
      <c r="J967" t="str">
        <f>VLOOKUP(E967,Base!$E:$F,2,FALSE)</f>
        <v>Serviços de alimentação para eventos e recepções - bufê</v>
      </c>
      <c r="K967" t="s">
        <v>3548</v>
      </c>
      <c r="L967">
        <f>IFERROR(VLOOKUP($K967,Base_Atividades!$E$1:$N$2398,MATCH(BancoAjustado!L$1,Base_Atividades!$E$1:$N$1,0),FALSE),0)</f>
        <v>1</v>
      </c>
      <c r="M967">
        <f>IFERROR(VLOOKUP($K967,Base_Atividades!$E$1:$N$2398,MATCH(BancoAjustado!M$1,Base_Atividades!$E$1:$N$1,0),FALSE),0)</f>
        <v>0</v>
      </c>
      <c r="N967">
        <f>IFERROR(VLOOKUP($K967,Base_Atividades!$E$1:$N$2398,MATCH(BancoAjustado!N$1,Base_Atividades!$E$1:$N$1,0),FALSE),0)</f>
        <v>0</v>
      </c>
    </row>
    <row r="968" spans="1:14" x14ac:dyDescent="0.25">
      <c r="A968" t="s">
        <v>3522</v>
      </c>
      <c r="B968" t="s">
        <v>3535</v>
      </c>
      <c r="C968" t="s">
        <v>3544</v>
      </c>
      <c r="D968" t="s">
        <v>3546</v>
      </c>
      <c r="E968" t="s">
        <v>3549</v>
      </c>
      <c r="F968" t="str">
        <f>VLOOKUP(A968,Base!$A:$F,6,FALSE)</f>
        <v>ALOJAMENTO E ALIMENTAÇÃO</v>
      </c>
      <c r="G968" t="str">
        <f>VLOOKUP(B968,Base!$B:$F,5,FALSE)</f>
        <v>ALIMENTAÇÃO</v>
      </c>
      <c r="H968" t="str">
        <f>VLOOKUP(C968,Base!$C:$F,4,FALSE)</f>
        <v>Serviços de catering, bufê e outros serviços de comida preparada</v>
      </c>
      <c r="I968" t="str">
        <f>VLOOKUP(D968,Base!$D:$F,3,FALSE)</f>
        <v>Serviços de catering, bufê e outros serviços de comida preparada</v>
      </c>
      <c r="J968" t="str">
        <f>VLOOKUP(E968,Base!$E:$F,2,FALSE)</f>
        <v>Cantinas - serviços de alimentação privativos</v>
      </c>
      <c r="K968" t="s">
        <v>3549</v>
      </c>
      <c r="L968">
        <f>IFERROR(VLOOKUP($K968,Base_Atividades!$E$1:$N$2398,MATCH(BancoAjustado!L$1,Base_Atividades!$E$1:$N$1,0),FALSE),0)</f>
        <v>1</v>
      </c>
      <c r="M968">
        <f>IFERROR(VLOOKUP($K968,Base_Atividades!$E$1:$N$2398,MATCH(BancoAjustado!M$1,Base_Atividades!$E$1:$N$1,0),FALSE),0)</f>
        <v>0</v>
      </c>
      <c r="N968">
        <f>IFERROR(VLOOKUP($K968,Base_Atividades!$E$1:$N$2398,MATCH(BancoAjustado!N$1,Base_Atividades!$E$1:$N$1,0),FALSE),0)</f>
        <v>0</v>
      </c>
    </row>
    <row r="969" spans="1:14" x14ac:dyDescent="0.25">
      <c r="A969" t="s">
        <v>3522</v>
      </c>
      <c r="B969" t="s">
        <v>3535</v>
      </c>
      <c r="C969" t="s">
        <v>3544</v>
      </c>
      <c r="D969" t="s">
        <v>3546</v>
      </c>
      <c r="E969" t="s">
        <v>3550</v>
      </c>
      <c r="F969" t="str">
        <f>VLOOKUP(A969,Base!$A:$F,6,FALSE)</f>
        <v>ALOJAMENTO E ALIMENTAÇÃO</v>
      </c>
      <c r="G969" t="str">
        <f>VLOOKUP(B969,Base!$B:$F,5,FALSE)</f>
        <v>ALIMENTAÇÃO</v>
      </c>
      <c r="H969" t="str">
        <f>VLOOKUP(C969,Base!$C:$F,4,FALSE)</f>
        <v>Serviços de catering, bufê e outros serviços de comida preparada</v>
      </c>
      <c r="I969" t="str">
        <f>VLOOKUP(D969,Base!$D:$F,3,FALSE)</f>
        <v>Serviços de catering, bufê e outros serviços de comida preparada</v>
      </c>
      <c r="J969" t="str">
        <f>VLOOKUP(E969,Base!$E:$F,2,FALSE)</f>
        <v>Fornecimento de alimentos preparados preponderantemente para consumo domiciliar</v>
      </c>
      <c r="K969" t="s">
        <v>3550</v>
      </c>
      <c r="L969">
        <f>IFERROR(VLOOKUP($K969,Base_Atividades!$E$1:$N$2398,MATCH(BancoAjustado!L$1,Base_Atividades!$E$1:$N$1,0),FALSE),0)</f>
        <v>1</v>
      </c>
      <c r="M969">
        <f>IFERROR(VLOOKUP($K969,Base_Atividades!$E$1:$N$2398,MATCH(BancoAjustado!M$1,Base_Atividades!$E$1:$N$1,0),FALSE),0)</f>
        <v>0</v>
      </c>
      <c r="N969">
        <f>IFERROR(VLOOKUP($K969,Base_Atividades!$E$1:$N$2398,MATCH(BancoAjustado!N$1,Base_Atividades!$E$1:$N$1,0),FALSE),0)</f>
        <v>0</v>
      </c>
    </row>
    <row r="970" spans="1:14" x14ac:dyDescent="0.25">
      <c r="A970" t="s">
        <v>3551</v>
      </c>
      <c r="B970" t="s">
        <v>3552</v>
      </c>
      <c r="C970" t="s">
        <v>3553</v>
      </c>
      <c r="D970" t="s">
        <v>3554</v>
      </c>
      <c r="E970" t="s">
        <v>3555</v>
      </c>
      <c r="F970" t="str">
        <f>VLOOKUP(A970,Base!$A:$F,6,FALSE)</f>
        <v>INFORMAÇÃO E COMUNICAÇÃO</v>
      </c>
      <c r="G970" t="str">
        <f>VLOOKUP(B970,Base!$B:$F,5,FALSE)</f>
        <v>EDIÇÃO E EDIÇÃO INTEGRADA À IMPRESSÃO</v>
      </c>
      <c r="H970" t="str">
        <f>VLOOKUP(C970,Base!$C:$F,4,FALSE)</f>
        <v>Edição de livros, jornais, revistas e outras atividades de edição</v>
      </c>
      <c r="I970" t="str">
        <f>VLOOKUP(D970,Base!$D:$F,3,FALSE)</f>
        <v>Edição de livros</v>
      </c>
      <c r="J970" t="str">
        <f>VLOOKUP(E970,Base!$E:$F,2,FALSE)</f>
        <v>Edição de livros</v>
      </c>
      <c r="K970" t="s">
        <v>3555</v>
      </c>
      <c r="L970">
        <f>IFERROR(VLOOKUP($K970,Base_Atividades!$E$1:$N$2398,MATCH(BancoAjustado!L$1,Base_Atividades!$E$1:$N$1,0),FALSE),0)</f>
        <v>1</v>
      </c>
      <c r="M970">
        <f>IFERROR(VLOOKUP($K970,Base_Atividades!$E$1:$N$2398,MATCH(BancoAjustado!M$1,Base_Atividades!$E$1:$N$1,0),FALSE),0)</f>
        <v>0</v>
      </c>
      <c r="N970">
        <f>IFERROR(VLOOKUP($K970,Base_Atividades!$E$1:$N$2398,MATCH(BancoAjustado!N$1,Base_Atividades!$E$1:$N$1,0),FALSE),0)</f>
        <v>0</v>
      </c>
    </row>
    <row r="971" spans="1:14" x14ac:dyDescent="0.25">
      <c r="A971" t="s">
        <v>3551</v>
      </c>
      <c r="B971" t="s">
        <v>3552</v>
      </c>
      <c r="C971" t="s">
        <v>3553</v>
      </c>
      <c r="D971" t="s">
        <v>3556</v>
      </c>
      <c r="E971" t="s">
        <v>3557</v>
      </c>
      <c r="F971" t="str">
        <f>VLOOKUP(A971,Base!$A:$F,6,FALSE)</f>
        <v>INFORMAÇÃO E COMUNICAÇÃO</v>
      </c>
      <c r="G971" t="str">
        <f>VLOOKUP(B971,Base!$B:$F,5,FALSE)</f>
        <v>EDIÇÃO E EDIÇÃO INTEGRADA À IMPRESSÃO</v>
      </c>
      <c r="H971" t="str">
        <f>VLOOKUP(C971,Base!$C:$F,4,FALSE)</f>
        <v>Edição de livros, jornais, revistas e outras atividades de edição</v>
      </c>
      <c r="I971" t="str">
        <f>VLOOKUP(D971,Base!$D:$F,3,FALSE)</f>
        <v>Edição de jornais</v>
      </c>
      <c r="J971" t="str">
        <f>VLOOKUP(E971,Base!$E:$F,2,FALSE)</f>
        <v>Edição de jornais diários</v>
      </c>
      <c r="K971" t="s">
        <v>3557</v>
      </c>
      <c r="L971">
        <f>IFERROR(VLOOKUP($K971,Base_Atividades!$E$1:$N$2398,MATCH(BancoAjustado!L$1,Base_Atividades!$E$1:$N$1,0),FALSE),0)</f>
        <v>1</v>
      </c>
      <c r="M971">
        <f>IFERROR(VLOOKUP($K971,Base_Atividades!$E$1:$N$2398,MATCH(BancoAjustado!M$1,Base_Atividades!$E$1:$N$1,0),FALSE),0)</f>
        <v>0</v>
      </c>
      <c r="N971">
        <f>IFERROR(VLOOKUP($K971,Base_Atividades!$E$1:$N$2398,MATCH(BancoAjustado!N$1,Base_Atividades!$E$1:$N$1,0),FALSE),0)</f>
        <v>0</v>
      </c>
    </row>
    <row r="972" spans="1:14" x14ac:dyDescent="0.25">
      <c r="A972" t="s">
        <v>3551</v>
      </c>
      <c r="B972" t="s">
        <v>3552</v>
      </c>
      <c r="C972" t="s">
        <v>3553</v>
      </c>
      <c r="D972" t="s">
        <v>3556</v>
      </c>
      <c r="E972" t="s">
        <v>3558</v>
      </c>
      <c r="F972" t="str">
        <f>VLOOKUP(A972,Base!$A:$F,6,FALSE)</f>
        <v>INFORMAÇÃO E COMUNICAÇÃO</v>
      </c>
      <c r="G972" t="str">
        <f>VLOOKUP(B972,Base!$B:$F,5,FALSE)</f>
        <v>EDIÇÃO E EDIÇÃO INTEGRADA À IMPRESSÃO</v>
      </c>
      <c r="H972" t="str">
        <f>VLOOKUP(C972,Base!$C:$F,4,FALSE)</f>
        <v>Edição de livros, jornais, revistas e outras atividades de edição</v>
      </c>
      <c r="I972" t="str">
        <f>VLOOKUP(D972,Base!$D:$F,3,FALSE)</f>
        <v>Edição de jornais</v>
      </c>
      <c r="J972" t="str">
        <f>VLOOKUP(E972,Base!$E:$F,2,FALSE)</f>
        <v>Edição de jornais não diários</v>
      </c>
      <c r="K972" t="s">
        <v>3558</v>
      </c>
      <c r="L972">
        <f>IFERROR(VLOOKUP($K972,Base_Atividades!$E$1:$N$2398,MATCH(BancoAjustado!L$1,Base_Atividades!$E$1:$N$1,0),FALSE),0)</f>
        <v>1</v>
      </c>
      <c r="M972">
        <f>IFERROR(VLOOKUP($K972,Base_Atividades!$E$1:$N$2398,MATCH(BancoAjustado!M$1,Base_Atividades!$E$1:$N$1,0),FALSE),0)</f>
        <v>0</v>
      </c>
      <c r="N972">
        <f>IFERROR(VLOOKUP($K972,Base_Atividades!$E$1:$N$2398,MATCH(BancoAjustado!N$1,Base_Atividades!$E$1:$N$1,0),FALSE),0)</f>
        <v>0</v>
      </c>
    </row>
    <row r="973" spans="1:14" x14ac:dyDescent="0.25">
      <c r="A973" t="s">
        <v>3551</v>
      </c>
      <c r="B973" t="s">
        <v>3552</v>
      </c>
      <c r="C973" t="s">
        <v>3553</v>
      </c>
      <c r="D973" t="s">
        <v>3559</v>
      </c>
      <c r="E973" t="s">
        <v>3560</v>
      </c>
      <c r="F973" t="str">
        <f>VLOOKUP(A973,Base!$A:$F,6,FALSE)</f>
        <v>INFORMAÇÃO E COMUNICAÇÃO</v>
      </c>
      <c r="G973" t="str">
        <f>VLOOKUP(B973,Base!$B:$F,5,FALSE)</f>
        <v>EDIÇÃO E EDIÇÃO INTEGRADA À IMPRESSÃO</v>
      </c>
      <c r="H973" t="str">
        <f>VLOOKUP(C973,Base!$C:$F,4,FALSE)</f>
        <v>Edição de livros, jornais, revistas e outras atividades de edição</v>
      </c>
      <c r="I973" t="str">
        <f>VLOOKUP(D973,Base!$D:$F,3,FALSE)</f>
        <v>Edição de revistas</v>
      </c>
      <c r="J973" t="str">
        <f>VLOOKUP(E973,Base!$E:$F,2,FALSE)</f>
        <v>Edição de revistas</v>
      </c>
      <c r="K973" t="s">
        <v>3560</v>
      </c>
      <c r="L973">
        <f>IFERROR(VLOOKUP($K973,Base_Atividades!$E$1:$N$2398,MATCH(BancoAjustado!L$1,Base_Atividades!$E$1:$N$1,0),FALSE),0)</f>
        <v>1</v>
      </c>
      <c r="M973">
        <f>IFERROR(VLOOKUP($K973,Base_Atividades!$E$1:$N$2398,MATCH(BancoAjustado!M$1,Base_Atividades!$E$1:$N$1,0),FALSE),0)</f>
        <v>0</v>
      </c>
      <c r="N973">
        <f>IFERROR(VLOOKUP($K973,Base_Atividades!$E$1:$N$2398,MATCH(BancoAjustado!N$1,Base_Atividades!$E$1:$N$1,0),FALSE),0)</f>
        <v>0</v>
      </c>
    </row>
    <row r="974" spans="1:14" x14ac:dyDescent="0.25">
      <c r="A974" t="s">
        <v>3551</v>
      </c>
      <c r="B974" t="s">
        <v>3552</v>
      </c>
      <c r="C974" t="s">
        <v>3553</v>
      </c>
      <c r="D974" t="s">
        <v>3561</v>
      </c>
      <c r="E974" t="s">
        <v>3562</v>
      </c>
      <c r="F974" t="str">
        <f>VLOOKUP(A974,Base!$A:$F,6,FALSE)</f>
        <v>INFORMAÇÃO E COMUNICAÇÃO</v>
      </c>
      <c r="G974" t="str">
        <f>VLOOKUP(B974,Base!$B:$F,5,FALSE)</f>
        <v>EDIÇÃO E EDIÇÃO INTEGRADA À IMPRESSÃO</v>
      </c>
      <c r="H974" t="str">
        <f>VLOOKUP(C974,Base!$C:$F,4,FALSE)</f>
        <v>Edição de livros, jornais, revistas e outras atividades de edição</v>
      </c>
      <c r="I974" t="str">
        <f>VLOOKUP(D974,Base!$D:$F,3,FALSE)</f>
        <v>Edição de cadastros, listas e outros produtos gráficos</v>
      </c>
      <c r="J974" t="str">
        <f>VLOOKUP(E974,Base!$E:$F,2,FALSE)</f>
        <v>Edição de cadastros, listas e outros produtos gráficos</v>
      </c>
      <c r="K974" t="s">
        <v>3562</v>
      </c>
      <c r="L974">
        <f>IFERROR(VLOOKUP($K974,Base_Atividades!$E$1:$N$2398,MATCH(BancoAjustado!L$1,Base_Atividades!$E$1:$N$1,0),FALSE),0)</f>
        <v>1</v>
      </c>
      <c r="M974">
        <f>IFERROR(VLOOKUP($K974,Base_Atividades!$E$1:$N$2398,MATCH(BancoAjustado!M$1,Base_Atividades!$E$1:$N$1,0),FALSE),0)</f>
        <v>0</v>
      </c>
      <c r="N974">
        <f>IFERROR(VLOOKUP($K974,Base_Atividades!$E$1:$N$2398,MATCH(BancoAjustado!N$1,Base_Atividades!$E$1:$N$1,0),FALSE),0)</f>
        <v>0</v>
      </c>
    </row>
    <row r="975" spans="1:14" x14ac:dyDescent="0.25">
      <c r="A975" t="s">
        <v>3551</v>
      </c>
      <c r="B975" t="s">
        <v>3552</v>
      </c>
      <c r="C975" t="s">
        <v>3563</v>
      </c>
      <c r="D975" t="s">
        <v>3564</v>
      </c>
      <c r="E975" t="s">
        <v>3565</v>
      </c>
      <c r="F975" t="str">
        <f>VLOOKUP(A975,Base!$A:$F,6,FALSE)</f>
        <v>INFORMAÇÃO E COMUNICAÇÃO</v>
      </c>
      <c r="G975" t="str">
        <f>VLOOKUP(B975,Base!$B:$F,5,FALSE)</f>
        <v>EDIÇÃO E EDIÇÃO INTEGRADA À IMPRESSÃO</v>
      </c>
      <c r="H975" t="str">
        <f>VLOOKUP(C975,Base!$C:$F,4,FALSE)</f>
        <v>Edição integrada à impressão de livros, jornais, revistas e outras publicações</v>
      </c>
      <c r="I975" t="str">
        <f>VLOOKUP(D975,Base!$D:$F,3,FALSE)</f>
        <v>Edição integrada à impressão de livros</v>
      </c>
      <c r="J975" t="str">
        <f>VLOOKUP(E975,Base!$E:$F,2,FALSE)</f>
        <v>Edição integrada à impressão de livros</v>
      </c>
      <c r="K975" t="s">
        <v>3565</v>
      </c>
      <c r="L975">
        <f>IFERROR(VLOOKUP($K975,Base_Atividades!$E$1:$N$2398,MATCH(BancoAjustado!L$1,Base_Atividades!$E$1:$N$1,0),FALSE),0)</f>
        <v>1</v>
      </c>
      <c r="M975">
        <f>IFERROR(VLOOKUP($K975,Base_Atividades!$E$1:$N$2398,MATCH(BancoAjustado!M$1,Base_Atividades!$E$1:$N$1,0),FALSE),0)</f>
        <v>0</v>
      </c>
      <c r="N975">
        <f>IFERROR(VLOOKUP($K975,Base_Atividades!$E$1:$N$2398,MATCH(BancoAjustado!N$1,Base_Atividades!$E$1:$N$1,0),FALSE),0)</f>
        <v>0</v>
      </c>
    </row>
    <row r="976" spans="1:14" x14ac:dyDescent="0.25">
      <c r="A976" t="s">
        <v>3551</v>
      </c>
      <c r="B976" t="s">
        <v>3552</v>
      </c>
      <c r="C976" t="s">
        <v>3563</v>
      </c>
      <c r="D976" t="s">
        <v>3566</v>
      </c>
      <c r="E976" t="s">
        <v>3567</v>
      </c>
      <c r="F976" t="str">
        <f>VLOOKUP(A976,Base!$A:$F,6,FALSE)</f>
        <v>INFORMAÇÃO E COMUNICAÇÃO</v>
      </c>
      <c r="G976" t="str">
        <f>VLOOKUP(B976,Base!$B:$F,5,FALSE)</f>
        <v>EDIÇÃO E EDIÇÃO INTEGRADA À IMPRESSÃO</v>
      </c>
      <c r="H976" t="str">
        <f>VLOOKUP(C976,Base!$C:$F,4,FALSE)</f>
        <v>Edição integrada à impressão de livros, jornais, revistas e outras publicações</v>
      </c>
      <c r="I976" t="str">
        <f>VLOOKUP(D976,Base!$D:$F,3,FALSE)</f>
        <v>Edição integrada à impressão de jornais</v>
      </c>
      <c r="J976" t="str">
        <f>VLOOKUP(E976,Base!$E:$F,2,FALSE)</f>
        <v>Edição integrada à impressão de jornais diários</v>
      </c>
      <c r="K976" t="s">
        <v>3567</v>
      </c>
      <c r="L976">
        <f>IFERROR(VLOOKUP($K976,Base_Atividades!$E$1:$N$2398,MATCH(BancoAjustado!L$1,Base_Atividades!$E$1:$N$1,0),FALSE),0)</f>
        <v>1</v>
      </c>
      <c r="M976">
        <f>IFERROR(VLOOKUP($K976,Base_Atividades!$E$1:$N$2398,MATCH(BancoAjustado!M$1,Base_Atividades!$E$1:$N$1,0),FALSE),0)</f>
        <v>0</v>
      </c>
      <c r="N976">
        <f>IFERROR(VLOOKUP($K976,Base_Atividades!$E$1:$N$2398,MATCH(BancoAjustado!N$1,Base_Atividades!$E$1:$N$1,0),FALSE),0)</f>
        <v>0</v>
      </c>
    </row>
    <row r="977" spans="1:14" x14ac:dyDescent="0.25">
      <c r="A977" t="s">
        <v>3551</v>
      </c>
      <c r="B977" t="s">
        <v>3552</v>
      </c>
      <c r="C977" t="s">
        <v>3563</v>
      </c>
      <c r="D977" t="s">
        <v>3566</v>
      </c>
      <c r="E977" t="s">
        <v>3568</v>
      </c>
      <c r="F977" t="str">
        <f>VLOOKUP(A977,Base!$A:$F,6,FALSE)</f>
        <v>INFORMAÇÃO E COMUNICAÇÃO</v>
      </c>
      <c r="G977" t="str">
        <f>VLOOKUP(B977,Base!$B:$F,5,FALSE)</f>
        <v>EDIÇÃO E EDIÇÃO INTEGRADA À IMPRESSÃO</v>
      </c>
      <c r="H977" t="str">
        <f>VLOOKUP(C977,Base!$C:$F,4,FALSE)</f>
        <v>Edição integrada à impressão de livros, jornais, revistas e outras publicações</v>
      </c>
      <c r="I977" t="str">
        <f>VLOOKUP(D977,Base!$D:$F,3,FALSE)</f>
        <v>Edição integrada à impressão de jornais</v>
      </c>
      <c r="J977" t="str">
        <f>VLOOKUP(E977,Base!$E:$F,2,FALSE)</f>
        <v>Edição integrada à impressão de jornais não diários</v>
      </c>
      <c r="K977" t="s">
        <v>3568</v>
      </c>
      <c r="L977">
        <f>IFERROR(VLOOKUP($K977,Base_Atividades!$E$1:$N$2398,MATCH(BancoAjustado!L$1,Base_Atividades!$E$1:$N$1,0),FALSE),0)</f>
        <v>1</v>
      </c>
      <c r="M977">
        <f>IFERROR(VLOOKUP($K977,Base_Atividades!$E$1:$N$2398,MATCH(BancoAjustado!M$1,Base_Atividades!$E$1:$N$1,0),FALSE),0)</f>
        <v>0</v>
      </c>
      <c r="N977">
        <f>IFERROR(VLOOKUP($K977,Base_Atividades!$E$1:$N$2398,MATCH(BancoAjustado!N$1,Base_Atividades!$E$1:$N$1,0),FALSE),0)</f>
        <v>0</v>
      </c>
    </row>
    <row r="978" spans="1:14" x14ac:dyDescent="0.25">
      <c r="A978" t="s">
        <v>3551</v>
      </c>
      <c r="B978" t="s">
        <v>3552</v>
      </c>
      <c r="C978" t="s">
        <v>3563</v>
      </c>
      <c r="D978" t="s">
        <v>3569</v>
      </c>
      <c r="E978" t="s">
        <v>3570</v>
      </c>
      <c r="F978" t="str">
        <f>VLOOKUP(A978,Base!$A:$F,6,FALSE)</f>
        <v>INFORMAÇÃO E COMUNICAÇÃO</v>
      </c>
      <c r="G978" t="str">
        <f>VLOOKUP(B978,Base!$B:$F,5,FALSE)</f>
        <v>EDIÇÃO E EDIÇÃO INTEGRADA À IMPRESSÃO</v>
      </c>
      <c r="H978" t="str">
        <f>VLOOKUP(C978,Base!$C:$F,4,FALSE)</f>
        <v>Edição integrada à impressão de livros, jornais, revistas e outras publicações</v>
      </c>
      <c r="I978" t="str">
        <f>VLOOKUP(D978,Base!$D:$F,3,FALSE)</f>
        <v>Edição integrada à impressão de revistas</v>
      </c>
      <c r="J978" t="str">
        <f>VLOOKUP(E978,Base!$E:$F,2,FALSE)</f>
        <v>Edição integrada à impressão de revistas</v>
      </c>
      <c r="K978" t="s">
        <v>3570</v>
      </c>
      <c r="L978">
        <f>IFERROR(VLOOKUP($K978,Base_Atividades!$E$1:$N$2398,MATCH(BancoAjustado!L$1,Base_Atividades!$E$1:$N$1,0),FALSE),0)</f>
        <v>1</v>
      </c>
      <c r="M978">
        <f>IFERROR(VLOOKUP($K978,Base_Atividades!$E$1:$N$2398,MATCH(BancoAjustado!M$1,Base_Atividades!$E$1:$N$1,0),FALSE),0)</f>
        <v>0</v>
      </c>
      <c r="N978">
        <f>IFERROR(VLOOKUP($K978,Base_Atividades!$E$1:$N$2398,MATCH(BancoAjustado!N$1,Base_Atividades!$E$1:$N$1,0),FALSE),0)</f>
        <v>0</v>
      </c>
    </row>
    <row r="979" spans="1:14" x14ac:dyDescent="0.25">
      <c r="A979" t="s">
        <v>3551</v>
      </c>
      <c r="B979" t="s">
        <v>3552</v>
      </c>
      <c r="C979" t="s">
        <v>3563</v>
      </c>
      <c r="D979" t="s">
        <v>3571</v>
      </c>
      <c r="E979" t="s">
        <v>3572</v>
      </c>
      <c r="F979" t="str">
        <f>VLOOKUP(A979,Base!$A:$F,6,FALSE)</f>
        <v>INFORMAÇÃO E COMUNICAÇÃO</v>
      </c>
      <c r="G979" t="str">
        <f>VLOOKUP(B979,Base!$B:$F,5,FALSE)</f>
        <v>EDIÇÃO E EDIÇÃO INTEGRADA À IMPRESSÃO</v>
      </c>
      <c r="H979" t="str">
        <f>VLOOKUP(C979,Base!$C:$F,4,FALSE)</f>
        <v>Edição integrada à impressão de livros, jornais, revistas e outras publicações</v>
      </c>
      <c r="I979" t="str">
        <f>VLOOKUP(D979,Base!$D:$F,3,FALSE)</f>
        <v>Edição integrada à impressão de cadastros, listas e outros produtos gráficos</v>
      </c>
      <c r="J979" t="str">
        <f>VLOOKUP(E979,Base!$E:$F,2,FALSE)</f>
        <v>Edição integrada à impressão de cadastros, listas e outros produtos gráficos</v>
      </c>
      <c r="K979" t="s">
        <v>3572</v>
      </c>
      <c r="L979">
        <f>IFERROR(VLOOKUP($K979,Base_Atividades!$E$1:$N$2398,MATCH(BancoAjustado!L$1,Base_Atividades!$E$1:$N$1,0),FALSE),0)</f>
        <v>1</v>
      </c>
      <c r="M979">
        <f>IFERROR(VLOOKUP($K979,Base_Atividades!$E$1:$N$2398,MATCH(BancoAjustado!M$1,Base_Atividades!$E$1:$N$1,0),FALSE),0)</f>
        <v>0</v>
      </c>
      <c r="N979">
        <f>IFERROR(VLOOKUP($K979,Base_Atividades!$E$1:$N$2398,MATCH(BancoAjustado!N$1,Base_Atividades!$E$1:$N$1,0),FALSE),0)</f>
        <v>0</v>
      </c>
    </row>
    <row r="980" spans="1:14" x14ac:dyDescent="0.25">
      <c r="A980" t="s">
        <v>3551</v>
      </c>
      <c r="B980" t="s">
        <v>3573</v>
      </c>
      <c r="C980" t="s">
        <v>3574</v>
      </c>
      <c r="D980" t="s">
        <v>3575</v>
      </c>
      <c r="E980" t="s">
        <v>3576</v>
      </c>
      <c r="F980" t="str">
        <f>VLOOKUP(A980,Base!$A:$F,6,FALSE)</f>
        <v>INFORMAÇÃO E COMUNICAÇÃO</v>
      </c>
      <c r="G980" t="str">
        <f>VLOOKUP(B980,Base!$B:$F,5,FALSE)</f>
        <v>ATIVIDADES CINEMATOGRÁFICAS, PRODUÇÃO DE VÍDEOS E DE PROGRAMAS DE TELEVISÃO; GRAVAÇÃO DE SOM E EDIÇÃO DE MÚSICA</v>
      </c>
      <c r="H980" t="str">
        <f>VLOOKUP(C980,Base!$C:$F,4,FALSE)</f>
        <v>Atividades cinematográficas, produção de vídeos e de programas de televisão</v>
      </c>
      <c r="I980" t="str">
        <f>VLOOKUP(D980,Base!$D:$F,3,FALSE)</f>
        <v>Atividades de produção cinematográfica, de vídeos e de programas de televisão</v>
      </c>
      <c r="J980" t="str">
        <f>VLOOKUP(E980,Base!$E:$F,2,FALSE)</f>
        <v>Estúdios cinematográficos</v>
      </c>
      <c r="K980" t="s">
        <v>3576</v>
      </c>
      <c r="L980">
        <f>IFERROR(VLOOKUP($K980,Base_Atividades!$E$1:$N$2398,MATCH(BancoAjustado!L$1,Base_Atividades!$E$1:$N$1,0),FALSE),0)</f>
        <v>1</v>
      </c>
      <c r="M980">
        <f>IFERROR(VLOOKUP($K980,Base_Atividades!$E$1:$N$2398,MATCH(BancoAjustado!M$1,Base_Atividades!$E$1:$N$1,0),FALSE),0)</f>
        <v>0</v>
      </c>
      <c r="N980">
        <f>IFERROR(VLOOKUP($K980,Base_Atividades!$E$1:$N$2398,MATCH(BancoAjustado!N$1,Base_Atividades!$E$1:$N$1,0),FALSE),0)</f>
        <v>0</v>
      </c>
    </row>
    <row r="981" spans="1:14" x14ac:dyDescent="0.25">
      <c r="A981" t="s">
        <v>3551</v>
      </c>
      <c r="B981" t="s">
        <v>3573</v>
      </c>
      <c r="C981" t="s">
        <v>3574</v>
      </c>
      <c r="D981" t="s">
        <v>3575</v>
      </c>
      <c r="E981" t="s">
        <v>3577</v>
      </c>
      <c r="F981" t="str">
        <f>VLOOKUP(A981,Base!$A:$F,6,FALSE)</f>
        <v>INFORMAÇÃO E COMUNICAÇÃO</v>
      </c>
      <c r="G981" t="str">
        <f>VLOOKUP(B981,Base!$B:$F,5,FALSE)</f>
        <v>ATIVIDADES CINEMATOGRÁFICAS, PRODUÇÃO DE VÍDEOS E DE PROGRAMAS DE TELEVISÃO; GRAVAÇÃO DE SOM E EDIÇÃO DE MÚSICA</v>
      </c>
      <c r="H981" t="str">
        <f>VLOOKUP(C981,Base!$C:$F,4,FALSE)</f>
        <v>Atividades cinematográficas, produção de vídeos e de programas de televisão</v>
      </c>
      <c r="I981" t="str">
        <f>VLOOKUP(D981,Base!$D:$F,3,FALSE)</f>
        <v>Atividades de produção cinematográfica, de vídeos e de programas de televisão</v>
      </c>
      <c r="J981" t="str">
        <f>VLOOKUP(E981,Base!$E:$F,2,FALSE)</f>
        <v>Produção de filmes para publicidade</v>
      </c>
      <c r="K981" t="s">
        <v>3577</v>
      </c>
      <c r="L981">
        <f>IFERROR(VLOOKUP($K981,Base_Atividades!$E$1:$N$2398,MATCH(BancoAjustado!L$1,Base_Atividades!$E$1:$N$1,0),FALSE),0)</f>
        <v>1</v>
      </c>
      <c r="M981">
        <f>IFERROR(VLOOKUP($K981,Base_Atividades!$E$1:$N$2398,MATCH(BancoAjustado!M$1,Base_Atividades!$E$1:$N$1,0),FALSE),0)</f>
        <v>0</v>
      </c>
      <c r="N981">
        <f>IFERROR(VLOOKUP($K981,Base_Atividades!$E$1:$N$2398,MATCH(BancoAjustado!N$1,Base_Atividades!$E$1:$N$1,0),FALSE),0)</f>
        <v>0</v>
      </c>
    </row>
    <row r="982" spans="1:14" x14ac:dyDescent="0.25">
      <c r="A982" t="s">
        <v>3551</v>
      </c>
      <c r="B982" t="s">
        <v>3573</v>
      </c>
      <c r="C982" t="s">
        <v>3574</v>
      </c>
      <c r="D982" t="s">
        <v>3575</v>
      </c>
      <c r="E982" t="s">
        <v>3578</v>
      </c>
      <c r="F982" t="str">
        <f>VLOOKUP(A982,Base!$A:$F,6,FALSE)</f>
        <v>INFORMAÇÃO E COMUNICAÇÃO</v>
      </c>
      <c r="G982" t="str">
        <f>VLOOKUP(B982,Base!$B:$F,5,FALSE)</f>
        <v>ATIVIDADES CINEMATOGRÁFICAS, PRODUÇÃO DE VÍDEOS E DE PROGRAMAS DE TELEVISÃO; GRAVAÇÃO DE SOM E EDIÇÃO DE MÚSICA</v>
      </c>
      <c r="H982" t="str">
        <f>VLOOKUP(C982,Base!$C:$F,4,FALSE)</f>
        <v>Atividades cinematográficas, produção de vídeos e de programas de televisão</v>
      </c>
      <c r="I982" t="str">
        <f>VLOOKUP(D982,Base!$D:$F,3,FALSE)</f>
        <v>Atividades de produção cinematográfica, de vídeos e de programas de televisão</v>
      </c>
      <c r="J982" t="str">
        <f>VLOOKUP(E982,Base!$E:$F,2,FALSE)</f>
        <v>Atividades de produção cinematográfica, de vídeos e de programas de televisão não especificadas anteriormente</v>
      </c>
      <c r="K982" t="s">
        <v>3578</v>
      </c>
      <c r="L982">
        <f>IFERROR(VLOOKUP($K982,Base_Atividades!$E$1:$N$2398,MATCH(BancoAjustado!L$1,Base_Atividades!$E$1:$N$1,0),FALSE),0)</f>
        <v>1</v>
      </c>
      <c r="M982">
        <f>IFERROR(VLOOKUP($K982,Base_Atividades!$E$1:$N$2398,MATCH(BancoAjustado!M$1,Base_Atividades!$E$1:$N$1,0),FALSE),0)</f>
        <v>0</v>
      </c>
      <c r="N982">
        <f>IFERROR(VLOOKUP($K982,Base_Atividades!$E$1:$N$2398,MATCH(BancoAjustado!N$1,Base_Atividades!$E$1:$N$1,0),FALSE),0)</f>
        <v>0</v>
      </c>
    </row>
    <row r="983" spans="1:14" x14ac:dyDescent="0.25">
      <c r="A983" t="s">
        <v>3551</v>
      </c>
      <c r="B983" t="s">
        <v>3573</v>
      </c>
      <c r="C983" t="s">
        <v>3574</v>
      </c>
      <c r="D983" t="s">
        <v>3579</v>
      </c>
      <c r="E983" t="s">
        <v>3580</v>
      </c>
      <c r="F983" t="str">
        <f>VLOOKUP(A983,Base!$A:$F,6,FALSE)</f>
        <v>INFORMAÇÃO E COMUNICAÇÃO</v>
      </c>
      <c r="G983" t="str">
        <f>VLOOKUP(B983,Base!$B:$F,5,FALSE)</f>
        <v>ATIVIDADES CINEMATOGRÁFICAS, PRODUÇÃO DE VÍDEOS E DE PROGRAMAS DE TELEVISÃO; GRAVAÇÃO DE SOM E EDIÇÃO DE MÚSICA</v>
      </c>
      <c r="H983" t="str">
        <f>VLOOKUP(C983,Base!$C:$F,4,FALSE)</f>
        <v>Atividades cinematográficas, produção de vídeos e de programas de televisão</v>
      </c>
      <c r="I983" t="str">
        <f>VLOOKUP(D983,Base!$D:$F,3,FALSE)</f>
        <v>Atividades de pós-produção cinematográfica, de vídeos e de programas de televisão</v>
      </c>
      <c r="J983" t="str">
        <f>VLOOKUP(E983,Base!$E:$F,2,FALSE)</f>
        <v>Serviços de dublagem</v>
      </c>
      <c r="K983" t="s">
        <v>3580</v>
      </c>
      <c r="L983">
        <f>IFERROR(VLOOKUP($K983,Base_Atividades!$E$1:$N$2398,MATCH(BancoAjustado!L$1,Base_Atividades!$E$1:$N$1,0),FALSE),0)</f>
        <v>1</v>
      </c>
      <c r="M983">
        <f>IFERROR(VLOOKUP($K983,Base_Atividades!$E$1:$N$2398,MATCH(BancoAjustado!M$1,Base_Atividades!$E$1:$N$1,0),FALSE),0)</f>
        <v>0</v>
      </c>
      <c r="N983">
        <f>IFERROR(VLOOKUP($K983,Base_Atividades!$E$1:$N$2398,MATCH(BancoAjustado!N$1,Base_Atividades!$E$1:$N$1,0),FALSE),0)</f>
        <v>0</v>
      </c>
    </row>
    <row r="984" spans="1:14" x14ac:dyDescent="0.25">
      <c r="A984" t="s">
        <v>3551</v>
      </c>
      <c r="B984" t="s">
        <v>3573</v>
      </c>
      <c r="C984" t="s">
        <v>3574</v>
      </c>
      <c r="D984" t="s">
        <v>3579</v>
      </c>
      <c r="E984" t="s">
        <v>3581</v>
      </c>
      <c r="F984" t="str">
        <f>VLOOKUP(A984,Base!$A:$F,6,FALSE)</f>
        <v>INFORMAÇÃO E COMUNICAÇÃO</v>
      </c>
      <c r="G984" t="str">
        <f>VLOOKUP(B984,Base!$B:$F,5,FALSE)</f>
        <v>ATIVIDADES CINEMATOGRÁFICAS, PRODUÇÃO DE VÍDEOS E DE PROGRAMAS DE TELEVISÃO; GRAVAÇÃO DE SOM E EDIÇÃO DE MÚSICA</v>
      </c>
      <c r="H984" t="str">
        <f>VLOOKUP(C984,Base!$C:$F,4,FALSE)</f>
        <v>Atividades cinematográficas, produção de vídeos e de programas de televisão</v>
      </c>
      <c r="I984" t="str">
        <f>VLOOKUP(D984,Base!$D:$F,3,FALSE)</f>
        <v>Atividades de pós-produção cinematográfica, de vídeos e de programas de televisão</v>
      </c>
      <c r="J984" t="str">
        <f>VLOOKUP(E984,Base!$E:$F,2,FALSE)</f>
        <v>Serviços de mixagem sonora em produção audiovisual</v>
      </c>
      <c r="K984" t="s">
        <v>3581</v>
      </c>
      <c r="L984">
        <f>IFERROR(VLOOKUP($K984,Base_Atividades!$E$1:$N$2398,MATCH(BancoAjustado!L$1,Base_Atividades!$E$1:$N$1,0),FALSE),0)</f>
        <v>1</v>
      </c>
      <c r="M984">
        <f>IFERROR(VLOOKUP($K984,Base_Atividades!$E$1:$N$2398,MATCH(BancoAjustado!M$1,Base_Atividades!$E$1:$N$1,0),FALSE),0)</f>
        <v>0</v>
      </c>
      <c r="N984">
        <f>IFERROR(VLOOKUP($K984,Base_Atividades!$E$1:$N$2398,MATCH(BancoAjustado!N$1,Base_Atividades!$E$1:$N$1,0),FALSE),0)</f>
        <v>0</v>
      </c>
    </row>
    <row r="985" spans="1:14" x14ac:dyDescent="0.25">
      <c r="A985" t="s">
        <v>3551</v>
      </c>
      <c r="B985" t="s">
        <v>3573</v>
      </c>
      <c r="C985" t="s">
        <v>3574</v>
      </c>
      <c r="D985" t="s">
        <v>3579</v>
      </c>
      <c r="E985" t="s">
        <v>3582</v>
      </c>
      <c r="F985" t="str">
        <f>VLOOKUP(A985,Base!$A:$F,6,FALSE)</f>
        <v>INFORMAÇÃO E COMUNICAÇÃO</v>
      </c>
      <c r="G985" t="str">
        <f>VLOOKUP(B985,Base!$B:$F,5,FALSE)</f>
        <v>ATIVIDADES CINEMATOGRÁFICAS, PRODUÇÃO DE VÍDEOS E DE PROGRAMAS DE TELEVISÃO; GRAVAÇÃO DE SOM E EDIÇÃO DE MÚSICA</v>
      </c>
      <c r="H985" t="str">
        <f>VLOOKUP(C985,Base!$C:$F,4,FALSE)</f>
        <v>Atividades cinematográficas, produção de vídeos e de programas de televisão</v>
      </c>
      <c r="I985" t="str">
        <f>VLOOKUP(D985,Base!$D:$F,3,FALSE)</f>
        <v>Atividades de pós-produção cinematográfica, de vídeos e de programas de televisão</v>
      </c>
      <c r="J985" t="str">
        <f>VLOOKUP(E985,Base!$E:$F,2,FALSE)</f>
        <v>Atividades de pós-produção cinematográfica, de vídeos e de programas de televisão não especificadas anteriormente</v>
      </c>
      <c r="K985" t="s">
        <v>3582</v>
      </c>
      <c r="L985">
        <f>IFERROR(VLOOKUP($K985,Base_Atividades!$E$1:$N$2398,MATCH(BancoAjustado!L$1,Base_Atividades!$E$1:$N$1,0),FALSE),0)</f>
        <v>1</v>
      </c>
      <c r="M985">
        <f>IFERROR(VLOOKUP($K985,Base_Atividades!$E$1:$N$2398,MATCH(BancoAjustado!M$1,Base_Atividades!$E$1:$N$1,0),FALSE),0)</f>
        <v>0</v>
      </c>
      <c r="N985">
        <f>IFERROR(VLOOKUP($K985,Base_Atividades!$E$1:$N$2398,MATCH(BancoAjustado!N$1,Base_Atividades!$E$1:$N$1,0),FALSE),0)</f>
        <v>0</v>
      </c>
    </row>
    <row r="986" spans="1:14" x14ac:dyDescent="0.25">
      <c r="A986" t="s">
        <v>3551</v>
      </c>
      <c r="B986" t="s">
        <v>3573</v>
      </c>
      <c r="C986" t="s">
        <v>3574</v>
      </c>
      <c r="D986" t="s">
        <v>3583</v>
      </c>
      <c r="E986" t="s">
        <v>3584</v>
      </c>
      <c r="F986" t="str">
        <f>VLOOKUP(A986,Base!$A:$F,6,FALSE)</f>
        <v>INFORMAÇÃO E COMUNICAÇÃO</v>
      </c>
      <c r="G986" t="str">
        <f>VLOOKUP(B986,Base!$B:$F,5,FALSE)</f>
        <v>ATIVIDADES CINEMATOGRÁFICAS, PRODUÇÃO DE VÍDEOS E DE PROGRAMAS DE TELEVISÃO; GRAVAÇÃO DE SOM E EDIÇÃO DE MÚSICA</v>
      </c>
      <c r="H986" t="str">
        <f>VLOOKUP(C986,Base!$C:$F,4,FALSE)</f>
        <v>Atividades cinematográficas, produção de vídeos e de programas de televisão</v>
      </c>
      <c r="I986" t="str">
        <f>VLOOKUP(D986,Base!$D:$F,3,FALSE)</f>
        <v>Distribuição cinematográfica, de vídeo e de programas de televisão</v>
      </c>
      <c r="J986" t="str">
        <f>VLOOKUP(E986,Base!$E:$F,2,FALSE)</f>
        <v>Distribuição cinematográfica, de vídeo e de programas de televisão</v>
      </c>
      <c r="K986" t="s">
        <v>3584</v>
      </c>
      <c r="L986">
        <f>IFERROR(VLOOKUP($K986,Base_Atividades!$E$1:$N$2398,MATCH(BancoAjustado!L$1,Base_Atividades!$E$1:$N$1,0),FALSE),0)</f>
        <v>1</v>
      </c>
      <c r="M986">
        <f>IFERROR(VLOOKUP($K986,Base_Atividades!$E$1:$N$2398,MATCH(BancoAjustado!M$1,Base_Atividades!$E$1:$N$1,0),FALSE),0)</f>
        <v>0</v>
      </c>
      <c r="N986">
        <f>IFERROR(VLOOKUP($K986,Base_Atividades!$E$1:$N$2398,MATCH(BancoAjustado!N$1,Base_Atividades!$E$1:$N$1,0),FALSE),0)</f>
        <v>0</v>
      </c>
    </row>
    <row r="987" spans="1:14" x14ac:dyDescent="0.25">
      <c r="A987" t="s">
        <v>3551</v>
      </c>
      <c r="B987" t="s">
        <v>3573</v>
      </c>
      <c r="C987" t="s">
        <v>3574</v>
      </c>
      <c r="D987" t="s">
        <v>3585</v>
      </c>
      <c r="E987" t="s">
        <v>3586</v>
      </c>
      <c r="F987" t="str">
        <f>VLOOKUP(A987,Base!$A:$F,6,FALSE)</f>
        <v>INFORMAÇÃO E COMUNICAÇÃO</v>
      </c>
      <c r="G987" t="str">
        <f>VLOOKUP(B987,Base!$B:$F,5,FALSE)</f>
        <v>ATIVIDADES CINEMATOGRÁFICAS, PRODUÇÃO DE VÍDEOS E DE PROGRAMAS DE TELEVISÃO; GRAVAÇÃO DE SOM E EDIÇÃO DE MÚSICA</v>
      </c>
      <c r="H987" t="str">
        <f>VLOOKUP(C987,Base!$C:$F,4,FALSE)</f>
        <v>Atividades cinematográficas, produção de vídeos e de programas de televisão</v>
      </c>
      <c r="I987" t="str">
        <f>VLOOKUP(D987,Base!$D:$F,3,FALSE)</f>
        <v>Atividades de exibição cinematográfica</v>
      </c>
      <c r="J987" t="str">
        <f>VLOOKUP(E987,Base!$E:$F,2,FALSE)</f>
        <v>Atividades de exibição cinematográfica</v>
      </c>
      <c r="K987" t="s">
        <v>3586</v>
      </c>
      <c r="L987">
        <f>IFERROR(VLOOKUP($K987,Base_Atividades!$E$1:$N$2398,MATCH(BancoAjustado!L$1,Base_Atividades!$E$1:$N$1,0),FALSE),0)</f>
        <v>1</v>
      </c>
      <c r="M987">
        <f>IFERROR(VLOOKUP($K987,Base_Atividades!$E$1:$N$2398,MATCH(BancoAjustado!M$1,Base_Atividades!$E$1:$N$1,0),FALSE),0)</f>
        <v>0</v>
      </c>
      <c r="N987">
        <f>IFERROR(VLOOKUP($K987,Base_Atividades!$E$1:$N$2398,MATCH(BancoAjustado!N$1,Base_Atividades!$E$1:$N$1,0),FALSE),0)</f>
        <v>0</v>
      </c>
    </row>
    <row r="988" spans="1:14" x14ac:dyDescent="0.25">
      <c r="A988" t="s">
        <v>3551</v>
      </c>
      <c r="B988" t="s">
        <v>3573</v>
      </c>
      <c r="C988" t="s">
        <v>3587</v>
      </c>
      <c r="D988" t="s">
        <v>3588</v>
      </c>
      <c r="E988" t="s">
        <v>3589</v>
      </c>
      <c r="F988" t="str">
        <f>VLOOKUP(A988,Base!$A:$F,6,FALSE)</f>
        <v>INFORMAÇÃO E COMUNICAÇÃO</v>
      </c>
      <c r="G988" t="str">
        <f>VLOOKUP(B988,Base!$B:$F,5,FALSE)</f>
        <v>ATIVIDADES CINEMATOGRÁFICAS, PRODUÇÃO DE VÍDEOS E DE PROGRAMAS DE TELEVISÃO; GRAVAÇÃO DE SOM E EDIÇÃO DE MÚSICA</v>
      </c>
      <c r="H988" t="str">
        <f>VLOOKUP(C988,Base!$C:$F,4,FALSE)</f>
        <v>Atividades de gravação de som e de edição de música</v>
      </c>
      <c r="I988" t="str">
        <f>VLOOKUP(D988,Base!$D:$F,3,FALSE)</f>
        <v>Atividades de gravação de som e de edição de música</v>
      </c>
      <c r="J988" t="str">
        <f>VLOOKUP(E988,Base!$E:$F,2,FALSE)</f>
        <v>Atividades de gravação de som e de edição de música</v>
      </c>
      <c r="K988" t="s">
        <v>3589</v>
      </c>
      <c r="L988">
        <f>IFERROR(VLOOKUP($K988,Base_Atividades!$E$1:$N$2398,MATCH(BancoAjustado!L$1,Base_Atividades!$E$1:$N$1,0),FALSE),0)</f>
        <v>1</v>
      </c>
      <c r="M988">
        <f>IFERROR(VLOOKUP($K988,Base_Atividades!$E$1:$N$2398,MATCH(BancoAjustado!M$1,Base_Atividades!$E$1:$N$1,0),FALSE),0)</f>
        <v>0</v>
      </c>
      <c r="N988">
        <f>IFERROR(VLOOKUP($K988,Base_Atividades!$E$1:$N$2398,MATCH(BancoAjustado!N$1,Base_Atividades!$E$1:$N$1,0),FALSE),0)</f>
        <v>0</v>
      </c>
    </row>
    <row r="989" spans="1:14" x14ac:dyDescent="0.25">
      <c r="A989" t="s">
        <v>3551</v>
      </c>
      <c r="B989" t="s">
        <v>3590</v>
      </c>
      <c r="C989" t="s">
        <v>3591</v>
      </c>
      <c r="D989" t="s">
        <v>3592</v>
      </c>
      <c r="E989" t="s">
        <v>3593</v>
      </c>
      <c r="F989" t="str">
        <f>VLOOKUP(A989,Base!$A:$F,6,FALSE)</f>
        <v>INFORMAÇÃO E COMUNICAÇÃO</v>
      </c>
      <c r="G989" t="str">
        <f>VLOOKUP(B989,Base!$B:$F,5,FALSE)</f>
        <v>ATIVIDADES DE RÁDIO E DE TELEVISÃO</v>
      </c>
      <c r="H989" t="str">
        <f>VLOOKUP(C989,Base!$C:$F,4,FALSE)</f>
        <v>Atividades de rádio</v>
      </c>
      <c r="I989" t="str">
        <f>VLOOKUP(D989,Base!$D:$F,3,FALSE)</f>
        <v>Atividades de rádio</v>
      </c>
      <c r="J989" t="str">
        <f>VLOOKUP(E989,Base!$E:$F,2,FALSE)</f>
        <v>Atividades de rádio</v>
      </c>
      <c r="K989" t="s">
        <v>3593</v>
      </c>
      <c r="L989">
        <f>IFERROR(VLOOKUP($K989,Base_Atividades!$E$1:$N$2398,MATCH(BancoAjustado!L$1,Base_Atividades!$E$1:$N$1,0),FALSE),0)</f>
        <v>1</v>
      </c>
      <c r="M989">
        <f>IFERROR(VLOOKUP($K989,Base_Atividades!$E$1:$N$2398,MATCH(BancoAjustado!M$1,Base_Atividades!$E$1:$N$1,0),FALSE),0)</f>
        <v>0</v>
      </c>
      <c r="N989">
        <f>IFERROR(VLOOKUP($K989,Base_Atividades!$E$1:$N$2398,MATCH(BancoAjustado!N$1,Base_Atividades!$E$1:$N$1,0),FALSE),0)</f>
        <v>0</v>
      </c>
    </row>
    <row r="990" spans="1:14" x14ac:dyDescent="0.25">
      <c r="A990" t="s">
        <v>3551</v>
      </c>
      <c r="B990" t="s">
        <v>3590</v>
      </c>
      <c r="C990" t="s">
        <v>3594</v>
      </c>
      <c r="D990" t="s">
        <v>3595</v>
      </c>
      <c r="E990" t="s">
        <v>3596</v>
      </c>
      <c r="F990" t="str">
        <f>VLOOKUP(A990,Base!$A:$F,6,FALSE)</f>
        <v>INFORMAÇÃO E COMUNICAÇÃO</v>
      </c>
      <c r="G990" t="str">
        <f>VLOOKUP(B990,Base!$B:$F,5,FALSE)</f>
        <v>ATIVIDADES DE RÁDIO E DE TELEVISÃO</v>
      </c>
      <c r="H990" t="str">
        <f>VLOOKUP(C990,Base!$C:$F,4,FALSE)</f>
        <v>Atividades de televisão</v>
      </c>
      <c r="I990" t="str">
        <f>VLOOKUP(D990,Base!$D:$F,3,FALSE)</f>
        <v>Atividades de televisão aberta</v>
      </c>
      <c r="J990" t="str">
        <f>VLOOKUP(E990,Base!$E:$F,2,FALSE)</f>
        <v>Atividades de televisão aberta</v>
      </c>
      <c r="K990" t="s">
        <v>3596</v>
      </c>
      <c r="L990">
        <f>IFERROR(VLOOKUP($K990,Base_Atividades!$E$1:$N$2398,MATCH(BancoAjustado!L$1,Base_Atividades!$E$1:$N$1,0),FALSE),0)</f>
        <v>1</v>
      </c>
      <c r="M990">
        <f>IFERROR(VLOOKUP($K990,Base_Atividades!$E$1:$N$2398,MATCH(BancoAjustado!M$1,Base_Atividades!$E$1:$N$1,0),FALSE),0)</f>
        <v>0</v>
      </c>
      <c r="N990">
        <f>IFERROR(VLOOKUP($K990,Base_Atividades!$E$1:$N$2398,MATCH(BancoAjustado!N$1,Base_Atividades!$E$1:$N$1,0),FALSE),0)</f>
        <v>0</v>
      </c>
    </row>
    <row r="991" spans="1:14" x14ac:dyDescent="0.25">
      <c r="A991" t="s">
        <v>3551</v>
      </c>
      <c r="B991" t="s">
        <v>3590</v>
      </c>
      <c r="C991" t="s">
        <v>3594</v>
      </c>
      <c r="D991" t="s">
        <v>3597</v>
      </c>
      <c r="E991" t="s">
        <v>3598</v>
      </c>
      <c r="F991" t="str">
        <f>VLOOKUP(A991,Base!$A:$F,6,FALSE)</f>
        <v>INFORMAÇÃO E COMUNICAÇÃO</v>
      </c>
      <c r="G991" t="str">
        <f>VLOOKUP(B991,Base!$B:$F,5,FALSE)</f>
        <v>ATIVIDADES DE RÁDIO E DE TELEVISÃO</v>
      </c>
      <c r="H991" t="str">
        <f>VLOOKUP(C991,Base!$C:$F,4,FALSE)</f>
        <v>Atividades de televisão</v>
      </c>
      <c r="I991" t="str">
        <f>VLOOKUP(D991,Base!$D:$F,3,FALSE)</f>
        <v>Programadoras e atividades relacionadas à televisão por assinatura</v>
      </c>
      <c r="J991" t="str">
        <f>VLOOKUP(E991,Base!$E:$F,2,FALSE)</f>
        <v>Programadoras</v>
      </c>
      <c r="K991" t="s">
        <v>3598</v>
      </c>
      <c r="L991">
        <f>IFERROR(VLOOKUP($K991,Base_Atividades!$E$1:$N$2398,MATCH(BancoAjustado!L$1,Base_Atividades!$E$1:$N$1,0),FALSE),0)</f>
        <v>1</v>
      </c>
      <c r="M991">
        <f>IFERROR(VLOOKUP($K991,Base_Atividades!$E$1:$N$2398,MATCH(BancoAjustado!M$1,Base_Atividades!$E$1:$N$1,0),FALSE),0)</f>
        <v>0</v>
      </c>
      <c r="N991">
        <f>IFERROR(VLOOKUP($K991,Base_Atividades!$E$1:$N$2398,MATCH(BancoAjustado!N$1,Base_Atividades!$E$1:$N$1,0),FALSE),0)</f>
        <v>0</v>
      </c>
    </row>
    <row r="992" spans="1:14" x14ac:dyDescent="0.25">
      <c r="A992" t="s">
        <v>3551</v>
      </c>
      <c r="B992" t="s">
        <v>3590</v>
      </c>
      <c r="C992" t="s">
        <v>3594</v>
      </c>
      <c r="D992" t="s">
        <v>3597</v>
      </c>
      <c r="E992" t="s">
        <v>3599</v>
      </c>
      <c r="F992" t="str">
        <f>VLOOKUP(A992,Base!$A:$F,6,FALSE)</f>
        <v>INFORMAÇÃO E COMUNICAÇÃO</v>
      </c>
      <c r="G992" t="str">
        <f>VLOOKUP(B992,Base!$B:$F,5,FALSE)</f>
        <v>ATIVIDADES DE RÁDIO E DE TELEVISÃO</v>
      </c>
      <c r="H992" t="str">
        <f>VLOOKUP(C992,Base!$C:$F,4,FALSE)</f>
        <v>Atividades de televisão</v>
      </c>
      <c r="I992" t="str">
        <f>VLOOKUP(D992,Base!$D:$F,3,FALSE)</f>
        <v>Programadoras e atividades relacionadas à televisão por assinatura</v>
      </c>
      <c r="J992" t="str">
        <f>VLOOKUP(E992,Base!$E:$F,2,FALSE)</f>
        <v>Atividades relacionadas à televisão por assinatura, exceto programadoras</v>
      </c>
      <c r="K992" t="s">
        <v>3599</v>
      </c>
      <c r="L992">
        <f>IFERROR(VLOOKUP($K992,Base_Atividades!$E$1:$N$2398,MATCH(BancoAjustado!L$1,Base_Atividades!$E$1:$N$1,0),FALSE),0)</f>
        <v>1</v>
      </c>
      <c r="M992">
        <f>IFERROR(VLOOKUP($K992,Base_Atividades!$E$1:$N$2398,MATCH(BancoAjustado!M$1,Base_Atividades!$E$1:$N$1,0),FALSE),0)</f>
        <v>0</v>
      </c>
      <c r="N992">
        <f>IFERROR(VLOOKUP($K992,Base_Atividades!$E$1:$N$2398,MATCH(BancoAjustado!N$1,Base_Atividades!$E$1:$N$1,0),FALSE),0)</f>
        <v>0</v>
      </c>
    </row>
    <row r="993" spans="1:14" x14ac:dyDescent="0.25">
      <c r="A993" t="s">
        <v>3551</v>
      </c>
      <c r="B993" t="s">
        <v>3600</v>
      </c>
      <c r="C993" t="s">
        <v>3601</v>
      </c>
      <c r="D993" t="s">
        <v>3602</v>
      </c>
      <c r="E993" t="s">
        <v>3603</v>
      </c>
      <c r="F993" t="str">
        <f>VLOOKUP(A993,Base!$A:$F,6,FALSE)</f>
        <v>INFORMAÇÃO E COMUNICAÇÃO</v>
      </c>
      <c r="G993" t="str">
        <f>VLOOKUP(B993,Base!$B:$F,5,FALSE)</f>
        <v>TELECOMUNICAÇÕES</v>
      </c>
      <c r="H993" t="str">
        <f>VLOOKUP(C993,Base!$C:$F,4,FALSE)</f>
        <v>Telecomunicações por fio</v>
      </c>
      <c r="I993" t="str">
        <f>VLOOKUP(D993,Base!$D:$F,3,FALSE)</f>
        <v>Telecomunicações por fio</v>
      </c>
      <c r="J993" t="str">
        <f>VLOOKUP(E993,Base!$E:$F,2,FALSE)</f>
        <v>Serviços de telefonia fixa comutada - STFC</v>
      </c>
      <c r="K993" t="s">
        <v>3603</v>
      </c>
      <c r="L993">
        <f>IFERROR(VLOOKUP($K993,Base_Atividades!$E$1:$N$2398,MATCH(BancoAjustado!L$1,Base_Atividades!$E$1:$N$1,0),FALSE),0)</f>
        <v>1</v>
      </c>
      <c r="M993">
        <f>IFERROR(VLOOKUP($K993,Base_Atividades!$E$1:$N$2398,MATCH(BancoAjustado!M$1,Base_Atividades!$E$1:$N$1,0),FALSE),0)</f>
        <v>0</v>
      </c>
      <c r="N993">
        <f>IFERROR(VLOOKUP($K993,Base_Atividades!$E$1:$N$2398,MATCH(BancoAjustado!N$1,Base_Atividades!$E$1:$N$1,0),FALSE),0)</f>
        <v>0</v>
      </c>
    </row>
    <row r="994" spans="1:14" x14ac:dyDescent="0.25">
      <c r="A994" t="s">
        <v>3551</v>
      </c>
      <c r="B994" t="s">
        <v>3600</v>
      </c>
      <c r="C994" t="s">
        <v>3601</v>
      </c>
      <c r="D994" t="s">
        <v>3602</v>
      </c>
      <c r="E994" t="s">
        <v>3604</v>
      </c>
      <c r="F994" t="str">
        <f>VLOOKUP(A994,Base!$A:$F,6,FALSE)</f>
        <v>INFORMAÇÃO E COMUNICAÇÃO</v>
      </c>
      <c r="G994" t="str">
        <f>VLOOKUP(B994,Base!$B:$F,5,FALSE)</f>
        <v>TELECOMUNICAÇÕES</v>
      </c>
      <c r="H994" t="str">
        <f>VLOOKUP(C994,Base!$C:$F,4,FALSE)</f>
        <v>Telecomunicações por fio</v>
      </c>
      <c r="I994" t="str">
        <f>VLOOKUP(D994,Base!$D:$F,3,FALSE)</f>
        <v>Telecomunicações por fio</v>
      </c>
      <c r="J994" t="str">
        <f>VLOOKUP(E994,Base!$E:$F,2,FALSE)</f>
        <v>Serviços de redes de transporte de telecomunicações - SRTT</v>
      </c>
      <c r="K994" t="s">
        <v>3604</v>
      </c>
      <c r="L994">
        <f>IFERROR(VLOOKUP($K994,Base_Atividades!$E$1:$N$2398,MATCH(BancoAjustado!L$1,Base_Atividades!$E$1:$N$1,0),FALSE),0)</f>
        <v>1</v>
      </c>
      <c r="M994">
        <f>IFERROR(VLOOKUP($K994,Base_Atividades!$E$1:$N$2398,MATCH(BancoAjustado!M$1,Base_Atividades!$E$1:$N$1,0),FALSE),0)</f>
        <v>0</v>
      </c>
      <c r="N994">
        <f>IFERROR(VLOOKUP($K994,Base_Atividades!$E$1:$N$2398,MATCH(BancoAjustado!N$1,Base_Atividades!$E$1:$N$1,0),FALSE),0)</f>
        <v>0</v>
      </c>
    </row>
    <row r="995" spans="1:14" x14ac:dyDescent="0.25">
      <c r="A995" t="s">
        <v>3551</v>
      </c>
      <c r="B995" t="s">
        <v>3600</v>
      </c>
      <c r="C995" t="s">
        <v>3601</v>
      </c>
      <c r="D995" t="s">
        <v>3602</v>
      </c>
      <c r="E995" t="s">
        <v>3605</v>
      </c>
      <c r="F995" t="str">
        <f>VLOOKUP(A995,Base!$A:$F,6,FALSE)</f>
        <v>INFORMAÇÃO E COMUNICAÇÃO</v>
      </c>
      <c r="G995" t="str">
        <f>VLOOKUP(B995,Base!$B:$F,5,FALSE)</f>
        <v>TELECOMUNICAÇÕES</v>
      </c>
      <c r="H995" t="str">
        <f>VLOOKUP(C995,Base!$C:$F,4,FALSE)</f>
        <v>Telecomunicações por fio</v>
      </c>
      <c r="I995" t="str">
        <f>VLOOKUP(D995,Base!$D:$F,3,FALSE)</f>
        <v>Telecomunicações por fio</v>
      </c>
      <c r="J995" t="str">
        <f>VLOOKUP(E995,Base!$E:$F,2,FALSE)</f>
        <v>Serviços de comunicação multimídia - SCM</v>
      </c>
      <c r="K995" t="s">
        <v>3605</v>
      </c>
      <c r="L995">
        <f>IFERROR(VLOOKUP($K995,Base_Atividades!$E$1:$N$2398,MATCH(BancoAjustado!L$1,Base_Atividades!$E$1:$N$1,0),FALSE),0)</f>
        <v>1</v>
      </c>
      <c r="M995">
        <f>IFERROR(VLOOKUP($K995,Base_Atividades!$E$1:$N$2398,MATCH(BancoAjustado!M$1,Base_Atividades!$E$1:$N$1,0),FALSE),0)</f>
        <v>0</v>
      </c>
      <c r="N995">
        <f>IFERROR(VLOOKUP($K995,Base_Atividades!$E$1:$N$2398,MATCH(BancoAjustado!N$1,Base_Atividades!$E$1:$N$1,0),FALSE),0)</f>
        <v>0</v>
      </c>
    </row>
    <row r="996" spans="1:14" x14ac:dyDescent="0.25">
      <c r="A996" t="s">
        <v>3551</v>
      </c>
      <c r="B996" t="s">
        <v>3600</v>
      </c>
      <c r="C996" t="s">
        <v>3601</v>
      </c>
      <c r="D996" t="s">
        <v>3602</v>
      </c>
      <c r="E996" t="s">
        <v>3606</v>
      </c>
      <c r="F996" t="str">
        <f>VLOOKUP(A996,Base!$A:$F,6,FALSE)</f>
        <v>INFORMAÇÃO E COMUNICAÇÃO</v>
      </c>
      <c r="G996" t="str">
        <f>VLOOKUP(B996,Base!$B:$F,5,FALSE)</f>
        <v>TELECOMUNICAÇÕES</v>
      </c>
      <c r="H996" t="str">
        <f>VLOOKUP(C996,Base!$C:$F,4,FALSE)</f>
        <v>Telecomunicações por fio</v>
      </c>
      <c r="I996" t="str">
        <f>VLOOKUP(D996,Base!$D:$F,3,FALSE)</f>
        <v>Telecomunicações por fio</v>
      </c>
      <c r="J996" t="str">
        <f>VLOOKUP(E996,Base!$E:$F,2,FALSE)</f>
        <v>Serviços de telecomunicações por fio não especificados anteriormente</v>
      </c>
      <c r="K996" t="s">
        <v>3606</v>
      </c>
      <c r="L996">
        <f>IFERROR(VLOOKUP($K996,Base_Atividades!$E$1:$N$2398,MATCH(BancoAjustado!L$1,Base_Atividades!$E$1:$N$1,0),FALSE),0)</f>
        <v>1</v>
      </c>
      <c r="M996">
        <f>IFERROR(VLOOKUP($K996,Base_Atividades!$E$1:$N$2398,MATCH(BancoAjustado!M$1,Base_Atividades!$E$1:$N$1,0),FALSE),0)</f>
        <v>0</v>
      </c>
      <c r="N996">
        <f>IFERROR(VLOOKUP($K996,Base_Atividades!$E$1:$N$2398,MATCH(BancoAjustado!N$1,Base_Atividades!$E$1:$N$1,0),FALSE),0)</f>
        <v>0</v>
      </c>
    </row>
    <row r="997" spans="1:14" x14ac:dyDescent="0.25">
      <c r="A997" t="s">
        <v>3551</v>
      </c>
      <c r="B997" t="s">
        <v>3600</v>
      </c>
      <c r="C997" t="s">
        <v>3607</v>
      </c>
      <c r="D997" t="s">
        <v>3608</v>
      </c>
      <c r="E997" t="s">
        <v>3609</v>
      </c>
      <c r="F997" t="str">
        <f>VLOOKUP(A997,Base!$A:$F,6,FALSE)</f>
        <v>INFORMAÇÃO E COMUNICAÇÃO</v>
      </c>
      <c r="G997" t="str">
        <f>VLOOKUP(B997,Base!$B:$F,5,FALSE)</f>
        <v>TELECOMUNICAÇÕES</v>
      </c>
      <c r="H997" t="str">
        <f>VLOOKUP(C997,Base!$C:$F,4,FALSE)</f>
        <v>Telecomunicações sem fio</v>
      </c>
      <c r="I997" t="str">
        <f>VLOOKUP(D997,Base!$D:$F,3,FALSE)</f>
        <v>Telecomunicações sem fio</v>
      </c>
      <c r="J997" t="str">
        <f>VLOOKUP(E997,Base!$E:$F,2,FALSE)</f>
        <v>Telefonia móvel celular</v>
      </c>
      <c r="K997" t="s">
        <v>3609</v>
      </c>
      <c r="L997">
        <f>IFERROR(VLOOKUP($K997,Base_Atividades!$E$1:$N$2398,MATCH(BancoAjustado!L$1,Base_Atividades!$E$1:$N$1,0),FALSE),0)</f>
        <v>1</v>
      </c>
      <c r="M997">
        <f>IFERROR(VLOOKUP($K997,Base_Atividades!$E$1:$N$2398,MATCH(BancoAjustado!M$1,Base_Atividades!$E$1:$N$1,0),FALSE),0)</f>
        <v>0</v>
      </c>
      <c r="N997">
        <f>IFERROR(VLOOKUP($K997,Base_Atividades!$E$1:$N$2398,MATCH(BancoAjustado!N$1,Base_Atividades!$E$1:$N$1,0),FALSE),0)</f>
        <v>0</v>
      </c>
    </row>
    <row r="998" spans="1:14" x14ac:dyDescent="0.25">
      <c r="A998" t="s">
        <v>3551</v>
      </c>
      <c r="B998" t="s">
        <v>3600</v>
      </c>
      <c r="C998" t="s">
        <v>3607</v>
      </c>
      <c r="D998" t="s">
        <v>3608</v>
      </c>
      <c r="E998" t="s">
        <v>3610</v>
      </c>
      <c r="F998" t="str">
        <f>VLOOKUP(A998,Base!$A:$F,6,FALSE)</f>
        <v>INFORMAÇÃO E COMUNICAÇÃO</v>
      </c>
      <c r="G998" t="str">
        <f>VLOOKUP(B998,Base!$B:$F,5,FALSE)</f>
        <v>TELECOMUNICAÇÕES</v>
      </c>
      <c r="H998" t="str">
        <f>VLOOKUP(C998,Base!$C:$F,4,FALSE)</f>
        <v>Telecomunicações sem fio</v>
      </c>
      <c r="I998" t="str">
        <f>VLOOKUP(D998,Base!$D:$F,3,FALSE)</f>
        <v>Telecomunicações sem fio</v>
      </c>
      <c r="J998" t="str">
        <f>VLOOKUP(E998,Base!$E:$F,2,FALSE)</f>
        <v>Serviço móvel especializado - SME</v>
      </c>
      <c r="K998" t="s">
        <v>3610</v>
      </c>
      <c r="L998">
        <f>IFERROR(VLOOKUP($K998,Base_Atividades!$E$1:$N$2398,MATCH(BancoAjustado!L$1,Base_Atividades!$E$1:$N$1,0),FALSE),0)</f>
        <v>1</v>
      </c>
      <c r="M998">
        <f>IFERROR(VLOOKUP($K998,Base_Atividades!$E$1:$N$2398,MATCH(BancoAjustado!M$1,Base_Atividades!$E$1:$N$1,0),FALSE),0)</f>
        <v>0</v>
      </c>
      <c r="N998">
        <f>IFERROR(VLOOKUP($K998,Base_Atividades!$E$1:$N$2398,MATCH(BancoAjustado!N$1,Base_Atividades!$E$1:$N$1,0),FALSE),0)</f>
        <v>0</v>
      </c>
    </row>
    <row r="999" spans="1:14" x14ac:dyDescent="0.25">
      <c r="A999" t="s">
        <v>3551</v>
      </c>
      <c r="B999" t="s">
        <v>3600</v>
      </c>
      <c r="C999" t="s">
        <v>3607</v>
      </c>
      <c r="D999" t="s">
        <v>3608</v>
      </c>
      <c r="E999" t="s">
        <v>3611</v>
      </c>
      <c r="F999" t="str">
        <f>VLOOKUP(A999,Base!$A:$F,6,FALSE)</f>
        <v>INFORMAÇÃO E COMUNICAÇÃO</v>
      </c>
      <c r="G999" t="str">
        <f>VLOOKUP(B999,Base!$B:$F,5,FALSE)</f>
        <v>TELECOMUNICAÇÕES</v>
      </c>
      <c r="H999" t="str">
        <f>VLOOKUP(C999,Base!$C:$F,4,FALSE)</f>
        <v>Telecomunicações sem fio</v>
      </c>
      <c r="I999" t="str">
        <f>VLOOKUP(D999,Base!$D:$F,3,FALSE)</f>
        <v>Telecomunicações sem fio</v>
      </c>
      <c r="J999" t="str">
        <f>VLOOKUP(E999,Base!$E:$F,2,FALSE)</f>
        <v>Serviços de telecomunicações sem fio não especificados anteriormente</v>
      </c>
      <c r="K999" t="s">
        <v>3611</v>
      </c>
      <c r="L999">
        <f>IFERROR(VLOOKUP($K999,Base_Atividades!$E$1:$N$2398,MATCH(BancoAjustado!L$1,Base_Atividades!$E$1:$N$1,0),FALSE),0)</f>
        <v>1</v>
      </c>
      <c r="M999">
        <f>IFERROR(VLOOKUP($K999,Base_Atividades!$E$1:$N$2398,MATCH(BancoAjustado!M$1,Base_Atividades!$E$1:$N$1,0),FALSE),0)</f>
        <v>0</v>
      </c>
      <c r="N999">
        <f>IFERROR(VLOOKUP($K999,Base_Atividades!$E$1:$N$2398,MATCH(BancoAjustado!N$1,Base_Atividades!$E$1:$N$1,0),FALSE),0)</f>
        <v>0</v>
      </c>
    </row>
    <row r="1000" spans="1:14" x14ac:dyDescent="0.25">
      <c r="A1000" t="s">
        <v>3551</v>
      </c>
      <c r="B1000" t="s">
        <v>3600</v>
      </c>
      <c r="C1000" t="s">
        <v>3612</v>
      </c>
      <c r="D1000" t="s">
        <v>3613</v>
      </c>
      <c r="E1000" t="s">
        <v>3614</v>
      </c>
      <c r="F1000" t="str">
        <f>VLOOKUP(A1000,Base!$A:$F,6,FALSE)</f>
        <v>INFORMAÇÃO E COMUNICAÇÃO</v>
      </c>
      <c r="G1000" t="str">
        <f>VLOOKUP(B1000,Base!$B:$F,5,FALSE)</f>
        <v>TELECOMUNICAÇÕES</v>
      </c>
      <c r="H1000" t="str">
        <f>VLOOKUP(C1000,Base!$C:$F,4,FALSE)</f>
        <v>Telecomunicações por satélite</v>
      </c>
      <c r="I1000" t="str">
        <f>VLOOKUP(D1000,Base!$D:$F,3,FALSE)</f>
        <v>Telecomunicações por satélite</v>
      </c>
      <c r="J1000" t="str">
        <f>VLOOKUP(E1000,Base!$E:$F,2,FALSE)</f>
        <v>Telecomunicações por satélite</v>
      </c>
      <c r="K1000" t="s">
        <v>3614</v>
      </c>
      <c r="L1000">
        <f>IFERROR(VLOOKUP($K1000,Base_Atividades!$E$1:$N$2398,MATCH(BancoAjustado!L$1,Base_Atividades!$E$1:$N$1,0),FALSE),0)</f>
        <v>1</v>
      </c>
      <c r="M1000">
        <f>IFERROR(VLOOKUP($K1000,Base_Atividades!$E$1:$N$2398,MATCH(BancoAjustado!M$1,Base_Atividades!$E$1:$N$1,0),FALSE),0)</f>
        <v>0</v>
      </c>
      <c r="N1000">
        <f>IFERROR(VLOOKUP($K1000,Base_Atividades!$E$1:$N$2398,MATCH(BancoAjustado!N$1,Base_Atividades!$E$1:$N$1,0),FALSE),0)</f>
        <v>0</v>
      </c>
    </row>
    <row r="1001" spans="1:14" x14ac:dyDescent="0.25">
      <c r="A1001" t="s">
        <v>3551</v>
      </c>
      <c r="B1001" t="s">
        <v>3600</v>
      </c>
      <c r="C1001" t="s">
        <v>3615</v>
      </c>
      <c r="D1001" t="s">
        <v>3616</v>
      </c>
      <c r="E1001" t="s">
        <v>3617</v>
      </c>
      <c r="F1001" t="str">
        <f>VLOOKUP(A1001,Base!$A:$F,6,FALSE)</f>
        <v>INFORMAÇÃO E COMUNICAÇÃO</v>
      </c>
      <c r="G1001" t="str">
        <f>VLOOKUP(B1001,Base!$B:$F,5,FALSE)</f>
        <v>TELECOMUNICAÇÕES</v>
      </c>
      <c r="H1001" t="str">
        <f>VLOOKUP(C1001,Base!$C:$F,4,FALSE)</f>
        <v>Operadoras de televisão por assinatura</v>
      </c>
      <c r="I1001" t="str">
        <f>VLOOKUP(D1001,Base!$D:$F,3,FALSE)</f>
        <v>Operadoras de televisão por assinatura por cabo</v>
      </c>
      <c r="J1001" t="str">
        <f>VLOOKUP(E1001,Base!$E:$F,2,FALSE)</f>
        <v>Operadoras de televisão por assinatura por cabo</v>
      </c>
      <c r="K1001" t="s">
        <v>3617</v>
      </c>
      <c r="L1001">
        <f>IFERROR(VLOOKUP($K1001,Base_Atividades!$E$1:$N$2398,MATCH(BancoAjustado!L$1,Base_Atividades!$E$1:$N$1,0),FALSE),0)</f>
        <v>1</v>
      </c>
      <c r="M1001">
        <f>IFERROR(VLOOKUP($K1001,Base_Atividades!$E$1:$N$2398,MATCH(BancoAjustado!M$1,Base_Atividades!$E$1:$N$1,0),FALSE),0)</f>
        <v>0</v>
      </c>
      <c r="N1001">
        <f>IFERROR(VLOOKUP($K1001,Base_Atividades!$E$1:$N$2398,MATCH(BancoAjustado!N$1,Base_Atividades!$E$1:$N$1,0),FALSE),0)</f>
        <v>0</v>
      </c>
    </row>
    <row r="1002" spans="1:14" x14ac:dyDescent="0.25">
      <c r="A1002" t="s">
        <v>3551</v>
      </c>
      <c r="B1002" t="s">
        <v>3600</v>
      </c>
      <c r="C1002" t="s">
        <v>3615</v>
      </c>
      <c r="D1002" t="s">
        <v>3618</v>
      </c>
      <c r="E1002" t="s">
        <v>3619</v>
      </c>
      <c r="F1002" t="str">
        <f>VLOOKUP(A1002,Base!$A:$F,6,FALSE)</f>
        <v>INFORMAÇÃO E COMUNICAÇÃO</v>
      </c>
      <c r="G1002" t="str">
        <f>VLOOKUP(B1002,Base!$B:$F,5,FALSE)</f>
        <v>TELECOMUNICAÇÕES</v>
      </c>
      <c r="H1002" t="str">
        <f>VLOOKUP(C1002,Base!$C:$F,4,FALSE)</f>
        <v>Operadoras de televisão por assinatura</v>
      </c>
      <c r="I1002" t="str">
        <f>VLOOKUP(D1002,Base!$D:$F,3,FALSE)</f>
        <v>Operadoras de televisão por assinatura por micro-ondas</v>
      </c>
      <c r="J1002" t="str">
        <f>VLOOKUP(E1002,Base!$E:$F,2,FALSE)</f>
        <v>Operadoras de televisão por assinatura por micro-ondas</v>
      </c>
      <c r="K1002" t="s">
        <v>3619</v>
      </c>
      <c r="L1002">
        <f>IFERROR(VLOOKUP($K1002,Base_Atividades!$E$1:$N$2398,MATCH(BancoAjustado!L$1,Base_Atividades!$E$1:$N$1,0),FALSE),0)</f>
        <v>1</v>
      </c>
      <c r="M1002">
        <f>IFERROR(VLOOKUP($K1002,Base_Atividades!$E$1:$N$2398,MATCH(BancoAjustado!M$1,Base_Atividades!$E$1:$N$1,0),FALSE),0)</f>
        <v>0</v>
      </c>
      <c r="N1002">
        <f>IFERROR(VLOOKUP($K1002,Base_Atividades!$E$1:$N$2398,MATCH(BancoAjustado!N$1,Base_Atividades!$E$1:$N$1,0),FALSE),0)</f>
        <v>0</v>
      </c>
    </row>
    <row r="1003" spans="1:14" x14ac:dyDescent="0.25">
      <c r="A1003" t="s">
        <v>3551</v>
      </c>
      <c r="B1003" t="s">
        <v>3600</v>
      </c>
      <c r="C1003" t="s">
        <v>3615</v>
      </c>
      <c r="D1003" t="s">
        <v>3620</v>
      </c>
      <c r="E1003" t="s">
        <v>3621</v>
      </c>
      <c r="F1003" t="str">
        <f>VLOOKUP(A1003,Base!$A:$F,6,FALSE)</f>
        <v>INFORMAÇÃO E COMUNICAÇÃO</v>
      </c>
      <c r="G1003" t="str">
        <f>VLOOKUP(B1003,Base!$B:$F,5,FALSE)</f>
        <v>TELECOMUNICAÇÕES</v>
      </c>
      <c r="H1003" t="str">
        <f>VLOOKUP(C1003,Base!$C:$F,4,FALSE)</f>
        <v>Operadoras de televisão por assinatura</v>
      </c>
      <c r="I1003" t="str">
        <f>VLOOKUP(D1003,Base!$D:$F,3,FALSE)</f>
        <v>Operadoras de televisão por assinatura por satélite</v>
      </c>
      <c r="J1003" t="str">
        <f>VLOOKUP(E1003,Base!$E:$F,2,FALSE)</f>
        <v>Operadoras de televisão por assinatura por satélite</v>
      </c>
      <c r="K1003" t="s">
        <v>3621</v>
      </c>
      <c r="L1003">
        <f>IFERROR(VLOOKUP($K1003,Base_Atividades!$E$1:$N$2398,MATCH(BancoAjustado!L$1,Base_Atividades!$E$1:$N$1,0),FALSE),0)</f>
        <v>1</v>
      </c>
      <c r="M1003">
        <f>IFERROR(VLOOKUP($K1003,Base_Atividades!$E$1:$N$2398,MATCH(BancoAjustado!M$1,Base_Atividades!$E$1:$N$1,0),FALSE),0)</f>
        <v>0</v>
      </c>
      <c r="N1003">
        <f>IFERROR(VLOOKUP($K1003,Base_Atividades!$E$1:$N$2398,MATCH(BancoAjustado!N$1,Base_Atividades!$E$1:$N$1,0),FALSE),0)</f>
        <v>0</v>
      </c>
    </row>
    <row r="1004" spans="1:14" x14ac:dyDescent="0.25">
      <c r="A1004" t="s">
        <v>3551</v>
      </c>
      <c r="B1004" t="s">
        <v>3600</v>
      </c>
      <c r="C1004" t="s">
        <v>3622</v>
      </c>
      <c r="D1004" t="s">
        <v>3623</v>
      </c>
      <c r="E1004" t="s">
        <v>3624</v>
      </c>
      <c r="F1004" t="str">
        <f>VLOOKUP(A1004,Base!$A:$F,6,FALSE)</f>
        <v>INFORMAÇÃO E COMUNICAÇÃO</v>
      </c>
      <c r="G1004" t="str">
        <f>VLOOKUP(B1004,Base!$B:$F,5,FALSE)</f>
        <v>TELECOMUNICAÇÕES</v>
      </c>
      <c r="H1004" t="str">
        <f>VLOOKUP(C1004,Base!$C:$F,4,FALSE)</f>
        <v>Outras atividades de telecomunicações</v>
      </c>
      <c r="I1004" t="str">
        <f>VLOOKUP(D1004,Base!$D:$F,3,FALSE)</f>
        <v>Outras atividades de telecomunicações</v>
      </c>
      <c r="J1004" t="str">
        <f>VLOOKUP(E1004,Base!$E:$F,2,FALSE)</f>
        <v>Provedores de acesso às redes de comunicações</v>
      </c>
      <c r="K1004" t="s">
        <v>3624</v>
      </c>
      <c r="L1004">
        <f>IFERROR(VLOOKUP($K1004,Base_Atividades!$E$1:$N$2398,MATCH(BancoAjustado!L$1,Base_Atividades!$E$1:$N$1,0),FALSE),0)</f>
        <v>1</v>
      </c>
      <c r="M1004">
        <f>IFERROR(VLOOKUP($K1004,Base_Atividades!$E$1:$N$2398,MATCH(BancoAjustado!M$1,Base_Atividades!$E$1:$N$1,0),FALSE),0)</f>
        <v>0</v>
      </c>
      <c r="N1004">
        <f>IFERROR(VLOOKUP($K1004,Base_Atividades!$E$1:$N$2398,MATCH(BancoAjustado!N$1,Base_Atividades!$E$1:$N$1,0),FALSE),0)</f>
        <v>0</v>
      </c>
    </row>
    <row r="1005" spans="1:14" x14ac:dyDescent="0.25">
      <c r="A1005" t="s">
        <v>3551</v>
      </c>
      <c r="B1005" t="s">
        <v>3600</v>
      </c>
      <c r="C1005" t="s">
        <v>3622</v>
      </c>
      <c r="D1005" t="s">
        <v>3623</v>
      </c>
      <c r="E1005" t="s">
        <v>3625</v>
      </c>
      <c r="F1005" t="str">
        <f>VLOOKUP(A1005,Base!$A:$F,6,FALSE)</f>
        <v>INFORMAÇÃO E COMUNICAÇÃO</v>
      </c>
      <c r="G1005" t="str">
        <f>VLOOKUP(B1005,Base!$B:$F,5,FALSE)</f>
        <v>TELECOMUNICAÇÕES</v>
      </c>
      <c r="H1005" t="str">
        <f>VLOOKUP(C1005,Base!$C:$F,4,FALSE)</f>
        <v>Outras atividades de telecomunicações</v>
      </c>
      <c r="I1005" t="str">
        <f>VLOOKUP(D1005,Base!$D:$F,3,FALSE)</f>
        <v>Outras atividades de telecomunicações</v>
      </c>
      <c r="J1005" t="str">
        <f>VLOOKUP(E1005,Base!$E:$F,2,FALSE)</f>
        <v>Provedores de voz sobre protocolo Internet - VOIP</v>
      </c>
      <c r="K1005" t="s">
        <v>3625</v>
      </c>
      <c r="L1005">
        <f>IFERROR(VLOOKUP($K1005,Base_Atividades!$E$1:$N$2398,MATCH(BancoAjustado!L$1,Base_Atividades!$E$1:$N$1,0),FALSE),0)</f>
        <v>1</v>
      </c>
      <c r="M1005">
        <f>IFERROR(VLOOKUP($K1005,Base_Atividades!$E$1:$N$2398,MATCH(BancoAjustado!M$1,Base_Atividades!$E$1:$N$1,0),FALSE),0)</f>
        <v>0</v>
      </c>
      <c r="N1005">
        <f>IFERROR(VLOOKUP($K1005,Base_Atividades!$E$1:$N$2398,MATCH(BancoAjustado!N$1,Base_Atividades!$E$1:$N$1,0),FALSE),0)</f>
        <v>0</v>
      </c>
    </row>
    <row r="1006" spans="1:14" x14ac:dyDescent="0.25">
      <c r="A1006" t="s">
        <v>3551</v>
      </c>
      <c r="B1006" t="s">
        <v>3600</v>
      </c>
      <c r="C1006" t="s">
        <v>3622</v>
      </c>
      <c r="D1006" t="s">
        <v>3623</v>
      </c>
      <c r="E1006" t="s">
        <v>3626</v>
      </c>
      <c r="F1006" t="str">
        <f>VLOOKUP(A1006,Base!$A:$F,6,FALSE)</f>
        <v>INFORMAÇÃO E COMUNICAÇÃO</v>
      </c>
      <c r="G1006" t="str">
        <f>VLOOKUP(B1006,Base!$B:$F,5,FALSE)</f>
        <v>TELECOMUNICAÇÕES</v>
      </c>
      <c r="H1006" t="str">
        <f>VLOOKUP(C1006,Base!$C:$F,4,FALSE)</f>
        <v>Outras atividades de telecomunicações</v>
      </c>
      <c r="I1006" t="str">
        <f>VLOOKUP(D1006,Base!$D:$F,3,FALSE)</f>
        <v>Outras atividades de telecomunicações</v>
      </c>
      <c r="J1006" t="str">
        <f>VLOOKUP(E1006,Base!$E:$F,2,FALSE)</f>
        <v>Outras atividades de telecomunicações não especificadas anteriormente</v>
      </c>
      <c r="K1006" t="s">
        <v>3626</v>
      </c>
      <c r="L1006">
        <f>IFERROR(VLOOKUP($K1006,Base_Atividades!$E$1:$N$2398,MATCH(BancoAjustado!L$1,Base_Atividades!$E$1:$N$1,0),FALSE),0)</f>
        <v>1</v>
      </c>
      <c r="M1006">
        <f>IFERROR(VLOOKUP($K1006,Base_Atividades!$E$1:$N$2398,MATCH(BancoAjustado!M$1,Base_Atividades!$E$1:$N$1,0),FALSE),0)</f>
        <v>0</v>
      </c>
      <c r="N1006">
        <f>IFERROR(VLOOKUP($K1006,Base_Atividades!$E$1:$N$2398,MATCH(BancoAjustado!N$1,Base_Atividades!$E$1:$N$1,0),FALSE),0)</f>
        <v>0</v>
      </c>
    </row>
    <row r="1007" spans="1:14" x14ac:dyDescent="0.25">
      <c r="A1007" t="s">
        <v>3551</v>
      </c>
      <c r="B1007" t="s">
        <v>3627</v>
      </c>
      <c r="C1007" t="s">
        <v>3628</v>
      </c>
      <c r="D1007" t="s">
        <v>3629</v>
      </c>
      <c r="E1007" t="s">
        <v>3630</v>
      </c>
      <c r="F1007" t="str">
        <f>VLOOKUP(A1007,Base!$A:$F,6,FALSE)</f>
        <v>INFORMAÇÃO E COMUNICAÇÃO</v>
      </c>
      <c r="G1007" t="str">
        <f>VLOOKUP(B1007,Base!$B:$F,5,FALSE)</f>
        <v>ATIVIDADES DOS SERVIÇOS DE TECNOLOGIA DA INFORMAÇÃO</v>
      </c>
      <c r="H1007" t="str">
        <f>VLOOKUP(C1007,Base!$C:$F,4,FALSE)</f>
        <v>Atividades dos serviços de tecnologia da informação</v>
      </c>
      <c r="I1007" t="str">
        <f>VLOOKUP(D1007,Base!$D:$F,3,FALSE)</f>
        <v>Desenvolvimento de programas de computador sob encomenda</v>
      </c>
      <c r="J1007" t="str">
        <f>VLOOKUP(E1007,Base!$E:$F,2,FALSE)</f>
        <v>Desenvolvimento de programas de computador sob encomenda</v>
      </c>
      <c r="K1007" t="s">
        <v>3630</v>
      </c>
      <c r="L1007">
        <f>IFERROR(VLOOKUP($K1007,Base_Atividades!$E$1:$N$2398,MATCH(BancoAjustado!L$1,Base_Atividades!$E$1:$N$1,0),FALSE),0)</f>
        <v>1</v>
      </c>
      <c r="M1007">
        <f>IFERROR(VLOOKUP($K1007,Base_Atividades!$E$1:$N$2398,MATCH(BancoAjustado!M$1,Base_Atividades!$E$1:$N$1,0),FALSE),0)</f>
        <v>0</v>
      </c>
      <c r="N1007">
        <f>IFERROR(VLOOKUP($K1007,Base_Atividades!$E$1:$N$2398,MATCH(BancoAjustado!N$1,Base_Atividades!$E$1:$N$1,0),FALSE),0)</f>
        <v>0</v>
      </c>
    </row>
    <row r="1008" spans="1:14" x14ac:dyDescent="0.25">
      <c r="A1008" t="s">
        <v>3551</v>
      </c>
      <c r="B1008" t="s">
        <v>3627</v>
      </c>
      <c r="C1008" t="s">
        <v>3628</v>
      </c>
      <c r="D1008" t="s">
        <v>3629</v>
      </c>
      <c r="E1008" t="s">
        <v>3631</v>
      </c>
      <c r="F1008" t="str">
        <f>VLOOKUP(A1008,Base!$A:$F,6,FALSE)</f>
        <v>INFORMAÇÃO E COMUNICAÇÃO</v>
      </c>
      <c r="G1008" t="str">
        <f>VLOOKUP(B1008,Base!$B:$F,5,FALSE)</f>
        <v>ATIVIDADES DOS SERVIÇOS DE TECNOLOGIA DA INFORMAÇÃO</v>
      </c>
      <c r="H1008" t="str">
        <f>VLOOKUP(C1008,Base!$C:$F,4,FALSE)</f>
        <v>Atividades dos serviços de tecnologia da informação</v>
      </c>
      <c r="I1008" t="str">
        <f>VLOOKUP(D1008,Base!$D:$F,3,FALSE)</f>
        <v>Desenvolvimento de programas de computador sob encomenda</v>
      </c>
      <c r="J1008" t="str">
        <f>VLOOKUP(E1008,Base!$E:$F,2,FALSE)</f>
        <v>Web desing</v>
      </c>
      <c r="K1008" t="s">
        <v>3631</v>
      </c>
      <c r="L1008">
        <f>IFERROR(VLOOKUP($K1008,Base_Atividades!$E$1:$N$2398,MATCH(BancoAjustado!L$1,Base_Atividades!$E$1:$N$1,0),FALSE),0)</f>
        <v>1</v>
      </c>
      <c r="M1008">
        <f>IFERROR(VLOOKUP($K1008,Base_Atividades!$E$1:$N$2398,MATCH(BancoAjustado!M$1,Base_Atividades!$E$1:$N$1,0),FALSE),0)</f>
        <v>0</v>
      </c>
      <c r="N1008">
        <f>IFERROR(VLOOKUP($K1008,Base_Atividades!$E$1:$N$2398,MATCH(BancoAjustado!N$1,Base_Atividades!$E$1:$N$1,0),FALSE),0)</f>
        <v>0</v>
      </c>
    </row>
    <row r="1009" spans="1:14" x14ac:dyDescent="0.25">
      <c r="A1009" t="s">
        <v>3551</v>
      </c>
      <c r="B1009" t="s">
        <v>3627</v>
      </c>
      <c r="C1009" t="s">
        <v>3628</v>
      </c>
      <c r="D1009" t="s">
        <v>3632</v>
      </c>
      <c r="E1009" t="s">
        <v>3633</v>
      </c>
      <c r="F1009" t="str">
        <f>VLOOKUP(A1009,Base!$A:$F,6,FALSE)</f>
        <v>INFORMAÇÃO E COMUNICAÇÃO</v>
      </c>
      <c r="G1009" t="str">
        <f>VLOOKUP(B1009,Base!$B:$F,5,FALSE)</f>
        <v>ATIVIDADES DOS SERVIÇOS DE TECNOLOGIA DA INFORMAÇÃO</v>
      </c>
      <c r="H1009" t="str">
        <f>VLOOKUP(C1009,Base!$C:$F,4,FALSE)</f>
        <v>Atividades dos serviços de tecnologia da informação</v>
      </c>
      <c r="I1009" t="str">
        <f>VLOOKUP(D1009,Base!$D:$F,3,FALSE)</f>
        <v>Desenvolvimento e licenciamento de programas de computador customizáveis</v>
      </c>
      <c r="J1009" t="str">
        <f>VLOOKUP(E1009,Base!$E:$F,2,FALSE)</f>
        <v>Desenvolvimento e licenciamento de programas de computador customizáveis</v>
      </c>
      <c r="K1009" t="s">
        <v>3633</v>
      </c>
      <c r="L1009">
        <f>IFERROR(VLOOKUP($K1009,Base_Atividades!$E$1:$N$2398,MATCH(BancoAjustado!L$1,Base_Atividades!$E$1:$N$1,0),FALSE),0)</f>
        <v>1</v>
      </c>
      <c r="M1009">
        <f>IFERROR(VLOOKUP($K1009,Base_Atividades!$E$1:$N$2398,MATCH(BancoAjustado!M$1,Base_Atividades!$E$1:$N$1,0),FALSE),0)</f>
        <v>0</v>
      </c>
      <c r="N1009">
        <f>IFERROR(VLOOKUP($K1009,Base_Atividades!$E$1:$N$2398,MATCH(BancoAjustado!N$1,Base_Atividades!$E$1:$N$1,0),FALSE),0)</f>
        <v>0</v>
      </c>
    </row>
    <row r="1010" spans="1:14" x14ac:dyDescent="0.25">
      <c r="A1010" t="s">
        <v>3551</v>
      </c>
      <c r="B1010" t="s">
        <v>3627</v>
      </c>
      <c r="C1010" t="s">
        <v>3628</v>
      </c>
      <c r="D1010" t="s">
        <v>3634</v>
      </c>
      <c r="E1010" t="s">
        <v>3635</v>
      </c>
      <c r="F1010" t="str">
        <f>VLOOKUP(A1010,Base!$A:$F,6,FALSE)</f>
        <v>INFORMAÇÃO E COMUNICAÇÃO</v>
      </c>
      <c r="G1010" t="str">
        <f>VLOOKUP(B1010,Base!$B:$F,5,FALSE)</f>
        <v>ATIVIDADES DOS SERVIÇOS DE TECNOLOGIA DA INFORMAÇÃO</v>
      </c>
      <c r="H1010" t="str">
        <f>VLOOKUP(C1010,Base!$C:$F,4,FALSE)</f>
        <v>Atividades dos serviços de tecnologia da informação</v>
      </c>
      <c r="I1010" t="str">
        <f>VLOOKUP(D1010,Base!$D:$F,3,FALSE)</f>
        <v>Desenvolvimento e licenciamento de programas de computador não customizáveis</v>
      </c>
      <c r="J1010" t="str">
        <f>VLOOKUP(E1010,Base!$E:$F,2,FALSE)</f>
        <v>Desenvolvimento e licenciamento de programas de computador não customizáveis</v>
      </c>
      <c r="K1010" t="s">
        <v>3635</v>
      </c>
      <c r="L1010">
        <f>IFERROR(VLOOKUP($K1010,Base_Atividades!$E$1:$N$2398,MATCH(BancoAjustado!L$1,Base_Atividades!$E$1:$N$1,0),FALSE),0)</f>
        <v>1</v>
      </c>
      <c r="M1010">
        <f>IFERROR(VLOOKUP($K1010,Base_Atividades!$E$1:$N$2398,MATCH(BancoAjustado!M$1,Base_Atividades!$E$1:$N$1,0),FALSE),0)</f>
        <v>0</v>
      </c>
      <c r="N1010">
        <f>IFERROR(VLOOKUP($K1010,Base_Atividades!$E$1:$N$2398,MATCH(BancoAjustado!N$1,Base_Atividades!$E$1:$N$1,0),FALSE),0)</f>
        <v>0</v>
      </c>
    </row>
    <row r="1011" spans="1:14" x14ac:dyDescent="0.25">
      <c r="A1011" t="s">
        <v>3551</v>
      </c>
      <c r="B1011" t="s">
        <v>3627</v>
      </c>
      <c r="C1011" t="s">
        <v>3628</v>
      </c>
      <c r="D1011" t="s">
        <v>3636</v>
      </c>
      <c r="E1011" t="s">
        <v>3637</v>
      </c>
      <c r="F1011" t="str">
        <f>VLOOKUP(A1011,Base!$A:$F,6,FALSE)</f>
        <v>INFORMAÇÃO E COMUNICAÇÃO</v>
      </c>
      <c r="G1011" t="str">
        <f>VLOOKUP(B1011,Base!$B:$F,5,FALSE)</f>
        <v>ATIVIDADES DOS SERVIÇOS DE TECNOLOGIA DA INFORMAÇÃO</v>
      </c>
      <c r="H1011" t="str">
        <f>VLOOKUP(C1011,Base!$C:$F,4,FALSE)</f>
        <v>Atividades dos serviços de tecnologia da informação</v>
      </c>
      <c r="I1011" t="str">
        <f>VLOOKUP(D1011,Base!$D:$F,3,FALSE)</f>
        <v>Consultoria em tecnologia da informação</v>
      </c>
      <c r="J1011" t="str">
        <f>VLOOKUP(E1011,Base!$E:$F,2,FALSE)</f>
        <v>Consultoria em tecnologia da informação</v>
      </c>
      <c r="K1011" t="s">
        <v>3637</v>
      </c>
      <c r="L1011">
        <f>IFERROR(VLOOKUP($K1011,Base_Atividades!$E$1:$N$2398,MATCH(BancoAjustado!L$1,Base_Atividades!$E$1:$N$1,0),FALSE),0)</f>
        <v>1</v>
      </c>
      <c r="M1011">
        <f>IFERROR(VLOOKUP($K1011,Base_Atividades!$E$1:$N$2398,MATCH(BancoAjustado!M$1,Base_Atividades!$E$1:$N$1,0),FALSE),0)</f>
        <v>0</v>
      </c>
      <c r="N1011">
        <f>IFERROR(VLOOKUP($K1011,Base_Atividades!$E$1:$N$2398,MATCH(BancoAjustado!N$1,Base_Atividades!$E$1:$N$1,0),FALSE),0)</f>
        <v>0</v>
      </c>
    </row>
    <row r="1012" spans="1:14" x14ac:dyDescent="0.25">
      <c r="A1012" t="s">
        <v>3551</v>
      </c>
      <c r="B1012" t="s">
        <v>3627</v>
      </c>
      <c r="C1012" t="s">
        <v>3628</v>
      </c>
      <c r="D1012" t="s">
        <v>3638</v>
      </c>
      <c r="E1012" t="s">
        <v>3639</v>
      </c>
      <c r="F1012" t="str">
        <f>VLOOKUP(A1012,Base!$A:$F,6,FALSE)</f>
        <v>INFORMAÇÃO E COMUNICAÇÃO</v>
      </c>
      <c r="G1012" t="str">
        <f>VLOOKUP(B1012,Base!$B:$F,5,FALSE)</f>
        <v>ATIVIDADES DOS SERVIÇOS DE TECNOLOGIA DA INFORMAÇÃO</v>
      </c>
      <c r="H1012" t="str">
        <f>VLOOKUP(C1012,Base!$C:$F,4,FALSE)</f>
        <v>Atividades dos serviços de tecnologia da informação</v>
      </c>
      <c r="I1012" t="str">
        <f>VLOOKUP(D1012,Base!$D:$F,3,FALSE)</f>
        <v>Suporte técnico, manutenção e outros serviços em tecnologia da informação</v>
      </c>
      <c r="J1012" t="str">
        <f>VLOOKUP(E1012,Base!$E:$F,2,FALSE)</f>
        <v>Suporte técnico, manutenção e outros serviços em tecnologia da informação</v>
      </c>
      <c r="K1012" t="s">
        <v>3639</v>
      </c>
      <c r="L1012">
        <f>IFERROR(VLOOKUP($K1012,Base_Atividades!$E$1:$N$2398,MATCH(BancoAjustado!L$1,Base_Atividades!$E$1:$N$1,0),FALSE),0)</f>
        <v>1</v>
      </c>
      <c r="M1012">
        <f>IFERROR(VLOOKUP($K1012,Base_Atividades!$E$1:$N$2398,MATCH(BancoAjustado!M$1,Base_Atividades!$E$1:$N$1,0),FALSE),0)</f>
        <v>0</v>
      </c>
      <c r="N1012">
        <f>IFERROR(VLOOKUP($K1012,Base_Atividades!$E$1:$N$2398,MATCH(BancoAjustado!N$1,Base_Atividades!$E$1:$N$1,0),FALSE),0)</f>
        <v>0</v>
      </c>
    </row>
    <row r="1013" spans="1:14" x14ac:dyDescent="0.25">
      <c r="A1013" t="s">
        <v>3551</v>
      </c>
      <c r="B1013">
        <v>63</v>
      </c>
      <c r="C1013" t="s">
        <v>3640</v>
      </c>
      <c r="D1013" t="s">
        <v>3641</v>
      </c>
      <c r="E1013" t="s">
        <v>3642</v>
      </c>
      <c r="F1013" t="str">
        <f>VLOOKUP(A1013,Base!$A:$F,6,FALSE)</f>
        <v>INFORMAÇÃO E COMUNICAÇÃO</v>
      </c>
      <c r="G1013" t="str">
        <f>VLOOKUP(B1013,Base!$B:$F,5,FALSE)</f>
        <v>ATIVIDADES DE PRESTAÇÃO DE SERVIÇOS DE INFORMAÇÃO</v>
      </c>
      <c r="H1013" t="str">
        <f>VLOOKUP(C1013,Base!$C:$F,4,FALSE)</f>
        <v>Tratamento de dados, hospedagem na Internet e outras atividades relacionadas</v>
      </c>
      <c r="I1013" t="str">
        <f>VLOOKUP(D1013,Base!$D:$F,3,FALSE)</f>
        <v>Tratamento de dados, provedores de serviços de aplicação e serviços de hospedagem na Internet</v>
      </c>
      <c r="J1013" t="str">
        <f>VLOOKUP(E1013,Base!$E:$F,2,FALSE)</f>
        <v>Tratamento de dados, provedores de serviços de aplicação e serviços de hospedagem na Internet</v>
      </c>
      <c r="K1013" t="s">
        <v>3642</v>
      </c>
      <c r="L1013">
        <f>IFERROR(VLOOKUP($K1013,Base_Atividades!$E$1:$N$2398,MATCH(BancoAjustado!L$1,Base_Atividades!$E$1:$N$1,0),FALSE),0)</f>
        <v>1</v>
      </c>
      <c r="M1013">
        <f>IFERROR(VLOOKUP($K1013,Base_Atividades!$E$1:$N$2398,MATCH(BancoAjustado!M$1,Base_Atividades!$E$1:$N$1,0),FALSE),0)</f>
        <v>0</v>
      </c>
      <c r="N1013">
        <f>IFERROR(VLOOKUP($K1013,Base_Atividades!$E$1:$N$2398,MATCH(BancoAjustado!N$1,Base_Atividades!$E$1:$N$1,0),FALSE),0)</f>
        <v>0</v>
      </c>
    </row>
    <row r="1014" spans="1:14" x14ac:dyDescent="0.25">
      <c r="A1014" t="s">
        <v>3551</v>
      </c>
      <c r="B1014">
        <v>63</v>
      </c>
      <c r="C1014" t="s">
        <v>3640</v>
      </c>
      <c r="D1014" t="s">
        <v>3643</v>
      </c>
      <c r="E1014" t="s">
        <v>3644</v>
      </c>
      <c r="F1014" t="str">
        <f>VLOOKUP(A1014,Base!$A:$F,6,FALSE)</f>
        <v>INFORMAÇÃO E COMUNICAÇÃO</v>
      </c>
      <c r="G1014" t="str">
        <f>VLOOKUP(B1014,Base!$B:$F,5,FALSE)</f>
        <v>ATIVIDADES DE PRESTAÇÃO DE SERVIÇOS DE INFORMAÇÃO</v>
      </c>
      <c r="H1014" t="str">
        <f>VLOOKUP(C1014,Base!$C:$F,4,FALSE)</f>
        <v>Tratamento de dados, hospedagem na Internet e outras atividades relacionadas</v>
      </c>
      <c r="I1014" t="str">
        <f>VLOOKUP(D1014,Base!$D:$F,3,FALSE)</f>
        <v>Portais, provedores de conteúdo e outros serviços de informação na Internet</v>
      </c>
      <c r="J1014" t="str">
        <f>VLOOKUP(E1014,Base!$E:$F,2,FALSE)</f>
        <v>Portais, provedores de conteúdo e outros serviços de informação na Internet</v>
      </c>
      <c r="K1014" t="s">
        <v>3644</v>
      </c>
      <c r="L1014">
        <f>IFERROR(VLOOKUP($K1014,Base_Atividades!$E$1:$N$2398,MATCH(BancoAjustado!L$1,Base_Atividades!$E$1:$N$1,0),FALSE),0)</f>
        <v>1</v>
      </c>
      <c r="M1014">
        <f>IFERROR(VLOOKUP($K1014,Base_Atividades!$E$1:$N$2398,MATCH(BancoAjustado!M$1,Base_Atividades!$E$1:$N$1,0),FALSE),0)</f>
        <v>0</v>
      </c>
      <c r="N1014">
        <f>IFERROR(VLOOKUP($K1014,Base_Atividades!$E$1:$N$2398,MATCH(BancoAjustado!N$1,Base_Atividades!$E$1:$N$1,0),FALSE),0)</f>
        <v>0</v>
      </c>
    </row>
    <row r="1015" spans="1:14" x14ac:dyDescent="0.25">
      <c r="A1015" t="s">
        <v>3551</v>
      </c>
      <c r="B1015">
        <v>63</v>
      </c>
      <c r="C1015" t="s">
        <v>3645</v>
      </c>
      <c r="D1015" t="s">
        <v>3646</v>
      </c>
      <c r="E1015" t="s">
        <v>3647</v>
      </c>
      <c r="F1015" t="str">
        <f>VLOOKUP(A1015,Base!$A:$F,6,FALSE)</f>
        <v>INFORMAÇÃO E COMUNICAÇÃO</v>
      </c>
      <c r="G1015" t="str">
        <f>VLOOKUP(B1015,Base!$B:$F,5,FALSE)</f>
        <v>ATIVIDADES DE PRESTAÇÃO DE SERVIÇOS DE INFORMAÇÃO</v>
      </c>
      <c r="H1015" t="str">
        <f>VLOOKUP(C1015,Base!$C:$F,4,FALSE)</f>
        <v>Outras atividades de prestação de serviços de informação</v>
      </c>
      <c r="I1015" t="str">
        <f>VLOOKUP(D1015,Base!$D:$F,3,FALSE)</f>
        <v>Agências de notícias</v>
      </c>
      <c r="J1015" t="str">
        <f>VLOOKUP(E1015,Base!$E:$F,2,FALSE)</f>
        <v>Agências de notícias</v>
      </c>
      <c r="K1015" t="s">
        <v>3647</v>
      </c>
      <c r="L1015">
        <f>IFERROR(VLOOKUP($K1015,Base_Atividades!$E$1:$N$2398,MATCH(BancoAjustado!L$1,Base_Atividades!$E$1:$N$1,0),FALSE),0)</f>
        <v>1</v>
      </c>
      <c r="M1015">
        <f>IFERROR(VLOOKUP($K1015,Base_Atividades!$E$1:$N$2398,MATCH(BancoAjustado!M$1,Base_Atividades!$E$1:$N$1,0),FALSE),0)</f>
        <v>0</v>
      </c>
      <c r="N1015">
        <f>IFERROR(VLOOKUP($K1015,Base_Atividades!$E$1:$N$2398,MATCH(BancoAjustado!N$1,Base_Atividades!$E$1:$N$1,0),FALSE),0)</f>
        <v>0</v>
      </c>
    </row>
    <row r="1016" spans="1:14" x14ac:dyDescent="0.25">
      <c r="A1016" t="s">
        <v>3551</v>
      </c>
      <c r="B1016">
        <v>63</v>
      </c>
      <c r="C1016" t="s">
        <v>3645</v>
      </c>
      <c r="D1016" t="s">
        <v>3648</v>
      </c>
      <c r="E1016" t="s">
        <v>3649</v>
      </c>
      <c r="F1016" t="str">
        <f>VLOOKUP(A1016,Base!$A:$F,6,FALSE)</f>
        <v>INFORMAÇÃO E COMUNICAÇÃO</v>
      </c>
      <c r="G1016" t="str">
        <f>VLOOKUP(B1016,Base!$B:$F,5,FALSE)</f>
        <v>ATIVIDADES DE PRESTAÇÃO DE SERVIÇOS DE INFORMAÇÃO</v>
      </c>
      <c r="H1016" t="str">
        <f>VLOOKUP(C1016,Base!$C:$F,4,FALSE)</f>
        <v>Outras atividades de prestação de serviços de informação</v>
      </c>
      <c r="I1016" t="str">
        <f>VLOOKUP(D1016,Base!$D:$F,3,FALSE)</f>
        <v>Outras atividades de prestação de serviços de informação não especificadas anteriormente</v>
      </c>
      <c r="J1016" t="str">
        <f>VLOOKUP(E1016,Base!$E:$F,2,FALSE)</f>
        <v>Outras atividades de prestação de serviços de informação não especificadas anteriormente</v>
      </c>
      <c r="K1016" t="s">
        <v>3649</v>
      </c>
      <c r="L1016">
        <f>IFERROR(VLOOKUP($K1016,Base_Atividades!$E$1:$N$2398,MATCH(BancoAjustado!L$1,Base_Atividades!$E$1:$N$1,0),FALSE),0)</f>
        <v>1</v>
      </c>
      <c r="M1016">
        <f>IFERROR(VLOOKUP($K1016,Base_Atividades!$E$1:$N$2398,MATCH(BancoAjustado!M$1,Base_Atividades!$E$1:$N$1,0),FALSE),0)</f>
        <v>0</v>
      </c>
      <c r="N1016">
        <f>IFERROR(VLOOKUP($K1016,Base_Atividades!$E$1:$N$2398,MATCH(BancoAjustado!N$1,Base_Atividades!$E$1:$N$1,0),FALSE),0)</f>
        <v>0</v>
      </c>
    </row>
    <row r="1017" spans="1:14" x14ac:dyDescent="0.25">
      <c r="A1017" t="s">
        <v>3650</v>
      </c>
      <c r="B1017" t="s">
        <v>3651</v>
      </c>
      <c r="C1017" t="s">
        <v>3652</v>
      </c>
      <c r="D1017" t="s">
        <v>3653</v>
      </c>
      <c r="E1017" t="s">
        <v>3654</v>
      </c>
      <c r="F1017" t="str">
        <f>VLOOKUP(A1017,Base!$A:$F,6,FALSE)</f>
        <v>ATIVIDADES FINANCEIRAS, DE SEGUROS E SERVIÇOS RELACIONADOS</v>
      </c>
      <c r="G1017" t="str">
        <f>VLOOKUP(B1017,Base!$B:$F,5,FALSE)</f>
        <v>ATIVIDADES DE SERVIÇOS FINANCEIROS</v>
      </c>
      <c r="H1017" t="str">
        <f>VLOOKUP(C1017,Base!$C:$F,4,FALSE)</f>
        <v>Banco Central</v>
      </c>
      <c r="I1017" t="str">
        <f>VLOOKUP(D1017,Base!$D:$F,3,FALSE)</f>
        <v>Banco Central</v>
      </c>
      <c r="J1017" t="str">
        <f>VLOOKUP(E1017,Base!$E:$F,2,FALSE)</f>
        <v>Banco Central</v>
      </c>
      <c r="K1017" t="s">
        <v>3654</v>
      </c>
      <c r="L1017">
        <f>IFERROR(VLOOKUP($K1017,Base_Atividades!$E$1:$N$2398,MATCH(BancoAjustado!L$1,Base_Atividades!$E$1:$N$1,0),FALSE),0)</f>
        <v>0</v>
      </c>
      <c r="M1017">
        <f>IFERROR(VLOOKUP($K1017,Base_Atividades!$E$1:$N$2398,MATCH(BancoAjustado!M$1,Base_Atividades!$E$1:$N$1,0),FALSE),0)</f>
        <v>0</v>
      </c>
      <c r="N1017">
        <f>IFERROR(VLOOKUP($K1017,Base_Atividades!$E$1:$N$2398,MATCH(BancoAjustado!N$1,Base_Atividades!$E$1:$N$1,0),FALSE),0)</f>
        <v>0</v>
      </c>
    </row>
    <row r="1018" spans="1:14" x14ac:dyDescent="0.25">
      <c r="A1018" t="s">
        <v>3650</v>
      </c>
      <c r="B1018" t="s">
        <v>3651</v>
      </c>
      <c r="C1018" t="s">
        <v>3655</v>
      </c>
      <c r="D1018" t="s">
        <v>3656</v>
      </c>
      <c r="E1018" t="s">
        <v>3657</v>
      </c>
      <c r="F1018" t="str">
        <f>VLOOKUP(A1018,Base!$A:$F,6,FALSE)</f>
        <v>ATIVIDADES FINANCEIRAS, DE SEGUROS E SERVIÇOS RELACIONADOS</v>
      </c>
      <c r="G1018" t="str">
        <f>VLOOKUP(B1018,Base!$B:$F,5,FALSE)</f>
        <v>ATIVIDADES DE SERVIÇOS FINANCEIROS</v>
      </c>
      <c r="H1018" t="str">
        <f>VLOOKUP(C1018,Base!$C:$F,4,FALSE)</f>
        <v>Intermediação monetária - depósitos à vista</v>
      </c>
      <c r="I1018" t="str">
        <f>VLOOKUP(D1018,Base!$D:$F,3,FALSE)</f>
        <v>Bancos comerciais</v>
      </c>
      <c r="J1018" t="str">
        <f>VLOOKUP(E1018,Base!$E:$F,2,FALSE)</f>
        <v>Bancos comerciais</v>
      </c>
      <c r="K1018" t="s">
        <v>3657</v>
      </c>
      <c r="L1018">
        <f>IFERROR(VLOOKUP($K1018,Base_Atividades!$E$1:$N$2398,MATCH(BancoAjustado!L$1,Base_Atividades!$E$1:$N$1,0),FALSE),0)</f>
        <v>0</v>
      </c>
      <c r="M1018">
        <f>IFERROR(VLOOKUP($K1018,Base_Atividades!$E$1:$N$2398,MATCH(BancoAjustado!M$1,Base_Atividades!$E$1:$N$1,0),FALSE),0)</f>
        <v>0</v>
      </c>
      <c r="N1018">
        <f>IFERROR(VLOOKUP($K1018,Base_Atividades!$E$1:$N$2398,MATCH(BancoAjustado!N$1,Base_Atividades!$E$1:$N$1,0),FALSE),0)</f>
        <v>0</v>
      </c>
    </row>
    <row r="1019" spans="1:14" x14ac:dyDescent="0.25">
      <c r="A1019" t="s">
        <v>3650</v>
      </c>
      <c r="B1019" t="s">
        <v>3651</v>
      </c>
      <c r="C1019" t="s">
        <v>3655</v>
      </c>
      <c r="D1019" t="s">
        <v>3658</v>
      </c>
      <c r="E1019" t="s">
        <v>3659</v>
      </c>
      <c r="F1019" t="str">
        <f>VLOOKUP(A1019,Base!$A:$F,6,FALSE)</f>
        <v>ATIVIDADES FINANCEIRAS, DE SEGUROS E SERVIÇOS RELACIONADOS</v>
      </c>
      <c r="G1019" t="str">
        <f>VLOOKUP(B1019,Base!$B:$F,5,FALSE)</f>
        <v>ATIVIDADES DE SERVIÇOS FINANCEIROS</v>
      </c>
      <c r="H1019" t="str">
        <f>VLOOKUP(C1019,Base!$C:$F,4,FALSE)</f>
        <v>Intermediação monetária - depósitos à vista</v>
      </c>
      <c r="I1019" t="str">
        <f>VLOOKUP(D1019,Base!$D:$F,3,FALSE)</f>
        <v>Bancos múltiplos, com carteira comercial</v>
      </c>
      <c r="J1019" t="str">
        <f>VLOOKUP(E1019,Base!$E:$F,2,FALSE)</f>
        <v>Bancos múltiplos, com carteira comercial</v>
      </c>
      <c r="K1019" t="s">
        <v>3659</v>
      </c>
      <c r="L1019">
        <f>IFERROR(VLOOKUP($K1019,Base_Atividades!$E$1:$N$2398,MATCH(BancoAjustado!L$1,Base_Atividades!$E$1:$N$1,0),FALSE),0)</f>
        <v>0</v>
      </c>
      <c r="M1019">
        <f>IFERROR(VLOOKUP($K1019,Base_Atividades!$E$1:$N$2398,MATCH(BancoAjustado!M$1,Base_Atividades!$E$1:$N$1,0),FALSE),0)</f>
        <v>0</v>
      </c>
      <c r="N1019">
        <f>IFERROR(VLOOKUP($K1019,Base_Atividades!$E$1:$N$2398,MATCH(BancoAjustado!N$1,Base_Atividades!$E$1:$N$1,0),FALSE),0)</f>
        <v>0</v>
      </c>
    </row>
    <row r="1020" spans="1:14" x14ac:dyDescent="0.25">
      <c r="A1020" t="s">
        <v>3650</v>
      </c>
      <c r="B1020" t="s">
        <v>3651</v>
      </c>
      <c r="C1020" t="s">
        <v>3655</v>
      </c>
      <c r="D1020" t="s">
        <v>3660</v>
      </c>
      <c r="E1020" t="s">
        <v>3661</v>
      </c>
      <c r="F1020" t="str">
        <f>VLOOKUP(A1020,Base!$A:$F,6,FALSE)</f>
        <v>ATIVIDADES FINANCEIRAS, DE SEGUROS E SERVIÇOS RELACIONADOS</v>
      </c>
      <c r="G1020" t="str">
        <f>VLOOKUP(B1020,Base!$B:$F,5,FALSE)</f>
        <v>ATIVIDADES DE SERVIÇOS FINANCEIROS</v>
      </c>
      <c r="H1020" t="str">
        <f>VLOOKUP(C1020,Base!$C:$F,4,FALSE)</f>
        <v>Intermediação monetária - depósitos à vista</v>
      </c>
      <c r="I1020" t="str">
        <f>VLOOKUP(D1020,Base!$D:$F,3,FALSE)</f>
        <v>Caixas econômicas</v>
      </c>
      <c r="J1020" t="str">
        <f>VLOOKUP(E1020,Base!$E:$F,2,FALSE)</f>
        <v>Caixas econômicas</v>
      </c>
      <c r="K1020" t="s">
        <v>3661</v>
      </c>
      <c r="L1020">
        <f>IFERROR(VLOOKUP($K1020,Base_Atividades!$E$1:$N$2398,MATCH(BancoAjustado!L$1,Base_Atividades!$E$1:$N$1,0),FALSE),0)</f>
        <v>0</v>
      </c>
      <c r="M1020">
        <f>IFERROR(VLOOKUP($K1020,Base_Atividades!$E$1:$N$2398,MATCH(BancoAjustado!M$1,Base_Atividades!$E$1:$N$1,0),FALSE),0)</f>
        <v>0</v>
      </c>
      <c r="N1020">
        <f>IFERROR(VLOOKUP($K1020,Base_Atividades!$E$1:$N$2398,MATCH(BancoAjustado!N$1,Base_Atividades!$E$1:$N$1,0),FALSE),0)</f>
        <v>0</v>
      </c>
    </row>
    <row r="1021" spans="1:14" x14ac:dyDescent="0.25">
      <c r="A1021" t="s">
        <v>3650</v>
      </c>
      <c r="B1021" t="s">
        <v>3651</v>
      </c>
      <c r="C1021" t="s">
        <v>3655</v>
      </c>
      <c r="D1021" t="s">
        <v>3662</v>
      </c>
      <c r="E1021" t="s">
        <v>3663</v>
      </c>
      <c r="F1021" t="str">
        <f>VLOOKUP(A1021,Base!$A:$F,6,FALSE)</f>
        <v>ATIVIDADES FINANCEIRAS, DE SEGUROS E SERVIÇOS RELACIONADOS</v>
      </c>
      <c r="G1021" t="str">
        <f>VLOOKUP(B1021,Base!$B:$F,5,FALSE)</f>
        <v>ATIVIDADES DE SERVIÇOS FINANCEIROS</v>
      </c>
      <c r="H1021" t="str">
        <f>VLOOKUP(C1021,Base!$C:$F,4,FALSE)</f>
        <v>Intermediação monetária - depósitos à vista</v>
      </c>
      <c r="I1021" t="str">
        <f>VLOOKUP(D1021,Base!$D:$F,3,FALSE)</f>
        <v>Crédito cooperativo</v>
      </c>
      <c r="J1021" t="str">
        <f>VLOOKUP(E1021,Base!$E:$F,2,FALSE)</f>
        <v>Bancos cooperativos</v>
      </c>
      <c r="K1021" t="s">
        <v>3663</v>
      </c>
      <c r="L1021">
        <f>IFERROR(VLOOKUP($K1021,Base_Atividades!$E$1:$N$2398,MATCH(BancoAjustado!L$1,Base_Atividades!$E$1:$N$1,0),FALSE),0)</f>
        <v>0</v>
      </c>
      <c r="M1021">
        <f>IFERROR(VLOOKUP($K1021,Base_Atividades!$E$1:$N$2398,MATCH(BancoAjustado!M$1,Base_Atividades!$E$1:$N$1,0),FALSE),0)</f>
        <v>0</v>
      </c>
      <c r="N1021">
        <f>IFERROR(VLOOKUP($K1021,Base_Atividades!$E$1:$N$2398,MATCH(BancoAjustado!N$1,Base_Atividades!$E$1:$N$1,0),FALSE),0)</f>
        <v>0</v>
      </c>
    </row>
    <row r="1022" spans="1:14" x14ac:dyDescent="0.25">
      <c r="A1022" t="s">
        <v>3650</v>
      </c>
      <c r="B1022" t="s">
        <v>3651</v>
      </c>
      <c r="C1022" t="s">
        <v>3655</v>
      </c>
      <c r="D1022" t="s">
        <v>3662</v>
      </c>
      <c r="E1022" t="s">
        <v>3664</v>
      </c>
      <c r="F1022" t="str">
        <f>VLOOKUP(A1022,Base!$A:$F,6,FALSE)</f>
        <v>ATIVIDADES FINANCEIRAS, DE SEGUROS E SERVIÇOS RELACIONADOS</v>
      </c>
      <c r="G1022" t="str">
        <f>VLOOKUP(B1022,Base!$B:$F,5,FALSE)</f>
        <v>ATIVIDADES DE SERVIÇOS FINANCEIROS</v>
      </c>
      <c r="H1022" t="str">
        <f>VLOOKUP(C1022,Base!$C:$F,4,FALSE)</f>
        <v>Intermediação monetária - depósitos à vista</v>
      </c>
      <c r="I1022" t="str">
        <f>VLOOKUP(D1022,Base!$D:$F,3,FALSE)</f>
        <v>Crédito cooperativo</v>
      </c>
      <c r="J1022" t="str">
        <f>VLOOKUP(E1022,Base!$E:$F,2,FALSE)</f>
        <v>Cooperativas centrais de crédito</v>
      </c>
      <c r="K1022" t="s">
        <v>3664</v>
      </c>
      <c r="L1022">
        <f>IFERROR(VLOOKUP($K1022,Base_Atividades!$E$1:$N$2398,MATCH(BancoAjustado!L$1,Base_Atividades!$E$1:$N$1,0),FALSE),0)</f>
        <v>0</v>
      </c>
      <c r="M1022">
        <f>IFERROR(VLOOKUP($K1022,Base_Atividades!$E$1:$N$2398,MATCH(BancoAjustado!M$1,Base_Atividades!$E$1:$N$1,0),FALSE),0)</f>
        <v>0</v>
      </c>
      <c r="N1022">
        <f>IFERROR(VLOOKUP($K1022,Base_Atividades!$E$1:$N$2398,MATCH(BancoAjustado!N$1,Base_Atividades!$E$1:$N$1,0),FALSE),0)</f>
        <v>0</v>
      </c>
    </row>
    <row r="1023" spans="1:14" x14ac:dyDescent="0.25">
      <c r="A1023" t="s">
        <v>3650</v>
      </c>
      <c r="B1023" t="s">
        <v>3651</v>
      </c>
      <c r="C1023" t="s">
        <v>3655</v>
      </c>
      <c r="D1023" t="s">
        <v>3662</v>
      </c>
      <c r="E1023" t="s">
        <v>3665</v>
      </c>
      <c r="F1023" t="str">
        <f>VLOOKUP(A1023,Base!$A:$F,6,FALSE)</f>
        <v>ATIVIDADES FINANCEIRAS, DE SEGUROS E SERVIÇOS RELACIONADOS</v>
      </c>
      <c r="G1023" t="str">
        <f>VLOOKUP(B1023,Base!$B:$F,5,FALSE)</f>
        <v>ATIVIDADES DE SERVIÇOS FINANCEIROS</v>
      </c>
      <c r="H1023" t="str">
        <f>VLOOKUP(C1023,Base!$C:$F,4,FALSE)</f>
        <v>Intermediação monetária - depósitos à vista</v>
      </c>
      <c r="I1023" t="str">
        <f>VLOOKUP(D1023,Base!$D:$F,3,FALSE)</f>
        <v>Crédito cooperativo</v>
      </c>
      <c r="J1023" t="str">
        <f>VLOOKUP(E1023,Base!$E:$F,2,FALSE)</f>
        <v>Cooperativas de crédito mútuo</v>
      </c>
      <c r="K1023" t="s">
        <v>3665</v>
      </c>
      <c r="L1023">
        <f>IFERROR(VLOOKUP($K1023,Base_Atividades!$E$1:$N$2398,MATCH(BancoAjustado!L$1,Base_Atividades!$E$1:$N$1,0),FALSE),0)</f>
        <v>0</v>
      </c>
      <c r="M1023">
        <f>IFERROR(VLOOKUP($K1023,Base_Atividades!$E$1:$N$2398,MATCH(BancoAjustado!M$1,Base_Atividades!$E$1:$N$1,0),FALSE),0)</f>
        <v>0</v>
      </c>
      <c r="N1023">
        <f>IFERROR(VLOOKUP($K1023,Base_Atividades!$E$1:$N$2398,MATCH(BancoAjustado!N$1,Base_Atividades!$E$1:$N$1,0),FALSE),0)</f>
        <v>0</v>
      </c>
    </row>
    <row r="1024" spans="1:14" x14ac:dyDescent="0.25">
      <c r="A1024" t="s">
        <v>3650</v>
      </c>
      <c r="B1024" t="s">
        <v>3651</v>
      </c>
      <c r="C1024" t="s">
        <v>3655</v>
      </c>
      <c r="D1024" t="s">
        <v>3662</v>
      </c>
      <c r="E1024" t="s">
        <v>3666</v>
      </c>
      <c r="F1024" t="str">
        <f>VLOOKUP(A1024,Base!$A:$F,6,FALSE)</f>
        <v>ATIVIDADES FINANCEIRAS, DE SEGUROS E SERVIÇOS RELACIONADOS</v>
      </c>
      <c r="G1024" t="str">
        <f>VLOOKUP(B1024,Base!$B:$F,5,FALSE)</f>
        <v>ATIVIDADES DE SERVIÇOS FINANCEIROS</v>
      </c>
      <c r="H1024" t="str">
        <f>VLOOKUP(C1024,Base!$C:$F,4,FALSE)</f>
        <v>Intermediação monetária - depósitos à vista</v>
      </c>
      <c r="I1024" t="str">
        <f>VLOOKUP(D1024,Base!$D:$F,3,FALSE)</f>
        <v>Crédito cooperativo</v>
      </c>
      <c r="J1024" t="str">
        <f>VLOOKUP(E1024,Base!$E:$F,2,FALSE)</f>
        <v>Cooperativas de crédito rural</v>
      </c>
      <c r="K1024" t="s">
        <v>3666</v>
      </c>
      <c r="L1024">
        <f>IFERROR(VLOOKUP($K1024,Base_Atividades!$E$1:$N$2398,MATCH(BancoAjustado!L$1,Base_Atividades!$E$1:$N$1,0),FALSE),0)</f>
        <v>0</v>
      </c>
      <c r="M1024">
        <f>IFERROR(VLOOKUP($K1024,Base_Atividades!$E$1:$N$2398,MATCH(BancoAjustado!M$1,Base_Atividades!$E$1:$N$1,0),FALSE),0)</f>
        <v>0</v>
      </c>
      <c r="N1024">
        <f>IFERROR(VLOOKUP($K1024,Base_Atividades!$E$1:$N$2398,MATCH(BancoAjustado!N$1,Base_Atividades!$E$1:$N$1,0),FALSE),0)</f>
        <v>0</v>
      </c>
    </row>
    <row r="1025" spans="1:14" x14ac:dyDescent="0.25">
      <c r="A1025" t="s">
        <v>3650</v>
      </c>
      <c r="B1025" t="s">
        <v>3651</v>
      </c>
      <c r="C1025" t="s">
        <v>3667</v>
      </c>
      <c r="D1025" t="s">
        <v>3668</v>
      </c>
      <c r="E1025" t="s">
        <v>3669</v>
      </c>
      <c r="F1025" t="str">
        <f>VLOOKUP(A1025,Base!$A:$F,6,FALSE)</f>
        <v>ATIVIDADES FINANCEIRAS, DE SEGUROS E SERVIÇOS RELACIONADOS</v>
      </c>
      <c r="G1025" t="str">
        <f>VLOOKUP(B1025,Base!$B:$F,5,FALSE)</f>
        <v>ATIVIDADES DE SERVIÇOS FINANCEIROS</v>
      </c>
      <c r="H1025" t="str">
        <f>VLOOKUP(C1025,Base!$C:$F,4,FALSE)</f>
        <v>Intermediação não monetária - outros instrumentos de captação</v>
      </c>
      <c r="I1025" t="str">
        <f>VLOOKUP(D1025,Base!$D:$F,3,FALSE)</f>
        <v>Bancos múltiplos, sem carteira comercial</v>
      </c>
      <c r="J1025" t="str">
        <f>VLOOKUP(E1025,Base!$E:$F,2,FALSE)</f>
        <v>Bancos múltiplos, sem carteira comercial</v>
      </c>
      <c r="K1025" t="s">
        <v>3669</v>
      </c>
      <c r="L1025">
        <f>IFERROR(VLOOKUP($K1025,Base_Atividades!$E$1:$N$2398,MATCH(BancoAjustado!L$1,Base_Atividades!$E$1:$N$1,0),FALSE),0)</f>
        <v>0</v>
      </c>
      <c r="M1025">
        <f>IFERROR(VLOOKUP($K1025,Base_Atividades!$E$1:$N$2398,MATCH(BancoAjustado!M$1,Base_Atividades!$E$1:$N$1,0),FALSE),0)</f>
        <v>0</v>
      </c>
      <c r="N1025">
        <f>IFERROR(VLOOKUP($K1025,Base_Atividades!$E$1:$N$2398,MATCH(BancoAjustado!N$1,Base_Atividades!$E$1:$N$1,0),FALSE),0)</f>
        <v>0</v>
      </c>
    </row>
    <row r="1026" spans="1:14" x14ac:dyDescent="0.25">
      <c r="A1026" t="s">
        <v>3650</v>
      </c>
      <c r="B1026" t="s">
        <v>3651</v>
      </c>
      <c r="C1026" t="s">
        <v>3667</v>
      </c>
      <c r="D1026" t="s">
        <v>3670</v>
      </c>
      <c r="E1026" t="s">
        <v>3671</v>
      </c>
      <c r="F1026" t="str">
        <f>VLOOKUP(A1026,Base!$A:$F,6,FALSE)</f>
        <v>ATIVIDADES FINANCEIRAS, DE SEGUROS E SERVIÇOS RELACIONADOS</v>
      </c>
      <c r="G1026" t="str">
        <f>VLOOKUP(B1026,Base!$B:$F,5,FALSE)</f>
        <v>ATIVIDADES DE SERVIÇOS FINANCEIROS</v>
      </c>
      <c r="H1026" t="str">
        <f>VLOOKUP(C1026,Base!$C:$F,4,FALSE)</f>
        <v>Intermediação não monetária - outros instrumentos de captação</v>
      </c>
      <c r="I1026" t="str">
        <f>VLOOKUP(D1026,Base!$D:$F,3,FALSE)</f>
        <v>Bancos de investimento</v>
      </c>
      <c r="J1026" t="str">
        <f>VLOOKUP(E1026,Base!$E:$F,2,FALSE)</f>
        <v>Bancos de investimento</v>
      </c>
      <c r="K1026" t="s">
        <v>3671</v>
      </c>
      <c r="L1026">
        <f>IFERROR(VLOOKUP($K1026,Base_Atividades!$E$1:$N$2398,MATCH(BancoAjustado!L$1,Base_Atividades!$E$1:$N$1,0),FALSE),0)</f>
        <v>0</v>
      </c>
      <c r="M1026">
        <f>IFERROR(VLOOKUP($K1026,Base_Atividades!$E$1:$N$2398,MATCH(BancoAjustado!M$1,Base_Atividades!$E$1:$N$1,0),FALSE),0)</f>
        <v>0</v>
      </c>
      <c r="N1026">
        <f>IFERROR(VLOOKUP($K1026,Base_Atividades!$E$1:$N$2398,MATCH(BancoAjustado!N$1,Base_Atividades!$E$1:$N$1,0),FALSE),0)</f>
        <v>0</v>
      </c>
    </row>
    <row r="1027" spans="1:14" x14ac:dyDescent="0.25">
      <c r="A1027" t="s">
        <v>3650</v>
      </c>
      <c r="B1027" t="s">
        <v>3651</v>
      </c>
      <c r="C1027" t="s">
        <v>3667</v>
      </c>
      <c r="D1027" t="s">
        <v>3672</v>
      </c>
      <c r="E1027" t="s">
        <v>3673</v>
      </c>
      <c r="F1027" t="str">
        <f>VLOOKUP(A1027,Base!$A:$F,6,FALSE)</f>
        <v>ATIVIDADES FINANCEIRAS, DE SEGUROS E SERVIÇOS RELACIONADOS</v>
      </c>
      <c r="G1027" t="str">
        <f>VLOOKUP(B1027,Base!$B:$F,5,FALSE)</f>
        <v>ATIVIDADES DE SERVIÇOS FINANCEIROS</v>
      </c>
      <c r="H1027" t="str">
        <f>VLOOKUP(C1027,Base!$C:$F,4,FALSE)</f>
        <v>Intermediação não monetária - outros instrumentos de captação</v>
      </c>
      <c r="I1027" t="str">
        <f>VLOOKUP(D1027,Base!$D:$F,3,FALSE)</f>
        <v>Bancos de desenvolvimento</v>
      </c>
      <c r="J1027" t="str">
        <f>VLOOKUP(E1027,Base!$E:$F,2,FALSE)</f>
        <v>Bancos de desenvolvimento</v>
      </c>
      <c r="K1027" t="s">
        <v>3673</v>
      </c>
      <c r="L1027">
        <f>IFERROR(VLOOKUP($K1027,Base_Atividades!$E$1:$N$2398,MATCH(BancoAjustado!L$1,Base_Atividades!$E$1:$N$1,0),FALSE),0)</f>
        <v>0</v>
      </c>
      <c r="M1027">
        <f>IFERROR(VLOOKUP($K1027,Base_Atividades!$E$1:$N$2398,MATCH(BancoAjustado!M$1,Base_Atividades!$E$1:$N$1,0),FALSE),0)</f>
        <v>0</v>
      </c>
      <c r="N1027">
        <f>IFERROR(VLOOKUP($K1027,Base_Atividades!$E$1:$N$2398,MATCH(BancoAjustado!N$1,Base_Atividades!$E$1:$N$1,0),FALSE),0)</f>
        <v>0</v>
      </c>
    </row>
    <row r="1028" spans="1:14" x14ac:dyDescent="0.25">
      <c r="A1028" t="s">
        <v>3650</v>
      </c>
      <c r="B1028" t="s">
        <v>3651</v>
      </c>
      <c r="C1028" t="s">
        <v>3667</v>
      </c>
      <c r="D1028" t="s">
        <v>3674</v>
      </c>
      <c r="E1028" t="s">
        <v>3675</v>
      </c>
      <c r="F1028" t="str">
        <f>VLOOKUP(A1028,Base!$A:$F,6,FALSE)</f>
        <v>ATIVIDADES FINANCEIRAS, DE SEGUROS E SERVIÇOS RELACIONADOS</v>
      </c>
      <c r="G1028" t="str">
        <f>VLOOKUP(B1028,Base!$B:$F,5,FALSE)</f>
        <v>ATIVIDADES DE SERVIÇOS FINANCEIROS</v>
      </c>
      <c r="H1028" t="str">
        <f>VLOOKUP(C1028,Base!$C:$F,4,FALSE)</f>
        <v>Intermediação não monetária - outros instrumentos de captação</v>
      </c>
      <c r="I1028" t="str">
        <f>VLOOKUP(D1028,Base!$D:$F,3,FALSE)</f>
        <v>Agências de fomento</v>
      </c>
      <c r="J1028" t="str">
        <f>VLOOKUP(E1028,Base!$E:$F,2,FALSE)</f>
        <v>Agências de fomento</v>
      </c>
      <c r="K1028" t="s">
        <v>3675</v>
      </c>
      <c r="L1028">
        <f>IFERROR(VLOOKUP($K1028,Base_Atividades!$E$1:$N$2398,MATCH(BancoAjustado!L$1,Base_Atividades!$E$1:$N$1,0),FALSE),0)</f>
        <v>0</v>
      </c>
      <c r="M1028">
        <f>IFERROR(VLOOKUP($K1028,Base_Atividades!$E$1:$N$2398,MATCH(BancoAjustado!M$1,Base_Atividades!$E$1:$N$1,0),FALSE),0)</f>
        <v>0</v>
      </c>
      <c r="N1028">
        <f>IFERROR(VLOOKUP($K1028,Base_Atividades!$E$1:$N$2398,MATCH(BancoAjustado!N$1,Base_Atividades!$E$1:$N$1,0),FALSE),0)</f>
        <v>0</v>
      </c>
    </row>
    <row r="1029" spans="1:14" x14ac:dyDescent="0.25">
      <c r="A1029" t="s">
        <v>3650</v>
      </c>
      <c r="B1029" t="s">
        <v>3651</v>
      </c>
      <c r="C1029" t="s">
        <v>3667</v>
      </c>
      <c r="D1029" t="s">
        <v>3676</v>
      </c>
      <c r="E1029" t="s">
        <v>3677</v>
      </c>
      <c r="F1029" t="str">
        <f>VLOOKUP(A1029,Base!$A:$F,6,FALSE)</f>
        <v>ATIVIDADES FINANCEIRAS, DE SEGUROS E SERVIÇOS RELACIONADOS</v>
      </c>
      <c r="G1029" t="str">
        <f>VLOOKUP(B1029,Base!$B:$F,5,FALSE)</f>
        <v>ATIVIDADES DE SERVIÇOS FINANCEIROS</v>
      </c>
      <c r="H1029" t="str">
        <f>VLOOKUP(C1029,Base!$C:$F,4,FALSE)</f>
        <v>Intermediação não monetária - outros instrumentos de captação</v>
      </c>
      <c r="I1029" t="str">
        <f>VLOOKUP(D1029,Base!$D:$F,3,FALSE)</f>
        <v>Crédito imobiliário</v>
      </c>
      <c r="J1029" t="str">
        <f>VLOOKUP(E1029,Base!$E:$F,2,FALSE)</f>
        <v>Sociedades de crédito imobiliário</v>
      </c>
      <c r="K1029" t="s">
        <v>3677</v>
      </c>
      <c r="L1029">
        <f>IFERROR(VLOOKUP($K1029,Base_Atividades!$E$1:$N$2398,MATCH(BancoAjustado!L$1,Base_Atividades!$E$1:$N$1,0),FALSE),0)</f>
        <v>0</v>
      </c>
      <c r="M1029">
        <f>IFERROR(VLOOKUP($K1029,Base_Atividades!$E$1:$N$2398,MATCH(BancoAjustado!M$1,Base_Atividades!$E$1:$N$1,0),FALSE),0)</f>
        <v>0</v>
      </c>
      <c r="N1029">
        <f>IFERROR(VLOOKUP($K1029,Base_Atividades!$E$1:$N$2398,MATCH(BancoAjustado!N$1,Base_Atividades!$E$1:$N$1,0),FALSE),0)</f>
        <v>0</v>
      </c>
    </row>
    <row r="1030" spans="1:14" x14ac:dyDescent="0.25">
      <c r="A1030" t="s">
        <v>3650</v>
      </c>
      <c r="B1030" t="s">
        <v>3651</v>
      </c>
      <c r="C1030" t="s">
        <v>3667</v>
      </c>
      <c r="D1030" t="s">
        <v>3676</v>
      </c>
      <c r="E1030" t="s">
        <v>3678</v>
      </c>
      <c r="F1030" t="str">
        <f>VLOOKUP(A1030,Base!$A:$F,6,FALSE)</f>
        <v>ATIVIDADES FINANCEIRAS, DE SEGUROS E SERVIÇOS RELACIONADOS</v>
      </c>
      <c r="G1030" t="str">
        <f>VLOOKUP(B1030,Base!$B:$F,5,FALSE)</f>
        <v>ATIVIDADES DE SERVIÇOS FINANCEIROS</v>
      </c>
      <c r="H1030" t="str">
        <f>VLOOKUP(C1030,Base!$C:$F,4,FALSE)</f>
        <v>Intermediação não monetária - outros instrumentos de captação</v>
      </c>
      <c r="I1030" t="str">
        <f>VLOOKUP(D1030,Base!$D:$F,3,FALSE)</f>
        <v>Crédito imobiliário</v>
      </c>
      <c r="J1030" t="str">
        <f>VLOOKUP(E1030,Base!$E:$F,2,FALSE)</f>
        <v>Associações de poupança e empréstimo</v>
      </c>
      <c r="K1030" t="s">
        <v>3678</v>
      </c>
      <c r="L1030">
        <f>IFERROR(VLOOKUP($K1030,Base_Atividades!$E$1:$N$2398,MATCH(BancoAjustado!L$1,Base_Atividades!$E$1:$N$1,0),FALSE),0)</f>
        <v>0</v>
      </c>
      <c r="M1030">
        <f>IFERROR(VLOOKUP($K1030,Base_Atividades!$E$1:$N$2398,MATCH(BancoAjustado!M$1,Base_Atividades!$E$1:$N$1,0),FALSE),0)</f>
        <v>0</v>
      </c>
      <c r="N1030">
        <f>IFERROR(VLOOKUP($K1030,Base_Atividades!$E$1:$N$2398,MATCH(BancoAjustado!N$1,Base_Atividades!$E$1:$N$1,0),FALSE),0)</f>
        <v>0</v>
      </c>
    </row>
    <row r="1031" spans="1:14" x14ac:dyDescent="0.25">
      <c r="A1031" t="s">
        <v>3650</v>
      </c>
      <c r="B1031" t="s">
        <v>3651</v>
      </c>
      <c r="C1031" t="s">
        <v>3667</v>
      </c>
      <c r="D1031" t="s">
        <v>3676</v>
      </c>
      <c r="E1031" t="s">
        <v>3679</v>
      </c>
      <c r="F1031" t="str">
        <f>VLOOKUP(A1031,Base!$A:$F,6,FALSE)</f>
        <v>ATIVIDADES FINANCEIRAS, DE SEGUROS E SERVIÇOS RELACIONADOS</v>
      </c>
      <c r="G1031" t="str">
        <f>VLOOKUP(B1031,Base!$B:$F,5,FALSE)</f>
        <v>ATIVIDADES DE SERVIÇOS FINANCEIROS</v>
      </c>
      <c r="H1031" t="str">
        <f>VLOOKUP(C1031,Base!$C:$F,4,FALSE)</f>
        <v>Intermediação não monetária - outros instrumentos de captação</v>
      </c>
      <c r="I1031" t="str">
        <f>VLOOKUP(D1031,Base!$D:$F,3,FALSE)</f>
        <v>Crédito imobiliário</v>
      </c>
      <c r="J1031" t="str">
        <f>VLOOKUP(E1031,Base!$E:$F,2,FALSE)</f>
        <v>Companhias hipotecárias</v>
      </c>
      <c r="K1031" t="s">
        <v>3679</v>
      </c>
      <c r="L1031">
        <f>IFERROR(VLOOKUP($K1031,Base_Atividades!$E$1:$N$2398,MATCH(BancoAjustado!L$1,Base_Atividades!$E$1:$N$1,0),FALSE),0)</f>
        <v>0</v>
      </c>
      <c r="M1031">
        <f>IFERROR(VLOOKUP($K1031,Base_Atividades!$E$1:$N$2398,MATCH(BancoAjustado!M$1,Base_Atividades!$E$1:$N$1,0),FALSE),0)</f>
        <v>0</v>
      </c>
      <c r="N1031">
        <f>IFERROR(VLOOKUP($K1031,Base_Atividades!$E$1:$N$2398,MATCH(BancoAjustado!N$1,Base_Atividades!$E$1:$N$1,0),FALSE),0)</f>
        <v>0</v>
      </c>
    </row>
    <row r="1032" spans="1:14" x14ac:dyDescent="0.25">
      <c r="A1032" t="s">
        <v>3650</v>
      </c>
      <c r="B1032" t="s">
        <v>3651</v>
      </c>
      <c r="C1032" t="s">
        <v>3667</v>
      </c>
      <c r="D1032" t="s">
        <v>3680</v>
      </c>
      <c r="E1032" t="s">
        <v>3681</v>
      </c>
      <c r="F1032" t="str">
        <f>VLOOKUP(A1032,Base!$A:$F,6,FALSE)</f>
        <v>ATIVIDADES FINANCEIRAS, DE SEGUROS E SERVIÇOS RELACIONADOS</v>
      </c>
      <c r="G1032" t="str">
        <f>VLOOKUP(B1032,Base!$B:$F,5,FALSE)</f>
        <v>ATIVIDADES DE SERVIÇOS FINANCEIROS</v>
      </c>
      <c r="H1032" t="str">
        <f>VLOOKUP(C1032,Base!$C:$F,4,FALSE)</f>
        <v>Intermediação não monetária - outros instrumentos de captação</v>
      </c>
      <c r="I1032" t="str">
        <f>VLOOKUP(D1032,Base!$D:$F,3,FALSE)</f>
        <v>Sociedades de crédito, financiamento e investimento - financeiras</v>
      </c>
      <c r="J1032" t="str">
        <f>VLOOKUP(E1032,Base!$E:$F,2,FALSE)</f>
        <v>Sociedades de crédito, financiamento e investimento - financeiras</v>
      </c>
      <c r="K1032" t="s">
        <v>3681</v>
      </c>
      <c r="L1032">
        <f>IFERROR(VLOOKUP($K1032,Base_Atividades!$E$1:$N$2398,MATCH(BancoAjustado!L$1,Base_Atividades!$E$1:$N$1,0),FALSE),0)</f>
        <v>0</v>
      </c>
      <c r="M1032">
        <f>IFERROR(VLOOKUP($K1032,Base_Atividades!$E$1:$N$2398,MATCH(BancoAjustado!M$1,Base_Atividades!$E$1:$N$1,0),FALSE),0)</f>
        <v>0</v>
      </c>
      <c r="N1032">
        <f>IFERROR(VLOOKUP($K1032,Base_Atividades!$E$1:$N$2398,MATCH(BancoAjustado!N$1,Base_Atividades!$E$1:$N$1,0),FALSE),0)</f>
        <v>0</v>
      </c>
    </row>
    <row r="1033" spans="1:14" x14ac:dyDescent="0.25">
      <c r="A1033" t="s">
        <v>3650</v>
      </c>
      <c r="B1033" t="s">
        <v>3651</v>
      </c>
      <c r="C1033" t="s">
        <v>3667</v>
      </c>
      <c r="D1033" t="s">
        <v>3682</v>
      </c>
      <c r="E1033" t="s">
        <v>3683</v>
      </c>
      <c r="F1033" t="str">
        <f>VLOOKUP(A1033,Base!$A:$F,6,FALSE)</f>
        <v>ATIVIDADES FINANCEIRAS, DE SEGUROS E SERVIÇOS RELACIONADOS</v>
      </c>
      <c r="G1033" t="str">
        <f>VLOOKUP(B1033,Base!$B:$F,5,FALSE)</f>
        <v>ATIVIDADES DE SERVIÇOS FINANCEIROS</v>
      </c>
      <c r="H1033" t="str">
        <f>VLOOKUP(C1033,Base!$C:$F,4,FALSE)</f>
        <v>Intermediação não monetária - outros instrumentos de captação</v>
      </c>
      <c r="I1033" t="str">
        <f>VLOOKUP(D1033,Base!$D:$F,3,FALSE)</f>
        <v>Sociedades de crédito ao microempreendedor</v>
      </c>
      <c r="J1033" t="str">
        <f>VLOOKUP(E1033,Base!$E:$F,2,FALSE)</f>
        <v>Sociedades de crédito ao microempreendedor</v>
      </c>
      <c r="K1033" t="s">
        <v>3683</v>
      </c>
      <c r="L1033">
        <f>IFERROR(VLOOKUP($K1033,Base_Atividades!$E$1:$N$2398,MATCH(BancoAjustado!L$1,Base_Atividades!$E$1:$N$1,0),FALSE),0)</f>
        <v>0</v>
      </c>
      <c r="M1033">
        <f>IFERROR(VLOOKUP($K1033,Base_Atividades!$E$1:$N$2398,MATCH(BancoAjustado!M$1,Base_Atividades!$E$1:$N$1,0),FALSE),0)</f>
        <v>0</v>
      </c>
      <c r="N1033">
        <f>IFERROR(VLOOKUP($K1033,Base_Atividades!$E$1:$N$2398,MATCH(BancoAjustado!N$1,Base_Atividades!$E$1:$N$1,0),FALSE),0)</f>
        <v>0</v>
      </c>
    </row>
    <row r="1034" spans="1:14" x14ac:dyDescent="0.25">
      <c r="A1034" t="s">
        <v>3650</v>
      </c>
      <c r="B1034" t="s">
        <v>3651</v>
      </c>
      <c r="C1034" t="s">
        <v>3667</v>
      </c>
      <c r="D1034" t="s">
        <v>3684</v>
      </c>
      <c r="E1034" t="s">
        <v>3685</v>
      </c>
      <c r="F1034" t="str">
        <f>VLOOKUP(A1034,Base!$A:$F,6,FALSE)</f>
        <v>ATIVIDADES FINANCEIRAS, DE SEGUROS E SERVIÇOS RELACIONADOS</v>
      </c>
      <c r="G1034" t="str">
        <f>VLOOKUP(B1034,Base!$B:$F,5,FALSE)</f>
        <v>ATIVIDADES DE SERVIÇOS FINANCEIROS</v>
      </c>
      <c r="H1034" t="str">
        <f>VLOOKUP(C1034,Base!$C:$F,4,FALSE)</f>
        <v>Intermediação não monetária - outros instrumentos de captação</v>
      </c>
      <c r="I1034" t="str">
        <f>VLOOKUP(D1034,Base!$D:$F,3,FALSE)</f>
        <v>Bancos de câmbio e outras instituições de intermediação não monetária</v>
      </c>
      <c r="J1034" t="str">
        <f>VLOOKUP(E1034,Base!$E:$F,2,FALSE)</f>
        <v>Bancos de câmbio</v>
      </c>
      <c r="K1034" t="s">
        <v>3685</v>
      </c>
      <c r="L1034">
        <f>IFERROR(VLOOKUP($K1034,Base_Atividades!$E$1:$N$2398,MATCH(BancoAjustado!L$1,Base_Atividades!$E$1:$N$1,0),FALSE),0)</f>
        <v>0</v>
      </c>
      <c r="M1034">
        <f>IFERROR(VLOOKUP($K1034,Base_Atividades!$E$1:$N$2398,MATCH(BancoAjustado!M$1,Base_Atividades!$E$1:$N$1,0),FALSE),0)</f>
        <v>0</v>
      </c>
      <c r="N1034">
        <f>IFERROR(VLOOKUP($K1034,Base_Atividades!$E$1:$N$2398,MATCH(BancoAjustado!N$1,Base_Atividades!$E$1:$N$1,0),FALSE),0)</f>
        <v>0</v>
      </c>
    </row>
    <row r="1035" spans="1:14" x14ac:dyDescent="0.25">
      <c r="A1035" t="s">
        <v>3650</v>
      </c>
      <c r="B1035" t="s">
        <v>3651</v>
      </c>
      <c r="C1035" t="s">
        <v>3667</v>
      </c>
      <c r="D1035" t="s">
        <v>3684</v>
      </c>
      <c r="E1035" t="s">
        <v>3686</v>
      </c>
      <c r="F1035" t="str">
        <f>VLOOKUP(A1035,Base!$A:$F,6,FALSE)</f>
        <v>ATIVIDADES FINANCEIRAS, DE SEGUROS E SERVIÇOS RELACIONADOS</v>
      </c>
      <c r="G1035" t="str">
        <f>VLOOKUP(B1035,Base!$B:$F,5,FALSE)</f>
        <v>ATIVIDADES DE SERVIÇOS FINANCEIROS</v>
      </c>
      <c r="H1035" t="str">
        <f>VLOOKUP(C1035,Base!$C:$F,4,FALSE)</f>
        <v>Intermediação não monetária - outros instrumentos de captação</v>
      </c>
      <c r="I1035" t="str">
        <f>VLOOKUP(D1035,Base!$D:$F,3,FALSE)</f>
        <v>Bancos de câmbio e outras instituições de intermediação não monetária</v>
      </c>
      <c r="J1035" t="str">
        <f>VLOOKUP(E1035,Base!$E:$F,2,FALSE)</f>
        <v>Outras instituições de intermediação não monetária não especificadas anteriormente</v>
      </c>
      <c r="K1035" t="s">
        <v>3686</v>
      </c>
      <c r="L1035">
        <f>IFERROR(VLOOKUP($K1035,Base_Atividades!$E$1:$N$2398,MATCH(BancoAjustado!L$1,Base_Atividades!$E$1:$N$1,0),FALSE),0)</f>
        <v>0</v>
      </c>
      <c r="M1035">
        <f>IFERROR(VLOOKUP($K1035,Base_Atividades!$E$1:$N$2398,MATCH(BancoAjustado!M$1,Base_Atividades!$E$1:$N$1,0),FALSE),0)</f>
        <v>0</v>
      </c>
      <c r="N1035">
        <f>IFERROR(VLOOKUP($K1035,Base_Atividades!$E$1:$N$2398,MATCH(BancoAjustado!N$1,Base_Atividades!$E$1:$N$1,0),FALSE),0)</f>
        <v>0</v>
      </c>
    </row>
    <row r="1036" spans="1:14" x14ac:dyDescent="0.25">
      <c r="A1036" t="s">
        <v>3650</v>
      </c>
      <c r="B1036" t="s">
        <v>3651</v>
      </c>
      <c r="C1036" t="s">
        <v>3687</v>
      </c>
      <c r="D1036" t="s">
        <v>3688</v>
      </c>
      <c r="E1036" t="s">
        <v>3689</v>
      </c>
      <c r="F1036" t="str">
        <f>VLOOKUP(A1036,Base!$A:$F,6,FALSE)</f>
        <v>ATIVIDADES FINANCEIRAS, DE SEGUROS E SERVIÇOS RELACIONADOS</v>
      </c>
      <c r="G1036" t="str">
        <f>VLOOKUP(B1036,Base!$B:$F,5,FALSE)</f>
        <v>ATIVIDADES DE SERVIÇOS FINANCEIROS</v>
      </c>
      <c r="H1036" t="str">
        <f>VLOOKUP(C1036,Base!$C:$F,4,FALSE)</f>
        <v>Arrendamento mercantil</v>
      </c>
      <c r="I1036" t="str">
        <f>VLOOKUP(D1036,Base!$D:$F,3,FALSE)</f>
        <v>Arrendamento mercantil</v>
      </c>
      <c r="J1036" t="str">
        <f>VLOOKUP(E1036,Base!$E:$F,2,FALSE)</f>
        <v>Arrendamento mercantil</v>
      </c>
      <c r="K1036" t="s">
        <v>3689</v>
      </c>
      <c r="L1036">
        <f>IFERROR(VLOOKUP($K1036,Base_Atividades!$E$1:$N$2398,MATCH(BancoAjustado!L$1,Base_Atividades!$E$1:$N$1,0),FALSE),0)</f>
        <v>0</v>
      </c>
      <c r="M1036">
        <f>IFERROR(VLOOKUP($K1036,Base_Atividades!$E$1:$N$2398,MATCH(BancoAjustado!M$1,Base_Atividades!$E$1:$N$1,0),FALSE),0)</f>
        <v>0</v>
      </c>
      <c r="N1036">
        <f>IFERROR(VLOOKUP($K1036,Base_Atividades!$E$1:$N$2398,MATCH(BancoAjustado!N$1,Base_Atividades!$E$1:$N$1,0),FALSE),0)</f>
        <v>0</v>
      </c>
    </row>
    <row r="1037" spans="1:14" x14ac:dyDescent="0.25">
      <c r="A1037" t="s">
        <v>3650</v>
      </c>
      <c r="B1037" t="s">
        <v>3651</v>
      </c>
      <c r="C1037" t="s">
        <v>3690</v>
      </c>
      <c r="D1037" t="s">
        <v>3691</v>
      </c>
      <c r="E1037" t="s">
        <v>3692</v>
      </c>
      <c r="F1037" t="str">
        <f>VLOOKUP(A1037,Base!$A:$F,6,FALSE)</f>
        <v>ATIVIDADES FINANCEIRAS, DE SEGUROS E SERVIÇOS RELACIONADOS</v>
      </c>
      <c r="G1037" t="str">
        <f>VLOOKUP(B1037,Base!$B:$F,5,FALSE)</f>
        <v>ATIVIDADES DE SERVIÇOS FINANCEIROS</v>
      </c>
      <c r="H1037" t="str">
        <f>VLOOKUP(C1037,Base!$C:$F,4,FALSE)</f>
        <v>Sociedades de capitalização</v>
      </c>
      <c r="I1037" t="str">
        <f>VLOOKUP(D1037,Base!$D:$F,3,FALSE)</f>
        <v>Sociedades de capitalização</v>
      </c>
      <c r="J1037" t="str">
        <f>VLOOKUP(E1037,Base!$E:$F,2,FALSE)</f>
        <v>Sociedades de capitalização</v>
      </c>
      <c r="K1037" t="s">
        <v>3692</v>
      </c>
      <c r="L1037">
        <f>IFERROR(VLOOKUP($K1037,Base_Atividades!$E$1:$N$2398,MATCH(BancoAjustado!L$1,Base_Atividades!$E$1:$N$1,0),FALSE),0)</f>
        <v>0</v>
      </c>
      <c r="M1037">
        <f>IFERROR(VLOOKUP($K1037,Base_Atividades!$E$1:$N$2398,MATCH(BancoAjustado!M$1,Base_Atividades!$E$1:$N$1,0),FALSE),0)</f>
        <v>0</v>
      </c>
      <c r="N1037">
        <f>IFERROR(VLOOKUP($K1037,Base_Atividades!$E$1:$N$2398,MATCH(BancoAjustado!N$1,Base_Atividades!$E$1:$N$1,0),FALSE),0)</f>
        <v>0</v>
      </c>
    </row>
    <row r="1038" spans="1:14" x14ac:dyDescent="0.25">
      <c r="A1038" t="s">
        <v>3650</v>
      </c>
      <c r="B1038" t="s">
        <v>3651</v>
      </c>
      <c r="C1038" t="s">
        <v>3693</v>
      </c>
      <c r="D1038" t="s">
        <v>3694</v>
      </c>
      <c r="E1038" t="s">
        <v>3696</v>
      </c>
      <c r="F1038" t="str">
        <f>VLOOKUP(A1038,Base!$A:$F,6,FALSE)</f>
        <v>ATIVIDADES FINANCEIRAS, DE SEGUROS E SERVIÇOS RELACIONADOS</v>
      </c>
      <c r="G1038" t="str">
        <f>VLOOKUP(B1038,Base!$B:$F,5,FALSE)</f>
        <v>ATIVIDADES DE SERVIÇOS FINANCEIROS</v>
      </c>
      <c r="H1038" t="str">
        <f>VLOOKUP(C1038,Base!$C:$F,4,FALSE)</f>
        <v>Atividades de sociedades de participação</v>
      </c>
      <c r="I1038" t="str">
        <f>VLOOKUP(D1038,Base!$D:$F,3,FALSE)</f>
        <v>Holdings de instituições financeiras</v>
      </c>
      <c r="J1038" t="str">
        <f>VLOOKUP(E1038,Base!$E:$F,2,FALSE)</f>
        <v>Holdings de instituições financeiras</v>
      </c>
      <c r="K1038" t="s">
        <v>3696</v>
      </c>
      <c r="L1038">
        <f>IFERROR(VLOOKUP($K1038,Base_Atividades!$E$1:$N$2398,MATCH(BancoAjustado!L$1,Base_Atividades!$E$1:$N$1,0),FALSE),0)</f>
        <v>0</v>
      </c>
      <c r="M1038">
        <f>IFERROR(VLOOKUP($K1038,Base_Atividades!$E$1:$N$2398,MATCH(BancoAjustado!M$1,Base_Atividades!$E$1:$N$1,0),FALSE),0)</f>
        <v>0</v>
      </c>
      <c r="N1038">
        <f>IFERROR(VLOOKUP($K1038,Base_Atividades!$E$1:$N$2398,MATCH(BancoAjustado!N$1,Base_Atividades!$E$1:$N$1,0),FALSE),0)</f>
        <v>0</v>
      </c>
    </row>
    <row r="1039" spans="1:14" x14ac:dyDescent="0.25">
      <c r="A1039" t="s">
        <v>3650</v>
      </c>
      <c r="B1039" t="s">
        <v>3651</v>
      </c>
      <c r="C1039" t="s">
        <v>3693</v>
      </c>
      <c r="D1039" t="s">
        <v>3697</v>
      </c>
      <c r="E1039" t="s">
        <v>3699</v>
      </c>
      <c r="F1039" t="str">
        <f>VLOOKUP(A1039,Base!$A:$F,6,FALSE)</f>
        <v>ATIVIDADES FINANCEIRAS, DE SEGUROS E SERVIÇOS RELACIONADOS</v>
      </c>
      <c r="G1039" t="str">
        <f>VLOOKUP(B1039,Base!$B:$F,5,FALSE)</f>
        <v>ATIVIDADES DE SERVIÇOS FINANCEIROS</v>
      </c>
      <c r="H1039" t="str">
        <f>VLOOKUP(C1039,Base!$C:$F,4,FALSE)</f>
        <v>Atividades de sociedades de participação</v>
      </c>
      <c r="I1039" t="str">
        <f>VLOOKUP(D1039,Base!$D:$F,3,FALSE)</f>
        <v>Holdings de instituições não financeiras</v>
      </c>
      <c r="J1039" t="str">
        <f>VLOOKUP(E1039,Base!$E:$F,2,FALSE)</f>
        <v>Holdings de instituições não financeiras</v>
      </c>
      <c r="K1039" t="s">
        <v>3699</v>
      </c>
      <c r="L1039">
        <f>IFERROR(VLOOKUP($K1039,Base_Atividades!$E$1:$N$2398,MATCH(BancoAjustado!L$1,Base_Atividades!$E$1:$N$1,0),FALSE),0)</f>
        <v>0</v>
      </c>
      <c r="M1039">
        <f>IFERROR(VLOOKUP($K1039,Base_Atividades!$E$1:$N$2398,MATCH(BancoAjustado!M$1,Base_Atividades!$E$1:$N$1,0),FALSE),0)</f>
        <v>0</v>
      </c>
      <c r="N1039">
        <f>IFERROR(VLOOKUP($K1039,Base_Atividades!$E$1:$N$2398,MATCH(BancoAjustado!N$1,Base_Atividades!$E$1:$N$1,0),FALSE),0)</f>
        <v>0</v>
      </c>
    </row>
    <row r="1040" spans="1:14" x14ac:dyDescent="0.25">
      <c r="A1040" t="s">
        <v>3650</v>
      </c>
      <c r="B1040" t="s">
        <v>3651</v>
      </c>
      <c r="C1040" t="s">
        <v>3693</v>
      </c>
      <c r="D1040" t="s">
        <v>3700</v>
      </c>
      <c r="E1040" t="s">
        <v>3702</v>
      </c>
      <c r="F1040" t="str">
        <f>VLOOKUP(A1040,Base!$A:$F,6,FALSE)</f>
        <v>ATIVIDADES FINANCEIRAS, DE SEGUROS E SERVIÇOS RELACIONADOS</v>
      </c>
      <c r="G1040" t="str">
        <f>VLOOKUP(B1040,Base!$B:$F,5,FALSE)</f>
        <v>ATIVIDADES DE SERVIÇOS FINANCEIROS</v>
      </c>
      <c r="H1040" t="str">
        <f>VLOOKUP(C1040,Base!$C:$F,4,FALSE)</f>
        <v>Atividades de sociedades de participação</v>
      </c>
      <c r="I1040" t="str">
        <f>VLOOKUP(D1040,Base!$D:$F,3,FALSE)</f>
        <v>Outras sociedades de participação, exceto holdings</v>
      </c>
      <c r="J1040" t="str">
        <f>VLOOKUP(E1040,Base!$E:$F,2,FALSE)</f>
        <v>Outras sociedades de participação, exceto holdings</v>
      </c>
      <c r="K1040" t="s">
        <v>3702</v>
      </c>
      <c r="L1040">
        <f>IFERROR(VLOOKUP($K1040,Base_Atividades!$E$1:$N$2398,MATCH(BancoAjustado!L$1,Base_Atividades!$E$1:$N$1,0),FALSE),0)</f>
        <v>0</v>
      </c>
      <c r="M1040">
        <f>IFERROR(VLOOKUP($K1040,Base_Atividades!$E$1:$N$2398,MATCH(BancoAjustado!M$1,Base_Atividades!$E$1:$N$1,0),FALSE),0)</f>
        <v>0</v>
      </c>
      <c r="N1040">
        <f>IFERROR(VLOOKUP($K1040,Base_Atividades!$E$1:$N$2398,MATCH(BancoAjustado!N$1,Base_Atividades!$E$1:$N$1,0),FALSE),0)</f>
        <v>0</v>
      </c>
    </row>
    <row r="1041" spans="1:14" x14ac:dyDescent="0.25">
      <c r="A1041" t="s">
        <v>3650</v>
      </c>
      <c r="B1041" t="s">
        <v>3651</v>
      </c>
      <c r="C1041" t="s">
        <v>3703</v>
      </c>
      <c r="D1041" t="s">
        <v>3704</v>
      </c>
      <c r="E1041" t="s">
        <v>3705</v>
      </c>
      <c r="F1041" t="str">
        <f>VLOOKUP(A1041,Base!$A:$F,6,FALSE)</f>
        <v>ATIVIDADES FINANCEIRAS, DE SEGUROS E SERVIÇOS RELACIONADOS</v>
      </c>
      <c r="G1041" t="str">
        <f>VLOOKUP(B1041,Base!$B:$F,5,FALSE)</f>
        <v>ATIVIDADES DE SERVIÇOS FINANCEIROS</v>
      </c>
      <c r="H1041" t="str">
        <f>VLOOKUP(C1041,Base!$C:$F,4,FALSE)</f>
        <v>Fundos de investimento</v>
      </c>
      <c r="I1041" t="str">
        <f>VLOOKUP(D1041,Base!$D:$F,3,FALSE)</f>
        <v>Fundos de investimento</v>
      </c>
      <c r="J1041" t="str">
        <f>VLOOKUP(E1041,Base!$E:$F,2,FALSE)</f>
        <v>Fundos de investimento, exceto previdenciários e imobiliários</v>
      </c>
      <c r="K1041" t="s">
        <v>3705</v>
      </c>
      <c r="L1041">
        <f>IFERROR(VLOOKUP($K1041,Base_Atividades!$E$1:$N$2398,MATCH(BancoAjustado!L$1,Base_Atividades!$E$1:$N$1,0),FALSE),0)</f>
        <v>0</v>
      </c>
      <c r="M1041">
        <f>IFERROR(VLOOKUP($K1041,Base_Atividades!$E$1:$N$2398,MATCH(BancoAjustado!M$1,Base_Atividades!$E$1:$N$1,0),FALSE),0)</f>
        <v>0</v>
      </c>
      <c r="N1041">
        <f>IFERROR(VLOOKUP($K1041,Base_Atividades!$E$1:$N$2398,MATCH(BancoAjustado!N$1,Base_Atividades!$E$1:$N$1,0),FALSE),0)</f>
        <v>0</v>
      </c>
    </row>
    <row r="1042" spans="1:14" x14ac:dyDescent="0.25">
      <c r="A1042" t="s">
        <v>3650</v>
      </c>
      <c r="B1042" t="s">
        <v>3651</v>
      </c>
      <c r="C1042" t="s">
        <v>3703</v>
      </c>
      <c r="D1042" t="s">
        <v>3704</v>
      </c>
      <c r="E1042" t="s">
        <v>3706</v>
      </c>
      <c r="F1042" t="str">
        <f>VLOOKUP(A1042,Base!$A:$F,6,FALSE)</f>
        <v>ATIVIDADES FINANCEIRAS, DE SEGUROS E SERVIÇOS RELACIONADOS</v>
      </c>
      <c r="G1042" t="str">
        <f>VLOOKUP(B1042,Base!$B:$F,5,FALSE)</f>
        <v>ATIVIDADES DE SERVIÇOS FINANCEIROS</v>
      </c>
      <c r="H1042" t="str">
        <f>VLOOKUP(C1042,Base!$C:$F,4,FALSE)</f>
        <v>Fundos de investimento</v>
      </c>
      <c r="I1042" t="str">
        <f>VLOOKUP(D1042,Base!$D:$F,3,FALSE)</f>
        <v>Fundos de investimento</v>
      </c>
      <c r="J1042" t="str">
        <f>VLOOKUP(E1042,Base!$E:$F,2,FALSE)</f>
        <v>Fundos de investimento previdenciários</v>
      </c>
      <c r="K1042" t="s">
        <v>3706</v>
      </c>
      <c r="L1042">
        <f>IFERROR(VLOOKUP($K1042,Base_Atividades!$E$1:$N$2398,MATCH(BancoAjustado!L$1,Base_Atividades!$E$1:$N$1,0),FALSE),0)</f>
        <v>0</v>
      </c>
      <c r="M1042">
        <f>IFERROR(VLOOKUP($K1042,Base_Atividades!$E$1:$N$2398,MATCH(BancoAjustado!M$1,Base_Atividades!$E$1:$N$1,0),FALSE),0)</f>
        <v>0</v>
      </c>
      <c r="N1042">
        <f>IFERROR(VLOOKUP($K1042,Base_Atividades!$E$1:$N$2398,MATCH(BancoAjustado!N$1,Base_Atividades!$E$1:$N$1,0),FALSE),0)</f>
        <v>0</v>
      </c>
    </row>
    <row r="1043" spans="1:14" x14ac:dyDescent="0.25">
      <c r="A1043" t="s">
        <v>3650</v>
      </c>
      <c r="B1043" t="s">
        <v>3651</v>
      </c>
      <c r="C1043" t="s">
        <v>3703</v>
      </c>
      <c r="D1043" t="s">
        <v>3704</v>
      </c>
      <c r="E1043" t="s">
        <v>3707</v>
      </c>
      <c r="F1043" t="str">
        <f>VLOOKUP(A1043,Base!$A:$F,6,FALSE)</f>
        <v>ATIVIDADES FINANCEIRAS, DE SEGUROS E SERVIÇOS RELACIONADOS</v>
      </c>
      <c r="G1043" t="str">
        <f>VLOOKUP(B1043,Base!$B:$F,5,FALSE)</f>
        <v>ATIVIDADES DE SERVIÇOS FINANCEIROS</v>
      </c>
      <c r="H1043" t="str">
        <f>VLOOKUP(C1043,Base!$C:$F,4,FALSE)</f>
        <v>Fundos de investimento</v>
      </c>
      <c r="I1043" t="str">
        <f>VLOOKUP(D1043,Base!$D:$F,3,FALSE)</f>
        <v>Fundos de investimento</v>
      </c>
      <c r="J1043" t="str">
        <f>VLOOKUP(E1043,Base!$E:$F,2,FALSE)</f>
        <v>Fundos de investimento imobiliários</v>
      </c>
      <c r="K1043" t="s">
        <v>3707</v>
      </c>
      <c r="L1043">
        <f>IFERROR(VLOOKUP($K1043,Base_Atividades!$E$1:$N$2398,MATCH(BancoAjustado!L$1,Base_Atividades!$E$1:$N$1,0),FALSE),0)</f>
        <v>0</v>
      </c>
      <c r="M1043">
        <f>IFERROR(VLOOKUP($K1043,Base_Atividades!$E$1:$N$2398,MATCH(BancoAjustado!M$1,Base_Atividades!$E$1:$N$1,0),FALSE),0)</f>
        <v>0</v>
      </c>
      <c r="N1043">
        <f>IFERROR(VLOOKUP($K1043,Base_Atividades!$E$1:$N$2398,MATCH(BancoAjustado!N$1,Base_Atividades!$E$1:$N$1,0),FALSE),0)</f>
        <v>0</v>
      </c>
    </row>
    <row r="1044" spans="1:14" x14ac:dyDescent="0.25">
      <c r="A1044" t="s">
        <v>3650</v>
      </c>
      <c r="B1044" t="s">
        <v>3651</v>
      </c>
      <c r="C1044" t="s">
        <v>3708</v>
      </c>
      <c r="D1044" t="s">
        <v>3709</v>
      </c>
      <c r="E1044" t="s">
        <v>3711</v>
      </c>
      <c r="F1044" t="str">
        <f>VLOOKUP(A1044,Base!$A:$F,6,FALSE)</f>
        <v>ATIVIDADES FINANCEIRAS, DE SEGUROS E SERVIÇOS RELACIONADOS</v>
      </c>
      <c r="G1044" t="str">
        <f>VLOOKUP(B1044,Base!$B:$F,5,FALSE)</f>
        <v>ATIVIDADES DE SERVIÇOS FINANCEIROS</v>
      </c>
      <c r="H1044" t="str">
        <f>VLOOKUP(C1044,Base!$C:$F,4,FALSE)</f>
        <v>Atividades de serviços financeiros não especificadas anteriormente</v>
      </c>
      <c r="I1044" t="str">
        <f>VLOOKUP(D1044,Base!$D:$F,3,FALSE)</f>
        <v>Sociedades de fomento mercantil - factoring</v>
      </c>
      <c r="J1044" t="str">
        <f>VLOOKUP(E1044,Base!$E:$F,2,FALSE)</f>
        <v>Sociedades de fomento mercantil - factoring</v>
      </c>
      <c r="K1044" t="s">
        <v>3711</v>
      </c>
      <c r="L1044">
        <f>IFERROR(VLOOKUP($K1044,Base_Atividades!$E$1:$N$2398,MATCH(BancoAjustado!L$1,Base_Atividades!$E$1:$N$1,0),FALSE),0)</f>
        <v>0</v>
      </c>
      <c r="M1044">
        <f>IFERROR(VLOOKUP($K1044,Base_Atividades!$E$1:$N$2398,MATCH(BancoAjustado!M$1,Base_Atividades!$E$1:$N$1,0),FALSE),0)</f>
        <v>0</v>
      </c>
      <c r="N1044">
        <f>IFERROR(VLOOKUP($K1044,Base_Atividades!$E$1:$N$2398,MATCH(BancoAjustado!N$1,Base_Atividades!$E$1:$N$1,0),FALSE),0)</f>
        <v>0</v>
      </c>
    </row>
    <row r="1045" spans="1:14" x14ac:dyDescent="0.25">
      <c r="A1045" t="s">
        <v>3650</v>
      </c>
      <c r="B1045" t="s">
        <v>3651</v>
      </c>
      <c r="C1045" t="s">
        <v>3708</v>
      </c>
      <c r="D1045" t="s">
        <v>3712</v>
      </c>
      <c r="E1045" t="s">
        <v>3713</v>
      </c>
      <c r="F1045" t="str">
        <f>VLOOKUP(A1045,Base!$A:$F,6,FALSE)</f>
        <v>ATIVIDADES FINANCEIRAS, DE SEGUROS E SERVIÇOS RELACIONADOS</v>
      </c>
      <c r="G1045" t="str">
        <f>VLOOKUP(B1045,Base!$B:$F,5,FALSE)</f>
        <v>ATIVIDADES DE SERVIÇOS FINANCEIROS</v>
      </c>
      <c r="H1045" t="str">
        <f>VLOOKUP(C1045,Base!$C:$F,4,FALSE)</f>
        <v>Atividades de serviços financeiros não especificadas anteriormente</v>
      </c>
      <c r="I1045" t="str">
        <f>VLOOKUP(D1045,Base!$D:$F,3,FALSE)</f>
        <v>Securitização de créditos</v>
      </c>
      <c r="J1045" t="str">
        <f>VLOOKUP(E1045,Base!$E:$F,2,FALSE)</f>
        <v>Securitização de créditos</v>
      </c>
      <c r="K1045" t="s">
        <v>3713</v>
      </c>
      <c r="L1045">
        <f>IFERROR(VLOOKUP($K1045,Base_Atividades!$E$1:$N$2398,MATCH(BancoAjustado!L$1,Base_Atividades!$E$1:$N$1,0),FALSE),0)</f>
        <v>0</v>
      </c>
      <c r="M1045">
        <f>IFERROR(VLOOKUP($K1045,Base_Atividades!$E$1:$N$2398,MATCH(BancoAjustado!M$1,Base_Atividades!$E$1:$N$1,0),FALSE),0)</f>
        <v>0</v>
      </c>
      <c r="N1045">
        <f>IFERROR(VLOOKUP($K1045,Base_Atividades!$E$1:$N$2398,MATCH(BancoAjustado!N$1,Base_Atividades!$E$1:$N$1,0),FALSE),0)</f>
        <v>0</v>
      </c>
    </row>
    <row r="1046" spans="1:14" x14ac:dyDescent="0.25">
      <c r="A1046" t="s">
        <v>3650</v>
      </c>
      <c r="B1046" t="s">
        <v>3651</v>
      </c>
      <c r="C1046" t="s">
        <v>3708</v>
      </c>
      <c r="D1046" t="s">
        <v>3714</v>
      </c>
      <c r="E1046" t="s">
        <v>3715</v>
      </c>
      <c r="F1046" t="str">
        <f>VLOOKUP(A1046,Base!$A:$F,6,FALSE)</f>
        <v>ATIVIDADES FINANCEIRAS, DE SEGUROS E SERVIÇOS RELACIONADOS</v>
      </c>
      <c r="G1046" t="str">
        <f>VLOOKUP(B1046,Base!$B:$F,5,FALSE)</f>
        <v>ATIVIDADES DE SERVIÇOS FINANCEIROS</v>
      </c>
      <c r="H1046" t="str">
        <f>VLOOKUP(C1046,Base!$C:$F,4,FALSE)</f>
        <v>Atividades de serviços financeiros não especificadas anteriormente</v>
      </c>
      <c r="I1046" t="str">
        <f>VLOOKUP(D1046,Base!$D:$F,3,FALSE)</f>
        <v>Administração de consórcios para aquisição de bens e direitos</v>
      </c>
      <c r="J1046" t="str">
        <f>VLOOKUP(E1046,Base!$E:$F,2,FALSE)</f>
        <v>Administração de consórcios para aquisição de bens e direitos</v>
      </c>
      <c r="K1046" t="s">
        <v>3715</v>
      </c>
      <c r="L1046">
        <f>IFERROR(VLOOKUP($K1046,Base_Atividades!$E$1:$N$2398,MATCH(BancoAjustado!L$1,Base_Atividades!$E$1:$N$1,0),FALSE),0)</f>
        <v>0</v>
      </c>
      <c r="M1046">
        <f>IFERROR(VLOOKUP($K1046,Base_Atividades!$E$1:$N$2398,MATCH(BancoAjustado!M$1,Base_Atividades!$E$1:$N$1,0),FALSE),0)</f>
        <v>0</v>
      </c>
      <c r="N1046">
        <f>IFERROR(VLOOKUP($K1046,Base_Atividades!$E$1:$N$2398,MATCH(BancoAjustado!N$1,Base_Atividades!$E$1:$N$1,0),FALSE),0)</f>
        <v>0</v>
      </c>
    </row>
    <row r="1047" spans="1:14" x14ac:dyDescent="0.25">
      <c r="A1047" t="s">
        <v>3650</v>
      </c>
      <c r="B1047" t="s">
        <v>3651</v>
      </c>
      <c r="C1047" t="s">
        <v>3708</v>
      </c>
      <c r="D1047" t="s">
        <v>3716</v>
      </c>
      <c r="E1047" t="s">
        <v>3717</v>
      </c>
      <c r="F1047" t="str">
        <f>VLOOKUP(A1047,Base!$A:$F,6,FALSE)</f>
        <v>ATIVIDADES FINANCEIRAS, DE SEGUROS E SERVIÇOS RELACIONADOS</v>
      </c>
      <c r="G1047" t="str">
        <f>VLOOKUP(B1047,Base!$B:$F,5,FALSE)</f>
        <v>ATIVIDADES DE SERVIÇOS FINANCEIROS</v>
      </c>
      <c r="H1047" t="str">
        <f>VLOOKUP(C1047,Base!$C:$F,4,FALSE)</f>
        <v>Atividades de serviços financeiros não especificadas anteriormente</v>
      </c>
      <c r="I1047" t="str">
        <f>VLOOKUP(D1047,Base!$D:$F,3,FALSE)</f>
        <v>Outras atividades de serviços financeiros não especificadas anteriormente</v>
      </c>
      <c r="J1047" t="str">
        <f>VLOOKUP(E1047,Base!$E:$F,2,FALSE)</f>
        <v>Clubes de investimento</v>
      </c>
      <c r="K1047" t="s">
        <v>3717</v>
      </c>
      <c r="L1047">
        <f>IFERROR(VLOOKUP($K1047,Base_Atividades!$E$1:$N$2398,MATCH(BancoAjustado!L$1,Base_Atividades!$E$1:$N$1,0),FALSE),0)</f>
        <v>0</v>
      </c>
      <c r="M1047">
        <f>IFERROR(VLOOKUP($K1047,Base_Atividades!$E$1:$N$2398,MATCH(BancoAjustado!M$1,Base_Atividades!$E$1:$N$1,0),FALSE),0)</f>
        <v>0</v>
      </c>
      <c r="N1047">
        <f>IFERROR(VLOOKUP($K1047,Base_Atividades!$E$1:$N$2398,MATCH(BancoAjustado!N$1,Base_Atividades!$E$1:$N$1,0),FALSE),0)</f>
        <v>0</v>
      </c>
    </row>
    <row r="1048" spans="1:14" x14ac:dyDescent="0.25">
      <c r="A1048" t="s">
        <v>3650</v>
      </c>
      <c r="B1048" t="s">
        <v>3651</v>
      </c>
      <c r="C1048" t="s">
        <v>3708</v>
      </c>
      <c r="D1048" t="s">
        <v>3716</v>
      </c>
      <c r="E1048" t="s">
        <v>3718</v>
      </c>
      <c r="F1048" t="str">
        <f>VLOOKUP(A1048,Base!$A:$F,6,FALSE)</f>
        <v>ATIVIDADES FINANCEIRAS, DE SEGUROS E SERVIÇOS RELACIONADOS</v>
      </c>
      <c r="G1048" t="str">
        <f>VLOOKUP(B1048,Base!$B:$F,5,FALSE)</f>
        <v>ATIVIDADES DE SERVIÇOS FINANCEIROS</v>
      </c>
      <c r="H1048" t="str">
        <f>VLOOKUP(C1048,Base!$C:$F,4,FALSE)</f>
        <v>Atividades de serviços financeiros não especificadas anteriormente</v>
      </c>
      <c r="I1048" t="str">
        <f>VLOOKUP(D1048,Base!$D:$F,3,FALSE)</f>
        <v>Outras atividades de serviços financeiros não especificadas anteriormente</v>
      </c>
      <c r="J1048" t="str">
        <f>VLOOKUP(E1048,Base!$E:$F,2,FALSE)</f>
        <v>Sociedades de investimento</v>
      </c>
      <c r="K1048" t="s">
        <v>3718</v>
      </c>
      <c r="L1048">
        <f>IFERROR(VLOOKUP($K1048,Base_Atividades!$E$1:$N$2398,MATCH(BancoAjustado!L$1,Base_Atividades!$E$1:$N$1,0),FALSE),0)</f>
        <v>0</v>
      </c>
      <c r="M1048">
        <f>IFERROR(VLOOKUP($K1048,Base_Atividades!$E$1:$N$2398,MATCH(BancoAjustado!M$1,Base_Atividades!$E$1:$N$1,0),FALSE),0)</f>
        <v>0</v>
      </c>
      <c r="N1048">
        <f>IFERROR(VLOOKUP($K1048,Base_Atividades!$E$1:$N$2398,MATCH(BancoAjustado!N$1,Base_Atividades!$E$1:$N$1,0),FALSE),0)</f>
        <v>0</v>
      </c>
    </row>
    <row r="1049" spans="1:14" x14ac:dyDescent="0.25">
      <c r="A1049" t="s">
        <v>3650</v>
      </c>
      <c r="B1049" t="s">
        <v>3651</v>
      </c>
      <c r="C1049" t="s">
        <v>3708</v>
      </c>
      <c r="D1049" t="s">
        <v>3716</v>
      </c>
      <c r="E1049" t="s">
        <v>3719</v>
      </c>
      <c r="F1049" t="str">
        <f>VLOOKUP(A1049,Base!$A:$F,6,FALSE)</f>
        <v>ATIVIDADES FINANCEIRAS, DE SEGUROS E SERVIÇOS RELACIONADOS</v>
      </c>
      <c r="G1049" t="str">
        <f>VLOOKUP(B1049,Base!$B:$F,5,FALSE)</f>
        <v>ATIVIDADES DE SERVIÇOS FINANCEIROS</v>
      </c>
      <c r="H1049" t="str">
        <f>VLOOKUP(C1049,Base!$C:$F,4,FALSE)</f>
        <v>Atividades de serviços financeiros não especificadas anteriormente</v>
      </c>
      <c r="I1049" t="str">
        <f>VLOOKUP(D1049,Base!$D:$F,3,FALSE)</f>
        <v>Outras atividades de serviços financeiros não especificadas anteriormente</v>
      </c>
      <c r="J1049" t="str">
        <f>VLOOKUP(E1049,Base!$E:$F,2,FALSE)</f>
        <v>Fundo garantidor de crédito</v>
      </c>
      <c r="K1049" t="s">
        <v>3719</v>
      </c>
      <c r="L1049">
        <f>IFERROR(VLOOKUP($K1049,Base_Atividades!$E$1:$N$2398,MATCH(BancoAjustado!L$1,Base_Atividades!$E$1:$N$1,0),FALSE),0)</f>
        <v>0</v>
      </c>
      <c r="M1049">
        <f>IFERROR(VLOOKUP($K1049,Base_Atividades!$E$1:$N$2398,MATCH(BancoAjustado!M$1,Base_Atividades!$E$1:$N$1,0),FALSE),0)</f>
        <v>0</v>
      </c>
      <c r="N1049">
        <f>IFERROR(VLOOKUP($K1049,Base_Atividades!$E$1:$N$2398,MATCH(BancoAjustado!N$1,Base_Atividades!$E$1:$N$1,0),FALSE),0)</f>
        <v>0</v>
      </c>
    </row>
    <row r="1050" spans="1:14" x14ac:dyDescent="0.25">
      <c r="A1050" t="s">
        <v>3650</v>
      </c>
      <c r="B1050" t="s">
        <v>3651</v>
      </c>
      <c r="C1050" t="s">
        <v>3708</v>
      </c>
      <c r="D1050" t="s">
        <v>3716</v>
      </c>
      <c r="E1050" t="s">
        <v>3720</v>
      </c>
      <c r="F1050" t="str">
        <f>VLOOKUP(A1050,Base!$A:$F,6,FALSE)</f>
        <v>ATIVIDADES FINANCEIRAS, DE SEGUROS E SERVIÇOS RELACIONADOS</v>
      </c>
      <c r="G1050" t="str">
        <f>VLOOKUP(B1050,Base!$B:$F,5,FALSE)</f>
        <v>ATIVIDADES DE SERVIÇOS FINANCEIROS</v>
      </c>
      <c r="H1050" t="str">
        <f>VLOOKUP(C1050,Base!$C:$F,4,FALSE)</f>
        <v>Atividades de serviços financeiros não especificadas anteriormente</v>
      </c>
      <c r="I1050" t="str">
        <f>VLOOKUP(D1050,Base!$D:$F,3,FALSE)</f>
        <v>Outras atividades de serviços financeiros não especificadas anteriormente</v>
      </c>
      <c r="J1050" t="str">
        <f>VLOOKUP(E1050,Base!$E:$F,2,FALSE)</f>
        <v>Caixas de financiamento de corporações</v>
      </c>
      <c r="K1050" t="s">
        <v>3720</v>
      </c>
      <c r="L1050">
        <f>IFERROR(VLOOKUP($K1050,Base_Atividades!$E$1:$N$2398,MATCH(BancoAjustado!L$1,Base_Atividades!$E$1:$N$1,0),FALSE),0)</f>
        <v>0</v>
      </c>
      <c r="M1050">
        <f>IFERROR(VLOOKUP($K1050,Base_Atividades!$E$1:$N$2398,MATCH(BancoAjustado!M$1,Base_Atividades!$E$1:$N$1,0),FALSE),0)</f>
        <v>0</v>
      </c>
      <c r="N1050">
        <f>IFERROR(VLOOKUP($K1050,Base_Atividades!$E$1:$N$2398,MATCH(BancoAjustado!N$1,Base_Atividades!$E$1:$N$1,0),FALSE),0)</f>
        <v>0</v>
      </c>
    </row>
    <row r="1051" spans="1:14" x14ac:dyDescent="0.25">
      <c r="A1051" t="s">
        <v>3650</v>
      </c>
      <c r="B1051" t="s">
        <v>3651</v>
      </c>
      <c r="C1051" t="s">
        <v>3708</v>
      </c>
      <c r="D1051" t="s">
        <v>3716</v>
      </c>
      <c r="E1051" t="s">
        <v>3721</v>
      </c>
      <c r="F1051" t="str">
        <f>VLOOKUP(A1051,Base!$A:$F,6,FALSE)</f>
        <v>ATIVIDADES FINANCEIRAS, DE SEGUROS E SERVIÇOS RELACIONADOS</v>
      </c>
      <c r="G1051" t="str">
        <f>VLOOKUP(B1051,Base!$B:$F,5,FALSE)</f>
        <v>ATIVIDADES DE SERVIÇOS FINANCEIROS</v>
      </c>
      <c r="H1051" t="str">
        <f>VLOOKUP(C1051,Base!$C:$F,4,FALSE)</f>
        <v>Atividades de serviços financeiros não especificadas anteriormente</v>
      </c>
      <c r="I1051" t="str">
        <f>VLOOKUP(D1051,Base!$D:$F,3,FALSE)</f>
        <v>Outras atividades de serviços financeiros não especificadas anteriormente</v>
      </c>
      <c r="J1051" t="str">
        <f>VLOOKUP(E1051,Base!$E:$F,2,FALSE)</f>
        <v>Concessão de crédito pelas OSCIP</v>
      </c>
      <c r="K1051" t="s">
        <v>3721</v>
      </c>
      <c r="L1051">
        <f>IFERROR(VLOOKUP($K1051,Base_Atividades!$E$1:$N$2398,MATCH(BancoAjustado!L$1,Base_Atividades!$E$1:$N$1,0),FALSE),0)</f>
        <v>0</v>
      </c>
      <c r="M1051">
        <f>IFERROR(VLOOKUP($K1051,Base_Atividades!$E$1:$N$2398,MATCH(BancoAjustado!M$1,Base_Atividades!$E$1:$N$1,0),FALSE),0)</f>
        <v>0</v>
      </c>
      <c r="N1051">
        <f>IFERROR(VLOOKUP($K1051,Base_Atividades!$E$1:$N$2398,MATCH(BancoAjustado!N$1,Base_Atividades!$E$1:$N$1,0),FALSE),0)</f>
        <v>0</v>
      </c>
    </row>
    <row r="1052" spans="1:14" x14ac:dyDescent="0.25">
      <c r="A1052" t="s">
        <v>3650</v>
      </c>
      <c r="B1052" t="s">
        <v>3651</v>
      </c>
      <c r="C1052" t="s">
        <v>3708</v>
      </c>
      <c r="D1052" t="s">
        <v>3716</v>
      </c>
      <c r="E1052" t="s">
        <v>3722</v>
      </c>
      <c r="F1052" t="str">
        <f>VLOOKUP(A1052,Base!$A:$F,6,FALSE)</f>
        <v>ATIVIDADES FINANCEIRAS, DE SEGUROS E SERVIÇOS RELACIONADOS</v>
      </c>
      <c r="G1052" t="str">
        <f>VLOOKUP(B1052,Base!$B:$F,5,FALSE)</f>
        <v>ATIVIDADES DE SERVIÇOS FINANCEIROS</v>
      </c>
      <c r="H1052" t="str">
        <f>VLOOKUP(C1052,Base!$C:$F,4,FALSE)</f>
        <v>Atividades de serviços financeiros não especificadas anteriormente</v>
      </c>
      <c r="I1052" t="str">
        <f>VLOOKUP(D1052,Base!$D:$F,3,FALSE)</f>
        <v>Outras atividades de serviços financeiros não especificadas anteriormente</v>
      </c>
      <c r="J1052" t="str">
        <f>VLOOKUP(E1052,Base!$E:$F,2,FALSE)</f>
        <v>Outras atividades de serviços financeiros não especificadas anteriormente</v>
      </c>
      <c r="K1052" t="s">
        <v>3722</v>
      </c>
      <c r="L1052">
        <f>IFERROR(VLOOKUP($K1052,Base_Atividades!$E$1:$N$2398,MATCH(BancoAjustado!L$1,Base_Atividades!$E$1:$N$1,0),FALSE),0)</f>
        <v>0</v>
      </c>
      <c r="M1052">
        <f>IFERROR(VLOOKUP($K1052,Base_Atividades!$E$1:$N$2398,MATCH(BancoAjustado!M$1,Base_Atividades!$E$1:$N$1,0),FALSE),0)</f>
        <v>0</v>
      </c>
      <c r="N1052">
        <f>IFERROR(VLOOKUP($K1052,Base_Atividades!$E$1:$N$2398,MATCH(BancoAjustado!N$1,Base_Atividades!$E$1:$N$1,0),FALSE),0)</f>
        <v>0</v>
      </c>
    </row>
    <row r="1053" spans="1:14" x14ac:dyDescent="0.25">
      <c r="A1053" t="s">
        <v>3650</v>
      </c>
      <c r="B1053" t="s">
        <v>3723</v>
      </c>
      <c r="C1053" t="s">
        <v>3724</v>
      </c>
      <c r="D1053" t="s">
        <v>3725</v>
      </c>
      <c r="E1053" t="s">
        <v>3726</v>
      </c>
      <c r="F1053" t="str">
        <f>VLOOKUP(A1053,Base!$A:$F,6,FALSE)</f>
        <v>ATIVIDADES FINANCEIRAS, DE SEGUROS E SERVIÇOS RELACIONADOS</v>
      </c>
      <c r="G1053" t="str">
        <f>VLOOKUP(B1053,Base!$B:$F,5,FALSE)</f>
        <v>SEGUROS, RESSEGUROS, PREVIDÊNCIA COMPLEMENTAR E PLANOS DE SAÚDE</v>
      </c>
      <c r="H1053" t="str">
        <f>VLOOKUP(C1053,Base!$C:$F,4,FALSE)</f>
        <v>Seguros de vida e não vida</v>
      </c>
      <c r="I1053" t="str">
        <f>VLOOKUP(D1053,Base!$D:$F,3,FALSE)</f>
        <v>Seguros de vida</v>
      </c>
      <c r="J1053" t="str">
        <f>VLOOKUP(E1053,Base!$E:$F,2,FALSE)</f>
        <v>Sociedade seguradora de seguros vida</v>
      </c>
      <c r="K1053" t="s">
        <v>3726</v>
      </c>
      <c r="L1053">
        <f>IFERROR(VLOOKUP($K1053,Base_Atividades!$E$1:$N$2398,MATCH(BancoAjustado!L$1,Base_Atividades!$E$1:$N$1,0),FALSE),0)</f>
        <v>0</v>
      </c>
      <c r="M1053">
        <f>IFERROR(VLOOKUP($K1053,Base_Atividades!$E$1:$N$2398,MATCH(BancoAjustado!M$1,Base_Atividades!$E$1:$N$1,0),FALSE),0)</f>
        <v>0</v>
      </c>
      <c r="N1053">
        <f>IFERROR(VLOOKUP($K1053,Base_Atividades!$E$1:$N$2398,MATCH(BancoAjustado!N$1,Base_Atividades!$E$1:$N$1,0),FALSE),0)</f>
        <v>0</v>
      </c>
    </row>
    <row r="1054" spans="1:14" x14ac:dyDescent="0.25">
      <c r="A1054" t="s">
        <v>3650</v>
      </c>
      <c r="B1054" t="s">
        <v>3723</v>
      </c>
      <c r="C1054" t="s">
        <v>3724</v>
      </c>
      <c r="D1054" t="s">
        <v>3725</v>
      </c>
      <c r="E1054" t="s">
        <v>3727</v>
      </c>
      <c r="F1054" t="str">
        <f>VLOOKUP(A1054,Base!$A:$F,6,FALSE)</f>
        <v>ATIVIDADES FINANCEIRAS, DE SEGUROS E SERVIÇOS RELACIONADOS</v>
      </c>
      <c r="G1054" t="str">
        <f>VLOOKUP(B1054,Base!$B:$F,5,FALSE)</f>
        <v>SEGUROS, RESSEGUROS, PREVIDÊNCIA COMPLEMENTAR E PLANOS DE SAÚDE</v>
      </c>
      <c r="H1054" t="str">
        <f>VLOOKUP(C1054,Base!$C:$F,4,FALSE)</f>
        <v>Seguros de vida e não vida</v>
      </c>
      <c r="I1054" t="str">
        <f>VLOOKUP(D1054,Base!$D:$F,3,FALSE)</f>
        <v>Seguros de vida</v>
      </c>
      <c r="J1054" t="str">
        <f>VLOOKUP(E1054,Base!$E:$F,2,FALSE)</f>
        <v>Planos de auxílio-funeral</v>
      </c>
      <c r="K1054" t="s">
        <v>3727</v>
      </c>
      <c r="L1054">
        <f>IFERROR(VLOOKUP($K1054,Base_Atividades!$E$1:$N$2398,MATCH(BancoAjustado!L$1,Base_Atividades!$E$1:$N$1,0),FALSE),0)</f>
        <v>0</v>
      </c>
      <c r="M1054">
        <f>IFERROR(VLOOKUP($K1054,Base_Atividades!$E$1:$N$2398,MATCH(BancoAjustado!M$1,Base_Atividades!$E$1:$N$1,0),FALSE),0)</f>
        <v>0</v>
      </c>
      <c r="N1054">
        <f>IFERROR(VLOOKUP($K1054,Base_Atividades!$E$1:$N$2398,MATCH(BancoAjustado!N$1,Base_Atividades!$E$1:$N$1,0),FALSE),0)</f>
        <v>0</v>
      </c>
    </row>
    <row r="1055" spans="1:14" x14ac:dyDescent="0.25">
      <c r="A1055" t="s">
        <v>3650</v>
      </c>
      <c r="B1055" t="s">
        <v>3723</v>
      </c>
      <c r="C1055" t="s">
        <v>3724</v>
      </c>
      <c r="D1055" t="s">
        <v>3728</v>
      </c>
      <c r="E1055" t="s">
        <v>3729</v>
      </c>
      <c r="F1055" t="str">
        <f>VLOOKUP(A1055,Base!$A:$F,6,FALSE)</f>
        <v>ATIVIDADES FINANCEIRAS, DE SEGUROS E SERVIÇOS RELACIONADOS</v>
      </c>
      <c r="G1055" t="str">
        <f>VLOOKUP(B1055,Base!$B:$F,5,FALSE)</f>
        <v>SEGUROS, RESSEGUROS, PREVIDÊNCIA COMPLEMENTAR E PLANOS DE SAÚDE</v>
      </c>
      <c r="H1055" t="str">
        <f>VLOOKUP(C1055,Base!$C:$F,4,FALSE)</f>
        <v>Seguros de vida e não vida</v>
      </c>
      <c r="I1055" t="str">
        <f>VLOOKUP(D1055,Base!$D:$F,3,FALSE)</f>
        <v>Seguros não vida</v>
      </c>
      <c r="J1055" t="str">
        <f>VLOOKUP(E1055,Base!$E:$F,2,FALSE)</f>
        <v>Sociedade seguradora de seguros não vida</v>
      </c>
      <c r="K1055" t="s">
        <v>3729</v>
      </c>
      <c r="L1055">
        <f>IFERROR(VLOOKUP($K1055,Base_Atividades!$E$1:$N$2398,MATCH(BancoAjustado!L$1,Base_Atividades!$E$1:$N$1,0),FALSE),0)</f>
        <v>0</v>
      </c>
      <c r="M1055">
        <f>IFERROR(VLOOKUP($K1055,Base_Atividades!$E$1:$N$2398,MATCH(BancoAjustado!M$1,Base_Atividades!$E$1:$N$1,0),FALSE),0)</f>
        <v>0</v>
      </c>
      <c r="N1055">
        <f>IFERROR(VLOOKUP($K1055,Base_Atividades!$E$1:$N$2398,MATCH(BancoAjustado!N$1,Base_Atividades!$E$1:$N$1,0),FALSE),0)</f>
        <v>0</v>
      </c>
    </row>
    <row r="1056" spans="1:14" x14ac:dyDescent="0.25">
      <c r="A1056" t="s">
        <v>3650</v>
      </c>
      <c r="B1056" t="s">
        <v>3723</v>
      </c>
      <c r="C1056" t="s">
        <v>3730</v>
      </c>
      <c r="D1056" t="s">
        <v>3731</v>
      </c>
      <c r="E1056" t="s">
        <v>3732</v>
      </c>
      <c r="F1056" t="str">
        <f>VLOOKUP(A1056,Base!$A:$F,6,FALSE)</f>
        <v>ATIVIDADES FINANCEIRAS, DE SEGUROS E SERVIÇOS RELACIONADOS</v>
      </c>
      <c r="G1056" t="str">
        <f>VLOOKUP(B1056,Base!$B:$F,5,FALSE)</f>
        <v>SEGUROS, RESSEGUROS, PREVIDÊNCIA COMPLEMENTAR E PLANOS DE SAÚDE</v>
      </c>
      <c r="H1056" t="str">
        <f>VLOOKUP(C1056,Base!$C:$F,4,FALSE)</f>
        <v>Seguros-saúde</v>
      </c>
      <c r="I1056" t="str">
        <f>VLOOKUP(D1056,Base!$D:$F,3,FALSE)</f>
        <v>Seguros-saúde</v>
      </c>
      <c r="J1056" t="str">
        <f>VLOOKUP(E1056,Base!$E:$F,2,FALSE)</f>
        <v>Sociedade seguradora de seguros-saúde</v>
      </c>
      <c r="K1056" t="s">
        <v>3732</v>
      </c>
      <c r="L1056">
        <f>IFERROR(VLOOKUP($K1056,Base_Atividades!$E$1:$N$2398,MATCH(BancoAjustado!L$1,Base_Atividades!$E$1:$N$1,0),FALSE),0)</f>
        <v>0</v>
      </c>
      <c r="M1056">
        <f>IFERROR(VLOOKUP($K1056,Base_Atividades!$E$1:$N$2398,MATCH(BancoAjustado!M$1,Base_Atividades!$E$1:$N$1,0),FALSE),0)</f>
        <v>0</v>
      </c>
      <c r="N1056">
        <f>IFERROR(VLOOKUP($K1056,Base_Atividades!$E$1:$N$2398,MATCH(BancoAjustado!N$1,Base_Atividades!$E$1:$N$1,0),FALSE),0)</f>
        <v>0</v>
      </c>
    </row>
    <row r="1057" spans="1:14" x14ac:dyDescent="0.25">
      <c r="A1057" t="s">
        <v>3650</v>
      </c>
      <c r="B1057" t="s">
        <v>3723</v>
      </c>
      <c r="C1057" t="s">
        <v>3733</v>
      </c>
      <c r="D1057" t="s">
        <v>3734</v>
      </c>
      <c r="E1057" t="s">
        <v>3735</v>
      </c>
      <c r="F1057" t="str">
        <f>VLOOKUP(A1057,Base!$A:$F,6,FALSE)</f>
        <v>ATIVIDADES FINANCEIRAS, DE SEGUROS E SERVIÇOS RELACIONADOS</v>
      </c>
      <c r="G1057" t="str">
        <f>VLOOKUP(B1057,Base!$B:$F,5,FALSE)</f>
        <v>SEGUROS, RESSEGUROS, PREVIDÊNCIA COMPLEMENTAR E PLANOS DE SAÚDE</v>
      </c>
      <c r="H1057" t="str">
        <f>VLOOKUP(C1057,Base!$C:$F,4,FALSE)</f>
        <v>Resseguros</v>
      </c>
      <c r="I1057" t="str">
        <f>VLOOKUP(D1057,Base!$D:$F,3,FALSE)</f>
        <v>Resseguros</v>
      </c>
      <c r="J1057" t="str">
        <f>VLOOKUP(E1057,Base!$E:$F,2,FALSE)</f>
        <v>Resseguros</v>
      </c>
      <c r="K1057" t="s">
        <v>3735</v>
      </c>
      <c r="L1057">
        <f>IFERROR(VLOOKUP($K1057,Base_Atividades!$E$1:$N$2398,MATCH(BancoAjustado!L$1,Base_Atividades!$E$1:$N$1,0),FALSE),0)</f>
        <v>0</v>
      </c>
      <c r="M1057">
        <f>IFERROR(VLOOKUP($K1057,Base_Atividades!$E$1:$N$2398,MATCH(BancoAjustado!M$1,Base_Atividades!$E$1:$N$1,0),FALSE),0)</f>
        <v>0</v>
      </c>
      <c r="N1057">
        <f>IFERROR(VLOOKUP($K1057,Base_Atividades!$E$1:$N$2398,MATCH(BancoAjustado!N$1,Base_Atividades!$E$1:$N$1,0),FALSE),0)</f>
        <v>0</v>
      </c>
    </row>
    <row r="1058" spans="1:14" x14ac:dyDescent="0.25">
      <c r="A1058" t="s">
        <v>3650</v>
      </c>
      <c r="B1058" t="s">
        <v>3723</v>
      </c>
      <c r="C1058" t="s">
        <v>3736</v>
      </c>
      <c r="D1058" t="s">
        <v>3737</v>
      </c>
      <c r="E1058" t="s">
        <v>3738</v>
      </c>
      <c r="F1058" t="str">
        <f>VLOOKUP(A1058,Base!$A:$F,6,FALSE)</f>
        <v>ATIVIDADES FINANCEIRAS, DE SEGUROS E SERVIÇOS RELACIONADOS</v>
      </c>
      <c r="G1058" t="str">
        <f>VLOOKUP(B1058,Base!$B:$F,5,FALSE)</f>
        <v>SEGUROS, RESSEGUROS, PREVIDÊNCIA COMPLEMENTAR E PLANOS DE SAÚDE</v>
      </c>
      <c r="H1058" t="str">
        <f>VLOOKUP(C1058,Base!$C:$F,4,FALSE)</f>
        <v>Previdência complementar</v>
      </c>
      <c r="I1058" t="str">
        <f>VLOOKUP(D1058,Base!$D:$F,3,FALSE)</f>
        <v>Previdência complementar fechada</v>
      </c>
      <c r="J1058" t="str">
        <f>VLOOKUP(E1058,Base!$E:$F,2,FALSE)</f>
        <v>Previdência complementar fechada</v>
      </c>
      <c r="K1058" t="s">
        <v>3738</v>
      </c>
      <c r="L1058">
        <f>IFERROR(VLOOKUP($K1058,Base_Atividades!$E$1:$N$2398,MATCH(BancoAjustado!L$1,Base_Atividades!$E$1:$N$1,0),FALSE),0)</f>
        <v>0</v>
      </c>
      <c r="M1058">
        <f>IFERROR(VLOOKUP($K1058,Base_Atividades!$E$1:$N$2398,MATCH(BancoAjustado!M$1,Base_Atividades!$E$1:$N$1,0),FALSE),0)</f>
        <v>0</v>
      </c>
      <c r="N1058">
        <f>IFERROR(VLOOKUP($K1058,Base_Atividades!$E$1:$N$2398,MATCH(BancoAjustado!N$1,Base_Atividades!$E$1:$N$1,0),FALSE),0)</f>
        <v>0</v>
      </c>
    </row>
    <row r="1059" spans="1:14" x14ac:dyDescent="0.25">
      <c r="A1059" t="s">
        <v>3650</v>
      </c>
      <c r="B1059" t="s">
        <v>3723</v>
      </c>
      <c r="C1059" t="s">
        <v>3736</v>
      </c>
      <c r="D1059" t="s">
        <v>3739</v>
      </c>
      <c r="E1059" t="s">
        <v>3740</v>
      </c>
      <c r="F1059" t="str">
        <f>VLOOKUP(A1059,Base!$A:$F,6,FALSE)</f>
        <v>ATIVIDADES FINANCEIRAS, DE SEGUROS E SERVIÇOS RELACIONADOS</v>
      </c>
      <c r="G1059" t="str">
        <f>VLOOKUP(B1059,Base!$B:$F,5,FALSE)</f>
        <v>SEGUROS, RESSEGUROS, PREVIDÊNCIA COMPLEMENTAR E PLANOS DE SAÚDE</v>
      </c>
      <c r="H1059" t="str">
        <f>VLOOKUP(C1059,Base!$C:$F,4,FALSE)</f>
        <v>Previdência complementar</v>
      </c>
      <c r="I1059" t="str">
        <f>VLOOKUP(D1059,Base!$D:$F,3,FALSE)</f>
        <v>Previdência complementar aberta</v>
      </c>
      <c r="J1059" t="str">
        <f>VLOOKUP(E1059,Base!$E:$F,2,FALSE)</f>
        <v>Previdência complementar aberta</v>
      </c>
      <c r="K1059" t="s">
        <v>3740</v>
      </c>
      <c r="L1059">
        <f>IFERROR(VLOOKUP($K1059,Base_Atividades!$E$1:$N$2398,MATCH(BancoAjustado!L$1,Base_Atividades!$E$1:$N$1,0),FALSE),0)</f>
        <v>0</v>
      </c>
      <c r="M1059">
        <f>IFERROR(VLOOKUP($K1059,Base_Atividades!$E$1:$N$2398,MATCH(BancoAjustado!M$1,Base_Atividades!$E$1:$N$1,0),FALSE),0)</f>
        <v>0</v>
      </c>
      <c r="N1059">
        <f>IFERROR(VLOOKUP($K1059,Base_Atividades!$E$1:$N$2398,MATCH(BancoAjustado!N$1,Base_Atividades!$E$1:$N$1,0),FALSE),0)</f>
        <v>0</v>
      </c>
    </row>
    <row r="1060" spans="1:14" x14ac:dyDescent="0.25">
      <c r="A1060" t="s">
        <v>3650</v>
      </c>
      <c r="B1060" t="s">
        <v>3723</v>
      </c>
      <c r="C1060" t="s">
        <v>3741</v>
      </c>
      <c r="D1060" t="s">
        <v>3742</v>
      </c>
      <c r="E1060" t="s">
        <v>3743</v>
      </c>
      <c r="F1060" t="str">
        <f>VLOOKUP(A1060,Base!$A:$F,6,FALSE)</f>
        <v>ATIVIDADES FINANCEIRAS, DE SEGUROS E SERVIÇOS RELACIONADOS</v>
      </c>
      <c r="G1060" t="str">
        <f>VLOOKUP(B1060,Base!$B:$F,5,FALSE)</f>
        <v>SEGUROS, RESSEGUROS, PREVIDÊNCIA COMPLEMENTAR E PLANOS DE SAÚDE</v>
      </c>
      <c r="H1060" t="str">
        <f>VLOOKUP(C1060,Base!$C:$F,4,FALSE)</f>
        <v>Planos de saúde</v>
      </c>
      <c r="I1060" t="str">
        <f>VLOOKUP(D1060,Base!$D:$F,3,FALSE)</f>
        <v>Planos de saúde</v>
      </c>
      <c r="J1060" t="str">
        <f>VLOOKUP(E1060,Base!$E:$F,2,FALSE)</f>
        <v>Planos de saúde</v>
      </c>
      <c r="K1060" t="s">
        <v>3743</v>
      </c>
      <c r="L1060">
        <f>IFERROR(VLOOKUP($K1060,Base_Atividades!$E$1:$N$2398,MATCH(BancoAjustado!L$1,Base_Atividades!$E$1:$N$1,0),FALSE),0)</f>
        <v>0</v>
      </c>
      <c r="M1060">
        <f>IFERROR(VLOOKUP($K1060,Base_Atividades!$E$1:$N$2398,MATCH(BancoAjustado!M$1,Base_Atividades!$E$1:$N$1,0),FALSE),0)</f>
        <v>0</v>
      </c>
      <c r="N1060">
        <f>IFERROR(VLOOKUP($K1060,Base_Atividades!$E$1:$N$2398,MATCH(BancoAjustado!N$1,Base_Atividades!$E$1:$N$1,0),FALSE),0)</f>
        <v>0</v>
      </c>
    </row>
    <row r="1061" spans="1:14" x14ac:dyDescent="0.25">
      <c r="A1061" t="s">
        <v>3650</v>
      </c>
      <c r="B1061" t="s">
        <v>3744</v>
      </c>
      <c r="C1061" t="s">
        <v>3745</v>
      </c>
      <c r="D1061" t="s">
        <v>3746</v>
      </c>
      <c r="E1061" t="s">
        <v>3747</v>
      </c>
      <c r="F1061" t="str">
        <f>VLOOKUP(A1061,Base!$A:$F,6,FALSE)</f>
        <v>ATIVIDADES FINANCEIRAS, DE SEGUROS E SERVIÇOS RELACIONADOS</v>
      </c>
      <c r="G1061" t="str">
        <f>VLOOKUP(B1061,Base!$B:$F,5,FALSE)</f>
        <v>ATIVIDADES AUXILIARES DOS SERVIÇOS FINANCEIROS, SEGUROS, PREVIDÊNCIA COMPLEMENTAR E PLANOS DE SAÚDE</v>
      </c>
      <c r="H1061" t="str">
        <f>VLOOKUP(C1061,Base!$C:$F,4,FALSE)</f>
        <v>Atividades auxiliares dos serviços financeiros</v>
      </c>
      <c r="I1061" t="str">
        <f>VLOOKUP(D1061,Base!$D:$F,3,FALSE)</f>
        <v>Administração de bolsas e mercados de balcão organizados</v>
      </c>
      <c r="J1061" t="str">
        <f>VLOOKUP(E1061,Base!$E:$F,2,FALSE)</f>
        <v>Bolsa de valores</v>
      </c>
      <c r="K1061" t="s">
        <v>3747</v>
      </c>
      <c r="L1061">
        <f>IFERROR(VLOOKUP($K1061,Base_Atividades!$E$1:$N$2398,MATCH(BancoAjustado!L$1,Base_Atividades!$E$1:$N$1,0),FALSE),0)</f>
        <v>0</v>
      </c>
      <c r="M1061">
        <f>IFERROR(VLOOKUP($K1061,Base_Atividades!$E$1:$N$2398,MATCH(BancoAjustado!M$1,Base_Atividades!$E$1:$N$1,0),FALSE),0)</f>
        <v>0</v>
      </c>
      <c r="N1061">
        <f>IFERROR(VLOOKUP($K1061,Base_Atividades!$E$1:$N$2398,MATCH(BancoAjustado!N$1,Base_Atividades!$E$1:$N$1,0),FALSE),0)</f>
        <v>0</v>
      </c>
    </row>
    <row r="1062" spans="1:14" x14ac:dyDescent="0.25">
      <c r="A1062" t="s">
        <v>3650</v>
      </c>
      <c r="B1062" t="s">
        <v>3744</v>
      </c>
      <c r="C1062" t="s">
        <v>3745</v>
      </c>
      <c r="D1062" t="s">
        <v>3746</v>
      </c>
      <c r="E1062" t="s">
        <v>3748</v>
      </c>
      <c r="F1062" t="str">
        <f>VLOOKUP(A1062,Base!$A:$F,6,FALSE)</f>
        <v>ATIVIDADES FINANCEIRAS, DE SEGUROS E SERVIÇOS RELACIONADOS</v>
      </c>
      <c r="G1062" t="str">
        <f>VLOOKUP(B1062,Base!$B:$F,5,FALSE)</f>
        <v>ATIVIDADES AUXILIARES DOS SERVIÇOS FINANCEIROS, SEGUROS, PREVIDÊNCIA COMPLEMENTAR E PLANOS DE SAÚDE</v>
      </c>
      <c r="H1062" t="str">
        <f>VLOOKUP(C1062,Base!$C:$F,4,FALSE)</f>
        <v>Atividades auxiliares dos serviços financeiros</v>
      </c>
      <c r="I1062" t="str">
        <f>VLOOKUP(D1062,Base!$D:$F,3,FALSE)</f>
        <v>Administração de bolsas e mercados de balcão organizados</v>
      </c>
      <c r="J1062" t="str">
        <f>VLOOKUP(E1062,Base!$E:$F,2,FALSE)</f>
        <v>Bolsa de mercadorias</v>
      </c>
      <c r="K1062" t="s">
        <v>3748</v>
      </c>
      <c r="L1062">
        <f>IFERROR(VLOOKUP($K1062,Base_Atividades!$E$1:$N$2398,MATCH(BancoAjustado!L$1,Base_Atividades!$E$1:$N$1,0),FALSE),0)</f>
        <v>0</v>
      </c>
      <c r="M1062">
        <f>IFERROR(VLOOKUP($K1062,Base_Atividades!$E$1:$N$2398,MATCH(BancoAjustado!M$1,Base_Atividades!$E$1:$N$1,0),FALSE),0)</f>
        <v>0</v>
      </c>
      <c r="N1062">
        <f>IFERROR(VLOOKUP($K1062,Base_Atividades!$E$1:$N$2398,MATCH(BancoAjustado!N$1,Base_Atividades!$E$1:$N$1,0),FALSE),0)</f>
        <v>0</v>
      </c>
    </row>
    <row r="1063" spans="1:14" x14ac:dyDescent="0.25">
      <c r="A1063" t="s">
        <v>3650</v>
      </c>
      <c r="B1063" t="s">
        <v>3744</v>
      </c>
      <c r="C1063" t="s">
        <v>3745</v>
      </c>
      <c r="D1063" t="s">
        <v>3746</v>
      </c>
      <c r="E1063" t="s">
        <v>3749</v>
      </c>
      <c r="F1063" t="str">
        <f>VLOOKUP(A1063,Base!$A:$F,6,FALSE)</f>
        <v>ATIVIDADES FINANCEIRAS, DE SEGUROS E SERVIÇOS RELACIONADOS</v>
      </c>
      <c r="G1063" t="str">
        <f>VLOOKUP(B1063,Base!$B:$F,5,FALSE)</f>
        <v>ATIVIDADES AUXILIARES DOS SERVIÇOS FINANCEIROS, SEGUROS, PREVIDÊNCIA COMPLEMENTAR E PLANOS DE SAÚDE</v>
      </c>
      <c r="H1063" t="str">
        <f>VLOOKUP(C1063,Base!$C:$F,4,FALSE)</f>
        <v>Atividades auxiliares dos serviços financeiros</v>
      </c>
      <c r="I1063" t="str">
        <f>VLOOKUP(D1063,Base!$D:$F,3,FALSE)</f>
        <v>Administração de bolsas e mercados de balcão organizados</v>
      </c>
      <c r="J1063" t="str">
        <f>VLOOKUP(E1063,Base!$E:$F,2,FALSE)</f>
        <v>Bolsa de mercadorias e futuros</v>
      </c>
      <c r="K1063" t="s">
        <v>3749</v>
      </c>
      <c r="L1063">
        <f>IFERROR(VLOOKUP($K1063,Base_Atividades!$E$1:$N$2398,MATCH(BancoAjustado!L$1,Base_Atividades!$E$1:$N$1,0),FALSE),0)</f>
        <v>0</v>
      </c>
      <c r="M1063">
        <f>IFERROR(VLOOKUP($K1063,Base_Atividades!$E$1:$N$2398,MATCH(BancoAjustado!M$1,Base_Atividades!$E$1:$N$1,0),FALSE),0)</f>
        <v>0</v>
      </c>
      <c r="N1063">
        <f>IFERROR(VLOOKUP($K1063,Base_Atividades!$E$1:$N$2398,MATCH(BancoAjustado!N$1,Base_Atividades!$E$1:$N$1,0),FALSE),0)</f>
        <v>0</v>
      </c>
    </row>
    <row r="1064" spans="1:14" x14ac:dyDescent="0.25">
      <c r="A1064" t="s">
        <v>3650</v>
      </c>
      <c r="B1064" t="s">
        <v>3744</v>
      </c>
      <c r="C1064" t="s">
        <v>3745</v>
      </c>
      <c r="D1064" t="s">
        <v>3746</v>
      </c>
      <c r="E1064" t="s">
        <v>3750</v>
      </c>
      <c r="F1064" t="str">
        <f>VLOOKUP(A1064,Base!$A:$F,6,FALSE)</f>
        <v>ATIVIDADES FINANCEIRAS, DE SEGUROS E SERVIÇOS RELACIONADOS</v>
      </c>
      <c r="G1064" t="str">
        <f>VLOOKUP(B1064,Base!$B:$F,5,FALSE)</f>
        <v>ATIVIDADES AUXILIARES DOS SERVIÇOS FINANCEIROS, SEGUROS, PREVIDÊNCIA COMPLEMENTAR E PLANOS DE SAÚDE</v>
      </c>
      <c r="H1064" t="str">
        <f>VLOOKUP(C1064,Base!$C:$F,4,FALSE)</f>
        <v>Atividades auxiliares dos serviços financeiros</v>
      </c>
      <c r="I1064" t="str">
        <f>VLOOKUP(D1064,Base!$D:$F,3,FALSE)</f>
        <v>Administração de bolsas e mercados de balcão organizados</v>
      </c>
      <c r="J1064" t="str">
        <f>VLOOKUP(E1064,Base!$E:$F,2,FALSE)</f>
        <v>Administração de mercados de balcão organizados</v>
      </c>
      <c r="K1064" t="s">
        <v>3750</v>
      </c>
      <c r="L1064">
        <f>IFERROR(VLOOKUP($K1064,Base_Atividades!$E$1:$N$2398,MATCH(BancoAjustado!L$1,Base_Atividades!$E$1:$N$1,0),FALSE),0)</f>
        <v>0</v>
      </c>
      <c r="M1064">
        <f>IFERROR(VLOOKUP($K1064,Base_Atividades!$E$1:$N$2398,MATCH(BancoAjustado!M$1,Base_Atividades!$E$1:$N$1,0),FALSE),0)</f>
        <v>0</v>
      </c>
      <c r="N1064">
        <f>IFERROR(VLOOKUP($K1064,Base_Atividades!$E$1:$N$2398,MATCH(BancoAjustado!N$1,Base_Atividades!$E$1:$N$1,0),FALSE),0)</f>
        <v>0</v>
      </c>
    </row>
    <row r="1065" spans="1:14" x14ac:dyDescent="0.25">
      <c r="A1065" t="s">
        <v>3650</v>
      </c>
      <c r="B1065" t="s">
        <v>3744</v>
      </c>
      <c r="C1065" t="s">
        <v>3745</v>
      </c>
      <c r="D1065" t="s">
        <v>3751</v>
      </c>
      <c r="E1065" t="s">
        <v>3752</v>
      </c>
      <c r="F1065" t="str">
        <f>VLOOKUP(A1065,Base!$A:$F,6,FALSE)</f>
        <v>ATIVIDADES FINANCEIRAS, DE SEGUROS E SERVIÇOS RELACIONADOS</v>
      </c>
      <c r="G1065" t="str">
        <f>VLOOKUP(B1065,Base!$B:$F,5,FALSE)</f>
        <v>ATIVIDADES AUXILIARES DOS SERVIÇOS FINANCEIROS, SEGUROS, PREVIDÊNCIA COMPLEMENTAR E PLANOS DE SAÚDE</v>
      </c>
      <c r="H1065" t="str">
        <f>VLOOKUP(C1065,Base!$C:$F,4,FALSE)</f>
        <v>Atividades auxiliares dos serviços financeiros</v>
      </c>
      <c r="I1065" t="str">
        <f>VLOOKUP(D1065,Base!$D:$F,3,FALSE)</f>
        <v>Atividades de intermediários em transações de títulos, valores mobiliários e mercadorias</v>
      </c>
      <c r="J1065" t="str">
        <f>VLOOKUP(E1065,Base!$E:$F,2,FALSE)</f>
        <v>Corretoras de títulos e valores mobiliários</v>
      </c>
      <c r="K1065" t="s">
        <v>3752</v>
      </c>
      <c r="L1065">
        <f>IFERROR(VLOOKUP($K1065,Base_Atividades!$E$1:$N$2398,MATCH(BancoAjustado!L$1,Base_Atividades!$E$1:$N$1,0),FALSE),0)</f>
        <v>0</v>
      </c>
      <c r="M1065">
        <f>IFERROR(VLOOKUP($K1065,Base_Atividades!$E$1:$N$2398,MATCH(BancoAjustado!M$1,Base_Atividades!$E$1:$N$1,0),FALSE),0)</f>
        <v>0</v>
      </c>
      <c r="N1065">
        <f>IFERROR(VLOOKUP($K1065,Base_Atividades!$E$1:$N$2398,MATCH(BancoAjustado!N$1,Base_Atividades!$E$1:$N$1,0),FALSE),0)</f>
        <v>0</v>
      </c>
    </row>
    <row r="1066" spans="1:14" x14ac:dyDescent="0.25">
      <c r="A1066" t="s">
        <v>3650</v>
      </c>
      <c r="B1066" t="s">
        <v>3744</v>
      </c>
      <c r="C1066" t="s">
        <v>3745</v>
      </c>
      <c r="D1066" t="s">
        <v>3751</v>
      </c>
      <c r="E1066" t="s">
        <v>3753</v>
      </c>
      <c r="F1066" t="str">
        <f>VLOOKUP(A1066,Base!$A:$F,6,FALSE)</f>
        <v>ATIVIDADES FINANCEIRAS, DE SEGUROS E SERVIÇOS RELACIONADOS</v>
      </c>
      <c r="G1066" t="str">
        <f>VLOOKUP(B1066,Base!$B:$F,5,FALSE)</f>
        <v>ATIVIDADES AUXILIARES DOS SERVIÇOS FINANCEIROS, SEGUROS, PREVIDÊNCIA COMPLEMENTAR E PLANOS DE SAÚDE</v>
      </c>
      <c r="H1066" t="str">
        <f>VLOOKUP(C1066,Base!$C:$F,4,FALSE)</f>
        <v>Atividades auxiliares dos serviços financeiros</v>
      </c>
      <c r="I1066" t="str">
        <f>VLOOKUP(D1066,Base!$D:$F,3,FALSE)</f>
        <v>Atividades de intermediários em transações de títulos, valores mobiliários e mercadorias</v>
      </c>
      <c r="J1066" t="str">
        <f>VLOOKUP(E1066,Base!$E:$F,2,FALSE)</f>
        <v>Distribuidoras de títulos e valores mobiliários</v>
      </c>
      <c r="K1066" t="s">
        <v>3753</v>
      </c>
      <c r="L1066">
        <f>IFERROR(VLOOKUP($K1066,Base_Atividades!$E$1:$N$2398,MATCH(BancoAjustado!L$1,Base_Atividades!$E$1:$N$1,0),FALSE),0)</f>
        <v>0</v>
      </c>
      <c r="M1066">
        <f>IFERROR(VLOOKUP($K1066,Base_Atividades!$E$1:$N$2398,MATCH(BancoAjustado!M$1,Base_Atividades!$E$1:$N$1,0),FALSE),0)</f>
        <v>0</v>
      </c>
      <c r="N1066">
        <f>IFERROR(VLOOKUP($K1066,Base_Atividades!$E$1:$N$2398,MATCH(BancoAjustado!N$1,Base_Atividades!$E$1:$N$1,0),FALSE),0)</f>
        <v>0</v>
      </c>
    </row>
    <row r="1067" spans="1:14" x14ac:dyDescent="0.25">
      <c r="A1067" t="s">
        <v>3650</v>
      </c>
      <c r="B1067" t="s">
        <v>3744</v>
      </c>
      <c r="C1067" t="s">
        <v>3745</v>
      </c>
      <c r="D1067" t="s">
        <v>3751</v>
      </c>
      <c r="E1067" t="s">
        <v>3754</v>
      </c>
      <c r="F1067" t="str">
        <f>VLOOKUP(A1067,Base!$A:$F,6,FALSE)</f>
        <v>ATIVIDADES FINANCEIRAS, DE SEGUROS E SERVIÇOS RELACIONADOS</v>
      </c>
      <c r="G1067" t="str">
        <f>VLOOKUP(B1067,Base!$B:$F,5,FALSE)</f>
        <v>ATIVIDADES AUXILIARES DOS SERVIÇOS FINANCEIROS, SEGUROS, PREVIDÊNCIA COMPLEMENTAR E PLANOS DE SAÚDE</v>
      </c>
      <c r="H1067" t="str">
        <f>VLOOKUP(C1067,Base!$C:$F,4,FALSE)</f>
        <v>Atividades auxiliares dos serviços financeiros</v>
      </c>
      <c r="I1067" t="str">
        <f>VLOOKUP(D1067,Base!$D:$F,3,FALSE)</f>
        <v>Atividades de intermediários em transações de títulos, valores mobiliários e mercadorias</v>
      </c>
      <c r="J1067" t="str">
        <f>VLOOKUP(E1067,Base!$E:$F,2,FALSE)</f>
        <v>Corretoras de câmbio</v>
      </c>
      <c r="K1067" t="s">
        <v>3754</v>
      </c>
      <c r="L1067">
        <f>IFERROR(VLOOKUP($K1067,Base_Atividades!$E$1:$N$2398,MATCH(BancoAjustado!L$1,Base_Atividades!$E$1:$N$1,0),FALSE),0)</f>
        <v>0</v>
      </c>
      <c r="M1067">
        <f>IFERROR(VLOOKUP($K1067,Base_Atividades!$E$1:$N$2398,MATCH(BancoAjustado!M$1,Base_Atividades!$E$1:$N$1,0),FALSE),0)</f>
        <v>0</v>
      </c>
      <c r="N1067">
        <f>IFERROR(VLOOKUP($K1067,Base_Atividades!$E$1:$N$2398,MATCH(BancoAjustado!N$1,Base_Atividades!$E$1:$N$1,0),FALSE),0)</f>
        <v>0</v>
      </c>
    </row>
    <row r="1068" spans="1:14" x14ac:dyDescent="0.25">
      <c r="A1068" t="s">
        <v>3650</v>
      </c>
      <c r="B1068" t="s">
        <v>3744</v>
      </c>
      <c r="C1068" t="s">
        <v>3745</v>
      </c>
      <c r="D1068" t="s">
        <v>3751</v>
      </c>
      <c r="E1068" t="s">
        <v>3755</v>
      </c>
      <c r="F1068" t="str">
        <f>VLOOKUP(A1068,Base!$A:$F,6,FALSE)</f>
        <v>ATIVIDADES FINANCEIRAS, DE SEGUROS E SERVIÇOS RELACIONADOS</v>
      </c>
      <c r="G1068" t="str">
        <f>VLOOKUP(B1068,Base!$B:$F,5,FALSE)</f>
        <v>ATIVIDADES AUXILIARES DOS SERVIÇOS FINANCEIROS, SEGUROS, PREVIDÊNCIA COMPLEMENTAR E PLANOS DE SAÚDE</v>
      </c>
      <c r="H1068" t="str">
        <f>VLOOKUP(C1068,Base!$C:$F,4,FALSE)</f>
        <v>Atividades auxiliares dos serviços financeiros</v>
      </c>
      <c r="I1068" t="str">
        <f>VLOOKUP(D1068,Base!$D:$F,3,FALSE)</f>
        <v>Atividades de intermediários em transações de títulos, valores mobiliários e mercadorias</v>
      </c>
      <c r="J1068" t="str">
        <f>VLOOKUP(E1068,Base!$E:$F,2,FALSE)</f>
        <v>Corretoras de contratos de mercadorias</v>
      </c>
      <c r="K1068" t="s">
        <v>3755</v>
      </c>
      <c r="L1068">
        <f>IFERROR(VLOOKUP($K1068,Base_Atividades!$E$1:$N$2398,MATCH(BancoAjustado!L$1,Base_Atividades!$E$1:$N$1,0),FALSE),0)</f>
        <v>0</v>
      </c>
      <c r="M1068">
        <f>IFERROR(VLOOKUP($K1068,Base_Atividades!$E$1:$N$2398,MATCH(BancoAjustado!M$1,Base_Atividades!$E$1:$N$1,0),FALSE),0)</f>
        <v>0</v>
      </c>
      <c r="N1068">
        <f>IFERROR(VLOOKUP($K1068,Base_Atividades!$E$1:$N$2398,MATCH(BancoAjustado!N$1,Base_Atividades!$E$1:$N$1,0),FALSE),0)</f>
        <v>0</v>
      </c>
    </row>
    <row r="1069" spans="1:14" x14ac:dyDescent="0.25">
      <c r="A1069" t="s">
        <v>3650</v>
      </c>
      <c r="B1069" t="s">
        <v>3744</v>
      </c>
      <c r="C1069" t="s">
        <v>3745</v>
      </c>
      <c r="D1069" t="s">
        <v>3751</v>
      </c>
      <c r="E1069" t="s">
        <v>3756</v>
      </c>
      <c r="F1069" t="str">
        <f>VLOOKUP(A1069,Base!$A:$F,6,FALSE)</f>
        <v>ATIVIDADES FINANCEIRAS, DE SEGUROS E SERVIÇOS RELACIONADOS</v>
      </c>
      <c r="G1069" t="str">
        <f>VLOOKUP(B1069,Base!$B:$F,5,FALSE)</f>
        <v>ATIVIDADES AUXILIARES DOS SERVIÇOS FINANCEIROS, SEGUROS, PREVIDÊNCIA COMPLEMENTAR E PLANOS DE SAÚDE</v>
      </c>
      <c r="H1069" t="str">
        <f>VLOOKUP(C1069,Base!$C:$F,4,FALSE)</f>
        <v>Atividades auxiliares dos serviços financeiros</v>
      </c>
      <c r="I1069" t="str">
        <f>VLOOKUP(D1069,Base!$D:$F,3,FALSE)</f>
        <v>Atividades de intermediários em transações de títulos, valores mobiliários e mercadorias</v>
      </c>
      <c r="J1069" t="str">
        <f>VLOOKUP(E1069,Base!$E:$F,2,FALSE)</f>
        <v>Agentes de investimentos em aplicações financeiras</v>
      </c>
      <c r="K1069" t="s">
        <v>3756</v>
      </c>
      <c r="L1069">
        <f>IFERROR(VLOOKUP($K1069,Base_Atividades!$E$1:$N$2398,MATCH(BancoAjustado!L$1,Base_Atividades!$E$1:$N$1,0),FALSE),0)</f>
        <v>0</v>
      </c>
      <c r="M1069">
        <f>IFERROR(VLOOKUP($K1069,Base_Atividades!$E$1:$N$2398,MATCH(BancoAjustado!M$1,Base_Atividades!$E$1:$N$1,0),FALSE),0)</f>
        <v>0</v>
      </c>
      <c r="N1069">
        <f>IFERROR(VLOOKUP($K1069,Base_Atividades!$E$1:$N$2398,MATCH(BancoAjustado!N$1,Base_Atividades!$E$1:$N$1,0),FALSE),0)</f>
        <v>0</v>
      </c>
    </row>
    <row r="1070" spans="1:14" x14ac:dyDescent="0.25">
      <c r="A1070" t="s">
        <v>3650</v>
      </c>
      <c r="B1070" t="s">
        <v>3744</v>
      </c>
      <c r="C1070" t="s">
        <v>3745</v>
      </c>
      <c r="D1070" t="s">
        <v>3757</v>
      </c>
      <c r="E1070" t="s">
        <v>3758</v>
      </c>
      <c r="F1070" t="str">
        <f>VLOOKUP(A1070,Base!$A:$F,6,FALSE)</f>
        <v>ATIVIDADES FINANCEIRAS, DE SEGUROS E SERVIÇOS RELACIONADOS</v>
      </c>
      <c r="G1070" t="str">
        <f>VLOOKUP(B1070,Base!$B:$F,5,FALSE)</f>
        <v>ATIVIDADES AUXILIARES DOS SERVIÇOS FINANCEIROS, SEGUROS, PREVIDÊNCIA COMPLEMENTAR E PLANOS DE SAÚDE</v>
      </c>
      <c r="H1070" t="str">
        <f>VLOOKUP(C1070,Base!$C:$F,4,FALSE)</f>
        <v>Atividades auxiliares dos serviços financeiros</v>
      </c>
      <c r="I1070" t="str">
        <f>VLOOKUP(D1070,Base!$D:$F,3,FALSE)</f>
        <v>Administração de cartões de crédito</v>
      </c>
      <c r="J1070" t="str">
        <f>VLOOKUP(E1070,Base!$E:$F,2,FALSE)</f>
        <v>Administração de cartões de crédito</v>
      </c>
      <c r="K1070" t="s">
        <v>3758</v>
      </c>
      <c r="L1070">
        <f>IFERROR(VLOOKUP($K1070,Base_Atividades!$E$1:$N$2398,MATCH(BancoAjustado!L$1,Base_Atividades!$E$1:$N$1,0),FALSE),0)</f>
        <v>0</v>
      </c>
      <c r="M1070">
        <f>IFERROR(VLOOKUP($K1070,Base_Atividades!$E$1:$N$2398,MATCH(BancoAjustado!M$1,Base_Atividades!$E$1:$N$1,0),FALSE),0)</f>
        <v>0</v>
      </c>
      <c r="N1070">
        <f>IFERROR(VLOOKUP($K1070,Base_Atividades!$E$1:$N$2398,MATCH(BancoAjustado!N$1,Base_Atividades!$E$1:$N$1,0),FALSE),0)</f>
        <v>0</v>
      </c>
    </row>
    <row r="1071" spans="1:14" x14ac:dyDescent="0.25">
      <c r="A1071" t="s">
        <v>3650</v>
      </c>
      <c r="B1071" t="s">
        <v>3744</v>
      </c>
      <c r="C1071" t="s">
        <v>3745</v>
      </c>
      <c r="D1071" t="s">
        <v>3759</v>
      </c>
      <c r="E1071" t="s">
        <v>3760</v>
      </c>
      <c r="F1071" t="str">
        <f>VLOOKUP(A1071,Base!$A:$F,6,FALSE)</f>
        <v>ATIVIDADES FINANCEIRAS, DE SEGUROS E SERVIÇOS RELACIONADOS</v>
      </c>
      <c r="G1071" t="str">
        <f>VLOOKUP(B1071,Base!$B:$F,5,FALSE)</f>
        <v>ATIVIDADES AUXILIARES DOS SERVIÇOS FINANCEIROS, SEGUROS, PREVIDÊNCIA COMPLEMENTAR E PLANOS DE SAÚDE</v>
      </c>
      <c r="H1071" t="str">
        <f>VLOOKUP(C1071,Base!$C:$F,4,FALSE)</f>
        <v>Atividades auxiliares dos serviços financeiros</v>
      </c>
      <c r="I1071" t="str">
        <f>VLOOKUP(D1071,Base!$D:$F,3,FALSE)</f>
        <v>Atividades auxiliares dos serviços financeiros não especificadas anteriormente</v>
      </c>
      <c r="J1071" t="str">
        <f>VLOOKUP(E1071,Base!$E:$F,2,FALSE)</f>
        <v>Serviços de liquidação e custódia</v>
      </c>
      <c r="K1071" t="s">
        <v>3760</v>
      </c>
      <c r="L1071">
        <f>IFERROR(VLOOKUP($K1071,Base_Atividades!$E$1:$N$2398,MATCH(BancoAjustado!L$1,Base_Atividades!$E$1:$N$1,0),FALSE),0)</f>
        <v>0</v>
      </c>
      <c r="M1071">
        <f>IFERROR(VLOOKUP($K1071,Base_Atividades!$E$1:$N$2398,MATCH(BancoAjustado!M$1,Base_Atividades!$E$1:$N$1,0),FALSE),0)</f>
        <v>0</v>
      </c>
      <c r="N1071">
        <f>IFERROR(VLOOKUP($K1071,Base_Atividades!$E$1:$N$2398,MATCH(BancoAjustado!N$1,Base_Atividades!$E$1:$N$1,0),FALSE),0)</f>
        <v>0</v>
      </c>
    </row>
    <row r="1072" spans="1:14" x14ac:dyDescent="0.25">
      <c r="A1072" t="s">
        <v>3650</v>
      </c>
      <c r="B1072" t="s">
        <v>3744</v>
      </c>
      <c r="C1072" t="s">
        <v>3745</v>
      </c>
      <c r="D1072" t="s">
        <v>3759</v>
      </c>
      <c r="E1072" t="s">
        <v>3761</v>
      </c>
      <c r="F1072" t="str">
        <f>VLOOKUP(A1072,Base!$A:$F,6,FALSE)</f>
        <v>ATIVIDADES FINANCEIRAS, DE SEGUROS E SERVIÇOS RELACIONADOS</v>
      </c>
      <c r="G1072" t="str">
        <f>VLOOKUP(B1072,Base!$B:$F,5,FALSE)</f>
        <v>ATIVIDADES AUXILIARES DOS SERVIÇOS FINANCEIROS, SEGUROS, PREVIDÊNCIA COMPLEMENTAR E PLANOS DE SAÚDE</v>
      </c>
      <c r="H1072" t="str">
        <f>VLOOKUP(C1072,Base!$C:$F,4,FALSE)</f>
        <v>Atividades auxiliares dos serviços financeiros</v>
      </c>
      <c r="I1072" t="str">
        <f>VLOOKUP(D1072,Base!$D:$F,3,FALSE)</f>
        <v>Atividades auxiliares dos serviços financeiros não especificadas anteriormente</v>
      </c>
      <c r="J1072" t="str">
        <f>VLOOKUP(E1072,Base!$E:$F,2,FALSE)</f>
        <v>Correspondentes de instituições financeiras</v>
      </c>
      <c r="K1072" t="s">
        <v>3761</v>
      </c>
      <c r="L1072">
        <f>IFERROR(VLOOKUP($K1072,Base_Atividades!$E$1:$N$2398,MATCH(BancoAjustado!L$1,Base_Atividades!$E$1:$N$1,0),FALSE),0)</f>
        <v>0</v>
      </c>
      <c r="M1072">
        <f>IFERROR(VLOOKUP($K1072,Base_Atividades!$E$1:$N$2398,MATCH(BancoAjustado!M$1,Base_Atividades!$E$1:$N$1,0),FALSE),0)</f>
        <v>0</v>
      </c>
      <c r="N1072">
        <f>IFERROR(VLOOKUP($K1072,Base_Atividades!$E$1:$N$2398,MATCH(BancoAjustado!N$1,Base_Atividades!$E$1:$N$1,0),FALSE),0)</f>
        <v>0</v>
      </c>
    </row>
    <row r="1073" spans="1:14" x14ac:dyDescent="0.25">
      <c r="A1073" t="s">
        <v>3650</v>
      </c>
      <c r="B1073" t="s">
        <v>3744</v>
      </c>
      <c r="C1073" t="s">
        <v>3745</v>
      </c>
      <c r="D1073" t="s">
        <v>3759</v>
      </c>
      <c r="E1073" t="s">
        <v>3762</v>
      </c>
      <c r="F1073" t="str">
        <f>VLOOKUP(A1073,Base!$A:$F,6,FALSE)</f>
        <v>ATIVIDADES FINANCEIRAS, DE SEGUROS E SERVIÇOS RELACIONADOS</v>
      </c>
      <c r="G1073" t="str">
        <f>VLOOKUP(B1073,Base!$B:$F,5,FALSE)</f>
        <v>ATIVIDADES AUXILIARES DOS SERVIÇOS FINANCEIROS, SEGUROS, PREVIDÊNCIA COMPLEMENTAR E PLANOS DE SAÚDE</v>
      </c>
      <c r="H1073" t="str">
        <f>VLOOKUP(C1073,Base!$C:$F,4,FALSE)</f>
        <v>Atividades auxiliares dos serviços financeiros</v>
      </c>
      <c r="I1073" t="str">
        <f>VLOOKUP(D1073,Base!$D:$F,3,FALSE)</f>
        <v>Atividades auxiliares dos serviços financeiros não especificadas anteriormente</v>
      </c>
      <c r="J1073" t="str">
        <f>VLOOKUP(E1073,Base!$E:$F,2,FALSE)</f>
        <v>Representações de bancos estrangeiros</v>
      </c>
      <c r="K1073" t="s">
        <v>3762</v>
      </c>
      <c r="L1073">
        <f>IFERROR(VLOOKUP($K1073,Base_Atividades!$E$1:$N$2398,MATCH(BancoAjustado!L$1,Base_Atividades!$E$1:$N$1,0),FALSE),0)</f>
        <v>0</v>
      </c>
      <c r="M1073">
        <f>IFERROR(VLOOKUP($K1073,Base_Atividades!$E$1:$N$2398,MATCH(BancoAjustado!M$1,Base_Atividades!$E$1:$N$1,0),FALSE),0)</f>
        <v>0</v>
      </c>
      <c r="N1073">
        <f>IFERROR(VLOOKUP($K1073,Base_Atividades!$E$1:$N$2398,MATCH(BancoAjustado!N$1,Base_Atividades!$E$1:$N$1,0),FALSE),0)</f>
        <v>0</v>
      </c>
    </row>
    <row r="1074" spans="1:14" x14ac:dyDescent="0.25">
      <c r="A1074" t="s">
        <v>3650</v>
      </c>
      <c r="B1074" t="s">
        <v>3744</v>
      </c>
      <c r="C1074" t="s">
        <v>3745</v>
      </c>
      <c r="D1074" t="s">
        <v>3759</v>
      </c>
      <c r="E1074" t="s">
        <v>3763</v>
      </c>
      <c r="F1074" t="str">
        <f>VLOOKUP(A1074,Base!$A:$F,6,FALSE)</f>
        <v>ATIVIDADES FINANCEIRAS, DE SEGUROS E SERVIÇOS RELACIONADOS</v>
      </c>
      <c r="G1074" t="str">
        <f>VLOOKUP(B1074,Base!$B:$F,5,FALSE)</f>
        <v>ATIVIDADES AUXILIARES DOS SERVIÇOS FINANCEIROS, SEGUROS, PREVIDÊNCIA COMPLEMENTAR E PLANOS DE SAÚDE</v>
      </c>
      <c r="H1074" t="str">
        <f>VLOOKUP(C1074,Base!$C:$F,4,FALSE)</f>
        <v>Atividades auxiliares dos serviços financeiros</v>
      </c>
      <c r="I1074" t="str">
        <f>VLOOKUP(D1074,Base!$D:$F,3,FALSE)</f>
        <v>Atividades auxiliares dos serviços financeiros não especificadas anteriormente</v>
      </c>
      <c r="J1074" t="str">
        <f>VLOOKUP(E1074,Base!$E:$F,2,FALSE)</f>
        <v>Caixas eletrônicos</v>
      </c>
      <c r="K1074" t="s">
        <v>3763</v>
      </c>
      <c r="L1074">
        <f>IFERROR(VLOOKUP($K1074,Base_Atividades!$E$1:$N$2398,MATCH(BancoAjustado!L$1,Base_Atividades!$E$1:$N$1,0),FALSE),0)</f>
        <v>0</v>
      </c>
      <c r="M1074">
        <f>IFERROR(VLOOKUP($K1074,Base_Atividades!$E$1:$N$2398,MATCH(BancoAjustado!M$1,Base_Atividades!$E$1:$N$1,0),FALSE),0)</f>
        <v>0</v>
      </c>
      <c r="N1074">
        <f>IFERROR(VLOOKUP($K1074,Base_Atividades!$E$1:$N$2398,MATCH(BancoAjustado!N$1,Base_Atividades!$E$1:$N$1,0),FALSE),0)</f>
        <v>0</v>
      </c>
    </row>
    <row r="1075" spans="1:14" x14ac:dyDescent="0.25">
      <c r="A1075" t="s">
        <v>3650</v>
      </c>
      <c r="B1075" t="s">
        <v>3744</v>
      </c>
      <c r="C1075" t="s">
        <v>3745</v>
      </c>
      <c r="D1075" t="s">
        <v>3759</v>
      </c>
      <c r="E1075" t="s">
        <v>3764</v>
      </c>
      <c r="F1075" t="str">
        <f>VLOOKUP(A1075,Base!$A:$F,6,FALSE)</f>
        <v>ATIVIDADES FINANCEIRAS, DE SEGUROS E SERVIÇOS RELACIONADOS</v>
      </c>
      <c r="G1075" t="str">
        <f>VLOOKUP(B1075,Base!$B:$F,5,FALSE)</f>
        <v>ATIVIDADES AUXILIARES DOS SERVIÇOS FINANCEIROS, SEGUROS, PREVIDÊNCIA COMPLEMENTAR E PLANOS DE SAÚDE</v>
      </c>
      <c r="H1075" t="str">
        <f>VLOOKUP(C1075,Base!$C:$F,4,FALSE)</f>
        <v>Atividades auxiliares dos serviços financeiros</v>
      </c>
      <c r="I1075" t="str">
        <f>VLOOKUP(D1075,Base!$D:$F,3,FALSE)</f>
        <v>Atividades auxiliares dos serviços financeiros não especificadas anteriormente</v>
      </c>
      <c r="J1075" t="str">
        <f>VLOOKUP(E1075,Base!$E:$F,2,FALSE)</f>
        <v>Operadoras de cartões de débito</v>
      </c>
      <c r="K1075" t="s">
        <v>3764</v>
      </c>
      <c r="L1075">
        <f>IFERROR(VLOOKUP($K1075,Base_Atividades!$E$1:$N$2398,MATCH(BancoAjustado!L$1,Base_Atividades!$E$1:$N$1,0),FALSE),0)</f>
        <v>0</v>
      </c>
      <c r="M1075">
        <f>IFERROR(VLOOKUP($K1075,Base_Atividades!$E$1:$N$2398,MATCH(BancoAjustado!M$1,Base_Atividades!$E$1:$N$1,0),FALSE),0)</f>
        <v>0</v>
      </c>
      <c r="N1075">
        <f>IFERROR(VLOOKUP($K1075,Base_Atividades!$E$1:$N$2398,MATCH(BancoAjustado!N$1,Base_Atividades!$E$1:$N$1,0),FALSE),0)</f>
        <v>0</v>
      </c>
    </row>
    <row r="1076" spans="1:14" x14ac:dyDescent="0.25">
      <c r="A1076" t="s">
        <v>3650</v>
      </c>
      <c r="B1076" t="s">
        <v>3744</v>
      </c>
      <c r="C1076" t="s">
        <v>3745</v>
      </c>
      <c r="D1076" t="s">
        <v>3759</v>
      </c>
      <c r="E1076" t="s">
        <v>3765</v>
      </c>
      <c r="F1076" t="str">
        <f>VLOOKUP(A1076,Base!$A:$F,6,FALSE)</f>
        <v>ATIVIDADES FINANCEIRAS, DE SEGUROS E SERVIÇOS RELACIONADOS</v>
      </c>
      <c r="G1076" t="str">
        <f>VLOOKUP(B1076,Base!$B:$F,5,FALSE)</f>
        <v>ATIVIDADES AUXILIARES DOS SERVIÇOS FINANCEIROS, SEGUROS, PREVIDÊNCIA COMPLEMENTAR E PLANOS DE SAÚDE</v>
      </c>
      <c r="H1076" t="str">
        <f>VLOOKUP(C1076,Base!$C:$F,4,FALSE)</f>
        <v>Atividades auxiliares dos serviços financeiros</v>
      </c>
      <c r="I1076" t="str">
        <f>VLOOKUP(D1076,Base!$D:$F,3,FALSE)</f>
        <v>Atividades auxiliares dos serviços financeiros não especificadas anteriormente</v>
      </c>
      <c r="J1076" t="str">
        <f>VLOOKUP(E1076,Base!$E:$F,2,FALSE)</f>
        <v>Outras atividades auxiliares dos serviços financeiros não especificadas anteriormente</v>
      </c>
      <c r="K1076" t="s">
        <v>3765</v>
      </c>
      <c r="L1076">
        <f>IFERROR(VLOOKUP($K1076,Base_Atividades!$E$1:$N$2398,MATCH(BancoAjustado!L$1,Base_Atividades!$E$1:$N$1,0),FALSE),0)</f>
        <v>0</v>
      </c>
      <c r="M1076">
        <f>IFERROR(VLOOKUP($K1076,Base_Atividades!$E$1:$N$2398,MATCH(BancoAjustado!M$1,Base_Atividades!$E$1:$N$1,0),FALSE),0)</f>
        <v>0</v>
      </c>
      <c r="N1076">
        <f>IFERROR(VLOOKUP($K1076,Base_Atividades!$E$1:$N$2398,MATCH(BancoAjustado!N$1,Base_Atividades!$E$1:$N$1,0),FALSE),0)</f>
        <v>0</v>
      </c>
    </row>
    <row r="1077" spans="1:14" x14ac:dyDescent="0.25">
      <c r="A1077" t="s">
        <v>3650</v>
      </c>
      <c r="B1077" t="s">
        <v>3744</v>
      </c>
      <c r="C1077" t="s">
        <v>3766</v>
      </c>
      <c r="D1077" t="s">
        <v>3767</v>
      </c>
      <c r="E1077" t="s">
        <v>3768</v>
      </c>
      <c r="F1077" t="str">
        <f>VLOOKUP(A1077,Base!$A:$F,6,FALSE)</f>
        <v>ATIVIDADES FINANCEIRAS, DE SEGUROS E SERVIÇOS RELACIONADOS</v>
      </c>
      <c r="G1077" t="str">
        <f>VLOOKUP(B1077,Base!$B:$F,5,FALSE)</f>
        <v>ATIVIDADES AUXILIARES DOS SERVIÇOS FINANCEIROS, SEGUROS, PREVIDÊNCIA COMPLEMENTAR E PLANOS DE SAÚDE</v>
      </c>
      <c r="H1077" t="str">
        <f>VLOOKUP(C1077,Base!$C:$F,4,FALSE)</f>
        <v>Atividades auxiliares dos seguros, da previdência complementar e dos planos de saúde</v>
      </c>
      <c r="I1077" t="str">
        <f>VLOOKUP(D1077,Base!$D:$F,3,FALSE)</f>
        <v>Avaliação de riscos e perdas</v>
      </c>
      <c r="J1077" t="str">
        <f>VLOOKUP(E1077,Base!$E:$F,2,FALSE)</f>
        <v>Peritos e avaliadores de seguros</v>
      </c>
      <c r="K1077" t="s">
        <v>3768</v>
      </c>
      <c r="L1077">
        <f>IFERROR(VLOOKUP($K1077,Base_Atividades!$E$1:$N$2398,MATCH(BancoAjustado!L$1,Base_Atividades!$E$1:$N$1,0),FALSE),0)</f>
        <v>0</v>
      </c>
      <c r="M1077">
        <f>IFERROR(VLOOKUP($K1077,Base_Atividades!$E$1:$N$2398,MATCH(BancoAjustado!M$1,Base_Atividades!$E$1:$N$1,0),FALSE),0)</f>
        <v>0</v>
      </c>
      <c r="N1077">
        <f>IFERROR(VLOOKUP($K1077,Base_Atividades!$E$1:$N$2398,MATCH(BancoAjustado!N$1,Base_Atividades!$E$1:$N$1,0),FALSE),0)</f>
        <v>0</v>
      </c>
    </row>
    <row r="1078" spans="1:14" x14ac:dyDescent="0.25">
      <c r="A1078" t="s">
        <v>3650</v>
      </c>
      <c r="B1078" t="s">
        <v>3744</v>
      </c>
      <c r="C1078" t="s">
        <v>3766</v>
      </c>
      <c r="D1078" t="s">
        <v>3767</v>
      </c>
      <c r="E1078" t="s">
        <v>3769</v>
      </c>
      <c r="F1078" t="str">
        <f>VLOOKUP(A1078,Base!$A:$F,6,FALSE)</f>
        <v>ATIVIDADES FINANCEIRAS, DE SEGUROS E SERVIÇOS RELACIONADOS</v>
      </c>
      <c r="G1078" t="str">
        <f>VLOOKUP(B1078,Base!$B:$F,5,FALSE)</f>
        <v>ATIVIDADES AUXILIARES DOS SERVIÇOS FINANCEIROS, SEGUROS, PREVIDÊNCIA COMPLEMENTAR E PLANOS DE SAÚDE</v>
      </c>
      <c r="H1078" t="str">
        <f>VLOOKUP(C1078,Base!$C:$F,4,FALSE)</f>
        <v>Atividades auxiliares dos seguros, da previdência complementar e dos planos de saúde</v>
      </c>
      <c r="I1078" t="str">
        <f>VLOOKUP(D1078,Base!$D:$F,3,FALSE)</f>
        <v>Avaliação de riscos e perdas</v>
      </c>
      <c r="J1078" t="str">
        <f>VLOOKUP(E1078,Base!$E:$F,2,FALSE)</f>
        <v>Auditoria e consultoria atuarial</v>
      </c>
      <c r="K1078" t="s">
        <v>3769</v>
      </c>
      <c r="L1078">
        <f>IFERROR(VLOOKUP($K1078,Base_Atividades!$E$1:$N$2398,MATCH(BancoAjustado!L$1,Base_Atividades!$E$1:$N$1,0),FALSE),0)</f>
        <v>0</v>
      </c>
      <c r="M1078">
        <f>IFERROR(VLOOKUP($K1078,Base_Atividades!$E$1:$N$2398,MATCH(BancoAjustado!M$1,Base_Atividades!$E$1:$N$1,0),FALSE),0)</f>
        <v>0</v>
      </c>
      <c r="N1078">
        <f>IFERROR(VLOOKUP($K1078,Base_Atividades!$E$1:$N$2398,MATCH(BancoAjustado!N$1,Base_Atividades!$E$1:$N$1,0),FALSE),0)</f>
        <v>0</v>
      </c>
    </row>
    <row r="1079" spans="1:14" x14ac:dyDescent="0.25">
      <c r="A1079" t="s">
        <v>3650</v>
      </c>
      <c r="B1079" t="s">
        <v>3744</v>
      </c>
      <c r="C1079" t="s">
        <v>3766</v>
      </c>
      <c r="D1079" t="s">
        <v>3770</v>
      </c>
      <c r="E1079" t="s">
        <v>3771</v>
      </c>
      <c r="F1079" t="str">
        <f>VLOOKUP(A1079,Base!$A:$F,6,FALSE)</f>
        <v>ATIVIDADES FINANCEIRAS, DE SEGUROS E SERVIÇOS RELACIONADOS</v>
      </c>
      <c r="G1079" t="str">
        <f>VLOOKUP(B1079,Base!$B:$F,5,FALSE)</f>
        <v>ATIVIDADES AUXILIARES DOS SERVIÇOS FINANCEIROS, SEGUROS, PREVIDÊNCIA COMPLEMENTAR E PLANOS DE SAÚDE</v>
      </c>
      <c r="H1079" t="str">
        <f>VLOOKUP(C1079,Base!$C:$F,4,FALSE)</f>
        <v>Atividades auxiliares dos seguros, da previdência complementar e dos planos de saúde</v>
      </c>
      <c r="I1079" t="str">
        <f>VLOOKUP(D1079,Base!$D:$F,3,FALSE)</f>
        <v>Corretores e agentes de seguros, de planos de previdência complementar e de saúde</v>
      </c>
      <c r="J1079" t="str">
        <f>VLOOKUP(E1079,Base!$E:$F,2,FALSE)</f>
        <v>Corretores e agentes de seguros, de planos de previdência complementar e de saúde</v>
      </c>
      <c r="K1079" t="s">
        <v>3771</v>
      </c>
      <c r="L1079">
        <f>IFERROR(VLOOKUP($K1079,Base_Atividades!$E$1:$N$2398,MATCH(BancoAjustado!L$1,Base_Atividades!$E$1:$N$1,0),FALSE),0)</f>
        <v>0</v>
      </c>
      <c r="M1079">
        <f>IFERROR(VLOOKUP($K1079,Base_Atividades!$E$1:$N$2398,MATCH(BancoAjustado!M$1,Base_Atividades!$E$1:$N$1,0),FALSE),0)</f>
        <v>0</v>
      </c>
      <c r="N1079">
        <f>IFERROR(VLOOKUP($K1079,Base_Atividades!$E$1:$N$2398,MATCH(BancoAjustado!N$1,Base_Atividades!$E$1:$N$1,0),FALSE),0)</f>
        <v>0</v>
      </c>
    </row>
    <row r="1080" spans="1:14" x14ac:dyDescent="0.25">
      <c r="A1080" t="s">
        <v>3650</v>
      </c>
      <c r="B1080" t="s">
        <v>3744</v>
      </c>
      <c r="C1080" t="s">
        <v>3766</v>
      </c>
      <c r="D1080" t="s">
        <v>3772</v>
      </c>
      <c r="E1080" t="s">
        <v>3773</v>
      </c>
      <c r="F1080" t="str">
        <f>VLOOKUP(A1080,Base!$A:$F,6,FALSE)</f>
        <v>ATIVIDADES FINANCEIRAS, DE SEGUROS E SERVIÇOS RELACIONADOS</v>
      </c>
      <c r="G1080" t="str">
        <f>VLOOKUP(B1080,Base!$B:$F,5,FALSE)</f>
        <v>ATIVIDADES AUXILIARES DOS SERVIÇOS FINANCEIROS, SEGUROS, PREVIDÊNCIA COMPLEMENTAR E PLANOS DE SAÚDE</v>
      </c>
      <c r="H1080" t="str">
        <f>VLOOKUP(C1080,Base!$C:$F,4,FALSE)</f>
        <v>Atividades auxiliares dos seguros, da previdência complementar e dos planos de saúde</v>
      </c>
      <c r="I1080" t="str">
        <f>VLOOKUP(D1080,Base!$D:$F,3,FALSE)</f>
        <v>Atividades auxiliares dos seguros, da previdência complementar e dos planos de saúde não especificadas anteriormente</v>
      </c>
      <c r="J1080" t="str">
        <f>VLOOKUP(E1080,Base!$E:$F,2,FALSE)</f>
        <v>Atividades auxiliares dos seguros, da previdência complementar e dos planos de saúde não especificadas anteriormente</v>
      </c>
      <c r="K1080" t="s">
        <v>3773</v>
      </c>
      <c r="L1080">
        <f>IFERROR(VLOOKUP($K1080,Base_Atividades!$E$1:$N$2398,MATCH(BancoAjustado!L$1,Base_Atividades!$E$1:$N$1,0),FALSE),0)</f>
        <v>0</v>
      </c>
      <c r="M1080">
        <f>IFERROR(VLOOKUP($K1080,Base_Atividades!$E$1:$N$2398,MATCH(BancoAjustado!M$1,Base_Atividades!$E$1:$N$1,0),FALSE),0)</f>
        <v>0</v>
      </c>
      <c r="N1080">
        <f>IFERROR(VLOOKUP($K1080,Base_Atividades!$E$1:$N$2398,MATCH(BancoAjustado!N$1,Base_Atividades!$E$1:$N$1,0),FALSE),0)</f>
        <v>0</v>
      </c>
    </row>
    <row r="1081" spans="1:14" x14ac:dyDescent="0.25">
      <c r="A1081" t="s">
        <v>3650</v>
      </c>
      <c r="B1081" t="s">
        <v>3744</v>
      </c>
      <c r="C1081" t="s">
        <v>3774</v>
      </c>
      <c r="D1081" t="s">
        <v>3775</v>
      </c>
      <c r="E1081" t="s">
        <v>3776</v>
      </c>
      <c r="F1081" t="str">
        <f>VLOOKUP(A1081,Base!$A:$F,6,FALSE)</f>
        <v>ATIVIDADES FINANCEIRAS, DE SEGUROS E SERVIÇOS RELACIONADOS</v>
      </c>
      <c r="G1081" t="str">
        <f>VLOOKUP(B1081,Base!$B:$F,5,FALSE)</f>
        <v>ATIVIDADES AUXILIARES DOS SERVIÇOS FINANCEIROS, SEGUROS, PREVIDÊNCIA COMPLEMENTAR E PLANOS DE SAÚDE</v>
      </c>
      <c r="H1081" t="str">
        <f>VLOOKUP(C1081,Base!$C:$F,4,FALSE)</f>
        <v>Atividades de administração de fundos por contrato ou
comissão</v>
      </c>
      <c r="I1081" t="str">
        <f>VLOOKUP(D1081,Base!$D:$F,3,FALSE)</f>
        <v>Atividades de administração de fundos por contrato ou
comissão</v>
      </c>
      <c r="J1081" t="str">
        <f>VLOOKUP(E1081,Base!$E:$F,2,FALSE)</f>
        <v>Atividades de administração de fundos por contrato ou comissão</v>
      </c>
      <c r="K1081" t="s">
        <v>3776</v>
      </c>
      <c r="L1081">
        <f>IFERROR(VLOOKUP($K1081,Base_Atividades!$E$1:$N$2398,MATCH(BancoAjustado!L$1,Base_Atividades!$E$1:$N$1,0),FALSE),0)</f>
        <v>0</v>
      </c>
      <c r="M1081">
        <f>IFERROR(VLOOKUP($K1081,Base_Atividades!$E$1:$N$2398,MATCH(BancoAjustado!M$1,Base_Atividades!$E$1:$N$1,0),FALSE),0)</f>
        <v>0</v>
      </c>
      <c r="N1081">
        <f>IFERROR(VLOOKUP($K1081,Base_Atividades!$E$1:$N$2398,MATCH(BancoAjustado!N$1,Base_Atividades!$E$1:$N$1,0),FALSE),0)</f>
        <v>0</v>
      </c>
    </row>
    <row r="1082" spans="1:14" x14ac:dyDescent="0.25">
      <c r="A1082" t="s">
        <v>3777</v>
      </c>
      <c r="B1082" t="s">
        <v>3778</v>
      </c>
      <c r="C1082" t="s">
        <v>3779</v>
      </c>
      <c r="D1082" t="s">
        <v>3780</v>
      </c>
      <c r="E1082" t="s">
        <v>3781</v>
      </c>
      <c r="F1082" t="str">
        <f>VLOOKUP(A1082,Base!$A:$F,6,FALSE)</f>
        <v>ATIVIDADES IMOBILIÁRIAS</v>
      </c>
      <c r="G1082" t="str">
        <f>VLOOKUP(B1082,Base!$B:$F,5,FALSE)</f>
        <v>ATIVIDADES IMOBILIÁRIAS</v>
      </c>
      <c r="H1082" t="str">
        <f>VLOOKUP(C1082,Base!$C:$F,4,FALSE)</f>
        <v>Atividades imobiliárias de imóveis próprios</v>
      </c>
      <c r="I1082" t="str">
        <f>VLOOKUP(D1082,Base!$D:$F,3,FALSE)</f>
        <v>Atividades imobiliárias de imóveis próprios</v>
      </c>
      <c r="J1082" t="str">
        <f>VLOOKUP(E1082,Base!$E:$F,2,FALSE)</f>
        <v>Compra e venda de imóveis próprios</v>
      </c>
      <c r="K1082" t="s">
        <v>3781</v>
      </c>
      <c r="L1082">
        <f>IFERROR(VLOOKUP($K1082,Base_Atividades!$E$1:$N$2398,MATCH(BancoAjustado!L$1,Base_Atividades!$E$1:$N$1,0),FALSE),0)</f>
        <v>0</v>
      </c>
      <c r="M1082">
        <f>IFERROR(VLOOKUP($K1082,Base_Atividades!$E$1:$N$2398,MATCH(BancoAjustado!M$1,Base_Atividades!$E$1:$N$1,0),FALSE),0)</f>
        <v>0</v>
      </c>
      <c r="N1082">
        <f>IFERROR(VLOOKUP($K1082,Base_Atividades!$E$1:$N$2398,MATCH(BancoAjustado!N$1,Base_Atividades!$E$1:$N$1,0),FALSE),0)</f>
        <v>0</v>
      </c>
    </row>
    <row r="1083" spans="1:14" x14ac:dyDescent="0.25">
      <c r="A1083" t="s">
        <v>3777</v>
      </c>
      <c r="B1083" t="s">
        <v>3778</v>
      </c>
      <c r="C1083" t="s">
        <v>3779</v>
      </c>
      <c r="D1083" t="s">
        <v>3780</v>
      </c>
      <c r="E1083" t="s">
        <v>3782</v>
      </c>
      <c r="F1083" t="str">
        <f>VLOOKUP(A1083,Base!$A:$F,6,FALSE)</f>
        <v>ATIVIDADES IMOBILIÁRIAS</v>
      </c>
      <c r="G1083" t="str">
        <f>VLOOKUP(B1083,Base!$B:$F,5,FALSE)</f>
        <v>ATIVIDADES IMOBILIÁRIAS</v>
      </c>
      <c r="H1083" t="str">
        <f>VLOOKUP(C1083,Base!$C:$F,4,FALSE)</f>
        <v>Atividades imobiliárias de imóveis próprios</v>
      </c>
      <c r="I1083" t="str">
        <f>VLOOKUP(D1083,Base!$D:$F,3,FALSE)</f>
        <v>Atividades imobiliárias de imóveis próprios</v>
      </c>
      <c r="J1083" t="str">
        <f>VLOOKUP(E1083,Base!$E:$F,2,FALSE)</f>
        <v>Aluguel de imóveis próprios</v>
      </c>
      <c r="K1083" t="s">
        <v>3782</v>
      </c>
      <c r="L1083">
        <f>IFERROR(VLOOKUP($K1083,Base_Atividades!$E$1:$N$2398,MATCH(BancoAjustado!L$1,Base_Atividades!$E$1:$N$1,0),FALSE),0)</f>
        <v>0</v>
      </c>
      <c r="M1083">
        <f>IFERROR(VLOOKUP($K1083,Base_Atividades!$E$1:$N$2398,MATCH(BancoAjustado!M$1,Base_Atividades!$E$1:$N$1,0),FALSE),0)</f>
        <v>0</v>
      </c>
      <c r="N1083">
        <f>IFERROR(VLOOKUP($K1083,Base_Atividades!$E$1:$N$2398,MATCH(BancoAjustado!N$1,Base_Atividades!$E$1:$N$1,0),FALSE),0)</f>
        <v>0</v>
      </c>
    </row>
    <row r="1084" spans="1:14" x14ac:dyDescent="0.25">
      <c r="A1084" t="s">
        <v>3777</v>
      </c>
      <c r="B1084" t="s">
        <v>3778</v>
      </c>
      <c r="C1084" t="s">
        <v>3779</v>
      </c>
      <c r="D1084" t="s">
        <v>3780</v>
      </c>
      <c r="E1084" t="s">
        <v>3783</v>
      </c>
      <c r="F1084" t="str">
        <f>VLOOKUP(A1084,Base!$A:$F,6,FALSE)</f>
        <v>ATIVIDADES IMOBILIÁRIAS</v>
      </c>
      <c r="G1084" t="str">
        <f>VLOOKUP(B1084,Base!$B:$F,5,FALSE)</f>
        <v>ATIVIDADES IMOBILIÁRIAS</v>
      </c>
      <c r="H1084" t="str">
        <f>VLOOKUP(C1084,Base!$C:$F,4,FALSE)</f>
        <v>Atividades imobiliárias de imóveis próprios</v>
      </c>
      <c r="I1084" t="str">
        <f>VLOOKUP(D1084,Base!$D:$F,3,FALSE)</f>
        <v>Atividades imobiliárias de imóveis próprios</v>
      </c>
      <c r="J1084" t="str">
        <f>VLOOKUP(E1084,Base!$E:$F,2,FALSE)</f>
        <v>Loteamento de imóveis próprios</v>
      </c>
      <c r="K1084" t="s">
        <v>3783</v>
      </c>
      <c r="L1084">
        <f>IFERROR(VLOOKUP($K1084,Base_Atividades!$E$1:$N$2398,MATCH(BancoAjustado!L$1,Base_Atividades!$E$1:$N$1,0),FALSE),0)</f>
        <v>0</v>
      </c>
      <c r="M1084">
        <f>IFERROR(VLOOKUP($K1084,Base_Atividades!$E$1:$N$2398,MATCH(BancoAjustado!M$1,Base_Atividades!$E$1:$N$1,0),FALSE),0)</f>
        <v>0</v>
      </c>
      <c r="N1084">
        <f>IFERROR(VLOOKUP($K1084,Base_Atividades!$E$1:$N$2398,MATCH(BancoAjustado!N$1,Base_Atividades!$E$1:$N$1,0),FALSE),0)</f>
        <v>0</v>
      </c>
    </row>
    <row r="1085" spans="1:14" x14ac:dyDescent="0.25">
      <c r="A1085" t="s">
        <v>3777</v>
      </c>
      <c r="B1085" t="s">
        <v>3778</v>
      </c>
      <c r="C1085" t="s">
        <v>3784</v>
      </c>
      <c r="D1085" t="s">
        <v>3785</v>
      </c>
      <c r="E1085" t="s">
        <v>3786</v>
      </c>
      <c r="F1085" t="str">
        <f>VLOOKUP(A1085,Base!$A:$F,6,FALSE)</f>
        <v>ATIVIDADES IMOBILIÁRIAS</v>
      </c>
      <c r="G1085" t="str">
        <f>VLOOKUP(B1085,Base!$B:$F,5,FALSE)</f>
        <v>ATIVIDADES IMOBILIÁRIAS</v>
      </c>
      <c r="H1085" t="str">
        <f>VLOOKUP(C1085,Base!$C:$F,4,FALSE)</f>
        <v>Atividades imobiliárias por contrato ou comissão</v>
      </c>
      <c r="I1085" t="str">
        <f>VLOOKUP(D1085,Base!$D:$F,3,FALSE)</f>
        <v>Intermediação na compra, venda e aluguel de imóveis</v>
      </c>
      <c r="J1085" t="str">
        <f>VLOOKUP(E1085,Base!$E:$F,2,FALSE)</f>
        <v>Corretagem na compra e venda e avaliação de imóveis</v>
      </c>
      <c r="K1085" t="s">
        <v>3786</v>
      </c>
      <c r="L1085">
        <f>IFERROR(VLOOKUP($K1085,Base_Atividades!$E$1:$N$2398,MATCH(BancoAjustado!L$1,Base_Atividades!$E$1:$N$1,0),FALSE),0)</f>
        <v>0</v>
      </c>
      <c r="M1085">
        <f>IFERROR(VLOOKUP($K1085,Base_Atividades!$E$1:$N$2398,MATCH(BancoAjustado!M$1,Base_Atividades!$E$1:$N$1,0),FALSE),0)</f>
        <v>0</v>
      </c>
      <c r="N1085">
        <f>IFERROR(VLOOKUP($K1085,Base_Atividades!$E$1:$N$2398,MATCH(BancoAjustado!N$1,Base_Atividades!$E$1:$N$1,0),FALSE),0)</f>
        <v>0</v>
      </c>
    </row>
    <row r="1086" spans="1:14" x14ac:dyDescent="0.25">
      <c r="A1086" t="s">
        <v>3777</v>
      </c>
      <c r="B1086" t="s">
        <v>3778</v>
      </c>
      <c r="C1086" t="s">
        <v>3784</v>
      </c>
      <c r="D1086" t="s">
        <v>3785</v>
      </c>
      <c r="E1086" t="s">
        <v>3787</v>
      </c>
      <c r="F1086" t="str">
        <f>VLOOKUP(A1086,Base!$A:$F,6,FALSE)</f>
        <v>ATIVIDADES IMOBILIÁRIAS</v>
      </c>
      <c r="G1086" t="str">
        <f>VLOOKUP(B1086,Base!$B:$F,5,FALSE)</f>
        <v>ATIVIDADES IMOBILIÁRIAS</v>
      </c>
      <c r="H1086" t="str">
        <f>VLOOKUP(C1086,Base!$C:$F,4,FALSE)</f>
        <v>Atividades imobiliárias por contrato ou comissão</v>
      </c>
      <c r="I1086" t="str">
        <f>VLOOKUP(D1086,Base!$D:$F,3,FALSE)</f>
        <v>Intermediação na compra, venda e aluguel de imóveis</v>
      </c>
      <c r="J1086" t="str">
        <f>VLOOKUP(E1086,Base!$E:$F,2,FALSE)</f>
        <v>Corretagem no aluguel de imóveis</v>
      </c>
      <c r="K1086" t="s">
        <v>3787</v>
      </c>
      <c r="L1086">
        <f>IFERROR(VLOOKUP($K1086,Base_Atividades!$E$1:$N$2398,MATCH(BancoAjustado!L$1,Base_Atividades!$E$1:$N$1,0),FALSE),0)</f>
        <v>0</v>
      </c>
      <c r="M1086">
        <f>IFERROR(VLOOKUP($K1086,Base_Atividades!$E$1:$N$2398,MATCH(BancoAjustado!M$1,Base_Atividades!$E$1:$N$1,0),FALSE),0)</f>
        <v>0</v>
      </c>
      <c r="N1086">
        <f>IFERROR(VLOOKUP($K1086,Base_Atividades!$E$1:$N$2398,MATCH(BancoAjustado!N$1,Base_Atividades!$E$1:$N$1,0),FALSE),0)</f>
        <v>0</v>
      </c>
    </row>
    <row r="1087" spans="1:14" x14ac:dyDescent="0.25">
      <c r="A1087" t="s">
        <v>3777</v>
      </c>
      <c r="B1087" t="s">
        <v>3778</v>
      </c>
      <c r="C1087" t="s">
        <v>3784</v>
      </c>
      <c r="D1087" t="s">
        <v>3788</v>
      </c>
      <c r="E1087" t="s">
        <v>3789</v>
      </c>
      <c r="F1087" t="str">
        <f>VLOOKUP(A1087,Base!$A:$F,6,FALSE)</f>
        <v>ATIVIDADES IMOBILIÁRIAS</v>
      </c>
      <c r="G1087" t="str">
        <f>VLOOKUP(B1087,Base!$B:$F,5,FALSE)</f>
        <v>ATIVIDADES IMOBILIÁRIAS</v>
      </c>
      <c r="H1087" t="str">
        <f>VLOOKUP(C1087,Base!$C:$F,4,FALSE)</f>
        <v>Atividades imobiliárias por contrato ou comissão</v>
      </c>
      <c r="I1087" t="str">
        <f>VLOOKUP(D1087,Base!$D:$F,3,FALSE)</f>
        <v>Gestão e administração da propriedade imobiliária</v>
      </c>
      <c r="J1087" t="str">
        <f>VLOOKUP(E1087,Base!$E:$F,2,FALSE)</f>
        <v>Gestão e administração da propriedade imobiliária</v>
      </c>
      <c r="K1087" t="s">
        <v>3789</v>
      </c>
      <c r="L1087">
        <f>IFERROR(VLOOKUP($K1087,Base_Atividades!$E$1:$N$2398,MATCH(BancoAjustado!L$1,Base_Atividades!$E$1:$N$1,0),FALSE),0)</f>
        <v>0</v>
      </c>
      <c r="M1087">
        <f>IFERROR(VLOOKUP($K1087,Base_Atividades!$E$1:$N$2398,MATCH(BancoAjustado!M$1,Base_Atividades!$E$1:$N$1,0),FALSE),0)</f>
        <v>0</v>
      </c>
      <c r="N1087">
        <f>IFERROR(VLOOKUP($K1087,Base_Atividades!$E$1:$N$2398,MATCH(BancoAjustado!N$1,Base_Atividades!$E$1:$N$1,0),FALSE),0)</f>
        <v>0</v>
      </c>
    </row>
    <row r="1088" spans="1:14" x14ac:dyDescent="0.25">
      <c r="A1088" t="s">
        <v>3790</v>
      </c>
      <c r="B1088" t="s">
        <v>3791</v>
      </c>
      <c r="C1088" t="s">
        <v>3792</v>
      </c>
      <c r="D1088" t="s">
        <v>3793</v>
      </c>
      <c r="E1088" t="s">
        <v>3794</v>
      </c>
      <c r="F1088" t="str">
        <f>VLOOKUP(A1088,Base!$A:$F,6,FALSE)</f>
        <v>ATIVIDADES PROFISSIONAIS, CIENTÍFICAS E TÉCNICAS</v>
      </c>
      <c r="G1088" t="str">
        <f>VLOOKUP(B1088,Base!$B:$F,5,FALSE)</f>
        <v>ATIVIDADES JURÍDICAS, DE CONTABILIDADE E DE AUDITORIA</v>
      </c>
      <c r="H1088" t="str">
        <f>VLOOKUP(C1088,Base!$C:$F,4,FALSE)</f>
        <v>Atividades jurídicas</v>
      </c>
      <c r="I1088" t="str">
        <f>VLOOKUP(D1088,Base!$D:$F,3,FALSE)</f>
        <v>Atividades jurídicas, exceto cartórios</v>
      </c>
      <c r="J1088" t="str">
        <f>VLOOKUP(E1088,Base!$E:$F,2,FALSE)</f>
        <v>Serviços advocatícios</v>
      </c>
      <c r="K1088" t="s">
        <v>3794</v>
      </c>
      <c r="L1088">
        <f>IFERROR(VLOOKUP($K1088,Base_Atividades!$E$1:$N$2398,MATCH(BancoAjustado!L$1,Base_Atividades!$E$1:$N$1,0),FALSE),0)</f>
        <v>1</v>
      </c>
      <c r="M1088">
        <f>IFERROR(VLOOKUP($K1088,Base_Atividades!$E$1:$N$2398,MATCH(BancoAjustado!M$1,Base_Atividades!$E$1:$N$1,0),FALSE),0)</f>
        <v>0</v>
      </c>
      <c r="N1088">
        <f>IFERROR(VLOOKUP($K1088,Base_Atividades!$E$1:$N$2398,MATCH(BancoAjustado!N$1,Base_Atividades!$E$1:$N$1,0),FALSE),0)</f>
        <v>0</v>
      </c>
    </row>
    <row r="1089" spans="1:14" x14ac:dyDescent="0.25">
      <c r="A1089" t="s">
        <v>3790</v>
      </c>
      <c r="B1089" t="s">
        <v>3791</v>
      </c>
      <c r="C1089" t="s">
        <v>3792</v>
      </c>
      <c r="D1089" t="s">
        <v>3793</v>
      </c>
      <c r="E1089" t="s">
        <v>3795</v>
      </c>
      <c r="F1089" t="str">
        <f>VLOOKUP(A1089,Base!$A:$F,6,FALSE)</f>
        <v>ATIVIDADES PROFISSIONAIS, CIENTÍFICAS E TÉCNICAS</v>
      </c>
      <c r="G1089" t="str">
        <f>VLOOKUP(B1089,Base!$B:$F,5,FALSE)</f>
        <v>ATIVIDADES JURÍDICAS, DE CONTABILIDADE E DE AUDITORIA</v>
      </c>
      <c r="H1089" t="str">
        <f>VLOOKUP(C1089,Base!$C:$F,4,FALSE)</f>
        <v>Atividades jurídicas</v>
      </c>
      <c r="I1089" t="str">
        <f>VLOOKUP(D1089,Base!$D:$F,3,FALSE)</f>
        <v>Atividades jurídicas, exceto cartórios</v>
      </c>
      <c r="J1089" t="str">
        <f>VLOOKUP(E1089,Base!$E:$F,2,FALSE)</f>
        <v>Atividades auxiliares da justiça</v>
      </c>
      <c r="K1089" t="s">
        <v>3795</v>
      </c>
      <c r="L1089">
        <f>IFERROR(VLOOKUP($K1089,Base_Atividades!$E$1:$N$2398,MATCH(BancoAjustado!L$1,Base_Atividades!$E$1:$N$1,0),FALSE),0)</f>
        <v>1</v>
      </c>
      <c r="M1089">
        <f>IFERROR(VLOOKUP($K1089,Base_Atividades!$E$1:$N$2398,MATCH(BancoAjustado!M$1,Base_Atividades!$E$1:$N$1,0),FALSE),0)</f>
        <v>0</v>
      </c>
      <c r="N1089">
        <f>IFERROR(VLOOKUP($K1089,Base_Atividades!$E$1:$N$2398,MATCH(BancoAjustado!N$1,Base_Atividades!$E$1:$N$1,0),FALSE),0)</f>
        <v>0</v>
      </c>
    </row>
    <row r="1090" spans="1:14" x14ac:dyDescent="0.25">
      <c r="A1090" t="s">
        <v>3790</v>
      </c>
      <c r="B1090" t="s">
        <v>3791</v>
      </c>
      <c r="C1090" t="s">
        <v>3792</v>
      </c>
      <c r="D1090" t="s">
        <v>3793</v>
      </c>
      <c r="E1090" t="s">
        <v>3796</v>
      </c>
      <c r="F1090" t="str">
        <f>VLOOKUP(A1090,Base!$A:$F,6,FALSE)</f>
        <v>ATIVIDADES PROFISSIONAIS, CIENTÍFICAS E TÉCNICAS</v>
      </c>
      <c r="G1090" t="str">
        <f>VLOOKUP(B1090,Base!$B:$F,5,FALSE)</f>
        <v>ATIVIDADES JURÍDICAS, DE CONTABILIDADE E DE AUDITORIA</v>
      </c>
      <c r="H1090" t="str">
        <f>VLOOKUP(C1090,Base!$C:$F,4,FALSE)</f>
        <v>Atividades jurídicas</v>
      </c>
      <c r="I1090" t="str">
        <f>VLOOKUP(D1090,Base!$D:$F,3,FALSE)</f>
        <v>Atividades jurídicas, exceto cartórios</v>
      </c>
      <c r="J1090" t="str">
        <f>VLOOKUP(E1090,Base!$E:$F,2,FALSE)</f>
        <v>Agente de propriedade industrial</v>
      </c>
      <c r="K1090" t="s">
        <v>3796</v>
      </c>
      <c r="L1090">
        <f>IFERROR(VLOOKUP($K1090,Base_Atividades!$E$1:$N$2398,MATCH(BancoAjustado!L$1,Base_Atividades!$E$1:$N$1,0),FALSE),0)</f>
        <v>1</v>
      </c>
      <c r="M1090">
        <f>IFERROR(VLOOKUP($K1090,Base_Atividades!$E$1:$N$2398,MATCH(BancoAjustado!M$1,Base_Atividades!$E$1:$N$1,0),FALSE),0)</f>
        <v>0</v>
      </c>
      <c r="N1090">
        <f>IFERROR(VLOOKUP($K1090,Base_Atividades!$E$1:$N$2398,MATCH(BancoAjustado!N$1,Base_Atividades!$E$1:$N$1,0),FALSE),0)</f>
        <v>0</v>
      </c>
    </row>
    <row r="1091" spans="1:14" x14ac:dyDescent="0.25">
      <c r="A1091" t="s">
        <v>3790</v>
      </c>
      <c r="B1091" t="s">
        <v>3791</v>
      </c>
      <c r="C1091" t="s">
        <v>3792</v>
      </c>
      <c r="D1091" t="s">
        <v>3797</v>
      </c>
      <c r="E1091" t="s">
        <v>3798</v>
      </c>
      <c r="F1091" t="str">
        <f>VLOOKUP(A1091,Base!$A:$F,6,FALSE)</f>
        <v>ATIVIDADES PROFISSIONAIS, CIENTÍFICAS E TÉCNICAS</v>
      </c>
      <c r="G1091" t="str">
        <f>VLOOKUP(B1091,Base!$B:$F,5,FALSE)</f>
        <v>ATIVIDADES JURÍDICAS, DE CONTABILIDADE E DE AUDITORIA</v>
      </c>
      <c r="H1091" t="str">
        <f>VLOOKUP(C1091,Base!$C:$F,4,FALSE)</f>
        <v>Atividades jurídicas</v>
      </c>
      <c r="I1091" t="str">
        <f>VLOOKUP(D1091,Base!$D:$F,3,FALSE)</f>
        <v>Cartórios</v>
      </c>
      <c r="J1091" t="str">
        <f>VLOOKUP(E1091,Base!$E:$F,2,FALSE)</f>
        <v>Cartórios</v>
      </c>
      <c r="K1091" t="s">
        <v>3798</v>
      </c>
      <c r="L1091">
        <f>IFERROR(VLOOKUP($K1091,Base_Atividades!$E$1:$N$2398,MATCH(BancoAjustado!L$1,Base_Atividades!$E$1:$N$1,0),FALSE),0)</f>
        <v>0</v>
      </c>
      <c r="M1091">
        <f>IFERROR(VLOOKUP($K1091,Base_Atividades!$E$1:$N$2398,MATCH(BancoAjustado!M$1,Base_Atividades!$E$1:$N$1,0),FALSE),0)</f>
        <v>0</v>
      </c>
      <c r="N1091">
        <f>IFERROR(VLOOKUP($K1091,Base_Atividades!$E$1:$N$2398,MATCH(BancoAjustado!N$1,Base_Atividades!$E$1:$N$1,0),FALSE),0)</f>
        <v>0</v>
      </c>
    </row>
    <row r="1092" spans="1:14" x14ac:dyDescent="0.25">
      <c r="A1092" t="s">
        <v>3790</v>
      </c>
      <c r="B1092" t="s">
        <v>3791</v>
      </c>
      <c r="C1092" t="s">
        <v>3799</v>
      </c>
      <c r="D1092" t="s">
        <v>3800</v>
      </c>
      <c r="E1092" t="s">
        <v>3801</v>
      </c>
      <c r="F1092" t="str">
        <f>VLOOKUP(A1092,Base!$A:$F,6,FALSE)</f>
        <v>ATIVIDADES PROFISSIONAIS, CIENTÍFICAS E TÉCNICAS</v>
      </c>
      <c r="G1092" t="str">
        <f>VLOOKUP(B1092,Base!$B:$F,5,FALSE)</f>
        <v>ATIVIDADES JURÍDICAS, DE CONTABILIDADE E DE AUDITORIA</v>
      </c>
      <c r="H1092" t="str">
        <f>VLOOKUP(C1092,Base!$C:$F,4,FALSE)</f>
        <v>Atividades de contabilidade, consultoria e auditoria contábil e tributária</v>
      </c>
      <c r="I1092" t="str">
        <f>VLOOKUP(D1092,Base!$D:$F,3,FALSE)</f>
        <v>Atividades de contabilidade, consultoria e auditoria contábil e tributária</v>
      </c>
      <c r="J1092" t="str">
        <f>VLOOKUP(E1092,Base!$E:$F,2,FALSE)</f>
        <v>Atividades de contabilidade</v>
      </c>
      <c r="K1092" t="s">
        <v>3801</v>
      </c>
      <c r="L1092">
        <f>IFERROR(VLOOKUP($K1092,Base_Atividades!$E$1:$N$2398,MATCH(BancoAjustado!L$1,Base_Atividades!$E$1:$N$1,0),FALSE),0)</f>
        <v>1</v>
      </c>
      <c r="M1092">
        <f>IFERROR(VLOOKUP($K1092,Base_Atividades!$E$1:$N$2398,MATCH(BancoAjustado!M$1,Base_Atividades!$E$1:$N$1,0),FALSE),0)</f>
        <v>0</v>
      </c>
      <c r="N1092">
        <f>IFERROR(VLOOKUP($K1092,Base_Atividades!$E$1:$N$2398,MATCH(BancoAjustado!N$1,Base_Atividades!$E$1:$N$1,0),FALSE),0)</f>
        <v>0</v>
      </c>
    </row>
    <row r="1093" spans="1:14" x14ac:dyDescent="0.25">
      <c r="A1093" t="s">
        <v>3790</v>
      </c>
      <c r="B1093" t="s">
        <v>3791</v>
      </c>
      <c r="C1093" t="s">
        <v>3799</v>
      </c>
      <c r="D1093" t="s">
        <v>3800</v>
      </c>
      <c r="E1093" t="s">
        <v>3802</v>
      </c>
      <c r="F1093" t="str">
        <f>VLOOKUP(A1093,Base!$A:$F,6,FALSE)</f>
        <v>ATIVIDADES PROFISSIONAIS, CIENTÍFICAS E TÉCNICAS</v>
      </c>
      <c r="G1093" t="str">
        <f>VLOOKUP(B1093,Base!$B:$F,5,FALSE)</f>
        <v>ATIVIDADES JURÍDICAS, DE CONTABILIDADE E DE AUDITORIA</v>
      </c>
      <c r="H1093" t="str">
        <f>VLOOKUP(C1093,Base!$C:$F,4,FALSE)</f>
        <v>Atividades de contabilidade, consultoria e auditoria contábil e tributária</v>
      </c>
      <c r="I1093" t="str">
        <f>VLOOKUP(D1093,Base!$D:$F,3,FALSE)</f>
        <v>Atividades de contabilidade, consultoria e auditoria contábil e tributária</v>
      </c>
      <c r="J1093" t="str">
        <f>VLOOKUP(E1093,Base!$E:$F,2,FALSE)</f>
        <v>Atividades de consultoria e auditoria contábil e tributária</v>
      </c>
      <c r="K1093" t="s">
        <v>3802</v>
      </c>
      <c r="L1093">
        <f>IFERROR(VLOOKUP($K1093,Base_Atividades!$E$1:$N$2398,MATCH(BancoAjustado!L$1,Base_Atividades!$E$1:$N$1,0),FALSE),0)</f>
        <v>1</v>
      </c>
      <c r="M1093">
        <f>IFERROR(VLOOKUP($K1093,Base_Atividades!$E$1:$N$2398,MATCH(BancoAjustado!M$1,Base_Atividades!$E$1:$N$1,0),FALSE),0)</f>
        <v>0</v>
      </c>
      <c r="N1093">
        <f>IFERROR(VLOOKUP($K1093,Base_Atividades!$E$1:$N$2398,MATCH(BancoAjustado!N$1,Base_Atividades!$E$1:$N$1,0),FALSE),0)</f>
        <v>0</v>
      </c>
    </row>
    <row r="1094" spans="1:14" x14ac:dyDescent="0.25">
      <c r="A1094" t="s">
        <v>3790</v>
      </c>
      <c r="B1094" t="s">
        <v>3803</v>
      </c>
      <c r="C1094" t="s">
        <v>3806</v>
      </c>
      <c r="D1094" t="s">
        <v>3807</v>
      </c>
      <c r="E1094" t="s">
        <v>3808</v>
      </c>
      <c r="F1094" t="str">
        <f>VLOOKUP(A1094,Base!$A:$F,6,FALSE)</f>
        <v>ATIVIDADES PROFISSIONAIS, CIENTÍFICAS E TÉCNICAS</v>
      </c>
      <c r="G1094" t="str">
        <f>VLOOKUP(B1094,Base!$B:$F,5,FALSE)</f>
        <v>ATIVIDADES DE SEDES DE EMPRESAS E DE CONSULTORIA EM GESTÃO EMPRESARIAL</v>
      </c>
      <c r="H1094" t="str">
        <f>VLOOKUP(C1094,Base!$C:$F,4,FALSE)</f>
        <v>Atividades de consultoria em gestão empresarial</v>
      </c>
      <c r="I1094" t="str">
        <f>VLOOKUP(D1094,Base!$D:$F,3,FALSE)</f>
        <v>Atividades de consultoria em gestão empresarial</v>
      </c>
      <c r="J1094" t="str">
        <f>VLOOKUP(E1094,Base!$E:$F,2,FALSE)</f>
        <v>Atividades de consultoria em gestão empresarial, exceto consultoria técnica específica</v>
      </c>
      <c r="K1094" t="s">
        <v>3808</v>
      </c>
      <c r="L1094">
        <f>IFERROR(VLOOKUP($K1094,Base_Atividades!$E$1:$N$2398,MATCH(BancoAjustado!L$1,Base_Atividades!$E$1:$N$1,0),FALSE),0)</f>
        <v>1</v>
      </c>
      <c r="M1094">
        <f>IFERROR(VLOOKUP($K1094,Base_Atividades!$E$1:$N$2398,MATCH(BancoAjustado!M$1,Base_Atividades!$E$1:$N$1,0),FALSE),0)</f>
        <v>0</v>
      </c>
      <c r="N1094">
        <f>IFERROR(VLOOKUP($K1094,Base_Atividades!$E$1:$N$2398,MATCH(BancoAjustado!N$1,Base_Atividades!$E$1:$N$1,0),FALSE),0)</f>
        <v>0</v>
      </c>
    </row>
    <row r="1095" spans="1:14" x14ac:dyDescent="0.25">
      <c r="A1095" t="s">
        <v>3790</v>
      </c>
      <c r="B1095" t="s">
        <v>3809</v>
      </c>
      <c r="C1095" t="s">
        <v>3810</v>
      </c>
      <c r="D1095" t="s">
        <v>3811</v>
      </c>
      <c r="E1095" t="s">
        <v>3812</v>
      </c>
      <c r="F1095" t="str">
        <f>VLOOKUP(A1095,Base!$A:$F,6,FALSE)</f>
        <v>ATIVIDADES PROFISSIONAIS, CIENTÍFICAS E TÉCNICAS</v>
      </c>
      <c r="G1095" t="str">
        <f>VLOOKUP(B1095,Base!$B:$F,5,FALSE)</f>
        <v>SERVIÇOS DE ARQUITETURA E ENGENHARIA; TESTES E ANÁLISES TÉCNICAS</v>
      </c>
      <c r="H1095" t="str">
        <f>VLOOKUP(C1095,Base!$C:$F,4,FALSE)</f>
        <v>Serviços de arquitetura e engenharia e atividades técnicas relacionadas</v>
      </c>
      <c r="I1095" t="str">
        <f>VLOOKUP(D1095,Base!$D:$F,3,FALSE)</f>
        <v>Serviços de arquitetura</v>
      </c>
      <c r="J1095" t="str">
        <f>VLOOKUP(E1095,Base!$E:$F,2,FALSE)</f>
        <v>Serviços de arquitetura</v>
      </c>
      <c r="K1095" t="s">
        <v>3812</v>
      </c>
      <c r="L1095">
        <f>IFERROR(VLOOKUP($K1095,Base_Atividades!$E$1:$N$2398,MATCH(BancoAjustado!L$1,Base_Atividades!$E$1:$N$1,0),FALSE),0)</f>
        <v>1</v>
      </c>
      <c r="M1095">
        <f>IFERROR(VLOOKUP($K1095,Base_Atividades!$E$1:$N$2398,MATCH(BancoAjustado!M$1,Base_Atividades!$E$1:$N$1,0),FALSE),0)</f>
        <v>0</v>
      </c>
      <c r="N1095">
        <f>IFERROR(VLOOKUP($K1095,Base_Atividades!$E$1:$N$2398,MATCH(BancoAjustado!N$1,Base_Atividades!$E$1:$N$1,0),FALSE),0)</f>
        <v>0</v>
      </c>
    </row>
    <row r="1096" spans="1:14" x14ac:dyDescent="0.25">
      <c r="A1096" t="s">
        <v>3790</v>
      </c>
      <c r="B1096" t="s">
        <v>3809</v>
      </c>
      <c r="C1096" t="s">
        <v>3810</v>
      </c>
      <c r="D1096" t="s">
        <v>3813</v>
      </c>
      <c r="E1096" t="s">
        <v>3814</v>
      </c>
      <c r="F1096" t="str">
        <f>VLOOKUP(A1096,Base!$A:$F,6,FALSE)</f>
        <v>ATIVIDADES PROFISSIONAIS, CIENTÍFICAS E TÉCNICAS</v>
      </c>
      <c r="G1096" t="str">
        <f>VLOOKUP(B1096,Base!$B:$F,5,FALSE)</f>
        <v>SERVIÇOS DE ARQUITETURA E ENGENHARIA; TESTES E ANÁLISES TÉCNICAS</v>
      </c>
      <c r="H1096" t="str">
        <f>VLOOKUP(C1096,Base!$C:$F,4,FALSE)</f>
        <v>Serviços de arquitetura e engenharia e atividades técnicas relacionadas</v>
      </c>
      <c r="I1096" t="str">
        <f>VLOOKUP(D1096,Base!$D:$F,3,FALSE)</f>
        <v>Serviços de engenharia</v>
      </c>
      <c r="J1096" t="str">
        <f>VLOOKUP(E1096,Base!$E:$F,2,FALSE)</f>
        <v>Serviços de engenharia</v>
      </c>
      <c r="K1096" t="s">
        <v>3814</v>
      </c>
      <c r="L1096">
        <f>IFERROR(VLOOKUP($K1096,Base_Atividades!$E$1:$N$2398,MATCH(BancoAjustado!L$1,Base_Atividades!$E$1:$N$1,0),FALSE),0)</f>
        <v>1</v>
      </c>
      <c r="M1096">
        <f>IFERROR(VLOOKUP($K1096,Base_Atividades!$E$1:$N$2398,MATCH(BancoAjustado!M$1,Base_Atividades!$E$1:$N$1,0),FALSE),0)</f>
        <v>0</v>
      </c>
      <c r="N1096">
        <f>IFERROR(VLOOKUP($K1096,Base_Atividades!$E$1:$N$2398,MATCH(BancoAjustado!N$1,Base_Atividades!$E$1:$N$1,0),FALSE),0)</f>
        <v>0</v>
      </c>
    </row>
    <row r="1097" spans="1:14" x14ac:dyDescent="0.25">
      <c r="A1097" t="s">
        <v>3790</v>
      </c>
      <c r="B1097" t="s">
        <v>3809</v>
      </c>
      <c r="C1097" t="s">
        <v>3810</v>
      </c>
      <c r="D1097" t="s">
        <v>3815</v>
      </c>
      <c r="E1097" t="s">
        <v>3816</v>
      </c>
      <c r="F1097" t="str">
        <f>VLOOKUP(A1097,Base!$A:$F,6,FALSE)</f>
        <v>ATIVIDADES PROFISSIONAIS, CIENTÍFICAS E TÉCNICAS</v>
      </c>
      <c r="G1097" t="str">
        <f>VLOOKUP(B1097,Base!$B:$F,5,FALSE)</f>
        <v>SERVIÇOS DE ARQUITETURA E ENGENHARIA; TESTES E ANÁLISES TÉCNICAS</v>
      </c>
      <c r="H1097" t="str">
        <f>VLOOKUP(C1097,Base!$C:$F,4,FALSE)</f>
        <v>Serviços de arquitetura e engenharia e atividades técnicas relacionadas</v>
      </c>
      <c r="I1097" t="str">
        <f>VLOOKUP(D1097,Base!$D:$F,3,FALSE)</f>
        <v>Atividades técnicas relacionadas à arquitetura e engenharia</v>
      </c>
      <c r="J1097" t="str">
        <f>VLOOKUP(E1097,Base!$E:$F,2,FALSE)</f>
        <v>Serviços de cartografia, topografia e geodésia</v>
      </c>
      <c r="K1097" t="s">
        <v>3816</v>
      </c>
      <c r="L1097">
        <f>IFERROR(VLOOKUP($K1097,Base_Atividades!$E$1:$N$2398,MATCH(BancoAjustado!L$1,Base_Atividades!$E$1:$N$1,0),FALSE),0)</f>
        <v>1</v>
      </c>
      <c r="M1097">
        <f>IFERROR(VLOOKUP($K1097,Base_Atividades!$E$1:$N$2398,MATCH(BancoAjustado!M$1,Base_Atividades!$E$1:$N$1,0),FALSE),0)</f>
        <v>0</v>
      </c>
      <c r="N1097">
        <f>IFERROR(VLOOKUP($K1097,Base_Atividades!$E$1:$N$2398,MATCH(BancoAjustado!N$1,Base_Atividades!$E$1:$N$1,0),FALSE),0)</f>
        <v>0</v>
      </c>
    </row>
    <row r="1098" spans="1:14" x14ac:dyDescent="0.25">
      <c r="A1098" t="s">
        <v>3790</v>
      </c>
      <c r="B1098" t="s">
        <v>3809</v>
      </c>
      <c r="C1098" t="s">
        <v>3810</v>
      </c>
      <c r="D1098" t="s">
        <v>3815</v>
      </c>
      <c r="E1098" t="s">
        <v>3817</v>
      </c>
      <c r="F1098" t="str">
        <f>VLOOKUP(A1098,Base!$A:$F,6,FALSE)</f>
        <v>ATIVIDADES PROFISSIONAIS, CIENTÍFICAS E TÉCNICAS</v>
      </c>
      <c r="G1098" t="str">
        <f>VLOOKUP(B1098,Base!$B:$F,5,FALSE)</f>
        <v>SERVIÇOS DE ARQUITETURA E ENGENHARIA; TESTES E ANÁLISES TÉCNICAS</v>
      </c>
      <c r="H1098" t="str">
        <f>VLOOKUP(C1098,Base!$C:$F,4,FALSE)</f>
        <v>Serviços de arquitetura e engenharia e atividades técnicas relacionadas</v>
      </c>
      <c r="I1098" t="str">
        <f>VLOOKUP(D1098,Base!$D:$F,3,FALSE)</f>
        <v>Atividades técnicas relacionadas à arquitetura e engenharia</v>
      </c>
      <c r="J1098" t="str">
        <f>VLOOKUP(E1098,Base!$E:$F,2,FALSE)</f>
        <v>Atividades de estudos geológicos</v>
      </c>
      <c r="K1098" t="s">
        <v>3817</v>
      </c>
      <c r="L1098">
        <f>IFERROR(VLOOKUP($K1098,Base_Atividades!$E$1:$N$2398,MATCH(BancoAjustado!L$1,Base_Atividades!$E$1:$N$1,0),FALSE),0)</f>
        <v>1</v>
      </c>
      <c r="M1098">
        <f>IFERROR(VLOOKUP($K1098,Base_Atividades!$E$1:$N$2398,MATCH(BancoAjustado!M$1,Base_Atividades!$E$1:$N$1,0),FALSE),0)</f>
        <v>0</v>
      </c>
      <c r="N1098">
        <f>IFERROR(VLOOKUP($K1098,Base_Atividades!$E$1:$N$2398,MATCH(BancoAjustado!N$1,Base_Atividades!$E$1:$N$1,0),FALSE),0)</f>
        <v>0</v>
      </c>
    </row>
    <row r="1099" spans="1:14" x14ac:dyDescent="0.25">
      <c r="A1099" t="s">
        <v>3790</v>
      </c>
      <c r="B1099" t="s">
        <v>3809</v>
      </c>
      <c r="C1099" t="s">
        <v>3810</v>
      </c>
      <c r="D1099" t="s">
        <v>3815</v>
      </c>
      <c r="E1099" t="s">
        <v>3818</v>
      </c>
      <c r="F1099" t="str">
        <f>VLOOKUP(A1099,Base!$A:$F,6,FALSE)</f>
        <v>ATIVIDADES PROFISSIONAIS, CIENTÍFICAS E TÉCNICAS</v>
      </c>
      <c r="G1099" t="str">
        <f>VLOOKUP(B1099,Base!$B:$F,5,FALSE)</f>
        <v>SERVIÇOS DE ARQUITETURA E ENGENHARIA; TESTES E ANÁLISES TÉCNICAS</v>
      </c>
      <c r="H1099" t="str">
        <f>VLOOKUP(C1099,Base!$C:$F,4,FALSE)</f>
        <v>Serviços de arquitetura e engenharia e atividades técnicas relacionadas</v>
      </c>
      <c r="I1099" t="str">
        <f>VLOOKUP(D1099,Base!$D:$F,3,FALSE)</f>
        <v>Atividades técnicas relacionadas à arquitetura e engenharia</v>
      </c>
      <c r="J1099" t="str">
        <f>VLOOKUP(E1099,Base!$E:$F,2,FALSE)</f>
        <v>Serviços de desenho técnico relacionados à arquitetura e engenharia</v>
      </c>
      <c r="K1099" t="s">
        <v>3818</v>
      </c>
      <c r="L1099">
        <f>IFERROR(VLOOKUP($K1099,Base_Atividades!$E$1:$N$2398,MATCH(BancoAjustado!L$1,Base_Atividades!$E$1:$N$1,0),FALSE),0)</f>
        <v>1</v>
      </c>
      <c r="M1099">
        <f>IFERROR(VLOOKUP($K1099,Base_Atividades!$E$1:$N$2398,MATCH(BancoAjustado!M$1,Base_Atividades!$E$1:$N$1,0),FALSE),0)</f>
        <v>0</v>
      </c>
      <c r="N1099">
        <f>IFERROR(VLOOKUP($K1099,Base_Atividades!$E$1:$N$2398,MATCH(BancoAjustado!N$1,Base_Atividades!$E$1:$N$1,0),FALSE),0)</f>
        <v>0</v>
      </c>
    </row>
    <row r="1100" spans="1:14" x14ac:dyDescent="0.25">
      <c r="A1100" t="s">
        <v>3790</v>
      </c>
      <c r="B1100" t="s">
        <v>3809</v>
      </c>
      <c r="C1100" t="s">
        <v>3810</v>
      </c>
      <c r="D1100" t="s">
        <v>3815</v>
      </c>
      <c r="E1100" t="s">
        <v>3819</v>
      </c>
      <c r="F1100" t="str">
        <f>VLOOKUP(A1100,Base!$A:$F,6,FALSE)</f>
        <v>ATIVIDADES PROFISSIONAIS, CIENTÍFICAS E TÉCNICAS</v>
      </c>
      <c r="G1100" t="str">
        <f>VLOOKUP(B1100,Base!$B:$F,5,FALSE)</f>
        <v>SERVIÇOS DE ARQUITETURA E ENGENHARIA; TESTES E ANÁLISES TÉCNICAS</v>
      </c>
      <c r="H1100" t="str">
        <f>VLOOKUP(C1100,Base!$C:$F,4,FALSE)</f>
        <v>Serviços de arquitetura e engenharia e atividades técnicas relacionadas</v>
      </c>
      <c r="I1100" t="str">
        <f>VLOOKUP(D1100,Base!$D:$F,3,FALSE)</f>
        <v>Atividades técnicas relacionadas à arquitetura e engenharia</v>
      </c>
      <c r="J1100" t="str">
        <f>VLOOKUP(E1100,Base!$E:$F,2,FALSE)</f>
        <v>Serviços de perícia técnica relacionados à segurança do trabalho</v>
      </c>
      <c r="K1100" t="s">
        <v>3819</v>
      </c>
      <c r="L1100">
        <f>IFERROR(VLOOKUP($K1100,Base_Atividades!$E$1:$N$2398,MATCH(BancoAjustado!L$1,Base_Atividades!$E$1:$N$1,0),FALSE),0)</f>
        <v>1</v>
      </c>
      <c r="M1100">
        <f>IFERROR(VLOOKUP($K1100,Base_Atividades!$E$1:$N$2398,MATCH(BancoAjustado!M$1,Base_Atividades!$E$1:$N$1,0),FALSE),0)</f>
        <v>0</v>
      </c>
      <c r="N1100">
        <f>IFERROR(VLOOKUP($K1100,Base_Atividades!$E$1:$N$2398,MATCH(BancoAjustado!N$1,Base_Atividades!$E$1:$N$1,0),FALSE),0)</f>
        <v>0</v>
      </c>
    </row>
    <row r="1101" spans="1:14" x14ac:dyDescent="0.25">
      <c r="A1101" t="s">
        <v>3790</v>
      </c>
      <c r="B1101" t="s">
        <v>3809</v>
      </c>
      <c r="C1101" t="s">
        <v>3810</v>
      </c>
      <c r="D1101" t="s">
        <v>3815</v>
      </c>
      <c r="E1101" t="s">
        <v>3820</v>
      </c>
      <c r="F1101" t="str">
        <f>VLOOKUP(A1101,Base!$A:$F,6,FALSE)</f>
        <v>ATIVIDADES PROFISSIONAIS, CIENTÍFICAS E TÉCNICAS</v>
      </c>
      <c r="G1101" t="str">
        <f>VLOOKUP(B1101,Base!$B:$F,5,FALSE)</f>
        <v>SERVIÇOS DE ARQUITETURA E ENGENHARIA; TESTES E ANÁLISES TÉCNICAS</v>
      </c>
      <c r="H1101" t="str">
        <f>VLOOKUP(C1101,Base!$C:$F,4,FALSE)</f>
        <v>Serviços de arquitetura e engenharia e atividades técnicas relacionadas</v>
      </c>
      <c r="I1101" t="str">
        <f>VLOOKUP(D1101,Base!$D:$F,3,FALSE)</f>
        <v>Atividades técnicas relacionadas à arquitetura e engenharia</v>
      </c>
      <c r="J1101" t="str">
        <f>VLOOKUP(E1101,Base!$E:$F,2,FALSE)</f>
        <v>Atividades técnicas relacionadas à engenharia e arquitetura não especificadas anteriormente</v>
      </c>
      <c r="K1101" t="s">
        <v>3820</v>
      </c>
      <c r="L1101">
        <f>IFERROR(VLOOKUP($K1101,Base_Atividades!$E$1:$N$2398,MATCH(BancoAjustado!L$1,Base_Atividades!$E$1:$N$1,0),FALSE),0)</f>
        <v>1</v>
      </c>
      <c r="M1101">
        <f>IFERROR(VLOOKUP($K1101,Base_Atividades!$E$1:$N$2398,MATCH(BancoAjustado!M$1,Base_Atividades!$E$1:$N$1,0),FALSE),0)</f>
        <v>0</v>
      </c>
      <c r="N1101">
        <f>IFERROR(VLOOKUP($K1101,Base_Atividades!$E$1:$N$2398,MATCH(BancoAjustado!N$1,Base_Atividades!$E$1:$N$1,0),FALSE),0)</f>
        <v>0</v>
      </c>
    </row>
    <row r="1102" spans="1:14" x14ac:dyDescent="0.25">
      <c r="A1102" t="s">
        <v>3790</v>
      </c>
      <c r="B1102" t="s">
        <v>3809</v>
      </c>
      <c r="C1102" t="s">
        <v>3821</v>
      </c>
      <c r="D1102" t="s">
        <v>3822</v>
      </c>
      <c r="E1102" t="s">
        <v>3823</v>
      </c>
      <c r="F1102" t="str">
        <f>VLOOKUP(A1102,Base!$A:$F,6,FALSE)</f>
        <v>ATIVIDADES PROFISSIONAIS, CIENTÍFICAS E TÉCNICAS</v>
      </c>
      <c r="G1102" t="str">
        <f>VLOOKUP(B1102,Base!$B:$F,5,FALSE)</f>
        <v>SERVIÇOS DE ARQUITETURA E ENGENHARIA; TESTES E ANÁLISES TÉCNICAS</v>
      </c>
      <c r="H1102" t="str">
        <f>VLOOKUP(C1102,Base!$C:$F,4,FALSE)</f>
        <v>Testes e análises técnicas</v>
      </c>
      <c r="I1102" t="str">
        <f>VLOOKUP(D1102,Base!$D:$F,3,FALSE)</f>
        <v>Testes e análises técnicas</v>
      </c>
      <c r="J1102" t="str">
        <f>VLOOKUP(E1102,Base!$E:$F,2,FALSE)</f>
        <v>Testes e análises técnicas</v>
      </c>
      <c r="K1102" t="s">
        <v>3823</v>
      </c>
      <c r="L1102">
        <f>IFERROR(VLOOKUP($K1102,Base_Atividades!$E$1:$N$2398,MATCH(BancoAjustado!L$1,Base_Atividades!$E$1:$N$1,0),FALSE),0)</f>
        <v>1</v>
      </c>
      <c r="M1102">
        <f>IFERROR(VLOOKUP($K1102,Base_Atividades!$E$1:$N$2398,MATCH(BancoAjustado!M$1,Base_Atividades!$E$1:$N$1,0),FALSE),0)</f>
        <v>0</v>
      </c>
      <c r="N1102">
        <f>IFERROR(VLOOKUP($K1102,Base_Atividades!$E$1:$N$2398,MATCH(BancoAjustado!N$1,Base_Atividades!$E$1:$N$1,0),FALSE),0)</f>
        <v>0</v>
      </c>
    </row>
    <row r="1103" spans="1:14" x14ac:dyDescent="0.25">
      <c r="A1103" t="s">
        <v>3790</v>
      </c>
      <c r="B1103" t="s">
        <v>3824</v>
      </c>
      <c r="C1103" t="s">
        <v>3825</v>
      </c>
      <c r="D1103" t="s">
        <v>3826</v>
      </c>
      <c r="E1103" t="s">
        <v>3827</v>
      </c>
      <c r="F1103" t="str">
        <f>VLOOKUP(A1103,Base!$A:$F,6,FALSE)</f>
        <v>ATIVIDADES PROFISSIONAIS, CIENTÍFICAS E TÉCNICAS</v>
      </c>
      <c r="G1103" t="str">
        <f>VLOOKUP(B1103,Base!$B:$F,5,FALSE)</f>
        <v>PESQUISA E DESENVOLVIMENTO CIENTÍFICO</v>
      </c>
      <c r="H1103" t="str">
        <f>VLOOKUP(C1103,Base!$C:$F,4,FALSE)</f>
        <v>Pesquisa e desenvolvimento experimental em ciências físicas e naturais</v>
      </c>
      <c r="I1103" t="str">
        <f>VLOOKUP(D1103,Base!$D:$F,3,FALSE)</f>
        <v>Pesquisa e desenvolvimento experimental em ciências físicas e naturais</v>
      </c>
      <c r="J1103" t="str">
        <f>VLOOKUP(E1103,Base!$E:$F,2,FALSE)</f>
        <v>Pesquisa e desenvolvimento experimental em ciências físicas e naturais</v>
      </c>
      <c r="K1103" t="s">
        <v>3827</v>
      </c>
      <c r="L1103">
        <f>IFERROR(VLOOKUP($K1103,Base_Atividades!$E$1:$N$2398,MATCH(BancoAjustado!L$1,Base_Atividades!$E$1:$N$1,0),FALSE),0)</f>
        <v>1</v>
      </c>
      <c r="M1103">
        <f>IFERROR(VLOOKUP($K1103,Base_Atividades!$E$1:$N$2398,MATCH(BancoAjustado!M$1,Base_Atividades!$E$1:$N$1,0),FALSE),0)</f>
        <v>0</v>
      </c>
      <c r="N1103">
        <f>IFERROR(VLOOKUP($K1103,Base_Atividades!$E$1:$N$2398,MATCH(BancoAjustado!N$1,Base_Atividades!$E$1:$N$1,0),FALSE),0)</f>
        <v>0</v>
      </c>
    </row>
    <row r="1104" spans="1:14" x14ac:dyDescent="0.25">
      <c r="A1104" t="s">
        <v>3790</v>
      </c>
      <c r="B1104" t="s">
        <v>3824</v>
      </c>
      <c r="C1104" t="s">
        <v>3828</v>
      </c>
      <c r="D1104" t="s">
        <v>3829</v>
      </c>
      <c r="E1104" t="s">
        <v>3830</v>
      </c>
      <c r="F1104" t="str">
        <f>VLOOKUP(A1104,Base!$A:$F,6,FALSE)</f>
        <v>ATIVIDADES PROFISSIONAIS, CIENTÍFICAS E TÉCNICAS</v>
      </c>
      <c r="G1104" t="str">
        <f>VLOOKUP(B1104,Base!$B:$F,5,FALSE)</f>
        <v>PESQUISA E DESENVOLVIMENTO CIENTÍFICO</v>
      </c>
      <c r="H1104" t="str">
        <f>VLOOKUP(C1104,Base!$C:$F,4,FALSE)</f>
        <v>Pesquisa e desenvolvimento experimental em ciências sociais e humanas</v>
      </c>
      <c r="I1104" t="str">
        <f>VLOOKUP(D1104,Base!$D:$F,3,FALSE)</f>
        <v>Pesquisa e desenvolvimento experimental em ciências sociais e humanas</v>
      </c>
      <c r="J1104" t="str">
        <f>VLOOKUP(E1104,Base!$E:$F,2,FALSE)</f>
        <v>Pesquisa e desenvolvimento experimental em ciências sociais e humanas</v>
      </c>
      <c r="K1104" t="s">
        <v>3830</v>
      </c>
      <c r="L1104">
        <f>IFERROR(VLOOKUP($K1104,Base_Atividades!$E$1:$N$2398,MATCH(BancoAjustado!L$1,Base_Atividades!$E$1:$N$1,0),FALSE),0)</f>
        <v>1</v>
      </c>
      <c r="M1104">
        <f>IFERROR(VLOOKUP($K1104,Base_Atividades!$E$1:$N$2398,MATCH(BancoAjustado!M$1,Base_Atividades!$E$1:$N$1,0),FALSE),0)</f>
        <v>0</v>
      </c>
      <c r="N1104">
        <f>IFERROR(VLOOKUP($K1104,Base_Atividades!$E$1:$N$2398,MATCH(BancoAjustado!N$1,Base_Atividades!$E$1:$N$1,0),FALSE),0)</f>
        <v>0</v>
      </c>
    </row>
    <row r="1105" spans="1:14" x14ac:dyDescent="0.25">
      <c r="A1105" t="s">
        <v>3790</v>
      </c>
      <c r="B1105" t="s">
        <v>3831</v>
      </c>
      <c r="C1105" t="s">
        <v>3832</v>
      </c>
      <c r="D1105" t="s">
        <v>3833</v>
      </c>
      <c r="E1105" t="s">
        <v>3834</v>
      </c>
      <c r="F1105" t="str">
        <f>VLOOKUP(A1105,Base!$A:$F,6,FALSE)</f>
        <v>ATIVIDADES PROFISSIONAIS, CIENTÍFICAS E TÉCNICAS</v>
      </c>
      <c r="G1105" t="str">
        <f>VLOOKUP(B1105,Base!$B:$F,5,FALSE)</f>
        <v>PUBLICIDADE E PESQUISA DE MERCADO</v>
      </c>
      <c r="H1105" t="str">
        <f>VLOOKUP(C1105,Base!$C:$F,4,FALSE)</f>
        <v>Publicidade</v>
      </c>
      <c r="I1105" t="str">
        <f>VLOOKUP(D1105,Base!$D:$F,3,FALSE)</f>
        <v>Agências de publicidade</v>
      </c>
      <c r="J1105" t="str">
        <f>VLOOKUP(E1105,Base!$E:$F,2,FALSE)</f>
        <v>Agências de publicidade</v>
      </c>
      <c r="K1105" t="s">
        <v>3834</v>
      </c>
      <c r="L1105">
        <f>IFERROR(VLOOKUP($K1105,Base_Atividades!$E$1:$N$2398,MATCH(BancoAjustado!L$1,Base_Atividades!$E$1:$N$1,0),FALSE),0)</f>
        <v>1</v>
      </c>
      <c r="M1105">
        <f>IFERROR(VLOOKUP($K1105,Base_Atividades!$E$1:$N$2398,MATCH(BancoAjustado!M$1,Base_Atividades!$E$1:$N$1,0),FALSE),0)</f>
        <v>0</v>
      </c>
      <c r="N1105">
        <f>IFERROR(VLOOKUP($K1105,Base_Atividades!$E$1:$N$2398,MATCH(BancoAjustado!N$1,Base_Atividades!$E$1:$N$1,0),FALSE),0)</f>
        <v>0</v>
      </c>
    </row>
    <row r="1106" spans="1:14" x14ac:dyDescent="0.25">
      <c r="A1106" t="s">
        <v>3790</v>
      </c>
      <c r="B1106" t="s">
        <v>3831</v>
      </c>
      <c r="C1106" t="s">
        <v>3832</v>
      </c>
      <c r="D1106" t="s">
        <v>3835</v>
      </c>
      <c r="E1106" t="s">
        <v>3836</v>
      </c>
      <c r="F1106" t="str">
        <f>VLOOKUP(A1106,Base!$A:$F,6,FALSE)</f>
        <v>ATIVIDADES PROFISSIONAIS, CIENTÍFICAS E TÉCNICAS</v>
      </c>
      <c r="G1106" t="str">
        <f>VLOOKUP(B1106,Base!$B:$F,5,FALSE)</f>
        <v>PUBLICIDADE E PESQUISA DE MERCADO</v>
      </c>
      <c r="H1106" t="str">
        <f>VLOOKUP(C1106,Base!$C:$F,4,FALSE)</f>
        <v>Publicidade</v>
      </c>
      <c r="I1106" t="str">
        <f>VLOOKUP(D1106,Base!$D:$F,3,FALSE)</f>
        <v>Agenciamento de espaços para publicidade, exceto em veículos de comunicação</v>
      </c>
      <c r="J1106" t="str">
        <f>VLOOKUP(E1106,Base!$E:$F,2,FALSE)</f>
        <v>Agenciamento de espaços para publicidade, exceto em veículos de comunicação</v>
      </c>
      <c r="K1106" t="s">
        <v>3836</v>
      </c>
      <c r="L1106">
        <f>IFERROR(VLOOKUP($K1106,Base_Atividades!$E$1:$N$2398,MATCH(BancoAjustado!L$1,Base_Atividades!$E$1:$N$1,0),FALSE),0)</f>
        <v>1</v>
      </c>
      <c r="M1106">
        <f>IFERROR(VLOOKUP($K1106,Base_Atividades!$E$1:$N$2398,MATCH(BancoAjustado!M$1,Base_Atividades!$E$1:$N$1,0),FALSE),0)</f>
        <v>0</v>
      </c>
      <c r="N1106">
        <f>IFERROR(VLOOKUP($K1106,Base_Atividades!$E$1:$N$2398,MATCH(BancoAjustado!N$1,Base_Atividades!$E$1:$N$1,0),FALSE),0)</f>
        <v>0</v>
      </c>
    </row>
    <row r="1107" spans="1:14" x14ac:dyDescent="0.25">
      <c r="A1107" t="s">
        <v>3790</v>
      </c>
      <c r="B1107" t="s">
        <v>3831</v>
      </c>
      <c r="C1107" t="s">
        <v>3832</v>
      </c>
      <c r="D1107" t="s">
        <v>3837</v>
      </c>
      <c r="E1107" t="s">
        <v>3838</v>
      </c>
      <c r="F1107" t="str">
        <f>VLOOKUP(A1107,Base!$A:$F,6,FALSE)</f>
        <v>ATIVIDADES PROFISSIONAIS, CIENTÍFICAS E TÉCNICAS</v>
      </c>
      <c r="G1107" t="str">
        <f>VLOOKUP(B1107,Base!$B:$F,5,FALSE)</f>
        <v>PUBLICIDADE E PESQUISA DE MERCADO</v>
      </c>
      <c r="H1107" t="str">
        <f>VLOOKUP(C1107,Base!$C:$F,4,FALSE)</f>
        <v>Publicidade</v>
      </c>
      <c r="I1107" t="str">
        <f>VLOOKUP(D1107,Base!$D:$F,3,FALSE)</f>
        <v>Atividades de publicidade não especificadas anteriormente</v>
      </c>
      <c r="J1107" t="str">
        <f>VLOOKUP(E1107,Base!$E:$F,2,FALSE)</f>
        <v>Criação de estandes para feiras e exposições</v>
      </c>
      <c r="K1107" t="s">
        <v>3838</v>
      </c>
      <c r="L1107">
        <f>IFERROR(VLOOKUP($K1107,Base_Atividades!$E$1:$N$2398,MATCH(BancoAjustado!L$1,Base_Atividades!$E$1:$N$1,0),FALSE),0)</f>
        <v>1</v>
      </c>
      <c r="M1107">
        <f>IFERROR(VLOOKUP($K1107,Base_Atividades!$E$1:$N$2398,MATCH(BancoAjustado!M$1,Base_Atividades!$E$1:$N$1,0),FALSE),0)</f>
        <v>0</v>
      </c>
      <c r="N1107">
        <f>IFERROR(VLOOKUP($K1107,Base_Atividades!$E$1:$N$2398,MATCH(BancoAjustado!N$1,Base_Atividades!$E$1:$N$1,0),FALSE),0)</f>
        <v>0</v>
      </c>
    </row>
    <row r="1108" spans="1:14" x14ac:dyDescent="0.25">
      <c r="A1108" t="s">
        <v>3790</v>
      </c>
      <c r="B1108" t="s">
        <v>3831</v>
      </c>
      <c r="C1108" t="s">
        <v>3832</v>
      </c>
      <c r="D1108" t="s">
        <v>3837</v>
      </c>
      <c r="E1108" t="s">
        <v>3839</v>
      </c>
      <c r="F1108" t="str">
        <f>VLOOKUP(A1108,Base!$A:$F,6,FALSE)</f>
        <v>ATIVIDADES PROFISSIONAIS, CIENTÍFICAS E TÉCNICAS</v>
      </c>
      <c r="G1108" t="str">
        <f>VLOOKUP(B1108,Base!$B:$F,5,FALSE)</f>
        <v>PUBLICIDADE E PESQUISA DE MERCADO</v>
      </c>
      <c r="H1108" t="str">
        <f>VLOOKUP(C1108,Base!$C:$F,4,FALSE)</f>
        <v>Publicidade</v>
      </c>
      <c r="I1108" t="str">
        <f>VLOOKUP(D1108,Base!$D:$F,3,FALSE)</f>
        <v>Atividades de publicidade não especificadas anteriormente</v>
      </c>
      <c r="J1108" t="str">
        <f>VLOOKUP(E1108,Base!$E:$F,2,FALSE)</f>
        <v>Promoção de vendas</v>
      </c>
      <c r="K1108" t="s">
        <v>3839</v>
      </c>
      <c r="L1108">
        <f>IFERROR(VLOOKUP($K1108,Base_Atividades!$E$1:$N$2398,MATCH(BancoAjustado!L$1,Base_Atividades!$E$1:$N$1,0),FALSE),0)</f>
        <v>1</v>
      </c>
      <c r="M1108">
        <f>IFERROR(VLOOKUP($K1108,Base_Atividades!$E$1:$N$2398,MATCH(BancoAjustado!M$1,Base_Atividades!$E$1:$N$1,0),FALSE),0)</f>
        <v>0</v>
      </c>
      <c r="N1108">
        <f>IFERROR(VLOOKUP($K1108,Base_Atividades!$E$1:$N$2398,MATCH(BancoAjustado!N$1,Base_Atividades!$E$1:$N$1,0),FALSE),0)</f>
        <v>0</v>
      </c>
    </row>
    <row r="1109" spans="1:14" x14ac:dyDescent="0.25">
      <c r="A1109" t="s">
        <v>3790</v>
      </c>
      <c r="B1109" t="s">
        <v>3831</v>
      </c>
      <c r="C1109" t="s">
        <v>3832</v>
      </c>
      <c r="D1109" t="s">
        <v>3837</v>
      </c>
      <c r="E1109" t="s">
        <v>3840</v>
      </c>
      <c r="F1109" t="str">
        <f>VLOOKUP(A1109,Base!$A:$F,6,FALSE)</f>
        <v>ATIVIDADES PROFISSIONAIS, CIENTÍFICAS E TÉCNICAS</v>
      </c>
      <c r="G1109" t="str">
        <f>VLOOKUP(B1109,Base!$B:$F,5,FALSE)</f>
        <v>PUBLICIDADE E PESQUISA DE MERCADO</v>
      </c>
      <c r="H1109" t="str">
        <f>VLOOKUP(C1109,Base!$C:$F,4,FALSE)</f>
        <v>Publicidade</v>
      </c>
      <c r="I1109" t="str">
        <f>VLOOKUP(D1109,Base!$D:$F,3,FALSE)</f>
        <v>Atividades de publicidade não especificadas anteriormente</v>
      </c>
      <c r="J1109" t="str">
        <f>VLOOKUP(E1109,Base!$E:$F,2,FALSE)</f>
        <v>Marketing direto</v>
      </c>
      <c r="K1109" t="s">
        <v>3840</v>
      </c>
      <c r="L1109">
        <f>IFERROR(VLOOKUP($K1109,Base_Atividades!$E$1:$N$2398,MATCH(BancoAjustado!L$1,Base_Atividades!$E$1:$N$1,0),FALSE),0)</f>
        <v>1</v>
      </c>
      <c r="M1109">
        <f>IFERROR(VLOOKUP($K1109,Base_Atividades!$E$1:$N$2398,MATCH(BancoAjustado!M$1,Base_Atividades!$E$1:$N$1,0),FALSE),0)</f>
        <v>0</v>
      </c>
      <c r="N1109">
        <f>IFERROR(VLOOKUP($K1109,Base_Atividades!$E$1:$N$2398,MATCH(BancoAjustado!N$1,Base_Atividades!$E$1:$N$1,0),FALSE),0)</f>
        <v>0</v>
      </c>
    </row>
    <row r="1110" spans="1:14" x14ac:dyDescent="0.25">
      <c r="A1110" t="s">
        <v>3790</v>
      </c>
      <c r="B1110" t="s">
        <v>3831</v>
      </c>
      <c r="C1110" t="s">
        <v>3832</v>
      </c>
      <c r="D1110" t="s">
        <v>3837</v>
      </c>
      <c r="E1110" t="s">
        <v>3842</v>
      </c>
      <c r="F1110" t="str">
        <f>VLOOKUP(A1110,Base!$A:$F,6,FALSE)</f>
        <v>ATIVIDADES PROFISSIONAIS, CIENTÍFICAS E TÉCNICAS</v>
      </c>
      <c r="G1110" t="str">
        <f>VLOOKUP(B1110,Base!$B:$F,5,FALSE)</f>
        <v>PUBLICIDADE E PESQUISA DE MERCADO</v>
      </c>
      <c r="H1110" t="str">
        <f>VLOOKUP(C1110,Base!$C:$F,4,FALSE)</f>
        <v>Publicidade</v>
      </c>
      <c r="I1110" t="str">
        <f>VLOOKUP(D1110,Base!$D:$F,3,FALSE)</f>
        <v>Atividades de publicidade não especificadas anteriormente</v>
      </c>
      <c r="J1110" t="str">
        <f>VLOOKUP(E1110,Base!$E:$F,2,FALSE)</f>
        <v>Consultoria em publicidade</v>
      </c>
      <c r="K1110" t="s">
        <v>3842</v>
      </c>
      <c r="L1110">
        <f>IFERROR(VLOOKUP($K1110,Base_Atividades!$E$1:$N$2398,MATCH(BancoAjustado!L$1,Base_Atividades!$E$1:$N$1,0),FALSE),0)</f>
        <v>1</v>
      </c>
      <c r="M1110">
        <f>IFERROR(VLOOKUP($K1110,Base_Atividades!$E$1:$N$2398,MATCH(BancoAjustado!M$1,Base_Atividades!$E$1:$N$1,0),FALSE),0)</f>
        <v>0</v>
      </c>
      <c r="N1110">
        <f>IFERROR(VLOOKUP($K1110,Base_Atividades!$E$1:$N$2398,MATCH(BancoAjustado!N$1,Base_Atividades!$E$1:$N$1,0),FALSE),0)</f>
        <v>0</v>
      </c>
    </row>
    <row r="1111" spans="1:14" x14ac:dyDescent="0.25">
      <c r="A1111" t="s">
        <v>3790</v>
      </c>
      <c r="B1111" t="s">
        <v>3831</v>
      </c>
      <c r="C1111" t="s">
        <v>3832</v>
      </c>
      <c r="D1111" t="s">
        <v>3837</v>
      </c>
      <c r="E1111" t="s">
        <v>3843</v>
      </c>
      <c r="F1111" t="str">
        <f>VLOOKUP(A1111,Base!$A:$F,6,FALSE)</f>
        <v>ATIVIDADES PROFISSIONAIS, CIENTÍFICAS E TÉCNICAS</v>
      </c>
      <c r="G1111" t="str">
        <f>VLOOKUP(B1111,Base!$B:$F,5,FALSE)</f>
        <v>PUBLICIDADE E PESQUISA DE MERCADO</v>
      </c>
      <c r="H1111" t="str">
        <f>VLOOKUP(C1111,Base!$C:$F,4,FALSE)</f>
        <v>Publicidade</v>
      </c>
      <c r="I1111" t="str">
        <f>VLOOKUP(D1111,Base!$D:$F,3,FALSE)</f>
        <v>Atividades de publicidade não especificadas anteriormente</v>
      </c>
      <c r="J1111" t="str">
        <f>VLOOKUP(E1111,Base!$E:$F,2,FALSE)</f>
        <v>Outras atividades de publicidade não especificadas anteriormente</v>
      </c>
      <c r="K1111" t="s">
        <v>3843</v>
      </c>
      <c r="L1111">
        <f>IFERROR(VLOOKUP($K1111,Base_Atividades!$E$1:$N$2398,MATCH(BancoAjustado!L$1,Base_Atividades!$E$1:$N$1,0),FALSE),0)</f>
        <v>1</v>
      </c>
      <c r="M1111">
        <f>IFERROR(VLOOKUP($K1111,Base_Atividades!$E$1:$N$2398,MATCH(BancoAjustado!M$1,Base_Atividades!$E$1:$N$1,0),FALSE),0)</f>
        <v>0</v>
      </c>
      <c r="N1111">
        <f>IFERROR(VLOOKUP($K1111,Base_Atividades!$E$1:$N$2398,MATCH(BancoAjustado!N$1,Base_Atividades!$E$1:$N$1,0),FALSE),0)</f>
        <v>0</v>
      </c>
    </row>
    <row r="1112" spans="1:14" x14ac:dyDescent="0.25">
      <c r="A1112" t="s">
        <v>3790</v>
      </c>
      <c r="B1112" t="s">
        <v>3831</v>
      </c>
      <c r="C1112" t="s">
        <v>3844</v>
      </c>
      <c r="D1112" t="s">
        <v>3845</v>
      </c>
      <c r="E1112" t="s">
        <v>3846</v>
      </c>
      <c r="F1112" t="str">
        <f>VLOOKUP(A1112,Base!$A:$F,6,FALSE)</f>
        <v>ATIVIDADES PROFISSIONAIS, CIENTÍFICAS E TÉCNICAS</v>
      </c>
      <c r="G1112" t="str">
        <f>VLOOKUP(B1112,Base!$B:$F,5,FALSE)</f>
        <v>PUBLICIDADE E PESQUISA DE MERCADO</v>
      </c>
      <c r="H1112" t="str">
        <f>VLOOKUP(C1112,Base!$C:$F,4,FALSE)</f>
        <v>Pesquisas de mercado e de opinião pública</v>
      </c>
      <c r="I1112" t="str">
        <f>VLOOKUP(D1112,Base!$D:$F,3,FALSE)</f>
        <v>Pesquisas de mercado e de opinião pública</v>
      </c>
      <c r="J1112" t="str">
        <f>VLOOKUP(E1112,Base!$E:$F,2,FALSE)</f>
        <v>Pesquisas de mercado e de opinião pública</v>
      </c>
      <c r="K1112" t="s">
        <v>3846</v>
      </c>
      <c r="L1112">
        <f>IFERROR(VLOOKUP($K1112,Base_Atividades!$E$1:$N$2398,MATCH(BancoAjustado!L$1,Base_Atividades!$E$1:$N$1,0),FALSE),0)</f>
        <v>1</v>
      </c>
      <c r="M1112">
        <f>IFERROR(VLOOKUP($K1112,Base_Atividades!$E$1:$N$2398,MATCH(BancoAjustado!M$1,Base_Atividades!$E$1:$N$1,0),FALSE),0)</f>
        <v>0</v>
      </c>
      <c r="N1112">
        <f>IFERROR(VLOOKUP($K1112,Base_Atividades!$E$1:$N$2398,MATCH(BancoAjustado!N$1,Base_Atividades!$E$1:$N$1,0),FALSE),0)</f>
        <v>0</v>
      </c>
    </row>
    <row r="1113" spans="1:14" x14ac:dyDescent="0.25">
      <c r="A1113" t="s">
        <v>3790</v>
      </c>
      <c r="B1113" t="s">
        <v>3847</v>
      </c>
      <c r="C1113" t="s">
        <v>3848</v>
      </c>
      <c r="D1113" t="s">
        <v>3850</v>
      </c>
      <c r="E1113" t="s">
        <v>3851</v>
      </c>
      <c r="F1113" t="str">
        <f>VLOOKUP(A1113,Base!$A:$F,6,FALSE)</f>
        <v>ATIVIDADES PROFISSIONAIS, CIENTÍFICAS E TÉCNICAS</v>
      </c>
      <c r="G1113" t="str">
        <f>VLOOKUP(B1113,Base!$B:$F,5,FALSE)</f>
        <v>OUTRAS ATIVIDADES PROFISSIONAIS, CIENTÍFICAS E TÉCNICAS</v>
      </c>
      <c r="H1113" t="str">
        <f>VLOOKUP(C1113,Base!$C:$F,4,FALSE)</f>
        <v>Design e decoração de interiores</v>
      </c>
      <c r="I1113" t="str">
        <f>VLOOKUP(D1113,Base!$D:$F,3,FALSE)</f>
        <v>Design e decoração de interiores</v>
      </c>
      <c r="J1113" t="str">
        <f>VLOOKUP(E1113,Base!$E:$F,2,FALSE)</f>
        <v>Design de interiores</v>
      </c>
      <c r="K1113" t="s">
        <v>3851</v>
      </c>
      <c r="L1113">
        <f>IFERROR(VLOOKUP($K1113,Base_Atividades!$E$1:$N$2398,MATCH(BancoAjustado!L$1,Base_Atividades!$E$1:$N$1,0),FALSE),0)</f>
        <v>1</v>
      </c>
      <c r="M1113">
        <f>IFERROR(VLOOKUP($K1113,Base_Atividades!$E$1:$N$2398,MATCH(BancoAjustado!M$1,Base_Atividades!$E$1:$N$1,0),FALSE),0)</f>
        <v>0</v>
      </c>
      <c r="N1113">
        <f>IFERROR(VLOOKUP($K1113,Base_Atividades!$E$1:$N$2398,MATCH(BancoAjustado!N$1,Base_Atividades!$E$1:$N$1,0),FALSE),0)</f>
        <v>0</v>
      </c>
    </row>
    <row r="1114" spans="1:14" x14ac:dyDescent="0.25">
      <c r="A1114" t="s">
        <v>3790</v>
      </c>
      <c r="B1114" t="s">
        <v>3847</v>
      </c>
      <c r="C1114" t="s">
        <v>3848</v>
      </c>
      <c r="D1114" t="s">
        <v>3850</v>
      </c>
      <c r="E1114" t="s">
        <v>3853</v>
      </c>
      <c r="F1114" t="str">
        <f>VLOOKUP(A1114,Base!$A:$F,6,FALSE)</f>
        <v>ATIVIDADES PROFISSIONAIS, CIENTÍFICAS E TÉCNICAS</v>
      </c>
      <c r="G1114" t="str">
        <f>VLOOKUP(B1114,Base!$B:$F,5,FALSE)</f>
        <v>OUTRAS ATIVIDADES PROFISSIONAIS, CIENTÍFICAS E TÉCNICAS</v>
      </c>
      <c r="H1114" t="str">
        <f>VLOOKUP(C1114,Base!$C:$F,4,FALSE)</f>
        <v>Design e decoração de interiores</v>
      </c>
      <c r="I1114" t="str">
        <f>VLOOKUP(D1114,Base!$D:$F,3,FALSE)</f>
        <v>Design e decoração de interiores</v>
      </c>
      <c r="J1114" t="str">
        <f>VLOOKUP(E1114,Base!$E:$F,2,FALSE)</f>
        <v>Desing de produto</v>
      </c>
      <c r="K1114" t="s">
        <v>3853</v>
      </c>
      <c r="L1114">
        <f>IFERROR(VLOOKUP($K1114,Base_Atividades!$E$1:$N$2398,MATCH(BancoAjustado!L$1,Base_Atividades!$E$1:$N$1,0),FALSE),0)</f>
        <v>1</v>
      </c>
      <c r="M1114">
        <f>IFERROR(VLOOKUP($K1114,Base_Atividades!$E$1:$N$2398,MATCH(BancoAjustado!M$1,Base_Atividades!$E$1:$N$1,0),FALSE),0)</f>
        <v>0</v>
      </c>
      <c r="N1114">
        <f>IFERROR(VLOOKUP($K1114,Base_Atividades!$E$1:$N$2398,MATCH(BancoAjustado!N$1,Base_Atividades!$E$1:$N$1,0),FALSE),0)</f>
        <v>0</v>
      </c>
    </row>
    <row r="1115" spans="1:14" x14ac:dyDescent="0.25">
      <c r="A1115" t="s">
        <v>3790</v>
      </c>
      <c r="B1115" t="s">
        <v>3847</v>
      </c>
      <c r="C1115" t="s">
        <v>3848</v>
      </c>
      <c r="D1115" t="s">
        <v>3850</v>
      </c>
      <c r="E1115" t="s">
        <v>3855</v>
      </c>
      <c r="F1115" t="str">
        <f>VLOOKUP(A1115,Base!$A:$F,6,FALSE)</f>
        <v>ATIVIDADES PROFISSIONAIS, CIENTÍFICAS E TÉCNICAS</v>
      </c>
      <c r="G1115" t="str">
        <f>VLOOKUP(B1115,Base!$B:$F,5,FALSE)</f>
        <v>OUTRAS ATIVIDADES PROFISSIONAIS, CIENTÍFICAS E TÉCNICAS</v>
      </c>
      <c r="H1115" t="str">
        <f>VLOOKUP(C1115,Base!$C:$F,4,FALSE)</f>
        <v>Design e decoração de interiores</v>
      </c>
      <c r="I1115" t="str">
        <f>VLOOKUP(D1115,Base!$D:$F,3,FALSE)</f>
        <v>Design e decoração de interiores</v>
      </c>
      <c r="J1115" t="str">
        <f>VLOOKUP(E1115,Base!$E:$F,2,FALSE)</f>
        <v>Atividades de desing não especificadas anteriormente</v>
      </c>
      <c r="K1115" t="s">
        <v>3855</v>
      </c>
      <c r="L1115">
        <f>IFERROR(VLOOKUP($K1115,Base_Atividades!$E$1:$N$2398,MATCH(BancoAjustado!L$1,Base_Atividades!$E$1:$N$1,0),FALSE),0)</f>
        <v>1</v>
      </c>
      <c r="M1115">
        <f>IFERROR(VLOOKUP($K1115,Base_Atividades!$E$1:$N$2398,MATCH(BancoAjustado!M$1,Base_Atividades!$E$1:$N$1,0),FALSE),0)</f>
        <v>0</v>
      </c>
      <c r="N1115">
        <f>IFERROR(VLOOKUP($K1115,Base_Atividades!$E$1:$N$2398,MATCH(BancoAjustado!N$1,Base_Atividades!$E$1:$N$1,0),FALSE),0)</f>
        <v>0</v>
      </c>
    </row>
    <row r="1116" spans="1:14" x14ac:dyDescent="0.25">
      <c r="A1116" t="s">
        <v>3790</v>
      </c>
      <c r="B1116" t="s">
        <v>3847</v>
      </c>
      <c r="C1116" t="s">
        <v>3857</v>
      </c>
      <c r="D1116" t="s">
        <v>3858</v>
      </c>
      <c r="E1116" t="s">
        <v>3859</v>
      </c>
      <c r="F1116" t="str">
        <f>VLOOKUP(A1116,Base!$A:$F,6,FALSE)</f>
        <v>ATIVIDADES PROFISSIONAIS, CIENTÍFICAS E TÉCNICAS</v>
      </c>
      <c r="G1116" t="str">
        <f>VLOOKUP(B1116,Base!$B:$F,5,FALSE)</f>
        <v>OUTRAS ATIVIDADES PROFISSIONAIS, CIENTÍFICAS E TÉCNICAS</v>
      </c>
      <c r="H1116" t="str">
        <f>VLOOKUP(C1116,Base!$C:$F,4,FALSE)</f>
        <v>Atividades fotográficas e similares</v>
      </c>
      <c r="I1116" t="str">
        <f>VLOOKUP(D1116,Base!$D:$F,3,FALSE)</f>
        <v>Atividades fotográficas e similares</v>
      </c>
      <c r="J1116" t="str">
        <f>VLOOKUP(E1116,Base!$E:$F,2,FALSE)</f>
        <v>Atividades de produção de fotografias, exceto aérea e submarina</v>
      </c>
      <c r="K1116" t="s">
        <v>3859</v>
      </c>
      <c r="L1116">
        <f>IFERROR(VLOOKUP($K1116,Base_Atividades!$E$1:$N$2398,MATCH(BancoAjustado!L$1,Base_Atividades!$E$1:$N$1,0),FALSE),0)</f>
        <v>1</v>
      </c>
      <c r="M1116">
        <f>IFERROR(VLOOKUP($K1116,Base_Atividades!$E$1:$N$2398,MATCH(BancoAjustado!M$1,Base_Atividades!$E$1:$N$1,0),FALSE),0)</f>
        <v>0</v>
      </c>
      <c r="N1116">
        <f>IFERROR(VLOOKUP($K1116,Base_Atividades!$E$1:$N$2398,MATCH(BancoAjustado!N$1,Base_Atividades!$E$1:$N$1,0),FALSE),0)</f>
        <v>0</v>
      </c>
    </row>
    <row r="1117" spans="1:14" x14ac:dyDescent="0.25">
      <c r="A1117" t="s">
        <v>3790</v>
      </c>
      <c r="B1117" t="s">
        <v>3847</v>
      </c>
      <c r="C1117" t="s">
        <v>3857</v>
      </c>
      <c r="D1117" t="s">
        <v>3858</v>
      </c>
      <c r="E1117" t="s">
        <v>3860</v>
      </c>
      <c r="F1117" t="str">
        <f>VLOOKUP(A1117,Base!$A:$F,6,FALSE)</f>
        <v>ATIVIDADES PROFISSIONAIS, CIENTÍFICAS E TÉCNICAS</v>
      </c>
      <c r="G1117" t="str">
        <f>VLOOKUP(B1117,Base!$B:$F,5,FALSE)</f>
        <v>OUTRAS ATIVIDADES PROFISSIONAIS, CIENTÍFICAS E TÉCNICAS</v>
      </c>
      <c r="H1117" t="str">
        <f>VLOOKUP(C1117,Base!$C:$F,4,FALSE)</f>
        <v>Atividades fotográficas e similares</v>
      </c>
      <c r="I1117" t="str">
        <f>VLOOKUP(D1117,Base!$D:$F,3,FALSE)</f>
        <v>Atividades fotográficas e similares</v>
      </c>
      <c r="J1117" t="str">
        <f>VLOOKUP(E1117,Base!$E:$F,2,FALSE)</f>
        <v>Atividades de produção de fotografias aéreas e submarinas</v>
      </c>
      <c r="K1117" t="s">
        <v>3860</v>
      </c>
      <c r="L1117">
        <f>IFERROR(VLOOKUP($K1117,Base_Atividades!$E$1:$N$2398,MATCH(BancoAjustado!L$1,Base_Atividades!$E$1:$N$1,0),FALSE),0)</f>
        <v>1</v>
      </c>
      <c r="M1117">
        <f>IFERROR(VLOOKUP($K1117,Base_Atividades!$E$1:$N$2398,MATCH(BancoAjustado!M$1,Base_Atividades!$E$1:$N$1,0),FALSE),0)</f>
        <v>0</v>
      </c>
      <c r="N1117">
        <f>IFERROR(VLOOKUP($K1117,Base_Atividades!$E$1:$N$2398,MATCH(BancoAjustado!N$1,Base_Atividades!$E$1:$N$1,0),FALSE),0)</f>
        <v>0</v>
      </c>
    </row>
    <row r="1118" spans="1:14" x14ac:dyDescent="0.25">
      <c r="A1118" t="s">
        <v>3790</v>
      </c>
      <c r="B1118" t="s">
        <v>3847</v>
      </c>
      <c r="C1118" t="s">
        <v>3857</v>
      </c>
      <c r="D1118" t="s">
        <v>3858</v>
      </c>
      <c r="E1118" t="s">
        <v>3861</v>
      </c>
      <c r="F1118" t="str">
        <f>VLOOKUP(A1118,Base!$A:$F,6,FALSE)</f>
        <v>ATIVIDADES PROFISSIONAIS, CIENTÍFICAS E TÉCNICAS</v>
      </c>
      <c r="G1118" t="str">
        <f>VLOOKUP(B1118,Base!$B:$F,5,FALSE)</f>
        <v>OUTRAS ATIVIDADES PROFISSIONAIS, CIENTÍFICAS E TÉCNICAS</v>
      </c>
      <c r="H1118" t="str">
        <f>VLOOKUP(C1118,Base!$C:$F,4,FALSE)</f>
        <v>Atividades fotográficas e similares</v>
      </c>
      <c r="I1118" t="str">
        <f>VLOOKUP(D1118,Base!$D:$F,3,FALSE)</f>
        <v>Atividades fotográficas e similares</v>
      </c>
      <c r="J1118" t="str">
        <f>VLOOKUP(E1118,Base!$E:$F,2,FALSE)</f>
        <v>Laboratórios fotográficos</v>
      </c>
      <c r="K1118" t="s">
        <v>3861</v>
      </c>
      <c r="L1118">
        <f>IFERROR(VLOOKUP($K1118,Base_Atividades!$E$1:$N$2398,MATCH(BancoAjustado!L$1,Base_Atividades!$E$1:$N$1,0),FALSE),0)</f>
        <v>1</v>
      </c>
      <c r="M1118">
        <f>IFERROR(VLOOKUP($K1118,Base_Atividades!$E$1:$N$2398,MATCH(BancoAjustado!M$1,Base_Atividades!$E$1:$N$1,0),FALSE),0)</f>
        <v>0</v>
      </c>
      <c r="N1118">
        <f>IFERROR(VLOOKUP($K1118,Base_Atividades!$E$1:$N$2398,MATCH(BancoAjustado!N$1,Base_Atividades!$E$1:$N$1,0),FALSE),0)</f>
        <v>0</v>
      </c>
    </row>
    <row r="1119" spans="1:14" x14ac:dyDescent="0.25">
      <c r="A1119" t="s">
        <v>3790</v>
      </c>
      <c r="B1119" t="s">
        <v>3847</v>
      </c>
      <c r="C1119" t="s">
        <v>3857</v>
      </c>
      <c r="D1119" t="s">
        <v>3858</v>
      </c>
      <c r="E1119" t="s">
        <v>3862</v>
      </c>
      <c r="F1119" t="str">
        <f>VLOOKUP(A1119,Base!$A:$F,6,FALSE)</f>
        <v>ATIVIDADES PROFISSIONAIS, CIENTÍFICAS E TÉCNICAS</v>
      </c>
      <c r="G1119" t="str">
        <f>VLOOKUP(B1119,Base!$B:$F,5,FALSE)</f>
        <v>OUTRAS ATIVIDADES PROFISSIONAIS, CIENTÍFICAS E TÉCNICAS</v>
      </c>
      <c r="H1119" t="str">
        <f>VLOOKUP(C1119,Base!$C:$F,4,FALSE)</f>
        <v>Atividades fotográficas e similares</v>
      </c>
      <c r="I1119" t="str">
        <f>VLOOKUP(D1119,Base!$D:$F,3,FALSE)</f>
        <v>Atividades fotográficas e similares</v>
      </c>
      <c r="J1119" t="str">
        <f>VLOOKUP(E1119,Base!$E:$F,2,FALSE)</f>
        <v>Filmagem de festas e eventos</v>
      </c>
      <c r="K1119" t="s">
        <v>3862</v>
      </c>
      <c r="L1119">
        <f>IFERROR(VLOOKUP($K1119,Base_Atividades!$E$1:$N$2398,MATCH(BancoAjustado!L$1,Base_Atividades!$E$1:$N$1,0),FALSE),0)</f>
        <v>1</v>
      </c>
      <c r="M1119">
        <f>IFERROR(VLOOKUP($K1119,Base_Atividades!$E$1:$N$2398,MATCH(BancoAjustado!M$1,Base_Atividades!$E$1:$N$1,0),FALSE),0)</f>
        <v>0</v>
      </c>
      <c r="N1119">
        <f>IFERROR(VLOOKUP($K1119,Base_Atividades!$E$1:$N$2398,MATCH(BancoAjustado!N$1,Base_Atividades!$E$1:$N$1,0),FALSE),0)</f>
        <v>0</v>
      </c>
    </row>
    <row r="1120" spans="1:14" x14ac:dyDescent="0.25">
      <c r="A1120" t="s">
        <v>3790</v>
      </c>
      <c r="B1120" t="s">
        <v>3847</v>
      </c>
      <c r="C1120" t="s">
        <v>3857</v>
      </c>
      <c r="D1120" t="s">
        <v>3858</v>
      </c>
      <c r="E1120" t="s">
        <v>3863</v>
      </c>
      <c r="F1120" t="str">
        <f>VLOOKUP(A1120,Base!$A:$F,6,FALSE)</f>
        <v>ATIVIDADES PROFISSIONAIS, CIENTÍFICAS E TÉCNICAS</v>
      </c>
      <c r="G1120" t="str">
        <f>VLOOKUP(B1120,Base!$B:$F,5,FALSE)</f>
        <v>OUTRAS ATIVIDADES PROFISSIONAIS, CIENTÍFICAS E TÉCNICAS</v>
      </c>
      <c r="H1120" t="str">
        <f>VLOOKUP(C1120,Base!$C:$F,4,FALSE)</f>
        <v>Atividades fotográficas e similares</v>
      </c>
      <c r="I1120" t="str">
        <f>VLOOKUP(D1120,Base!$D:$F,3,FALSE)</f>
        <v>Atividades fotográficas e similares</v>
      </c>
      <c r="J1120" t="str">
        <f>VLOOKUP(E1120,Base!$E:$F,2,FALSE)</f>
        <v>Serviços de microfilmagem</v>
      </c>
      <c r="K1120" t="s">
        <v>3863</v>
      </c>
      <c r="L1120">
        <f>IFERROR(VLOOKUP($K1120,Base_Atividades!$E$1:$N$2398,MATCH(BancoAjustado!L$1,Base_Atividades!$E$1:$N$1,0),FALSE),0)</f>
        <v>1</v>
      </c>
      <c r="M1120">
        <f>IFERROR(VLOOKUP($K1120,Base_Atividades!$E$1:$N$2398,MATCH(BancoAjustado!M$1,Base_Atividades!$E$1:$N$1,0),FALSE),0)</f>
        <v>0</v>
      </c>
      <c r="N1120">
        <f>IFERROR(VLOOKUP($K1120,Base_Atividades!$E$1:$N$2398,MATCH(BancoAjustado!N$1,Base_Atividades!$E$1:$N$1,0),FALSE),0)</f>
        <v>0</v>
      </c>
    </row>
    <row r="1121" spans="1:14" x14ac:dyDescent="0.25">
      <c r="A1121" t="s">
        <v>3790</v>
      </c>
      <c r="B1121" t="s">
        <v>3847</v>
      </c>
      <c r="C1121" t="s">
        <v>3864</v>
      </c>
      <c r="D1121" t="s">
        <v>3865</v>
      </c>
      <c r="E1121" t="s">
        <v>3866</v>
      </c>
      <c r="F1121" t="str">
        <f>VLOOKUP(A1121,Base!$A:$F,6,FALSE)</f>
        <v>ATIVIDADES PROFISSIONAIS, CIENTÍFICAS E TÉCNICAS</v>
      </c>
      <c r="G1121" t="str">
        <f>VLOOKUP(B1121,Base!$B:$F,5,FALSE)</f>
        <v>OUTRAS ATIVIDADES PROFISSIONAIS, CIENTÍFICAS E TÉCNICAS</v>
      </c>
      <c r="H1121" t="str">
        <f>VLOOKUP(C1121,Base!$C:$F,4,FALSE)</f>
        <v>Atividades profissionais, científicas e técnicas não especificadas anteriormente</v>
      </c>
      <c r="I1121" t="str">
        <f>VLOOKUP(D1121,Base!$D:$F,3,FALSE)</f>
        <v>Atividades profissionais, científicas e técnicas não especificadas anteriormente</v>
      </c>
      <c r="J1121" t="str">
        <f>VLOOKUP(E1121,Base!$E:$F,2,FALSE)</f>
        <v>Serviços de tradução, interpretação e similares</v>
      </c>
      <c r="K1121" t="s">
        <v>3866</v>
      </c>
      <c r="L1121">
        <f>IFERROR(VLOOKUP($K1121,Base_Atividades!$E$1:$N$2398,MATCH(BancoAjustado!L$1,Base_Atividades!$E$1:$N$1,0),FALSE),0)</f>
        <v>1</v>
      </c>
      <c r="M1121">
        <f>IFERROR(VLOOKUP($K1121,Base_Atividades!$E$1:$N$2398,MATCH(BancoAjustado!M$1,Base_Atividades!$E$1:$N$1,0),FALSE),0)</f>
        <v>0</v>
      </c>
      <c r="N1121">
        <f>IFERROR(VLOOKUP($K1121,Base_Atividades!$E$1:$N$2398,MATCH(BancoAjustado!N$1,Base_Atividades!$E$1:$N$1,0),FALSE),0)</f>
        <v>0</v>
      </c>
    </row>
    <row r="1122" spans="1:14" x14ac:dyDescent="0.25">
      <c r="A1122" t="s">
        <v>3790</v>
      </c>
      <c r="B1122" t="s">
        <v>3847</v>
      </c>
      <c r="C1122" t="s">
        <v>3864</v>
      </c>
      <c r="D1122" t="s">
        <v>3865</v>
      </c>
      <c r="E1122" t="s">
        <v>3867</v>
      </c>
      <c r="F1122" t="str">
        <f>VLOOKUP(A1122,Base!$A:$F,6,FALSE)</f>
        <v>ATIVIDADES PROFISSIONAIS, CIENTÍFICAS E TÉCNICAS</v>
      </c>
      <c r="G1122" t="str">
        <f>VLOOKUP(B1122,Base!$B:$F,5,FALSE)</f>
        <v>OUTRAS ATIVIDADES PROFISSIONAIS, CIENTÍFICAS E TÉCNICAS</v>
      </c>
      <c r="H1122" t="str">
        <f>VLOOKUP(C1122,Base!$C:$F,4,FALSE)</f>
        <v>Atividades profissionais, científicas e técnicas não especificadas anteriormente</v>
      </c>
      <c r="I1122" t="str">
        <f>VLOOKUP(D1122,Base!$D:$F,3,FALSE)</f>
        <v>Atividades profissionais, científicas e técnicas não especificadas anteriormente</v>
      </c>
      <c r="J1122" t="str">
        <f>VLOOKUP(E1122,Base!$E:$F,2,FALSE)</f>
        <v>Escafandria e mergulho</v>
      </c>
      <c r="K1122" t="s">
        <v>3867</v>
      </c>
      <c r="L1122">
        <f>IFERROR(VLOOKUP($K1122,Base_Atividades!$E$1:$N$2398,MATCH(BancoAjustado!L$1,Base_Atividades!$E$1:$N$1,0),FALSE),0)</f>
        <v>1</v>
      </c>
      <c r="M1122">
        <f>IFERROR(VLOOKUP($K1122,Base_Atividades!$E$1:$N$2398,MATCH(BancoAjustado!M$1,Base_Atividades!$E$1:$N$1,0),FALSE),0)</f>
        <v>0</v>
      </c>
      <c r="N1122">
        <f>IFERROR(VLOOKUP($K1122,Base_Atividades!$E$1:$N$2398,MATCH(BancoAjustado!N$1,Base_Atividades!$E$1:$N$1,0),FALSE),0)</f>
        <v>0</v>
      </c>
    </row>
    <row r="1123" spans="1:14" x14ac:dyDescent="0.25">
      <c r="A1123" t="s">
        <v>3790</v>
      </c>
      <c r="B1123" t="s">
        <v>3847</v>
      </c>
      <c r="C1123" t="s">
        <v>3864</v>
      </c>
      <c r="D1123" t="s">
        <v>3865</v>
      </c>
      <c r="E1123" t="s">
        <v>3868</v>
      </c>
      <c r="F1123" t="str">
        <f>VLOOKUP(A1123,Base!$A:$F,6,FALSE)</f>
        <v>ATIVIDADES PROFISSIONAIS, CIENTÍFICAS E TÉCNICAS</v>
      </c>
      <c r="G1123" t="str">
        <f>VLOOKUP(B1123,Base!$B:$F,5,FALSE)</f>
        <v>OUTRAS ATIVIDADES PROFISSIONAIS, CIENTÍFICAS E TÉCNICAS</v>
      </c>
      <c r="H1123" t="str">
        <f>VLOOKUP(C1123,Base!$C:$F,4,FALSE)</f>
        <v>Atividades profissionais, científicas e técnicas não especificadas anteriormente</v>
      </c>
      <c r="I1123" t="str">
        <f>VLOOKUP(D1123,Base!$D:$F,3,FALSE)</f>
        <v>Atividades profissionais, científicas e técnicas não especificadas anteriormente</v>
      </c>
      <c r="J1123" t="str">
        <f>VLOOKUP(E1123,Base!$E:$F,2,FALSE)</f>
        <v>Serviços de agronomia e de consultoria às atividades agrícolas e pecuárias</v>
      </c>
      <c r="K1123" t="s">
        <v>3868</v>
      </c>
      <c r="L1123">
        <f>IFERROR(VLOOKUP($K1123,Base_Atividades!$E$1:$N$2398,MATCH(BancoAjustado!L$1,Base_Atividades!$E$1:$N$1,0),FALSE),0)</f>
        <v>1</v>
      </c>
      <c r="M1123">
        <f>IFERROR(VLOOKUP($K1123,Base_Atividades!$E$1:$N$2398,MATCH(BancoAjustado!M$1,Base_Atividades!$E$1:$N$1,0),FALSE),0)</f>
        <v>0</v>
      </c>
      <c r="N1123">
        <f>IFERROR(VLOOKUP($K1123,Base_Atividades!$E$1:$N$2398,MATCH(BancoAjustado!N$1,Base_Atividades!$E$1:$N$1,0),FALSE),0)</f>
        <v>0</v>
      </c>
    </row>
    <row r="1124" spans="1:14" x14ac:dyDescent="0.25">
      <c r="A1124" t="s">
        <v>3790</v>
      </c>
      <c r="B1124" t="s">
        <v>3847</v>
      </c>
      <c r="C1124" t="s">
        <v>3864</v>
      </c>
      <c r="D1124" t="s">
        <v>3865</v>
      </c>
      <c r="E1124" t="s">
        <v>3869</v>
      </c>
      <c r="F1124" t="str">
        <f>VLOOKUP(A1124,Base!$A:$F,6,FALSE)</f>
        <v>ATIVIDADES PROFISSIONAIS, CIENTÍFICAS E TÉCNICAS</v>
      </c>
      <c r="G1124" t="str">
        <f>VLOOKUP(B1124,Base!$B:$F,5,FALSE)</f>
        <v>OUTRAS ATIVIDADES PROFISSIONAIS, CIENTÍFICAS E TÉCNICAS</v>
      </c>
      <c r="H1124" t="str">
        <f>VLOOKUP(C1124,Base!$C:$F,4,FALSE)</f>
        <v>Atividades profissionais, científicas e técnicas não especificadas anteriormente</v>
      </c>
      <c r="I1124" t="str">
        <f>VLOOKUP(D1124,Base!$D:$F,3,FALSE)</f>
        <v>Atividades profissionais, científicas e técnicas não especificadas anteriormente</v>
      </c>
      <c r="J1124" t="str">
        <f>VLOOKUP(E1124,Base!$E:$F,2,FALSE)</f>
        <v>Atividades de intermediação e agenciamento de serviços e negócios em geral, exceto imobiliários</v>
      </c>
      <c r="K1124" t="s">
        <v>3869</v>
      </c>
      <c r="L1124">
        <f>IFERROR(VLOOKUP($K1124,Base_Atividades!$E$1:$N$2398,MATCH(BancoAjustado!L$1,Base_Atividades!$E$1:$N$1,0),FALSE),0)</f>
        <v>1</v>
      </c>
      <c r="M1124">
        <f>IFERROR(VLOOKUP($K1124,Base_Atividades!$E$1:$N$2398,MATCH(BancoAjustado!M$1,Base_Atividades!$E$1:$N$1,0),FALSE),0)</f>
        <v>0</v>
      </c>
      <c r="N1124">
        <f>IFERROR(VLOOKUP($K1124,Base_Atividades!$E$1:$N$2398,MATCH(BancoAjustado!N$1,Base_Atividades!$E$1:$N$1,0),FALSE),0)</f>
        <v>0</v>
      </c>
    </row>
    <row r="1125" spans="1:14" x14ac:dyDescent="0.25">
      <c r="A1125" t="s">
        <v>3790</v>
      </c>
      <c r="B1125" t="s">
        <v>3847</v>
      </c>
      <c r="C1125" t="s">
        <v>3864</v>
      </c>
      <c r="D1125" t="s">
        <v>3865</v>
      </c>
      <c r="E1125" t="s">
        <v>3870</v>
      </c>
      <c r="F1125" t="str">
        <f>VLOOKUP(A1125,Base!$A:$F,6,FALSE)</f>
        <v>ATIVIDADES PROFISSIONAIS, CIENTÍFICAS E TÉCNICAS</v>
      </c>
      <c r="G1125" t="str">
        <f>VLOOKUP(B1125,Base!$B:$F,5,FALSE)</f>
        <v>OUTRAS ATIVIDADES PROFISSIONAIS, CIENTÍFICAS E TÉCNICAS</v>
      </c>
      <c r="H1125" t="str">
        <f>VLOOKUP(C1125,Base!$C:$F,4,FALSE)</f>
        <v>Atividades profissionais, científicas e técnicas não especificadas anteriormente</v>
      </c>
      <c r="I1125" t="str">
        <f>VLOOKUP(D1125,Base!$D:$F,3,FALSE)</f>
        <v>Atividades profissionais, científicas e técnicas não especificadas anteriormente</v>
      </c>
      <c r="J1125" t="str">
        <f>VLOOKUP(E1125,Base!$E:$F,2,FALSE)</f>
        <v>Agenciamento de profissionais para atividades esportivas, culturais e artísticas</v>
      </c>
      <c r="K1125" t="s">
        <v>3870</v>
      </c>
      <c r="L1125">
        <f>IFERROR(VLOOKUP($K1125,Base_Atividades!$E$1:$N$2398,MATCH(BancoAjustado!L$1,Base_Atividades!$E$1:$N$1,0),FALSE),0)</f>
        <v>1</v>
      </c>
      <c r="M1125">
        <f>IFERROR(VLOOKUP($K1125,Base_Atividades!$E$1:$N$2398,MATCH(BancoAjustado!M$1,Base_Atividades!$E$1:$N$1,0),FALSE),0)</f>
        <v>0</v>
      </c>
      <c r="N1125">
        <f>IFERROR(VLOOKUP($K1125,Base_Atividades!$E$1:$N$2398,MATCH(BancoAjustado!N$1,Base_Atividades!$E$1:$N$1,0),FALSE),0)</f>
        <v>0</v>
      </c>
    </row>
    <row r="1126" spans="1:14" x14ac:dyDescent="0.25">
      <c r="A1126" t="s">
        <v>3790</v>
      </c>
      <c r="B1126" t="s">
        <v>3847</v>
      </c>
      <c r="C1126" t="s">
        <v>3864</v>
      </c>
      <c r="D1126" t="s">
        <v>3865</v>
      </c>
      <c r="E1126" t="s">
        <v>3871</v>
      </c>
      <c r="F1126" t="str">
        <f>VLOOKUP(A1126,Base!$A:$F,6,FALSE)</f>
        <v>ATIVIDADES PROFISSIONAIS, CIENTÍFICAS E TÉCNICAS</v>
      </c>
      <c r="G1126" t="str">
        <f>VLOOKUP(B1126,Base!$B:$F,5,FALSE)</f>
        <v>OUTRAS ATIVIDADES PROFISSIONAIS, CIENTÍFICAS E TÉCNICAS</v>
      </c>
      <c r="H1126" t="str">
        <f>VLOOKUP(C1126,Base!$C:$F,4,FALSE)</f>
        <v>Atividades profissionais, científicas e técnicas não especificadas anteriormente</v>
      </c>
      <c r="I1126" t="str">
        <f>VLOOKUP(D1126,Base!$D:$F,3,FALSE)</f>
        <v>Atividades profissionais, científicas e técnicas não especificadas anteriormente</v>
      </c>
      <c r="J1126" t="str">
        <f>VLOOKUP(E1126,Base!$E:$F,2,FALSE)</f>
        <v>Outras atividades profissionais, científicas e técnicas não especificadas anteriormente</v>
      </c>
      <c r="K1126" t="s">
        <v>3871</v>
      </c>
      <c r="L1126">
        <f>IFERROR(VLOOKUP($K1126,Base_Atividades!$E$1:$N$2398,MATCH(BancoAjustado!L$1,Base_Atividades!$E$1:$N$1,0),FALSE),0)</f>
        <v>1</v>
      </c>
      <c r="M1126">
        <f>IFERROR(VLOOKUP($K1126,Base_Atividades!$E$1:$N$2398,MATCH(BancoAjustado!M$1,Base_Atividades!$E$1:$N$1,0),FALSE),0)</f>
        <v>0</v>
      </c>
      <c r="N1126">
        <f>IFERROR(VLOOKUP($K1126,Base_Atividades!$E$1:$N$2398,MATCH(BancoAjustado!N$1,Base_Atividades!$E$1:$N$1,0),FALSE),0)</f>
        <v>0</v>
      </c>
    </row>
    <row r="1127" spans="1:14" x14ac:dyDescent="0.25">
      <c r="A1127" t="s">
        <v>3790</v>
      </c>
      <c r="B1127" t="s">
        <v>3872</v>
      </c>
      <c r="C1127" t="s">
        <v>3873</v>
      </c>
      <c r="D1127" t="s">
        <v>3874</v>
      </c>
      <c r="E1127" t="s">
        <v>3875</v>
      </c>
      <c r="F1127" t="str">
        <f>VLOOKUP(A1127,Base!$A:$F,6,FALSE)</f>
        <v>ATIVIDADES PROFISSIONAIS, CIENTÍFICAS E TÉCNICAS</v>
      </c>
      <c r="G1127" t="str">
        <f>VLOOKUP(B1127,Base!$B:$F,5,FALSE)</f>
        <v>ATIVIDADES VETERINÁRIAS</v>
      </c>
      <c r="H1127" t="str">
        <f>VLOOKUP(C1127,Base!$C:$F,4,FALSE)</f>
        <v>Atividades veterinárias</v>
      </c>
      <c r="I1127" t="str">
        <f>VLOOKUP(D1127,Base!$D:$F,3,FALSE)</f>
        <v>Atividades veterinárias</v>
      </c>
      <c r="J1127" t="str">
        <f>VLOOKUP(E1127,Base!$E:$F,2,FALSE)</f>
        <v>Atividades veterinárias</v>
      </c>
      <c r="K1127" t="s">
        <v>3875</v>
      </c>
      <c r="L1127">
        <f>IFERROR(VLOOKUP($K1127,Base_Atividades!$E$1:$N$2398,MATCH(BancoAjustado!L$1,Base_Atividades!$E$1:$N$1,0),FALSE),0)</f>
        <v>1</v>
      </c>
      <c r="M1127">
        <f>IFERROR(VLOOKUP($K1127,Base_Atividades!$E$1:$N$2398,MATCH(BancoAjustado!M$1,Base_Atividades!$E$1:$N$1,0),FALSE),0)</f>
        <v>0</v>
      </c>
      <c r="N1127">
        <f>IFERROR(VLOOKUP($K1127,Base_Atividades!$E$1:$N$2398,MATCH(BancoAjustado!N$1,Base_Atividades!$E$1:$N$1,0),FALSE),0)</f>
        <v>0</v>
      </c>
    </row>
    <row r="1128" spans="1:14" x14ac:dyDescent="0.25">
      <c r="A1128" t="s">
        <v>3876</v>
      </c>
      <c r="B1128" t="s">
        <v>3877</v>
      </c>
      <c r="C1128" t="s">
        <v>3878</v>
      </c>
      <c r="D1128" t="s">
        <v>3879</v>
      </c>
      <c r="E1128" t="s">
        <v>3880</v>
      </c>
      <c r="F1128" t="str">
        <f>VLOOKUP(A1128,Base!$A:$F,6,FALSE)</f>
        <v>ATIVIDADES ADMINISTRATIVAS E SERVIÇOS COMPLEMENTARES</v>
      </c>
      <c r="G1128" t="str">
        <f>VLOOKUP(B1128,Base!$B:$F,5,FALSE)</f>
        <v>ALUGUÉIS NÃO IMOBILIÁRIOS E GESTÃO DE ATIVOS INTANGÍVEIS NÃO FINANCEIROS</v>
      </c>
      <c r="H1128" t="str">
        <f>VLOOKUP(C1128,Base!$C:$F,4,FALSE)</f>
        <v>Locação de meios de transporte sem condutor</v>
      </c>
      <c r="I1128" t="str">
        <f>VLOOKUP(D1128,Base!$D:$F,3,FALSE)</f>
        <v>Locação de automóveis sem condutor</v>
      </c>
      <c r="J1128" t="str">
        <f>VLOOKUP(E1128,Base!$E:$F,2,FALSE)</f>
        <v>Locação de automóveis sem condutor</v>
      </c>
      <c r="K1128" t="s">
        <v>3880</v>
      </c>
      <c r="L1128">
        <f>IFERROR(VLOOKUP($K1128,Base_Atividades!$E$1:$N$2398,MATCH(BancoAjustado!L$1,Base_Atividades!$E$1:$N$1,0),FALSE),0)</f>
        <v>0</v>
      </c>
      <c r="M1128">
        <f>IFERROR(VLOOKUP($K1128,Base_Atividades!$E$1:$N$2398,MATCH(BancoAjustado!M$1,Base_Atividades!$E$1:$N$1,0),FALSE),0)</f>
        <v>0</v>
      </c>
      <c r="N1128">
        <f>IFERROR(VLOOKUP($K1128,Base_Atividades!$E$1:$N$2398,MATCH(BancoAjustado!N$1,Base_Atividades!$E$1:$N$1,0),FALSE),0)</f>
        <v>0</v>
      </c>
    </row>
    <row r="1129" spans="1:14" x14ac:dyDescent="0.25">
      <c r="A1129" t="s">
        <v>3876</v>
      </c>
      <c r="B1129" t="s">
        <v>3877</v>
      </c>
      <c r="C1129" t="s">
        <v>3878</v>
      </c>
      <c r="D1129" t="s">
        <v>3881</v>
      </c>
      <c r="E1129" t="s">
        <v>3882</v>
      </c>
      <c r="F1129" t="str">
        <f>VLOOKUP(A1129,Base!$A:$F,6,FALSE)</f>
        <v>ATIVIDADES ADMINISTRATIVAS E SERVIÇOS COMPLEMENTARES</v>
      </c>
      <c r="G1129" t="str">
        <f>VLOOKUP(B1129,Base!$B:$F,5,FALSE)</f>
        <v>ALUGUÉIS NÃO IMOBILIÁRIOS E GESTÃO DE ATIVOS INTANGÍVEIS NÃO FINANCEIROS</v>
      </c>
      <c r="H1129" t="str">
        <f>VLOOKUP(C1129,Base!$C:$F,4,FALSE)</f>
        <v>Locação de meios de transporte sem condutor</v>
      </c>
      <c r="I1129" t="str">
        <f>VLOOKUP(D1129,Base!$D:$F,3,FALSE)</f>
        <v>Locação de meios de transporte, exceto automóveis, sem condutor</v>
      </c>
      <c r="J1129" t="str">
        <f>VLOOKUP(E1129,Base!$E:$F,2,FALSE)</f>
        <v>Locação de embarcações sem tripulação, exceto para fins
recreativos</v>
      </c>
      <c r="K1129" t="s">
        <v>3882</v>
      </c>
      <c r="L1129">
        <f>IFERROR(VLOOKUP($K1129,Base_Atividades!$E$1:$N$2398,MATCH(BancoAjustado!L$1,Base_Atividades!$E$1:$N$1,0),FALSE),0)</f>
        <v>0</v>
      </c>
      <c r="M1129">
        <f>IFERROR(VLOOKUP($K1129,Base_Atividades!$E$1:$N$2398,MATCH(BancoAjustado!M$1,Base_Atividades!$E$1:$N$1,0),FALSE),0)</f>
        <v>0</v>
      </c>
      <c r="N1129">
        <f>IFERROR(VLOOKUP($K1129,Base_Atividades!$E$1:$N$2398,MATCH(BancoAjustado!N$1,Base_Atividades!$E$1:$N$1,0),FALSE),0)</f>
        <v>0</v>
      </c>
    </row>
    <row r="1130" spans="1:14" x14ac:dyDescent="0.25">
      <c r="A1130" t="s">
        <v>3876</v>
      </c>
      <c r="B1130" t="s">
        <v>3877</v>
      </c>
      <c r="C1130" t="s">
        <v>3878</v>
      </c>
      <c r="D1130" t="s">
        <v>3881</v>
      </c>
      <c r="E1130" t="s">
        <v>3883</v>
      </c>
      <c r="F1130" t="str">
        <f>VLOOKUP(A1130,Base!$A:$F,6,FALSE)</f>
        <v>ATIVIDADES ADMINISTRATIVAS E SERVIÇOS COMPLEMENTARES</v>
      </c>
      <c r="G1130" t="str">
        <f>VLOOKUP(B1130,Base!$B:$F,5,FALSE)</f>
        <v>ALUGUÉIS NÃO IMOBILIÁRIOS E GESTÃO DE ATIVOS INTANGÍVEIS NÃO FINANCEIROS</v>
      </c>
      <c r="H1130" t="str">
        <f>VLOOKUP(C1130,Base!$C:$F,4,FALSE)</f>
        <v>Locação de meios de transporte sem condutor</v>
      </c>
      <c r="I1130" t="str">
        <f>VLOOKUP(D1130,Base!$D:$F,3,FALSE)</f>
        <v>Locação de meios de transporte, exceto automóveis, sem condutor</v>
      </c>
      <c r="J1130" t="str">
        <f>VLOOKUP(E1130,Base!$E:$F,2,FALSE)</f>
        <v>Locação de aeronaves sem tripulação</v>
      </c>
      <c r="K1130" t="s">
        <v>3883</v>
      </c>
      <c r="L1130">
        <f>IFERROR(VLOOKUP($K1130,Base_Atividades!$E$1:$N$2398,MATCH(BancoAjustado!L$1,Base_Atividades!$E$1:$N$1,0),FALSE),0)</f>
        <v>0</v>
      </c>
      <c r="M1130">
        <f>IFERROR(VLOOKUP($K1130,Base_Atividades!$E$1:$N$2398,MATCH(BancoAjustado!M$1,Base_Atividades!$E$1:$N$1,0),FALSE),0)</f>
        <v>0</v>
      </c>
      <c r="N1130">
        <f>IFERROR(VLOOKUP($K1130,Base_Atividades!$E$1:$N$2398,MATCH(BancoAjustado!N$1,Base_Atividades!$E$1:$N$1,0),FALSE),0)</f>
        <v>0</v>
      </c>
    </row>
    <row r="1131" spans="1:14" x14ac:dyDescent="0.25">
      <c r="A1131" t="s">
        <v>3876</v>
      </c>
      <c r="B1131" t="s">
        <v>3877</v>
      </c>
      <c r="C1131" t="s">
        <v>3878</v>
      </c>
      <c r="D1131" t="s">
        <v>3881</v>
      </c>
      <c r="E1131" t="s">
        <v>3884</v>
      </c>
      <c r="F1131" t="str">
        <f>VLOOKUP(A1131,Base!$A:$F,6,FALSE)</f>
        <v>ATIVIDADES ADMINISTRATIVAS E SERVIÇOS COMPLEMENTARES</v>
      </c>
      <c r="G1131" t="str">
        <f>VLOOKUP(B1131,Base!$B:$F,5,FALSE)</f>
        <v>ALUGUÉIS NÃO IMOBILIÁRIOS E GESTÃO DE ATIVOS INTANGÍVEIS NÃO FINANCEIROS</v>
      </c>
      <c r="H1131" t="str">
        <f>VLOOKUP(C1131,Base!$C:$F,4,FALSE)</f>
        <v>Locação de meios de transporte sem condutor</v>
      </c>
      <c r="I1131" t="str">
        <f>VLOOKUP(D1131,Base!$D:$F,3,FALSE)</f>
        <v>Locação de meios de transporte, exceto automóveis, sem condutor</v>
      </c>
      <c r="J1131" t="str">
        <f>VLOOKUP(E1131,Base!$E:$F,2,FALSE)</f>
        <v>Locação de outros meios de transporte não especificados anteriormente, sem condutor</v>
      </c>
      <c r="K1131" t="s">
        <v>3884</v>
      </c>
      <c r="L1131">
        <f>IFERROR(VLOOKUP($K1131,Base_Atividades!$E$1:$N$2398,MATCH(BancoAjustado!L$1,Base_Atividades!$E$1:$N$1,0),FALSE),0)</f>
        <v>0</v>
      </c>
      <c r="M1131">
        <f>IFERROR(VLOOKUP($K1131,Base_Atividades!$E$1:$N$2398,MATCH(BancoAjustado!M$1,Base_Atividades!$E$1:$N$1,0),FALSE),0)</f>
        <v>0</v>
      </c>
      <c r="N1131">
        <f>IFERROR(VLOOKUP($K1131,Base_Atividades!$E$1:$N$2398,MATCH(BancoAjustado!N$1,Base_Atividades!$E$1:$N$1,0),FALSE),0)</f>
        <v>0</v>
      </c>
    </row>
    <row r="1132" spans="1:14" x14ac:dyDescent="0.25">
      <c r="A1132" t="s">
        <v>3876</v>
      </c>
      <c r="B1132" t="s">
        <v>3877</v>
      </c>
      <c r="C1132" t="s">
        <v>3885</v>
      </c>
      <c r="D1132" t="s">
        <v>3886</v>
      </c>
      <c r="E1132" t="s">
        <v>3887</v>
      </c>
      <c r="F1132" t="str">
        <f>VLOOKUP(A1132,Base!$A:$F,6,FALSE)</f>
        <v>ATIVIDADES ADMINISTRATIVAS E SERVIÇOS COMPLEMENTARES</v>
      </c>
      <c r="G1132" t="str">
        <f>VLOOKUP(B1132,Base!$B:$F,5,FALSE)</f>
        <v>ALUGUÉIS NÃO IMOBILIÁRIOS E GESTÃO DE ATIVOS INTANGÍVEIS NÃO FINANCEIROS</v>
      </c>
      <c r="H1132" t="str">
        <f>VLOOKUP(C1132,Base!$C:$F,4,FALSE)</f>
        <v>Aluguel de objetos pessoais e domésticos</v>
      </c>
      <c r="I1132" t="str">
        <f>VLOOKUP(D1132,Base!$D:$F,3,FALSE)</f>
        <v>Aluguel de equipamentos recreativos e esportivos</v>
      </c>
      <c r="J1132" t="str">
        <f>VLOOKUP(E1132,Base!$E:$F,2,FALSE)</f>
        <v>Aluguel de equipamentos recreativos e esportivos</v>
      </c>
      <c r="K1132" t="s">
        <v>3887</v>
      </c>
      <c r="L1132">
        <f>IFERROR(VLOOKUP($K1132,Base_Atividades!$E$1:$N$2398,MATCH(BancoAjustado!L$1,Base_Atividades!$E$1:$N$1,0),FALSE),0)</f>
        <v>0</v>
      </c>
      <c r="M1132">
        <f>IFERROR(VLOOKUP($K1132,Base_Atividades!$E$1:$N$2398,MATCH(BancoAjustado!M$1,Base_Atividades!$E$1:$N$1,0),FALSE),0)</f>
        <v>0</v>
      </c>
      <c r="N1132">
        <f>IFERROR(VLOOKUP($K1132,Base_Atividades!$E$1:$N$2398,MATCH(BancoAjustado!N$1,Base_Atividades!$E$1:$N$1,0),FALSE),0)</f>
        <v>0</v>
      </c>
    </row>
    <row r="1133" spans="1:14" x14ac:dyDescent="0.25">
      <c r="A1133" t="s">
        <v>3876</v>
      </c>
      <c r="B1133" t="s">
        <v>3877</v>
      </c>
      <c r="C1133" t="s">
        <v>3885</v>
      </c>
      <c r="D1133" t="s">
        <v>3888</v>
      </c>
      <c r="E1133" t="s">
        <v>3889</v>
      </c>
      <c r="F1133" t="str">
        <f>VLOOKUP(A1133,Base!$A:$F,6,FALSE)</f>
        <v>ATIVIDADES ADMINISTRATIVAS E SERVIÇOS COMPLEMENTARES</v>
      </c>
      <c r="G1133" t="str">
        <f>VLOOKUP(B1133,Base!$B:$F,5,FALSE)</f>
        <v>ALUGUÉIS NÃO IMOBILIÁRIOS E GESTÃO DE ATIVOS INTANGÍVEIS NÃO FINANCEIROS</v>
      </c>
      <c r="H1133" t="str">
        <f>VLOOKUP(C1133,Base!$C:$F,4,FALSE)</f>
        <v>Aluguel de objetos pessoais e domésticos</v>
      </c>
      <c r="I1133" t="str">
        <f>VLOOKUP(D1133,Base!$D:$F,3,FALSE)</f>
        <v>Aluguel de fitas de vídeo, DVDs e similares</v>
      </c>
      <c r="J1133" t="str">
        <f>VLOOKUP(E1133,Base!$E:$F,2,FALSE)</f>
        <v>Aluguel de fitas de vídeo, DVDs e similares</v>
      </c>
      <c r="K1133" t="s">
        <v>3889</v>
      </c>
      <c r="L1133">
        <f>IFERROR(VLOOKUP($K1133,Base_Atividades!$E$1:$N$2398,MATCH(BancoAjustado!L$1,Base_Atividades!$E$1:$N$1,0),FALSE),0)</f>
        <v>0</v>
      </c>
      <c r="M1133">
        <f>IFERROR(VLOOKUP($K1133,Base_Atividades!$E$1:$N$2398,MATCH(BancoAjustado!M$1,Base_Atividades!$E$1:$N$1,0),FALSE),0)</f>
        <v>0</v>
      </c>
      <c r="N1133">
        <f>IFERROR(VLOOKUP($K1133,Base_Atividades!$E$1:$N$2398,MATCH(BancoAjustado!N$1,Base_Atividades!$E$1:$N$1,0),FALSE),0)</f>
        <v>0</v>
      </c>
    </row>
    <row r="1134" spans="1:14" x14ac:dyDescent="0.25">
      <c r="A1134" t="s">
        <v>3876</v>
      </c>
      <c r="B1134" t="s">
        <v>3877</v>
      </c>
      <c r="C1134" t="s">
        <v>3885</v>
      </c>
      <c r="D1134" t="s">
        <v>3890</v>
      </c>
      <c r="E1134" t="s">
        <v>3891</v>
      </c>
      <c r="F1134" t="str">
        <f>VLOOKUP(A1134,Base!$A:$F,6,FALSE)</f>
        <v>ATIVIDADES ADMINISTRATIVAS E SERVIÇOS COMPLEMENTARES</v>
      </c>
      <c r="G1134" t="str">
        <f>VLOOKUP(B1134,Base!$B:$F,5,FALSE)</f>
        <v>ALUGUÉIS NÃO IMOBILIÁRIOS E GESTÃO DE ATIVOS INTANGÍVEIS NÃO FINANCEIROS</v>
      </c>
      <c r="H1134" t="str">
        <f>VLOOKUP(C1134,Base!$C:$F,4,FALSE)</f>
        <v>Aluguel de objetos pessoais e domésticos</v>
      </c>
      <c r="I1134" t="str">
        <f>VLOOKUP(D1134,Base!$D:$F,3,FALSE)</f>
        <v>Aluguel de objetos do vestuário, jóias e acessórios</v>
      </c>
      <c r="J1134" t="str">
        <f>VLOOKUP(E1134,Base!$E:$F,2,FALSE)</f>
        <v>Aluguel de objetos do vestuário, jóias e acessórios</v>
      </c>
      <c r="K1134" t="s">
        <v>3891</v>
      </c>
      <c r="L1134">
        <f>IFERROR(VLOOKUP($K1134,Base_Atividades!$E$1:$N$2398,MATCH(BancoAjustado!L$1,Base_Atividades!$E$1:$N$1,0),FALSE),0)</f>
        <v>0</v>
      </c>
      <c r="M1134">
        <f>IFERROR(VLOOKUP($K1134,Base_Atividades!$E$1:$N$2398,MATCH(BancoAjustado!M$1,Base_Atividades!$E$1:$N$1,0),FALSE),0)</f>
        <v>0</v>
      </c>
      <c r="N1134">
        <f>IFERROR(VLOOKUP($K1134,Base_Atividades!$E$1:$N$2398,MATCH(BancoAjustado!N$1,Base_Atividades!$E$1:$N$1,0),FALSE),0)</f>
        <v>0</v>
      </c>
    </row>
    <row r="1135" spans="1:14" x14ac:dyDescent="0.25">
      <c r="A1135" t="s">
        <v>3876</v>
      </c>
      <c r="B1135" t="s">
        <v>3877</v>
      </c>
      <c r="C1135" t="s">
        <v>3885</v>
      </c>
      <c r="D1135" t="s">
        <v>3892</v>
      </c>
      <c r="E1135" t="s">
        <v>3893</v>
      </c>
      <c r="F1135" t="str">
        <f>VLOOKUP(A1135,Base!$A:$F,6,FALSE)</f>
        <v>ATIVIDADES ADMINISTRATIVAS E SERVIÇOS COMPLEMENTARES</v>
      </c>
      <c r="G1135" t="str">
        <f>VLOOKUP(B1135,Base!$B:$F,5,FALSE)</f>
        <v>ALUGUÉIS NÃO IMOBILIÁRIOS E GESTÃO DE ATIVOS INTANGÍVEIS NÃO FINANCEIROS</v>
      </c>
      <c r="H1135" t="str">
        <f>VLOOKUP(C1135,Base!$C:$F,4,FALSE)</f>
        <v>Aluguel de objetos pessoais e domésticos</v>
      </c>
      <c r="I1135" t="str">
        <f>VLOOKUP(D1135,Base!$D:$F,3,FALSE)</f>
        <v>Aluguel de objetos pessoais e domésticos não especificados anteriormente</v>
      </c>
      <c r="J1135" t="str">
        <f>VLOOKUP(E1135,Base!$E:$F,2,FALSE)</f>
        <v>Aluguel de aparelhos de jogos eletrônicos</v>
      </c>
      <c r="K1135" t="s">
        <v>3893</v>
      </c>
      <c r="L1135">
        <f>IFERROR(VLOOKUP($K1135,Base_Atividades!$E$1:$N$2398,MATCH(BancoAjustado!L$1,Base_Atividades!$E$1:$N$1,0),FALSE),0)</f>
        <v>0</v>
      </c>
      <c r="M1135">
        <f>IFERROR(VLOOKUP($K1135,Base_Atividades!$E$1:$N$2398,MATCH(BancoAjustado!M$1,Base_Atividades!$E$1:$N$1,0),FALSE),0)</f>
        <v>0</v>
      </c>
      <c r="N1135">
        <f>IFERROR(VLOOKUP($K1135,Base_Atividades!$E$1:$N$2398,MATCH(BancoAjustado!N$1,Base_Atividades!$E$1:$N$1,0),FALSE),0)</f>
        <v>0</v>
      </c>
    </row>
    <row r="1136" spans="1:14" x14ac:dyDescent="0.25">
      <c r="A1136" t="s">
        <v>3876</v>
      </c>
      <c r="B1136" t="s">
        <v>3877</v>
      </c>
      <c r="C1136" t="s">
        <v>3885</v>
      </c>
      <c r="D1136" t="s">
        <v>3892</v>
      </c>
      <c r="E1136" t="s">
        <v>3894</v>
      </c>
      <c r="F1136" t="str">
        <f>VLOOKUP(A1136,Base!$A:$F,6,FALSE)</f>
        <v>ATIVIDADES ADMINISTRATIVAS E SERVIÇOS COMPLEMENTARES</v>
      </c>
      <c r="G1136" t="str">
        <f>VLOOKUP(B1136,Base!$B:$F,5,FALSE)</f>
        <v>ALUGUÉIS NÃO IMOBILIÁRIOS E GESTÃO DE ATIVOS INTANGÍVEIS NÃO FINANCEIROS</v>
      </c>
      <c r="H1136" t="str">
        <f>VLOOKUP(C1136,Base!$C:$F,4,FALSE)</f>
        <v>Aluguel de objetos pessoais e domésticos</v>
      </c>
      <c r="I1136" t="str">
        <f>VLOOKUP(D1136,Base!$D:$F,3,FALSE)</f>
        <v>Aluguel de objetos pessoais e domésticos não especificados anteriormente</v>
      </c>
      <c r="J1136" t="str">
        <f>VLOOKUP(E1136,Base!$E:$F,2,FALSE)</f>
        <v>Aluguel de móveis, utensílios e aparelhos de uso doméstico e pessoal; instrumentos musicais</v>
      </c>
      <c r="K1136" t="s">
        <v>3894</v>
      </c>
      <c r="L1136">
        <f>IFERROR(VLOOKUP($K1136,Base_Atividades!$E$1:$N$2398,MATCH(BancoAjustado!L$1,Base_Atividades!$E$1:$N$1,0),FALSE),0)</f>
        <v>0</v>
      </c>
      <c r="M1136">
        <f>IFERROR(VLOOKUP($K1136,Base_Atividades!$E$1:$N$2398,MATCH(BancoAjustado!M$1,Base_Atividades!$E$1:$N$1,0),FALSE),0)</f>
        <v>0</v>
      </c>
      <c r="N1136">
        <f>IFERROR(VLOOKUP($K1136,Base_Atividades!$E$1:$N$2398,MATCH(BancoAjustado!N$1,Base_Atividades!$E$1:$N$1,0),FALSE),0)</f>
        <v>0</v>
      </c>
    </row>
    <row r="1137" spans="1:14" x14ac:dyDescent="0.25">
      <c r="A1137" t="s">
        <v>3876</v>
      </c>
      <c r="B1137" t="s">
        <v>3877</v>
      </c>
      <c r="C1137" t="s">
        <v>3885</v>
      </c>
      <c r="D1137" t="s">
        <v>3892</v>
      </c>
      <c r="E1137" t="s">
        <v>3895</v>
      </c>
      <c r="F1137" t="str">
        <f>VLOOKUP(A1137,Base!$A:$F,6,FALSE)</f>
        <v>ATIVIDADES ADMINISTRATIVAS E SERVIÇOS COMPLEMENTARES</v>
      </c>
      <c r="G1137" t="str">
        <f>VLOOKUP(B1137,Base!$B:$F,5,FALSE)</f>
        <v>ALUGUÉIS NÃO IMOBILIÁRIOS E GESTÃO DE ATIVOS INTANGÍVEIS NÃO FINANCEIROS</v>
      </c>
      <c r="H1137" t="str">
        <f>VLOOKUP(C1137,Base!$C:$F,4,FALSE)</f>
        <v>Aluguel de objetos pessoais e domésticos</v>
      </c>
      <c r="I1137" t="str">
        <f>VLOOKUP(D1137,Base!$D:$F,3,FALSE)</f>
        <v>Aluguel de objetos pessoais e domésticos não especificados anteriormente</v>
      </c>
      <c r="J1137" t="str">
        <f>VLOOKUP(E1137,Base!$E:$F,2,FALSE)</f>
        <v>Aluguel de material médico</v>
      </c>
      <c r="K1137" t="s">
        <v>3895</v>
      </c>
      <c r="L1137">
        <f>IFERROR(VLOOKUP($K1137,Base_Atividades!$E$1:$N$2398,MATCH(BancoAjustado!L$1,Base_Atividades!$E$1:$N$1,0),FALSE),0)</f>
        <v>0</v>
      </c>
      <c r="M1137">
        <f>IFERROR(VLOOKUP($K1137,Base_Atividades!$E$1:$N$2398,MATCH(BancoAjustado!M$1,Base_Atividades!$E$1:$N$1,0),FALSE),0)</f>
        <v>0</v>
      </c>
      <c r="N1137">
        <f>IFERROR(VLOOKUP($K1137,Base_Atividades!$E$1:$N$2398,MATCH(BancoAjustado!N$1,Base_Atividades!$E$1:$N$1,0),FALSE),0)</f>
        <v>0</v>
      </c>
    </row>
    <row r="1138" spans="1:14" x14ac:dyDescent="0.25">
      <c r="A1138" t="s">
        <v>3876</v>
      </c>
      <c r="B1138" t="s">
        <v>3877</v>
      </c>
      <c r="C1138" t="s">
        <v>3885</v>
      </c>
      <c r="D1138" t="s">
        <v>3892</v>
      </c>
      <c r="E1138" t="s">
        <v>3896</v>
      </c>
      <c r="F1138" t="str">
        <f>VLOOKUP(A1138,Base!$A:$F,6,FALSE)</f>
        <v>ATIVIDADES ADMINISTRATIVAS E SERVIÇOS COMPLEMENTARES</v>
      </c>
      <c r="G1138" t="str">
        <f>VLOOKUP(B1138,Base!$B:$F,5,FALSE)</f>
        <v>ALUGUÉIS NÃO IMOBILIÁRIOS E GESTÃO DE ATIVOS INTANGÍVEIS NÃO FINANCEIROS</v>
      </c>
      <c r="H1138" t="str">
        <f>VLOOKUP(C1138,Base!$C:$F,4,FALSE)</f>
        <v>Aluguel de objetos pessoais e domésticos</v>
      </c>
      <c r="I1138" t="str">
        <f>VLOOKUP(D1138,Base!$D:$F,3,FALSE)</f>
        <v>Aluguel de objetos pessoais e domésticos não especificados anteriormente</v>
      </c>
      <c r="J1138" t="str">
        <f>VLOOKUP(E1138,Base!$E:$F,2,FALSE)</f>
        <v>Aluguel de outros objetos pessoais e domésticos não especificados anteriormente</v>
      </c>
      <c r="K1138" t="s">
        <v>3896</v>
      </c>
      <c r="L1138">
        <f>IFERROR(VLOOKUP($K1138,Base_Atividades!$E$1:$N$2398,MATCH(BancoAjustado!L$1,Base_Atividades!$E$1:$N$1,0),FALSE),0)</f>
        <v>0</v>
      </c>
      <c r="M1138">
        <f>IFERROR(VLOOKUP($K1138,Base_Atividades!$E$1:$N$2398,MATCH(BancoAjustado!M$1,Base_Atividades!$E$1:$N$1,0),FALSE),0)</f>
        <v>0</v>
      </c>
      <c r="N1138">
        <f>IFERROR(VLOOKUP($K1138,Base_Atividades!$E$1:$N$2398,MATCH(BancoAjustado!N$1,Base_Atividades!$E$1:$N$1,0),FALSE),0)</f>
        <v>0</v>
      </c>
    </row>
    <row r="1139" spans="1:14" x14ac:dyDescent="0.25">
      <c r="A1139" t="s">
        <v>3876</v>
      </c>
      <c r="B1139" t="s">
        <v>3877</v>
      </c>
      <c r="C1139" t="s">
        <v>3897</v>
      </c>
      <c r="D1139" t="s">
        <v>3898</v>
      </c>
      <c r="E1139" t="s">
        <v>3899</v>
      </c>
      <c r="F1139" t="str">
        <f>VLOOKUP(A1139,Base!$A:$F,6,FALSE)</f>
        <v>ATIVIDADES ADMINISTRATIVAS E SERVIÇOS COMPLEMENTARES</v>
      </c>
      <c r="G1139" t="str">
        <f>VLOOKUP(B1139,Base!$B:$F,5,FALSE)</f>
        <v>ALUGUÉIS NÃO IMOBILIÁRIOS E GESTÃO DE ATIVOS INTANGÍVEIS NÃO FINANCEIROS</v>
      </c>
      <c r="H1139" t="str">
        <f>VLOOKUP(C1139,Base!$C:$F,4,FALSE)</f>
        <v>Aluguel de máquinas e equipamentos sem operador</v>
      </c>
      <c r="I1139" t="str">
        <f>VLOOKUP(D1139,Base!$D:$F,3,FALSE)</f>
        <v>Aluguel de máquinas e equipamentos agrícolas sem operador</v>
      </c>
      <c r="J1139" t="str">
        <f>VLOOKUP(E1139,Base!$E:$F,2,FALSE)</f>
        <v>Aluguel de máquinas e equipamentos agrícolas sem operador</v>
      </c>
      <c r="K1139" t="s">
        <v>3899</v>
      </c>
      <c r="L1139">
        <f>IFERROR(VLOOKUP($K1139,Base_Atividades!$E$1:$N$2398,MATCH(BancoAjustado!L$1,Base_Atividades!$E$1:$N$1,0),FALSE),0)</f>
        <v>0</v>
      </c>
      <c r="M1139">
        <f>IFERROR(VLOOKUP($K1139,Base_Atividades!$E$1:$N$2398,MATCH(BancoAjustado!M$1,Base_Atividades!$E$1:$N$1,0),FALSE),0)</f>
        <v>0</v>
      </c>
      <c r="N1139">
        <f>IFERROR(VLOOKUP($K1139,Base_Atividades!$E$1:$N$2398,MATCH(BancoAjustado!N$1,Base_Atividades!$E$1:$N$1,0),FALSE),0)</f>
        <v>0</v>
      </c>
    </row>
    <row r="1140" spans="1:14" x14ac:dyDescent="0.25">
      <c r="A1140" t="s">
        <v>3876</v>
      </c>
      <c r="B1140" t="s">
        <v>3877</v>
      </c>
      <c r="C1140" t="s">
        <v>3897</v>
      </c>
      <c r="D1140" t="s">
        <v>3900</v>
      </c>
      <c r="E1140" t="s">
        <v>3901</v>
      </c>
      <c r="F1140" t="str">
        <f>VLOOKUP(A1140,Base!$A:$F,6,FALSE)</f>
        <v>ATIVIDADES ADMINISTRATIVAS E SERVIÇOS COMPLEMENTARES</v>
      </c>
      <c r="G1140" t="str">
        <f>VLOOKUP(B1140,Base!$B:$F,5,FALSE)</f>
        <v>ALUGUÉIS NÃO IMOBILIÁRIOS E GESTÃO DE ATIVOS INTANGÍVEIS NÃO FINANCEIROS</v>
      </c>
      <c r="H1140" t="str">
        <f>VLOOKUP(C1140,Base!$C:$F,4,FALSE)</f>
        <v>Aluguel de máquinas e equipamentos sem operador</v>
      </c>
      <c r="I1140" t="str">
        <f>VLOOKUP(D1140,Base!$D:$F,3,FALSE)</f>
        <v>Aluguel de máquinas e equipamentos para construção sem operador</v>
      </c>
      <c r="J1140" t="str">
        <f>VLOOKUP(E1140,Base!$E:$F,2,FALSE)</f>
        <v>Aluguel de máquinas e equipamentos para construção sem operador, exceto andaimes</v>
      </c>
      <c r="K1140" t="s">
        <v>3901</v>
      </c>
      <c r="L1140">
        <f>IFERROR(VLOOKUP($K1140,Base_Atividades!$E$1:$N$2398,MATCH(BancoAjustado!L$1,Base_Atividades!$E$1:$N$1,0),FALSE),0)</f>
        <v>0</v>
      </c>
      <c r="M1140">
        <f>IFERROR(VLOOKUP($K1140,Base_Atividades!$E$1:$N$2398,MATCH(BancoAjustado!M$1,Base_Atividades!$E$1:$N$1,0),FALSE),0)</f>
        <v>0</v>
      </c>
      <c r="N1140">
        <f>IFERROR(VLOOKUP($K1140,Base_Atividades!$E$1:$N$2398,MATCH(BancoAjustado!N$1,Base_Atividades!$E$1:$N$1,0),FALSE),0)</f>
        <v>0</v>
      </c>
    </row>
    <row r="1141" spans="1:14" x14ac:dyDescent="0.25">
      <c r="A1141" t="s">
        <v>3876</v>
      </c>
      <c r="B1141" t="s">
        <v>3877</v>
      </c>
      <c r="C1141" t="s">
        <v>3897</v>
      </c>
      <c r="D1141" t="s">
        <v>3900</v>
      </c>
      <c r="E1141" t="s">
        <v>3902</v>
      </c>
      <c r="F1141" t="str">
        <f>VLOOKUP(A1141,Base!$A:$F,6,FALSE)</f>
        <v>ATIVIDADES ADMINISTRATIVAS E SERVIÇOS COMPLEMENTARES</v>
      </c>
      <c r="G1141" t="str">
        <f>VLOOKUP(B1141,Base!$B:$F,5,FALSE)</f>
        <v>ALUGUÉIS NÃO IMOBILIÁRIOS E GESTÃO DE ATIVOS INTANGÍVEIS NÃO FINANCEIROS</v>
      </c>
      <c r="H1141" t="str">
        <f>VLOOKUP(C1141,Base!$C:$F,4,FALSE)</f>
        <v>Aluguel de máquinas e equipamentos sem operador</v>
      </c>
      <c r="I1141" t="str">
        <f>VLOOKUP(D1141,Base!$D:$F,3,FALSE)</f>
        <v>Aluguel de máquinas e equipamentos para construção sem operador</v>
      </c>
      <c r="J1141" t="str">
        <f>VLOOKUP(E1141,Base!$E:$F,2,FALSE)</f>
        <v>Aluguel de andaimes</v>
      </c>
      <c r="K1141" t="s">
        <v>3902</v>
      </c>
      <c r="L1141">
        <f>IFERROR(VLOOKUP($K1141,Base_Atividades!$E$1:$N$2398,MATCH(BancoAjustado!L$1,Base_Atividades!$E$1:$N$1,0),FALSE),0)</f>
        <v>0</v>
      </c>
      <c r="M1141">
        <f>IFERROR(VLOOKUP($K1141,Base_Atividades!$E$1:$N$2398,MATCH(BancoAjustado!M$1,Base_Atividades!$E$1:$N$1,0),FALSE),0)</f>
        <v>0</v>
      </c>
      <c r="N1141">
        <f>IFERROR(VLOOKUP($K1141,Base_Atividades!$E$1:$N$2398,MATCH(BancoAjustado!N$1,Base_Atividades!$E$1:$N$1,0),FALSE),0)</f>
        <v>0</v>
      </c>
    </row>
    <row r="1142" spans="1:14" x14ac:dyDescent="0.25">
      <c r="A1142" t="s">
        <v>3876</v>
      </c>
      <c r="B1142" t="s">
        <v>3877</v>
      </c>
      <c r="C1142" t="s">
        <v>3897</v>
      </c>
      <c r="D1142" t="s">
        <v>3903</v>
      </c>
      <c r="E1142" t="s">
        <v>3904</v>
      </c>
      <c r="F1142" t="str">
        <f>VLOOKUP(A1142,Base!$A:$F,6,FALSE)</f>
        <v>ATIVIDADES ADMINISTRATIVAS E SERVIÇOS COMPLEMENTARES</v>
      </c>
      <c r="G1142" t="str">
        <f>VLOOKUP(B1142,Base!$B:$F,5,FALSE)</f>
        <v>ALUGUÉIS NÃO IMOBILIÁRIOS E GESTÃO DE ATIVOS INTANGÍVEIS NÃO FINANCEIROS</v>
      </c>
      <c r="H1142" t="str">
        <f>VLOOKUP(C1142,Base!$C:$F,4,FALSE)</f>
        <v>Aluguel de máquinas e equipamentos sem operador</v>
      </c>
      <c r="I1142" t="str">
        <f>VLOOKUP(D1142,Base!$D:$F,3,FALSE)</f>
        <v>Aluguel de máquinas e equipamentos para escritório</v>
      </c>
      <c r="J1142" t="str">
        <f>VLOOKUP(E1142,Base!$E:$F,2,FALSE)</f>
        <v>Aluguel de máquinas e equipamentos para escritório</v>
      </c>
      <c r="K1142" t="s">
        <v>3904</v>
      </c>
      <c r="L1142">
        <f>IFERROR(VLOOKUP($K1142,Base_Atividades!$E$1:$N$2398,MATCH(BancoAjustado!L$1,Base_Atividades!$E$1:$N$1,0),FALSE),0)</f>
        <v>0</v>
      </c>
      <c r="M1142">
        <f>IFERROR(VLOOKUP($K1142,Base_Atividades!$E$1:$N$2398,MATCH(BancoAjustado!M$1,Base_Atividades!$E$1:$N$1,0),FALSE),0)</f>
        <v>0</v>
      </c>
      <c r="N1142">
        <f>IFERROR(VLOOKUP($K1142,Base_Atividades!$E$1:$N$2398,MATCH(BancoAjustado!N$1,Base_Atividades!$E$1:$N$1,0),FALSE),0)</f>
        <v>0</v>
      </c>
    </row>
    <row r="1143" spans="1:14" x14ac:dyDescent="0.25">
      <c r="A1143" t="s">
        <v>3876</v>
      </c>
      <c r="B1143" t="s">
        <v>3877</v>
      </c>
      <c r="C1143" t="s">
        <v>3897</v>
      </c>
      <c r="D1143" t="s">
        <v>3905</v>
      </c>
      <c r="E1143" t="s">
        <v>3906</v>
      </c>
      <c r="F1143" t="str">
        <f>VLOOKUP(A1143,Base!$A:$F,6,FALSE)</f>
        <v>ATIVIDADES ADMINISTRATIVAS E SERVIÇOS COMPLEMENTARES</v>
      </c>
      <c r="G1143" t="str">
        <f>VLOOKUP(B1143,Base!$B:$F,5,FALSE)</f>
        <v>ALUGUÉIS NÃO IMOBILIÁRIOS E GESTÃO DE ATIVOS INTANGÍVEIS NÃO FINANCEIROS</v>
      </c>
      <c r="H1143" t="str">
        <f>VLOOKUP(C1143,Base!$C:$F,4,FALSE)</f>
        <v>Aluguel de máquinas e equipamentos sem operador</v>
      </c>
      <c r="I1143" t="str">
        <f>VLOOKUP(D1143,Base!$D:$F,3,FALSE)</f>
        <v>Aluguel de máquinas e equipamentos não especificados anteriormente</v>
      </c>
      <c r="J1143" t="str">
        <f>VLOOKUP(E1143,Base!$E:$F,2,FALSE)</f>
        <v>Aluguel de máquinas e equipamentos para extração de minérios e petróleo, sem operador</v>
      </c>
      <c r="K1143" t="s">
        <v>3906</v>
      </c>
      <c r="L1143">
        <f>IFERROR(VLOOKUP($K1143,Base_Atividades!$E$1:$N$2398,MATCH(BancoAjustado!L$1,Base_Atividades!$E$1:$N$1,0),FALSE),0)</f>
        <v>0</v>
      </c>
      <c r="M1143">
        <f>IFERROR(VLOOKUP($K1143,Base_Atividades!$E$1:$N$2398,MATCH(BancoAjustado!M$1,Base_Atividades!$E$1:$N$1,0),FALSE),0)</f>
        <v>0</v>
      </c>
      <c r="N1143">
        <f>IFERROR(VLOOKUP($K1143,Base_Atividades!$E$1:$N$2398,MATCH(BancoAjustado!N$1,Base_Atividades!$E$1:$N$1,0),FALSE),0)</f>
        <v>0</v>
      </c>
    </row>
    <row r="1144" spans="1:14" x14ac:dyDescent="0.25">
      <c r="A1144" t="s">
        <v>3876</v>
      </c>
      <c r="B1144" t="s">
        <v>3877</v>
      </c>
      <c r="C1144" t="s">
        <v>3897</v>
      </c>
      <c r="D1144" t="s">
        <v>3905</v>
      </c>
      <c r="E1144" t="s">
        <v>3907</v>
      </c>
      <c r="F1144" t="str">
        <f>VLOOKUP(A1144,Base!$A:$F,6,FALSE)</f>
        <v>ATIVIDADES ADMINISTRATIVAS E SERVIÇOS COMPLEMENTARES</v>
      </c>
      <c r="G1144" t="str">
        <f>VLOOKUP(B1144,Base!$B:$F,5,FALSE)</f>
        <v>ALUGUÉIS NÃO IMOBILIÁRIOS E GESTÃO DE ATIVOS INTANGÍVEIS NÃO FINANCEIROS</v>
      </c>
      <c r="H1144" t="str">
        <f>VLOOKUP(C1144,Base!$C:$F,4,FALSE)</f>
        <v>Aluguel de máquinas e equipamentos sem operador</v>
      </c>
      <c r="I1144" t="str">
        <f>VLOOKUP(D1144,Base!$D:$F,3,FALSE)</f>
        <v>Aluguel de máquinas e equipamentos não especificados anteriormente</v>
      </c>
      <c r="J1144" t="str">
        <f>VLOOKUP(E1144,Base!$E:$F,2,FALSE)</f>
        <v>Aluguel de equipamentos científicos, médicos e hospitalares, sem operador</v>
      </c>
      <c r="K1144" t="s">
        <v>3907</v>
      </c>
      <c r="L1144">
        <f>IFERROR(VLOOKUP($K1144,Base_Atividades!$E$1:$N$2398,MATCH(BancoAjustado!L$1,Base_Atividades!$E$1:$N$1,0),FALSE),0)</f>
        <v>0</v>
      </c>
      <c r="M1144">
        <f>IFERROR(VLOOKUP($K1144,Base_Atividades!$E$1:$N$2398,MATCH(BancoAjustado!M$1,Base_Atividades!$E$1:$N$1,0),FALSE),0)</f>
        <v>0</v>
      </c>
      <c r="N1144">
        <f>IFERROR(VLOOKUP($K1144,Base_Atividades!$E$1:$N$2398,MATCH(BancoAjustado!N$1,Base_Atividades!$E$1:$N$1,0),FALSE),0)</f>
        <v>0</v>
      </c>
    </row>
    <row r="1145" spans="1:14" x14ac:dyDescent="0.25">
      <c r="A1145" t="s">
        <v>3876</v>
      </c>
      <c r="B1145" t="s">
        <v>3877</v>
      </c>
      <c r="C1145" t="s">
        <v>3897</v>
      </c>
      <c r="D1145" t="s">
        <v>3905</v>
      </c>
      <c r="E1145" t="s">
        <v>3908</v>
      </c>
      <c r="F1145" t="str">
        <f>VLOOKUP(A1145,Base!$A:$F,6,FALSE)</f>
        <v>ATIVIDADES ADMINISTRATIVAS E SERVIÇOS COMPLEMENTARES</v>
      </c>
      <c r="G1145" t="str">
        <f>VLOOKUP(B1145,Base!$B:$F,5,FALSE)</f>
        <v>ALUGUÉIS NÃO IMOBILIÁRIOS E GESTÃO DE ATIVOS INTANGÍVEIS NÃO FINANCEIROS</v>
      </c>
      <c r="H1145" t="str">
        <f>VLOOKUP(C1145,Base!$C:$F,4,FALSE)</f>
        <v>Aluguel de máquinas e equipamentos sem operador</v>
      </c>
      <c r="I1145" t="str">
        <f>VLOOKUP(D1145,Base!$D:$F,3,FALSE)</f>
        <v>Aluguel de máquinas e equipamentos não especificados anteriormente</v>
      </c>
      <c r="J1145" t="str">
        <f>VLOOKUP(E1145,Base!$E:$F,2,FALSE)</f>
        <v>Aluguel de palcos, coberturas e outras estruturas de uso temporário, exceto andaimes</v>
      </c>
      <c r="K1145" t="s">
        <v>3908</v>
      </c>
      <c r="L1145">
        <f>IFERROR(VLOOKUP($K1145,Base_Atividades!$E$1:$N$2398,MATCH(BancoAjustado!L$1,Base_Atividades!$E$1:$N$1,0),FALSE),0)</f>
        <v>0</v>
      </c>
      <c r="M1145">
        <f>IFERROR(VLOOKUP($K1145,Base_Atividades!$E$1:$N$2398,MATCH(BancoAjustado!M$1,Base_Atividades!$E$1:$N$1,0),FALSE),0)</f>
        <v>0</v>
      </c>
      <c r="N1145">
        <f>IFERROR(VLOOKUP($K1145,Base_Atividades!$E$1:$N$2398,MATCH(BancoAjustado!N$1,Base_Atividades!$E$1:$N$1,0),FALSE),0)</f>
        <v>0</v>
      </c>
    </row>
    <row r="1146" spans="1:14" x14ac:dyDescent="0.25">
      <c r="A1146" t="s">
        <v>3876</v>
      </c>
      <c r="B1146" t="s">
        <v>3877</v>
      </c>
      <c r="C1146" t="s">
        <v>3897</v>
      </c>
      <c r="D1146" t="s">
        <v>3905</v>
      </c>
      <c r="E1146" t="s">
        <v>3909</v>
      </c>
      <c r="F1146" t="str">
        <f>VLOOKUP(A1146,Base!$A:$F,6,FALSE)</f>
        <v>ATIVIDADES ADMINISTRATIVAS E SERVIÇOS COMPLEMENTARES</v>
      </c>
      <c r="G1146" t="str">
        <f>VLOOKUP(B1146,Base!$B:$F,5,FALSE)</f>
        <v>ALUGUÉIS NÃO IMOBILIÁRIOS E GESTÃO DE ATIVOS INTANGÍVEIS NÃO FINANCEIROS</v>
      </c>
      <c r="H1146" t="str">
        <f>VLOOKUP(C1146,Base!$C:$F,4,FALSE)</f>
        <v>Aluguel de máquinas e equipamentos sem operador</v>
      </c>
      <c r="I1146" t="str">
        <f>VLOOKUP(D1146,Base!$D:$F,3,FALSE)</f>
        <v>Aluguel de máquinas e equipamentos não especificados anteriormente</v>
      </c>
      <c r="J1146" t="str">
        <f>VLOOKUP(E1146,Base!$E:$F,2,FALSE)</f>
        <v>Aluguel de outras máquinas e equipamentos comerciais e industriais não especificados anteriormente, sem operador</v>
      </c>
      <c r="K1146" t="s">
        <v>3909</v>
      </c>
      <c r="L1146">
        <f>IFERROR(VLOOKUP($K1146,Base_Atividades!$E$1:$N$2398,MATCH(BancoAjustado!L$1,Base_Atividades!$E$1:$N$1,0),FALSE),0)</f>
        <v>0</v>
      </c>
      <c r="M1146">
        <f>IFERROR(VLOOKUP($K1146,Base_Atividades!$E$1:$N$2398,MATCH(BancoAjustado!M$1,Base_Atividades!$E$1:$N$1,0),FALSE),0)</f>
        <v>0</v>
      </c>
      <c r="N1146">
        <f>IFERROR(VLOOKUP($K1146,Base_Atividades!$E$1:$N$2398,MATCH(BancoAjustado!N$1,Base_Atividades!$E$1:$N$1,0),FALSE),0)</f>
        <v>0</v>
      </c>
    </row>
    <row r="1147" spans="1:14" x14ac:dyDescent="0.25">
      <c r="A1147" t="s">
        <v>3876</v>
      </c>
      <c r="B1147" t="s">
        <v>3877</v>
      </c>
      <c r="C1147" t="s">
        <v>3910</v>
      </c>
      <c r="D1147" t="s">
        <v>3911</v>
      </c>
      <c r="E1147" t="s">
        <v>3912</v>
      </c>
      <c r="F1147" t="str">
        <f>VLOOKUP(A1147,Base!$A:$F,6,FALSE)</f>
        <v>ATIVIDADES ADMINISTRATIVAS E SERVIÇOS COMPLEMENTARES</v>
      </c>
      <c r="G1147" t="str">
        <f>VLOOKUP(B1147,Base!$B:$F,5,FALSE)</f>
        <v>ALUGUÉIS NÃO IMOBILIÁRIOS E GESTÃO DE ATIVOS INTANGÍVEIS NÃO FINANCEIROS</v>
      </c>
      <c r="H1147" t="str">
        <f>VLOOKUP(C1147,Base!$C:$F,4,FALSE)</f>
        <v>Gestão de ativos intangíveis não financeiros</v>
      </c>
      <c r="I1147" t="str">
        <f>VLOOKUP(D1147,Base!$D:$F,3,FALSE)</f>
        <v>Gestão de ativos intangíveis não financeiros</v>
      </c>
      <c r="J1147" t="str">
        <f>VLOOKUP(E1147,Base!$E:$F,2,FALSE)</f>
        <v>Gestão de ativos intangíveis não financeiros</v>
      </c>
      <c r="K1147" t="s">
        <v>3912</v>
      </c>
      <c r="L1147">
        <f>IFERROR(VLOOKUP($K1147,Base_Atividades!$E$1:$N$2398,MATCH(BancoAjustado!L$1,Base_Atividades!$E$1:$N$1,0),FALSE),0)</f>
        <v>0</v>
      </c>
      <c r="M1147">
        <f>IFERROR(VLOOKUP($K1147,Base_Atividades!$E$1:$N$2398,MATCH(BancoAjustado!M$1,Base_Atividades!$E$1:$N$1,0),FALSE),0)</f>
        <v>0</v>
      </c>
      <c r="N1147">
        <f>IFERROR(VLOOKUP($K1147,Base_Atividades!$E$1:$N$2398,MATCH(BancoAjustado!N$1,Base_Atividades!$E$1:$N$1,0),FALSE),0)</f>
        <v>0</v>
      </c>
    </row>
    <row r="1148" spans="1:14" x14ac:dyDescent="0.25">
      <c r="A1148" t="s">
        <v>3876</v>
      </c>
      <c r="B1148" t="s">
        <v>3913</v>
      </c>
      <c r="C1148" t="s">
        <v>3914</v>
      </c>
      <c r="D1148" t="s">
        <v>3915</v>
      </c>
      <c r="E1148" t="s">
        <v>3916</v>
      </c>
      <c r="F1148" t="str">
        <f>VLOOKUP(A1148,Base!$A:$F,6,FALSE)</f>
        <v>ATIVIDADES ADMINISTRATIVAS E SERVIÇOS COMPLEMENTARES</v>
      </c>
      <c r="G1148" t="str">
        <f>VLOOKUP(B1148,Base!$B:$F,5,FALSE)</f>
        <v>SELEÇÃO, AGENCIAMENTO E LOCAÇÃO DE MÃO DE OBRA</v>
      </c>
      <c r="H1148" t="str">
        <f>VLOOKUP(C1148,Base!$C:$F,4,FALSE)</f>
        <v>Seleção e agenciamento de mão de obra</v>
      </c>
      <c r="I1148" t="str">
        <f>VLOOKUP(D1148,Base!$D:$F,3,FALSE)</f>
        <v>Seleção e agenciamento de mão de obra</v>
      </c>
      <c r="J1148" t="str">
        <f>VLOOKUP(E1148,Base!$E:$F,2,FALSE)</f>
        <v>Seleção e agenciamento de mão de obra</v>
      </c>
      <c r="K1148" t="s">
        <v>3916</v>
      </c>
      <c r="L1148">
        <f>IFERROR(VLOOKUP($K1148,Base_Atividades!$E$1:$N$2398,MATCH(BancoAjustado!L$1,Base_Atividades!$E$1:$N$1,0),FALSE),0)</f>
        <v>0</v>
      </c>
      <c r="M1148">
        <f>IFERROR(VLOOKUP($K1148,Base_Atividades!$E$1:$N$2398,MATCH(BancoAjustado!M$1,Base_Atividades!$E$1:$N$1,0),FALSE),0)</f>
        <v>0</v>
      </c>
      <c r="N1148">
        <f>IFERROR(VLOOKUP($K1148,Base_Atividades!$E$1:$N$2398,MATCH(BancoAjustado!N$1,Base_Atividades!$E$1:$N$1,0),FALSE),0)</f>
        <v>0</v>
      </c>
    </row>
    <row r="1149" spans="1:14" x14ac:dyDescent="0.25">
      <c r="A1149" t="s">
        <v>3876</v>
      </c>
      <c r="B1149" t="s">
        <v>3913</v>
      </c>
      <c r="C1149" t="s">
        <v>3917</v>
      </c>
      <c r="D1149" t="s">
        <v>3918</v>
      </c>
      <c r="E1149" t="s">
        <v>3919</v>
      </c>
      <c r="F1149" t="str">
        <f>VLOOKUP(A1149,Base!$A:$F,6,FALSE)</f>
        <v>ATIVIDADES ADMINISTRATIVAS E SERVIÇOS COMPLEMENTARES</v>
      </c>
      <c r="G1149" t="str">
        <f>VLOOKUP(B1149,Base!$B:$F,5,FALSE)</f>
        <v>SELEÇÃO, AGENCIAMENTO E LOCAÇÃO DE MÃO DE OBRA</v>
      </c>
      <c r="H1149" t="str">
        <f>VLOOKUP(C1149,Base!$C:$F,4,FALSE)</f>
        <v>Locação de mão de obra temporária</v>
      </c>
      <c r="I1149" t="str">
        <f>VLOOKUP(D1149,Base!$D:$F,3,FALSE)</f>
        <v>Locação de mão de obra temporária</v>
      </c>
      <c r="J1149" t="str">
        <f>VLOOKUP(E1149,Base!$E:$F,2,FALSE)</f>
        <v>Locação de mão de obra temporária</v>
      </c>
      <c r="K1149" t="s">
        <v>3919</v>
      </c>
      <c r="L1149">
        <f>IFERROR(VLOOKUP($K1149,Base_Atividades!$E$1:$N$2398,MATCH(BancoAjustado!L$1,Base_Atividades!$E$1:$N$1,0),FALSE),0)</f>
        <v>0</v>
      </c>
      <c r="M1149">
        <f>IFERROR(VLOOKUP($K1149,Base_Atividades!$E$1:$N$2398,MATCH(BancoAjustado!M$1,Base_Atividades!$E$1:$N$1,0),FALSE),0)</f>
        <v>0</v>
      </c>
      <c r="N1149">
        <f>IFERROR(VLOOKUP($K1149,Base_Atividades!$E$1:$N$2398,MATCH(BancoAjustado!N$1,Base_Atividades!$E$1:$N$1,0),FALSE),0)</f>
        <v>0</v>
      </c>
    </row>
    <row r="1150" spans="1:14" x14ac:dyDescent="0.25">
      <c r="A1150" t="s">
        <v>3876</v>
      </c>
      <c r="B1150" t="s">
        <v>3913</v>
      </c>
      <c r="C1150" t="s">
        <v>3920</v>
      </c>
      <c r="D1150" t="s">
        <v>3921</v>
      </c>
      <c r="E1150" t="s">
        <v>3922</v>
      </c>
      <c r="F1150" t="str">
        <f>VLOOKUP(A1150,Base!$A:$F,6,FALSE)</f>
        <v>ATIVIDADES ADMINISTRATIVAS E SERVIÇOS COMPLEMENTARES</v>
      </c>
      <c r="G1150" t="str">
        <f>VLOOKUP(B1150,Base!$B:$F,5,FALSE)</f>
        <v>SELEÇÃO, AGENCIAMENTO E LOCAÇÃO DE MÃO DE OBRA</v>
      </c>
      <c r="H1150" t="str">
        <f>VLOOKUP(C1150,Base!$C:$F,4,FALSE)</f>
        <v>Fornecimento e gestão de recursos humanos para terceiros</v>
      </c>
      <c r="I1150" t="str">
        <f>VLOOKUP(D1150,Base!$D:$F,3,FALSE)</f>
        <v>Fornecimento e gestão de recursos humanos para terceiros</v>
      </c>
      <c r="J1150" t="str">
        <f>VLOOKUP(E1150,Base!$E:$F,2,FALSE)</f>
        <v>Fornecimento e gestão de recursos humanos para terceiros</v>
      </c>
      <c r="K1150" t="s">
        <v>3922</v>
      </c>
      <c r="L1150">
        <f>IFERROR(VLOOKUP($K1150,Base_Atividades!$E$1:$N$2398,MATCH(BancoAjustado!L$1,Base_Atividades!$E$1:$N$1,0),FALSE),0)</f>
        <v>0</v>
      </c>
      <c r="M1150">
        <f>IFERROR(VLOOKUP($K1150,Base_Atividades!$E$1:$N$2398,MATCH(BancoAjustado!M$1,Base_Atividades!$E$1:$N$1,0),FALSE),0)</f>
        <v>0</v>
      </c>
      <c r="N1150">
        <f>IFERROR(VLOOKUP($K1150,Base_Atividades!$E$1:$N$2398,MATCH(BancoAjustado!N$1,Base_Atividades!$E$1:$N$1,0),FALSE),0)</f>
        <v>0</v>
      </c>
    </row>
    <row r="1151" spans="1:14" x14ac:dyDescent="0.25">
      <c r="A1151" t="s">
        <v>3876</v>
      </c>
      <c r="B1151" t="s">
        <v>3923</v>
      </c>
      <c r="C1151" t="s">
        <v>3924</v>
      </c>
      <c r="D1151" t="s">
        <v>3925</v>
      </c>
      <c r="E1151" t="s">
        <v>3926</v>
      </c>
      <c r="F1151" t="str">
        <f>VLOOKUP(A1151,Base!$A:$F,6,FALSE)</f>
        <v>ATIVIDADES ADMINISTRATIVAS E SERVIÇOS COMPLEMENTARES</v>
      </c>
      <c r="G1151" t="str">
        <f>VLOOKUP(B1151,Base!$B:$F,5,FALSE)</f>
        <v>AGÊNCIAS DE VIAGENS, OPERADORES TURÍSTICOS E SERVIÇOS DE RESERVAS</v>
      </c>
      <c r="H1151" t="str">
        <f>VLOOKUP(C1151,Base!$C:$F,4,FALSE)</f>
        <v>Agências de viagens e operadores turísticos</v>
      </c>
      <c r="I1151" t="str">
        <f>VLOOKUP(D1151,Base!$D:$F,3,FALSE)</f>
        <v>Agências de viagens</v>
      </c>
      <c r="J1151" t="str">
        <f>VLOOKUP(E1151,Base!$E:$F,2,FALSE)</f>
        <v>Agências de viagens</v>
      </c>
      <c r="K1151" t="s">
        <v>3926</v>
      </c>
      <c r="L1151">
        <f>IFERROR(VLOOKUP($K1151,Base_Atividades!$E$1:$N$2398,MATCH(BancoAjustado!L$1,Base_Atividades!$E$1:$N$1,0),FALSE),0)</f>
        <v>1</v>
      </c>
      <c r="M1151">
        <f>IFERROR(VLOOKUP($K1151,Base_Atividades!$E$1:$N$2398,MATCH(BancoAjustado!M$1,Base_Atividades!$E$1:$N$1,0),FALSE),0)</f>
        <v>0</v>
      </c>
      <c r="N1151">
        <f>IFERROR(VLOOKUP($K1151,Base_Atividades!$E$1:$N$2398,MATCH(BancoAjustado!N$1,Base_Atividades!$E$1:$N$1,0),FALSE),0)</f>
        <v>0</v>
      </c>
    </row>
    <row r="1152" spans="1:14" x14ac:dyDescent="0.25">
      <c r="A1152" t="s">
        <v>3876</v>
      </c>
      <c r="B1152" t="s">
        <v>3923</v>
      </c>
      <c r="C1152" t="s">
        <v>3924</v>
      </c>
      <c r="D1152" t="s">
        <v>3927</v>
      </c>
      <c r="E1152" t="s">
        <v>3928</v>
      </c>
      <c r="F1152" t="str">
        <f>VLOOKUP(A1152,Base!$A:$F,6,FALSE)</f>
        <v>ATIVIDADES ADMINISTRATIVAS E SERVIÇOS COMPLEMENTARES</v>
      </c>
      <c r="G1152" t="str">
        <f>VLOOKUP(B1152,Base!$B:$F,5,FALSE)</f>
        <v>AGÊNCIAS DE VIAGENS, OPERADORES TURÍSTICOS E SERVIÇOS DE RESERVAS</v>
      </c>
      <c r="H1152" t="str">
        <f>VLOOKUP(C1152,Base!$C:$F,4,FALSE)</f>
        <v>Agências de viagens e operadores turísticos</v>
      </c>
      <c r="I1152" t="str">
        <f>VLOOKUP(D1152,Base!$D:$F,3,FALSE)</f>
        <v>Operadores turísticos</v>
      </c>
      <c r="J1152" t="str">
        <f>VLOOKUP(E1152,Base!$E:$F,2,FALSE)</f>
        <v>Operadores turísticos</v>
      </c>
      <c r="K1152" t="s">
        <v>3928</v>
      </c>
      <c r="L1152">
        <f>IFERROR(VLOOKUP($K1152,Base_Atividades!$E$1:$N$2398,MATCH(BancoAjustado!L$1,Base_Atividades!$E$1:$N$1,0),FALSE),0)</f>
        <v>1</v>
      </c>
      <c r="M1152">
        <f>IFERROR(VLOOKUP($K1152,Base_Atividades!$E$1:$N$2398,MATCH(BancoAjustado!M$1,Base_Atividades!$E$1:$N$1,0),FALSE),0)</f>
        <v>0</v>
      </c>
      <c r="N1152">
        <f>IFERROR(VLOOKUP($K1152,Base_Atividades!$E$1:$N$2398,MATCH(BancoAjustado!N$1,Base_Atividades!$E$1:$N$1,0),FALSE),0)</f>
        <v>0</v>
      </c>
    </row>
    <row r="1153" spans="1:14" x14ac:dyDescent="0.25">
      <c r="A1153" t="s">
        <v>3876</v>
      </c>
      <c r="B1153" t="s">
        <v>3923</v>
      </c>
      <c r="C1153" t="s">
        <v>3929</v>
      </c>
      <c r="D1153" t="s">
        <v>3930</v>
      </c>
      <c r="E1153" t="s">
        <v>3931</v>
      </c>
      <c r="F1153" t="str">
        <f>VLOOKUP(A1153,Base!$A:$F,6,FALSE)</f>
        <v>ATIVIDADES ADMINISTRATIVAS E SERVIÇOS COMPLEMENTARES</v>
      </c>
      <c r="G1153" t="str">
        <f>VLOOKUP(B1153,Base!$B:$F,5,FALSE)</f>
        <v>AGÊNCIAS DE VIAGENS, OPERADORES TURÍSTICOS E SERVIÇOS DE RESERVAS</v>
      </c>
      <c r="H1153" t="str">
        <f>VLOOKUP(C1153,Base!$C:$F,4,FALSE)</f>
        <v>Serviços de reservas e outros serviços de turismo não especificados anteriormente</v>
      </c>
      <c r="I1153" t="str">
        <f>VLOOKUP(D1153,Base!$D:$F,3,FALSE)</f>
        <v>Serviços de reservas e outros serviços de turismo não especificados anteriormente</v>
      </c>
      <c r="J1153" t="str">
        <f>VLOOKUP(E1153,Base!$E:$F,2,FALSE)</f>
        <v>Serviços de reservas e outros serviços de turismo não especificados anteriormente</v>
      </c>
      <c r="K1153" t="s">
        <v>3931</v>
      </c>
      <c r="L1153">
        <f>IFERROR(VLOOKUP($K1153,Base_Atividades!$E$1:$N$2398,MATCH(BancoAjustado!L$1,Base_Atividades!$E$1:$N$1,0),FALSE),0)</f>
        <v>1</v>
      </c>
      <c r="M1153">
        <f>IFERROR(VLOOKUP($K1153,Base_Atividades!$E$1:$N$2398,MATCH(BancoAjustado!M$1,Base_Atividades!$E$1:$N$1,0),FALSE),0)</f>
        <v>0</v>
      </c>
      <c r="N1153">
        <f>IFERROR(VLOOKUP($K1153,Base_Atividades!$E$1:$N$2398,MATCH(BancoAjustado!N$1,Base_Atividades!$E$1:$N$1,0),FALSE),0)</f>
        <v>0</v>
      </c>
    </row>
    <row r="1154" spans="1:14" x14ac:dyDescent="0.25">
      <c r="A1154" t="s">
        <v>3876</v>
      </c>
      <c r="B1154" t="s">
        <v>3932</v>
      </c>
      <c r="C1154" t="s">
        <v>3933</v>
      </c>
      <c r="D1154" t="s">
        <v>3934</v>
      </c>
      <c r="E1154" t="s">
        <v>3935</v>
      </c>
      <c r="F1154" t="str">
        <f>VLOOKUP(A1154,Base!$A:$F,6,FALSE)</f>
        <v>ATIVIDADES ADMINISTRATIVAS E SERVIÇOS COMPLEMENTARES</v>
      </c>
      <c r="G1154" t="str">
        <f>VLOOKUP(B1154,Base!$B:$F,5,FALSE)</f>
        <v>ATIVIDADES DE VIGILÂNCIA, SEGURANÇA E INVESTIGAÇÃO</v>
      </c>
      <c r="H1154" t="str">
        <f>VLOOKUP(C1154,Base!$C:$F,4,FALSE)</f>
        <v>Atividades de vigilância, segurança privada e transporte de valores</v>
      </c>
      <c r="I1154" t="str">
        <f>VLOOKUP(D1154,Base!$D:$F,3,FALSE)</f>
        <v>Atividades de vigilância e segurança privada</v>
      </c>
      <c r="J1154" t="str">
        <f>VLOOKUP(E1154,Base!$E:$F,2,FALSE)</f>
        <v>Atividades de vigilância e segurança privada</v>
      </c>
      <c r="K1154" t="s">
        <v>3935</v>
      </c>
      <c r="L1154">
        <f>IFERROR(VLOOKUP($K1154,Base_Atividades!$E$1:$N$2398,MATCH(BancoAjustado!L$1,Base_Atividades!$E$1:$N$1,0),FALSE),0)</f>
        <v>0</v>
      </c>
      <c r="M1154">
        <f>IFERROR(VLOOKUP($K1154,Base_Atividades!$E$1:$N$2398,MATCH(BancoAjustado!M$1,Base_Atividades!$E$1:$N$1,0),FALSE),0)</f>
        <v>0</v>
      </c>
      <c r="N1154">
        <f>IFERROR(VLOOKUP($K1154,Base_Atividades!$E$1:$N$2398,MATCH(BancoAjustado!N$1,Base_Atividades!$E$1:$N$1,0),FALSE),0)</f>
        <v>0</v>
      </c>
    </row>
    <row r="1155" spans="1:14" x14ac:dyDescent="0.25">
      <c r="A1155" t="s">
        <v>3876</v>
      </c>
      <c r="B1155" t="s">
        <v>3932</v>
      </c>
      <c r="C1155" t="s">
        <v>3933</v>
      </c>
      <c r="D1155" t="s">
        <v>3934</v>
      </c>
      <c r="E1155" t="s">
        <v>3936</v>
      </c>
      <c r="F1155" t="str">
        <f>VLOOKUP(A1155,Base!$A:$F,6,FALSE)</f>
        <v>ATIVIDADES ADMINISTRATIVAS E SERVIÇOS COMPLEMENTARES</v>
      </c>
      <c r="G1155" t="str">
        <f>VLOOKUP(B1155,Base!$B:$F,5,FALSE)</f>
        <v>ATIVIDADES DE VIGILÂNCIA, SEGURANÇA E INVESTIGAÇÃO</v>
      </c>
      <c r="H1155" t="str">
        <f>VLOOKUP(C1155,Base!$C:$F,4,FALSE)</f>
        <v>Atividades de vigilância, segurança privada e transporte de valores</v>
      </c>
      <c r="I1155" t="str">
        <f>VLOOKUP(D1155,Base!$D:$F,3,FALSE)</f>
        <v>Atividades de vigilância e segurança privada</v>
      </c>
      <c r="J1155" t="str">
        <f>VLOOKUP(E1155,Base!$E:$F,2,FALSE)</f>
        <v>Serviços de adestramento de cães de guarda</v>
      </c>
      <c r="K1155" t="s">
        <v>3936</v>
      </c>
      <c r="L1155">
        <f>IFERROR(VLOOKUP($K1155,Base_Atividades!$E$1:$N$2398,MATCH(BancoAjustado!L$1,Base_Atividades!$E$1:$N$1,0),FALSE),0)</f>
        <v>0</v>
      </c>
      <c r="M1155">
        <f>IFERROR(VLOOKUP($K1155,Base_Atividades!$E$1:$N$2398,MATCH(BancoAjustado!M$1,Base_Atividades!$E$1:$N$1,0),FALSE),0)</f>
        <v>0</v>
      </c>
      <c r="N1155">
        <f>IFERROR(VLOOKUP($K1155,Base_Atividades!$E$1:$N$2398,MATCH(BancoAjustado!N$1,Base_Atividades!$E$1:$N$1,0),FALSE),0)</f>
        <v>0</v>
      </c>
    </row>
    <row r="1156" spans="1:14" x14ac:dyDescent="0.25">
      <c r="A1156" t="s">
        <v>3876</v>
      </c>
      <c r="B1156" t="s">
        <v>3932</v>
      </c>
      <c r="C1156" t="s">
        <v>3933</v>
      </c>
      <c r="D1156" t="s">
        <v>3937</v>
      </c>
      <c r="E1156" t="s">
        <v>3938</v>
      </c>
      <c r="F1156" t="str">
        <f>VLOOKUP(A1156,Base!$A:$F,6,FALSE)</f>
        <v>ATIVIDADES ADMINISTRATIVAS E SERVIÇOS COMPLEMENTARES</v>
      </c>
      <c r="G1156" t="str">
        <f>VLOOKUP(B1156,Base!$B:$F,5,FALSE)</f>
        <v>ATIVIDADES DE VIGILÂNCIA, SEGURANÇA E INVESTIGAÇÃO</v>
      </c>
      <c r="H1156" t="str">
        <f>VLOOKUP(C1156,Base!$C:$F,4,FALSE)</f>
        <v>Atividades de vigilância, segurança privada e transporte de valores</v>
      </c>
      <c r="I1156" t="str">
        <f>VLOOKUP(D1156,Base!$D:$F,3,FALSE)</f>
        <v>Atividades de transporte de valores</v>
      </c>
      <c r="J1156" t="str">
        <f>VLOOKUP(E1156,Base!$E:$F,2,FALSE)</f>
        <v>Atividades de transporte de valores</v>
      </c>
      <c r="K1156" t="s">
        <v>3938</v>
      </c>
      <c r="L1156">
        <f>IFERROR(VLOOKUP($K1156,Base_Atividades!$E$1:$N$2398,MATCH(BancoAjustado!L$1,Base_Atividades!$E$1:$N$1,0),FALSE),0)</f>
        <v>0</v>
      </c>
      <c r="M1156">
        <f>IFERROR(VLOOKUP($K1156,Base_Atividades!$E$1:$N$2398,MATCH(BancoAjustado!M$1,Base_Atividades!$E$1:$N$1,0),FALSE),0)</f>
        <v>0</v>
      </c>
      <c r="N1156">
        <f>IFERROR(VLOOKUP($K1156,Base_Atividades!$E$1:$N$2398,MATCH(BancoAjustado!N$1,Base_Atividades!$E$1:$N$1,0),FALSE),0)</f>
        <v>0</v>
      </c>
    </row>
    <row r="1157" spans="1:14" x14ac:dyDescent="0.25">
      <c r="A1157" t="s">
        <v>3876</v>
      </c>
      <c r="B1157" t="s">
        <v>3932</v>
      </c>
      <c r="C1157" t="s">
        <v>3939</v>
      </c>
      <c r="D1157" t="s">
        <v>3940</v>
      </c>
      <c r="E1157" t="s">
        <v>3941</v>
      </c>
      <c r="F1157" t="str">
        <f>VLOOKUP(A1157,Base!$A:$F,6,FALSE)</f>
        <v>ATIVIDADES ADMINISTRATIVAS E SERVIÇOS COMPLEMENTARES</v>
      </c>
      <c r="G1157" t="str">
        <f>VLOOKUP(B1157,Base!$B:$F,5,FALSE)</f>
        <v>ATIVIDADES DE VIGILÂNCIA, SEGURANÇA E INVESTIGAÇÃO</v>
      </c>
      <c r="H1157" t="str">
        <f>VLOOKUP(C1157,Base!$C:$F,4,FALSE)</f>
        <v>Atividades de monitoramento de sistemas de segurança</v>
      </c>
      <c r="I1157" t="str">
        <f>VLOOKUP(D1157,Base!$D:$F,3,FALSE)</f>
        <v>Atividades de monitoramento de sistemas de segurança</v>
      </c>
      <c r="J1157" t="str">
        <f>VLOOKUP(E1157,Base!$E:$F,2,FALSE)</f>
        <v>Atividades de monitoramento de sistemas de segurança eletrônico</v>
      </c>
      <c r="K1157" t="s">
        <v>3941</v>
      </c>
      <c r="L1157">
        <f>IFERROR(VLOOKUP($K1157,Base_Atividades!$E$1:$N$2398,MATCH(BancoAjustado!L$1,Base_Atividades!$E$1:$N$1,0),FALSE),0)</f>
        <v>0</v>
      </c>
      <c r="M1157">
        <f>IFERROR(VLOOKUP($K1157,Base_Atividades!$E$1:$N$2398,MATCH(BancoAjustado!M$1,Base_Atividades!$E$1:$N$1,0),FALSE),0)</f>
        <v>0</v>
      </c>
      <c r="N1157">
        <f>IFERROR(VLOOKUP($K1157,Base_Atividades!$E$1:$N$2398,MATCH(BancoAjustado!N$1,Base_Atividades!$E$1:$N$1,0),FALSE),0)</f>
        <v>0</v>
      </c>
    </row>
    <row r="1158" spans="1:14" x14ac:dyDescent="0.25">
      <c r="A1158" t="s">
        <v>3876</v>
      </c>
      <c r="B1158" t="s">
        <v>3932</v>
      </c>
      <c r="C1158" t="s">
        <v>3939</v>
      </c>
      <c r="D1158" t="s">
        <v>3940</v>
      </c>
      <c r="E1158" t="s">
        <v>3942</v>
      </c>
      <c r="F1158" t="str">
        <f>VLOOKUP(A1158,Base!$A:$F,6,FALSE)</f>
        <v>ATIVIDADES ADMINISTRATIVAS E SERVIÇOS COMPLEMENTARES</v>
      </c>
      <c r="G1158" t="str">
        <f>VLOOKUP(B1158,Base!$B:$F,5,FALSE)</f>
        <v>ATIVIDADES DE VIGILÂNCIA, SEGURANÇA E INVESTIGAÇÃO</v>
      </c>
      <c r="H1158" t="str">
        <f>VLOOKUP(C1158,Base!$C:$F,4,FALSE)</f>
        <v>Atividades de monitoramento de sistemas de segurança</v>
      </c>
      <c r="I1158" t="str">
        <f>VLOOKUP(D1158,Base!$D:$F,3,FALSE)</f>
        <v>Atividades de monitoramento de sistemas de segurança</v>
      </c>
      <c r="J1158" t="str">
        <f>VLOOKUP(E1158,Base!$E:$F,2,FALSE)</f>
        <v>Outras atividades de serviços de segurança</v>
      </c>
      <c r="K1158" t="s">
        <v>3942</v>
      </c>
      <c r="L1158">
        <f>IFERROR(VLOOKUP($K1158,Base_Atividades!$E$1:$N$2398,MATCH(BancoAjustado!L$1,Base_Atividades!$E$1:$N$1,0),FALSE),0)</f>
        <v>0</v>
      </c>
      <c r="M1158">
        <f>IFERROR(VLOOKUP($K1158,Base_Atividades!$E$1:$N$2398,MATCH(BancoAjustado!M$1,Base_Atividades!$E$1:$N$1,0),FALSE),0)</f>
        <v>0</v>
      </c>
      <c r="N1158">
        <f>IFERROR(VLOOKUP($K1158,Base_Atividades!$E$1:$N$2398,MATCH(BancoAjustado!N$1,Base_Atividades!$E$1:$N$1,0),FALSE),0)</f>
        <v>0</v>
      </c>
    </row>
    <row r="1159" spans="1:14" x14ac:dyDescent="0.25">
      <c r="A1159" t="s">
        <v>3876</v>
      </c>
      <c r="B1159" t="s">
        <v>3932</v>
      </c>
      <c r="C1159" t="s">
        <v>3943</v>
      </c>
      <c r="D1159" t="s">
        <v>3944</v>
      </c>
      <c r="E1159" t="s">
        <v>3945</v>
      </c>
      <c r="F1159" t="str">
        <f>VLOOKUP(A1159,Base!$A:$F,6,FALSE)</f>
        <v>ATIVIDADES ADMINISTRATIVAS E SERVIÇOS COMPLEMENTARES</v>
      </c>
      <c r="G1159" t="str">
        <f>VLOOKUP(B1159,Base!$B:$F,5,FALSE)</f>
        <v>ATIVIDADES DE VIGILÂNCIA, SEGURANÇA E INVESTIGAÇÃO</v>
      </c>
      <c r="H1159" t="str">
        <f>VLOOKUP(C1159,Base!$C:$F,4,FALSE)</f>
        <v>Atividades de investigação particular</v>
      </c>
      <c r="I1159" t="str">
        <f>VLOOKUP(D1159,Base!$D:$F,3,FALSE)</f>
        <v>Atividades de investigação particular</v>
      </c>
      <c r="J1159" t="str">
        <f>VLOOKUP(E1159,Base!$E:$F,2,FALSE)</f>
        <v>Atividades de investigação particular</v>
      </c>
      <c r="K1159" t="s">
        <v>3945</v>
      </c>
      <c r="L1159">
        <f>IFERROR(VLOOKUP($K1159,Base_Atividades!$E$1:$N$2398,MATCH(BancoAjustado!L$1,Base_Atividades!$E$1:$N$1,0),FALSE),0)</f>
        <v>0</v>
      </c>
      <c r="M1159">
        <f>IFERROR(VLOOKUP($K1159,Base_Atividades!$E$1:$N$2398,MATCH(BancoAjustado!M$1,Base_Atividades!$E$1:$N$1,0),FALSE),0)</f>
        <v>0</v>
      </c>
      <c r="N1159">
        <f>IFERROR(VLOOKUP($K1159,Base_Atividades!$E$1:$N$2398,MATCH(BancoAjustado!N$1,Base_Atividades!$E$1:$N$1,0),FALSE),0)</f>
        <v>0</v>
      </c>
    </row>
    <row r="1160" spans="1:14" x14ac:dyDescent="0.25">
      <c r="A1160" t="s">
        <v>3876</v>
      </c>
      <c r="B1160" t="s">
        <v>3946</v>
      </c>
      <c r="C1160" t="s">
        <v>3947</v>
      </c>
      <c r="D1160" t="s">
        <v>3948</v>
      </c>
      <c r="E1160" t="s">
        <v>3949</v>
      </c>
      <c r="F1160" t="str">
        <f>VLOOKUP(A1160,Base!$A:$F,6,FALSE)</f>
        <v>ATIVIDADES ADMINISTRATIVAS E SERVIÇOS COMPLEMENTARES</v>
      </c>
      <c r="G1160" t="str">
        <f>VLOOKUP(B1160,Base!$B:$F,5,FALSE)</f>
        <v>SERVIÇOS PARA EDIFÍCIOS E ATIVIDADES PAISAGÍSTICAS</v>
      </c>
      <c r="H1160" t="str">
        <f>VLOOKUP(C1160,Base!$C:$F,4,FALSE)</f>
        <v>Serviços combinados para apoio a edifícios</v>
      </c>
      <c r="I1160" t="str">
        <f>VLOOKUP(D1160,Base!$D:$F,3,FALSE)</f>
        <v>Serviços combinados para apoio a edifícios, exceto condomínios prediais</v>
      </c>
      <c r="J1160" t="str">
        <f>VLOOKUP(E1160,Base!$E:$F,2,FALSE)</f>
        <v>Serviços combinados para apoio a edifícios, exceto condomínios prediais</v>
      </c>
      <c r="K1160" t="s">
        <v>3949</v>
      </c>
      <c r="L1160">
        <f>IFERROR(VLOOKUP($K1160,Base_Atividades!$E$1:$N$2398,MATCH(BancoAjustado!L$1,Base_Atividades!$E$1:$N$1,0),FALSE),0)</f>
        <v>0</v>
      </c>
      <c r="M1160">
        <f>IFERROR(VLOOKUP($K1160,Base_Atividades!$E$1:$N$2398,MATCH(BancoAjustado!M$1,Base_Atividades!$E$1:$N$1,0),FALSE),0)</f>
        <v>0</v>
      </c>
      <c r="N1160">
        <f>IFERROR(VLOOKUP($K1160,Base_Atividades!$E$1:$N$2398,MATCH(BancoAjustado!N$1,Base_Atividades!$E$1:$N$1,0),FALSE),0)</f>
        <v>0</v>
      </c>
    </row>
    <row r="1161" spans="1:14" x14ac:dyDescent="0.25">
      <c r="A1161" t="s">
        <v>3876</v>
      </c>
      <c r="B1161" t="s">
        <v>3946</v>
      </c>
      <c r="C1161" t="s">
        <v>3947</v>
      </c>
      <c r="D1161" t="s">
        <v>3950</v>
      </c>
      <c r="E1161" t="s">
        <v>3951</v>
      </c>
      <c r="F1161" t="str">
        <f>VLOOKUP(A1161,Base!$A:$F,6,FALSE)</f>
        <v>ATIVIDADES ADMINISTRATIVAS E SERVIÇOS COMPLEMENTARES</v>
      </c>
      <c r="G1161" t="str">
        <f>VLOOKUP(B1161,Base!$B:$F,5,FALSE)</f>
        <v>SERVIÇOS PARA EDIFÍCIOS E ATIVIDADES PAISAGÍSTICAS</v>
      </c>
      <c r="H1161" t="str">
        <f>VLOOKUP(C1161,Base!$C:$F,4,FALSE)</f>
        <v>Serviços combinados para apoio a edifícios</v>
      </c>
      <c r="I1161" t="str">
        <f>VLOOKUP(D1161,Base!$D:$F,3,FALSE)</f>
        <v>Condomínios prediais</v>
      </c>
      <c r="J1161" t="str">
        <f>VLOOKUP(E1161,Base!$E:$F,2,FALSE)</f>
        <v>Condomínios prediais</v>
      </c>
      <c r="K1161" t="s">
        <v>3951</v>
      </c>
      <c r="L1161">
        <f>IFERROR(VLOOKUP($K1161,Base_Atividades!$E$1:$N$2398,MATCH(BancoAjustado!L$1,Base_Atividades!$E$1:$N$1,0),FALSE),0)</f>
        <v>0</v>
      </c>
      <c r="M1161">
        <f>IFERROR(VLOOKUP($K1161,Base_Atividades!$E$1:$N$2398,MATCH(BancoAjustado!M$1,Base_Atividades!$E$1:$N$1,0),FALSE),0)</f>
        <v>0</v>
      </c>
      <c r="N1161">
        <f>IFERROR(VLOOKUP($K1161,Base_Atividades!$E$1:$N$2398,MATCH(BancoAjustado!N$1,Base_Atividades!$E$1:$N$1,0),FALSE),0)</f>
        <v>0</v>
      </c>
    </row>
    <row r="1162" spans="1:14" x14ac:dyDescent="0.25">
      <c r="A1162" t="s">
        <v>3876</v>
      </c>
      <c r="B1162" t="s">
        <v>3946</v>
      </c>
      <c r="C1162" t="s">
        <v>3952</v>
      </c>
      <c r="D1162" t="s">
        <v>3953</v>
      </c>
      <c r="E1162" t="s">
        <v>3954</v>
      </c>
      <c r="F1162" t="str">
        <f>VLOOKUP(A1162,Base!$A:$F,6,FALSE)</f>
        <v>ATIVIDADES ADMINISTRATIVAS E SERVIÇOS COMPLEMENTARES</v>
      </c>
      <c r="G1162" t="str">
        <f>VLOOKUP(B1162,Base!$B:$F,5,FALSE)</f>
        <v>SERVIÇOS PARA EDIFÍCIOS E ATIVIDADES PAISAGÍSTICAS</v>
      </c>
      <c r="H1162" t="str">
        <f>VLOOKUP(C1162,Base!$C:$F,4,FALSE)</f>
        <v>Atividades de limpeza</v>
      </c>
      <c r="I1162" t="str">
        <f>VLOOKUP(D1162,Base!$D:$F,3,FALSE)</f>
        <v>Limpeza em prédios e em domicílios</v>
      </c>
      <c r="J1162" t="str">
        <f>VLOOKUP(E1162,Base!$E:$F,2,FALSE)</f>
        <v>Limpeza em prédios e em domicílios</v>
      </c>
      <c r="K1162" t="s">
        <v>3954</v>
      </c>
      <c r="L1162">
        <f>IFERROR(VLOOKUP($K1162,Base_Atividades!$E$1:$N$2398,MATCH(BancoAjustado!L$1,Base_Atividades!$E$1:$N$1,0),FALSE),0)</f>
        <v>0</v>
      </c>
      <c r="M1162">
        <f>IFERROR(VLOOKUP($K1162,Base_Atividades!$E$1:$N$2398,MATCH(BancoAjustado!M$1,Base_Atividades!$E$1:$N$1,0),FALSE),0)</f>
        <v>0</v>
      </c>
      <c r="N1162">
        <f>IFERROR(VLOOKUP($K1162,Base_Atividades!$E$1:$N$2398,MATCH(BancoAjustado!N$1,Base_Atividades!$E$1:$N$1,0),FALSE),0)</f>
        <v>0</v>
      </c>
    </row>
    <row r="1163" spans="1:14" x14ac:dyDescent="0.25">
      <c r="A1163" t="s">
        <v>3876</v>
      </c>
      <c r="B1163" t="s">
        <v>3946</v>
      </c>
      <c r="C1163" t="s">
        <v>3952</v>
      </c>
      <c r="D1163" t="s">
        <v>3955</v>
      </c>
      <c r="E1163" t="s">
        <v>3956</v>
      </c>
      <c r="F1163" t="str">
        <f>VLOOKUP(A1163,Base!$A:$F,6,FALSE)</f>
        <v>ATIVIDADES ADMINISTRATIVAS E SERVIÇOS COMPLEMENTARES</v>
      </c>
      <c r="G1163" t="str">
        <f>VLOOKUP(B1163,Base!$B:$F,5,FALSE)</f>
        <v>SERVIÇOS PARA EDIFÍCIOS E ATIVIDADES PAISAGÍSTICAS</v>
      </c>
      <c r="H1163" t="str">
        <f>VLOOKUP(C1163,Base!$C:$F,4,FALSE)</f>
        <v>Atividades de limpeza</v>
      </c>
      <c r="I1163" t="str">
        <f>VLOOKUP(D1163,Base!$D:$F,3,FALSE)</f>
        <v>Imunização e controle de pragas urbanas</v>
      </c>
      <c r="J1163" t="str">
        <f>VLOOKUP(E1163,Base!$E:$F,2,FALSE)</f>
        <v>Imunização e controle de pragas urbanas</v>
      </c>
      <c r="K1163" t="s">
        <v>3956</v>
      </c>
      <c r="L1163">
        <f>IFERROR(VLOOKUP($K1163,Base_Atividades!$E$1:$N$2398,MATCH(BancoAjustado!L$1,Base_Atividades!$E$1:$N$1,0),FALSE),0)</f>
        <v>0</v>
      </c>
      <c r="M1163">
        <f>IFERROR(VLOOKUP($K1163,Base_Atividades!$E$1:$N$2398,MATCH(BancoAjustado!M$1,Base_Atividades!$E$1:$N$1,0),FALSE),0)</f>
        <v>0</v>
      </c>
      <c r="N1163">
        <f>IFERROR(VLOOKUP($K1163,Base_Atividades!$E$1:$N$2398,MATCH(BancoAjustado!N$1,Base_Atividades!$E$1:$N$1,0),FALSE),0)</f>
        <v>0</v>
      </c>
    </row>
    <row r="1164" spans="1:14" x14ac:dyDescent="0.25">
      <c r="A1164" t="s">
        <v>3876</v>
      </c>
      <c r="B1164" t="s">
        <v>3946</v>
      </c>
      <c r="C1164" t="s">
        <v>3952</v>
      </c>
      <c r="D1164" t="s">
        <v>3957</v>
      </c>
      <c r="E1164" t="s">
        <v>3958</v>
      </c>
      <c r="F1164" t="str">
        <f>VLOOKUP(A1164,Base!$A:$F,6,FALSE)</f>
        <v>ATIVIDADES ADMINISTRATIVAS E SERVIÇOS COMPLEMENTARES</v>
      </c>
      <c r="G1164" t="str">
        <f>VLOOKUP(B1164,Base!$B:$F,5,FALSE)</f>
        <v>SERVIÇOS PARA EDIFÍCIOS E ATIVIDADES PAISAGÍSTICAS</v>
      </c>
      <c r="H1164" t="str">
        <f>VLOOKUP(C1164,Base!$C:$F,4,FALSE)</f>
        <v>Atividades de limpeza</v>
      </c>
      <c r="I1164" t="str">
        <f>VLOOKUP(D1164,Base!$D:$F,3,FALSE)</f>
        <v>Atividades de limpeza não especificadas anteriormente</v>
      </c>
      <c r="J1164" t="str">
        <f>VLOOKUP(E1164,Base!$E:$F,2,FALSE)</f>
        <v>Atividades de limpeza não especificadas anteriormente</v>
      </c>
      <c r="K1164" t="s">
        <v>3958</v>
      </c>
      <c r="L1164">
        <f>IFERROR(VLOOKUP($K1164,Base_Atividades!$E$1:$N$2398,MATCH(BancoAjustado!L$1,Base_Atividades!$E$1:$N$1,0),FALSE),0)</f>
        <v>0</v>
      </c>
      <c r="M1164">
        <f>IFERROR(VLOOKUP($K1164,Base_Atividades!$E$1:$N$2398,MATCH(BancoAjustado!M$1,Base_Atividades!$E$1:$N$1,0),FALSE),0)</f>
        <v>0</v>
      </c>
      <c r="N1164">
        <f>IFERROR(VLOOKUP($K1164,Base_Atividades!$E$1:$N$2398,MATCH(BancoAjustado!N$1,Base_Atividades!$E$1:$N$1,0),FALSE),0)</f>
        <v>0</v>
      </c>
    </row>
    <row r="1165" spans="1:14" x14ac:dyDescent="0.25">
      <c r="A1165" t="s">
        <v>3876</v>
      </c>
      <c r="B1165" t="s">
        <v>3946</v>
      </c>
      <c r="C1165" t="s">
        <v>3959</v>
      </c>
      <c r="D1165" t="s">
        <v>3960</v>
      </c>
      <c r="E1165" t="s">
        <v>3961</v>
      </c>
      <c r="F1165" t="str">
        <f>VLOOKUP(A1165,Base!$A:$F,6,FALSE)</f>
        <v>ATIVIDADES ADMINISTRATIVAS E SERVIÇOS COMPLEMENTARES</v>
      </c>
      <c r="G1165" t="str">
        <f>VLOOKUP(B1165,Base!$B:$F,5,FALSE)</f>
        <v>SERVIÇOS PARA EDIFÍCIOS E ATIVIDADES PAISAGÍSTICAS</v>
      </c>
      <c r="H1165" t="str">
        <f>VLOOKUP(C1165,Base!$C:$F,4,FALSE)</f>
        <v>Atividades paisagísticas</v>
      </c>
      <c r="I1165" t="str">
        <f>VLOOKUP(D1165,Base!$D:$F,3,FALSE)</f>
        <v>Atividades paisagísticas</v>
      </c>
      <c r="J1165" t="str">
        <f>VLOOKUP(E1165,Base!$E:$F,2,FALSE)</f>
        <v>Atividades paisagísticas</v>
      </c>
      <c r="K1165" t="s">
        <v>3961</v>
      </c>
      <c r="L1165">
        <f>IFERROR(VLOOKUP($K1165,Base_Atividades!$E$1:$N$2398,MATCH(BancoAjustado!L$1,Base_Atividades!$E$1:$N$1,0),FALSE),0)</f>
        <v>0</v>
      </c>
      <c r="M1165">
        <f>IFERROR(VLOOKUP($K1165,Base_Atividades!$E$1:$N$2398,MATCH(BancoAjustado!M$1,Base_Atividades!$E$1:$N$1,0),FALSE),0)</f>
        <v>0</v>
      </c>
      <c r="N1165">
        <f>IFERROR(VLOOKUP($K1165,Base_Atividades!$E$1:$N$2398,MATCH(BancoAjustado!N$1,Base_Atividades!$E$1:$N$1,0),FALSE),0)</f>
        <v>0</v>
      </c>
    </row>
    <row r="1166" spans="1:14" x14ac:dyDescent="0.25">
      <c r="A1166" t="s">
        <v>3876</v>
      </c>
      <c r="B1166" t="s">
        <v>3962</v>
      </c>
      <c r="C1166" t="s">
        <v>3963</v>
      </c>
      <c r="D1166" t="s">
        <v>3964</v>
      </c>
      <c r="E1166" t="s">
        <v>3965</v>
      </c>
      <c r="F1166" t="str">
        <f>VLOOKUP(A1166,Base!$A:$F,6,FALSE)</f>
        <v>ATIVIDADES ADMINISTRATIVAS E SERVIÇOS COMPLEMENTARES</v>
      </c>
      <c r="G1166" t="str">
        <f>VLOOKUP(B1166,Base!$B:$F,5,FALSE)</f>
        <v>SERVIÇOS DE ESCRITÓRIO, DE APOIO ADMINISTRATIVO E OUTROS SERVIÇOS PRESTADOS PRINCIPALMENTE ÀS
EMPRESAS</v>
      </c>
      <c r="H1166" t="str">
        <f>VLOOKUP(C1166,Base!$C:$F,4,FALSE)</f>
        <v>Serviços de escritório e apoio administrativo</v>
      </c>
      <c r="I1166" t="str">
        <f>VLOOKUP(D1166,Base!$D:$F,3,FALSE)</f>
        <v>Serviços combinados de escritório e apoio administrativo</v>
      </c>
      <c r="J1166" t="str">
        <f>VLOOKUP(E1166,Base!$E:$F,2,FALSE)</f>
        <v>Serviços combinados de escritório e apoio administrativo</v>
      </c>
      <c r="K1166" t="s">
        <v>3965</v>
      </c>
      <c r="L1166">
        <f>IFERROR(VLOOKUP($K1166,Base_Atividades!$E$1:$N$2398,MATCH(BancoAjustado!L$1,Base_Atividades!$E$1:$N$1,0),FALSE),0)</f>
        <v>0</v>
      </c>
      <c r="M1166">
        <f>IFERROR(VLOOKUP($K1166,Base_Atividades!$E$1:$N$2398,MATCH(BancoAjustado!M$1,Base_Atividades!$E$1:$N$1,0),FALSE),0)</f>
        <v>0</v>
      </c>
      <c r="N1166">
        <f>IFERROR(VLOOKUP($K1166,Base_Atividades!$E$1:$N$2398,MATCH(BancoAjustado!N$1,Base_Atividades!$E$1:$N$1,0),FALSE),0)</f>
        <v>0</v>
      </c>
    </row>
    <row r="1167" spans="1:14" x14ac:dyDescent="0.25">
      <c r="A1167" t="s">
        <v>3876</v>
      </c>
      <c r="B1167" t="s">
        <v>3962</v>
      </c>
      <c r="C1167" t="s">
        <v>3963</v>
      </c>
      <c r="D1167" t="s">
        <v>3966</v>
      </c>
      <c r="E1167" t="s">
        <v>3967</v>
      </c>
      <c r="F1167" t="str">
        <f>VLOOKUP(A1167,Base!$A:$F,6,FALSE)</f>
        <v>ATIVIDADES ADMINISTRATIVAS E SERVIÇOS COMPLEMENTARES</v>
      </c>
      <c r="G1167" t="str">
        <f>VLOOKUP(B1167,Base!$B:$F,5,FALSE)</f>
        <v>SERVIÇOS DE ESCRITÓRIO, DE APOIO ADMINISTRATIVO E OUTROS SERVIÇOS PRESTADOS PRINCIPALMENTE ÀS
EMPRESAS</v>
      </c>
      <c r="H1167" t="str">
        <f>VLOOKUP(C1167,Base!$C:$F,4,FALSE)</f>
        <v>Serviços de escritório e apoio administrativo</v>
      </c>
      <c r="I1167" t="str">
        <f>VLOOKUP(D1167,Base!$D:$F,3,FALSE)</f>
        <v>Fotocópias, preparação de documentos e outros serviços especializados de apoio administrativo</v>
      </c>
      <c r="J1167" t="str">
        <f>VLOOKUP(E1167,Base!$E:$F,2,FALSE)</f>
        <v>Fotocópias</v>
      </c>
      <c r="K1167" t="s">
        <v>3967</v>
      </c>
      <c r="L1167">
        <f>IFERROR(VLOOKUP($K1167,Base_Atividades!$E$1:$N$2398,MATCH(BancoAjustado!L$1,Base_Atividades!$E$1:$N$1,0),FALSE),0)</f>
        <v>0</v>
      </c>
      <c r="M1167">
        <f>IFERROR(VLOOKUP($K1167,Base_Atividades!$E$1:$N$2398,MATCH(BancoAjustado!M$1,Base_Atividades!$E$1:$N$1,0),FALSE),0)</f>
        <v>0</v>
      </c>
      <c r="N1167">
        <f>IFERROR(VLOOKUP($K1167,Base_Atividades!$E$1:$N$2398,MATCH(BancoAjustado!N$1,Base_Atividades!$E$1:$N$1,0),FALSE),0)</f>
        <v>0</v>
      </c>
    </row>
    <row r="1168" spans="1:14" x14ac:dyDescent="0.25">
      <c r="A1168" t="s">
        <v>3876</v>
      </c>
      <c r="B1168" t="s">
        <v>3962</v>
      </c>
      <c r="C1168" t="s">
        <v>3963</v>
      </c>
      <c r="D1168" t="s">
        <v>3966</v>
      </c>
      <c r="E1168" t="s">
        <v>3968</v>
      </c>
      <c r="F1168" t="str">
        <f>VLOOKUP(A1168,Base!$A:$F,6,FALSE)</f>
        <v>ATIVIDADES ADMINISTRATIVAS E SERVIÇOS COMPLEMENTARES</v>
      </c>
      <c r="G1168" t="str">
        <f>VLOOKUP(B1168,Base!$B:$F,5,FALSE)</f>
        <v>SERVIÇOS DE ESCRITÓRIO, DE APOIO ADMINISTRATIVO E OUTROS SERVIÇOS PRESTADOS PRINCIPALMENTE ÀS
EMPRESAS</v>
      </c>
      <c r="H1168" t="str">
        <f>VLOOKUP(C1168,Base!$C:$F,4,FALSE)</f>
        <v>Serviços de escritório e apoio administrativo</v>
      </c>
      <c r="I1168" t="str">
        <f>VLOOKUP(D1168,Base!$D:$F,3,FALSE)</f>
        <v>Fotocópias, preparação de documentos e outros serviços especializados de apoio administrativo</v>
      </c>
      <c r="J1168" t="str">
        <f>VLOOKUP(E1168,Base!$E:$F,2,FALSE)</f>
        <v>Preparação de documentos e serviços especializados de apoio administrativo não especificados anteriormente</v>
      </c>
      <c r="K1168" t="s">
        <v>3968</v>
      </c>
      <c r="L1168">
        <f>IFERROR(VLOOKUP($K1168,Base_Atividades!$E$1:$N$2398,MATCH(BancoAjustado!L$1,Base_Atividades!$E$1:$N$1,0),FALSE),0)</f>
        <v>0</v>
      </c>
      <c r="M1168">
        <f>IFERROR(VLOOKUP($K1168,Base_Atividades!$E$1:$N$2398,MATCH(BancoAjustado!M$1,Base_Atividades!$E$1:$N$1,0),FALSE),0)</f>
        <v>0</v>
      </c>
      <c r="N1168">
        <f>IFERROR(VLOOKUP($K1168,Base_Atividades!$E$1:$N$2398,MATCH(BancoAjustado!N$1,Base_Atividades!$E$1:$N$1,0),FALSE),0)</f>
        <v>0</v>
      </c>
    </row>
    <row r="1169" spans="1:14" x14ac:dyDescent="0.25">
      <c r="A1169" t="s">
        <v>3876</v>
      </c>
      <c r="B1169" t="s">
        <v>3962</v>
      </c>
      <c r="C1169" t="s">
        <v>3969</v>
      </c>
      <c r="D1169" t="s">
        <v>3970</v>
      </c>
      <c r="E1169" t="s">
        <v>3971</v>
      </c>
      <c r="F1169" t="str">
        <f>VLOOKUP(A1169,Base!$A:$F,6,FALSE)</f>
        <v>ATIVIDADES ADMINISTRATIVAS E SERVIÇOS COMPLEMENTARES</v>
      </c>
      <c r="G1169" t="str">
        <f>VLOOKUP(B1169,Base!$B:$F,5,FALSE)</f>
        <v>SERVIÇOS DE ESCRITÓRIO, DE APOIO ADMINISTRATIVO E OUTROS SERVIÇOS PRESTADOS PRINCIPALMENTE ÀS
EMPRESAS</v>
      </c>
      <c r="H1169" t="str">
        <f>VLOOKUP(C1169,Base!$C:$F,4,FALSE)</f>
        <v>Atividades de teleatendimento</v>
      </c>
      <c r="I1169" t="str">
        <f>VLOOKUP(D1169,Base!$D:$F,3,FALSE)</f>
        <v>Atividades de teleatendimento</v>
      </c>
      <c r="J1169" t="str">
        <f>VLOOKUP(E1169,Base!$E:$F,2,FALSE)</f>
        <v>Atividades de teleatendimento</v>
      </c>
      <c r="K1169" t="s">
        <v>3971</v>
      </c>
      <c r="L1169">
        <f>IFERROR(VLOOKUP($K1169,Base_Atividades!$E$1:$N$2398,MATCH(BancoAjustado!L$1,Base_Atividades!$E$1:$N$1,0),FALSE),0)</f>
        <v>0</v>
      </c>
      <c r="M1169">
        <f>IFERROR(VLOOKUP($K1169,Base_Atividades!$E$1:$N$2398,MATCH(BancoAjustado!M$1,Base_Atividades!$E$1:$N$1,0),FALSE),0)</f>
        <v>0</v>
      </c>
      <c r="N1169">
        <f>IFERROR(VLOOKUP($K1169,Base_Atividades!$E$1:$N$2398,MATCH(BancoAjustado!N$1,Base_Atividades!$E$1:$N$1,0),FALSE),0)</f>
        <v>0</v>
      </c>
    </row>
    <row r="1170" spans="1:14" x14ac:dyDescent="0.25">
      <c r="A1170" t="s">
        <v>3876</v>
      </c>
      <c r="B1170" t="s">
        <v>3962</v>
      </c>
      <c r="C1170" t="s">
        <v>3972</v>
      </c>
      <c r="D1170" t="s">
        <v>3973</v>
      </c>
      <c r="E1170" t="s">
        <v>3974</v>
      </c>
      <c r="F1170" t="str">
        <f>VLOOKUP(A1170,Base!$A:$F,6,FALSE)</f>
        <v>ATIVIDADES ADMINISTRATIVAS E SERVIÇOS COMPLEMENTARES</v>
      </c>
      <c r="G1170" t="str">
        <f>VLOOKUP(B1170,Base!$B:$F,5,FALSE)</f>
        <v>SERVIÇOS DE ESCRITÓRIO, DE APOIO ADMINISTRATIVO E OUTROS SERVIÇOS PRESTADOS PRINCIPALMENTE ÀS
EMPRESAS</v>
      </c>
      <c r="H1170" t="str">
        <f>VLOOKUP(C1170,Base!$C:$F,4,FALSE)</f>
        <v>Atividades de organização de eventos, exceto culturais e esportivos</v>
      </c>
      <c r="I1170" t="str">
        <f>VLOOKUP(D1170,Base!$D:$F,3,FALSE)</f>
        <v>Atividades de organização de eventos, exceto culturais e esportivos</v>
      </c>
      <c r="J1170" t="str">
        <f>VLOOKUP(E1170,Base!$E:$F,2,FALSE)</f>
        <v>Serviços de organização de feiras, congressos, exposições e festas</v>
      </c>
      <c r="K1170" t="s">
        <v>3974</v>
      </c>
      <c r="L1170">
        <f>IFERROR(VLOOKUP($K1170,Base_Atividades!$E$1:$N$2398,MATCH(BancoAjustado!L$1,Base_Atividades!$E$1:$N$1,0),FALSE),0)</f>
        <v>0</v>
      </c>
      <c r="M1170">
        <f>IFERROR(VLOOKUP($K1170,Base_Atividades!$E$1:$N$2398,MATCH(BancoAjustado!M$1,Base_Atividades!$E$1:$N$1,0),FALSE),0)</f>
        <v>0</v>
      </c>
      <c r="N1170">
        <f>IFERROR(VLOOKUP($K1170,Base_Atividades!$E$1:$N$2398,MATCH(BancoAjustado!N$1,Base_Atividades!$E$1:$N$1,0),FALSE),0)</f>
        <v>0</v>
      </c>
    </row>
    <row r="1171" spans="1:14" x14ac:dyDescent="0.25">
      <c r="A1171" t="s">
        <v>3876</v>
      </c>
      <c r="B1171" t="s">
        <v>3962</v>
      </c>
      <c r="C1171" t="s">
        <v>3972</v>
      </c>
      <c r="D1171" t="s">
        <v>3973</v>
      </c>
      <c r="E1171" t="s">
        <v>3975</v>
      </c>
      <c r="F1171" t="str">
        <f>VLOOKUP(A1171,Base!$A:$F,6,FALSE)</f>
        <v>ATIVIDADES ADMINISTRATIVAS E SERVIÇOS COMPLEMENTARES</v>
      </c>
      <c r="G1171" t="str">
        <f>VLOOKUP(B1171,Base!$B:$F,5,FALSE)</f>
        <v>SERVIÇOS DE ESCRITÓRIO, DE APOIO ADMINISTRATIVO E OUTROS SERVIÇOS PRESTADOS PRINCIPALMENTE ÀS
EMPRESAS</v>
      </c>
      <c r="H1171" t="str">
        <f>VLOOKUP(C1171,Base!$C:$F,4,FALSE)</f>
        <v>Atividades de organização de eventos, exceto culturais e esportivos</v>
      </c>
      <c r="I1171" t="str">
        <f>VLOOKUP(D1171,Base!$D:$F,3,FALSE)</f>
        <v>Atividades de organização de eventos, exceto culturais e esportivos</v>
      </c>
      <c r="J1171" t="str">
        <f>VLOOKUP(E1171,Base!$E:$F,2,FALSE)</f>
        <v>Casas de festas e eventos</v>
      </c>
      <c r="K1171" t="s">
        <v>3975</v>
      </c>
      <c r="L1171">
        <f>IFERROR(VLOOKUP($K1171,Base_Atividades!$E$1:$N$2398,MATCH(BancoAjustado!L$1,Base_Atividades!$E$1:$N$1,0),FALSE),0)</f>
        <v>0</v>
      </c>
      <c r="M1171">
        <f>IFERROR(VLOOKUP($K1171,Base_Atividades!$E$1:$N$2398,MATCH(BancoAjustado!M$1,Base_Atividades!$E$1:$N$1,0),FALSE),0)</f>
        <v>0</v>
      </c>
      <c r="N1171">
        <f>IFERROR(VLOOKUP($K1171,Base_Atividades!$E$1:$N$2398,MATCH(BancoAjustado!N$1,Base_Atividades!$E$1:$N$1,0),FALSE),0)</f>
        <v>0</v>
      </c>
    </row>
    <row r="1172" spans="1:14" x14ac:dyDescent="0.25">
      <c r="A1172" t="s">
        <v>3876</v>
      </c>
      <c r="B1172" t="s">
        <v>3962</v>
      </c>
      <c r="C1172" t="s">
        <v>3976</v>
      </c>
      <c r="D1172" t="s">
        <v>3977</v>
      </c>
      <c r="E1172" t="s">
        <v>3978</v>
      </c>
      <c r="F1172" t="str">
        <f>VLOOKUP(A1172,Base!$A:$F,6,FALSE)</f>
        <v>ATIVIDADES ADMINISTRATIVAS E SERVIÇOS COMPLEMENTARES</v>
      </c>
      <c r="G1172" t="str">
        <f>VLOOKUP(B1172,Base!$B:$F,5,FALSE)</f>
        <v>SERVIÇOS DE ESCRITÓRIO, DE APOIO ADMINISTRATIVO E OUTROS SERVIÇOS PRESTADOS PRINCIPALMENTE ÀS
EMPRESAS</v>
      </c>
      <c r="H1172" t="str">
        <f>VLOOKUP(C1172,Base!$C:$F,4,FALSE)</f>
        <v>Outras atividades de serviços prestados principalmente às empresas</v>
      </c>
      <c r="I1172" t="str">
        <f>VLOOKUP(D1172,Base!$D:$F,3,FALSE)</f>
        <v>Atividades de cobrança e informações cadastrais</v>
      </c>
      <c r="J1172" t="str">
        <f>VLOOKUP(E1172,Base!$E:$F,2,FALSE)</f>
        <v>Atividades de cobrança e informações cadastrais</v>
      </c>
      <c r="K1172" t="s">
        <v>3978</v>
      </c>
      <c r="L1172">
        <f>IFERROR(VLOOKUP($K1172,Base_Atividades!$E$1:$N$2398,MATCH(BancoAjustado!L$1,Base_Atividades!$E$1:$N$1,0),FALSE),0)</f>
        <v>0</v>
      </c>
      <c r="M1172">
        <f>IFERROR(VLOOKUP($K1172,Base_Atividades!$E$1:$N$2398,MATCH(BancoAjustado!M$1,Base_Atividades!$E$1:$N$1,0),FALSE),0)</f>
        <v>0</v>
      </c>
      <c r="N1172">
        <f>IFERROR(VLOOKUP($K1172,Base_Atividades!$E$1:$N$2398,MATCH(BancoAjustado!N$1,Base_Atividades!$E$1:$N$1,0),FALSE),0)</f>
        <v>0</v>
      </c>
    </row>
    <row r="1173" spans="1:14" x14ac:dyDescent="0.25">
      <c r="A1173" t="s">
        <v>3876</v>
      </c>
      <c r="B1173" t="s">
        <v>3962</v>
      </c>
      <c r="C1173" t="s">
        <v>3976</v>
      </c>
      <c r="D1173" t="s">
        <v>3979</v>
      </c>
      <c r="E1173" t="s">
        <v>3980</v>
      </c>
      <c r="F1173" t="str">
        <f>VLOOKUP(A1173,Base!$A:$F,6,FALSE)</f>
        <v>ATIVIDADES ADMINISTRATIVAS E SERVIÇOS COMPLEMENTARES</v>
      </c>
      <c r="G1173" t="str">
        <f>VLOOKUP(B1173,Base!$B:$F,5,FALSE)</f>
        <v>SERVIÇOS DE ESCRITÓRIO, DE APOIO ADMINISTRATIVO E OUTROS SERVIÇOS PRESTADOS PRINCIPALMENTE ÀS
EMPRESAS</v>
      </c>
      <c r="H1173" t="str">
        <f>VLOOKUP(C1173,Base!$C:$F,4,FALSE)</f>
        <v>Outras atividades de serviços prestados principalmente às empresas</v>
      </c>
      <c r="I1173" t="str">
        <f>VLOOKUP(D1173,Base!$D:$F,3,FALSE)</f>
        <v>Envasamento e empacotamento sob contrato</v>
      </c>
      <c r="J1173" t="str">
        <f>VLOOKUP(E1173,Base!$E:$F,2,FALSE)</f>
        <v>Envasamento e empacotamento sob contrato</v>
      </c>
      <c r="K1173" t="s">
        <v>3980</v>
      </c>
      <c r="L1173">
        <f>IFERROR(VLOOKUP($K1173,Base_Atividades!$E$1:$N$2398,MATCH(BancoAjustado!L$1,Base_Atividades!$E$1:$N$1,0),FALSE),0)</f>
        <v>0</v>
      </c>
      <c r="M1173">
        <f>IFERROR(VLOOKUP($K1173,Base_Atividades!$E$1:$N$2398,MATCH(BancoAjustado!M$1,Base_Atividades!$E$1:$N$1,0),FALSE),0)</f>
        <v>0</v>
      </c>
      <c r="N1173">
        <f>IFERROR(VLOOKUP($K1173,Base_Atividades!$E$1:$N$2398,MATCH(BancoAjustado!N$1,Base_Atividades!$E$1:$N$1,0),FALSE),0)</f>
        <v>0</v>
      </c>
    </row>
    <row r="1174" spans="1:14" x14ac:dyDescent="0.25">
      <c r="A1174" t="s">
        <v>3876</v>
      </c>
      <c r="B1174" t="s">
        <v>3962</v>
      </c>
      <c r="C1174" t="s">
        <v>3976</v>
      </c>
      <c r="D1174" t="s">
        <v>3981</v>
      </c>
      <c r="E1174" t="s">
        <v>3982</v>
      </c>
      <c r="F1174" t="str">
        <f>VLOOKUP(A1174,Base!$A:$F,6,FALSE)</f>
        <v>ATIVIDADES ADMINISTRATIVAS E SERVIÇOS COMPLEMENTARES</v>
      </c>
      <c r="G1174" t="str">
        <f>VLOOKUP(B1174,Base!$B:$F,5,FALSE)</f>
        <v>SERVIÇOS DE ESCRITÓRIO, DE APOIO ADMINISTRATIVO E OUTROS SERVIÇOS PRESTADOS PRINCIPALMENTE ÀS
EMPRESAS</v>
      </c>
      <c r="H1174" t="str">
        <f>VLOOKUP(C1174,Base!$C:$F,4,FALSE)</f>
        <v>Outras atividades de serviços prestados principalmente às empresas</v>
      </c>
      <c r="I1174" t="str">
        <f>VLOOKUP(D1174,Base!$D:$F,3,FALSE)</f>
        <v>Atividades de serviços prestados principalmente às empresas não especificadas anteriormente</v>
      </c>
      <c r="J1174" t="str">
        <f>VLOOKUP(E1174,Base!$E:$F,2,FALSE)</f>
        <v>Medição de consumo de energia elétrica, gás e água</v>
      </c>
      <c r="K1174" t="s">
        <v>3982</v>
      </c>
      <c r="L1174">
        <f>IFERROR(VLOOKUP($K1174,Base_Atividades!$E$1:$N$2398,MATCH(BancoAjustado!L$1,Base_Atividades!$E$1:$N$1,0),FALSE),0)</f>
        <v>0</v>
      </c>
      <c r="M1174">
        <f>IFERROR(VLOOKUP($K1174,Base_Atividades!$E$1:$N$2398,MATCH(BancoAjustado!M$1,Base_Atividades!$E$1:$N$1,0),FALSE),0)</f>
        <v>0</v>
      </c>
      <c r="N1174">
        <f>IFERROR(VLOOKUP($K1174,Base_Atividades!$E$1:$N$2398,MATCH(BancoAjustado!N$1,Base_Atividades!$E$1:$N$1,0),FALSE),0)</f>
        <v>0</v>
      </c>
    </row>
    <row r="1175" spans="1:14" x14ac:dyDescent="0.25">
      <c r="A1175" t="s">
        <v>3876</v>
      </c>
      <c r="B1175" t="s">
        <v>3962</v>
      </c>
      <c r="C1175" t="s">
        <v>3976</v>
      </c>
      <c r="D1175" t="s">
        <v>3981</v>
      </c>
      <c r="E1175" t="s">
        <v>3983</v>
      </c>
      <c r="F1175" t="str">
        <f>VLOOKUP(A1175,Base!$A:$F,6,FALSE)</f>
        <v>ATIVIDADES ADMINISTRATIVAS E SERVIÇOS COMPLEMENTARES</v>
      </c>
      <c r="G1175" t="str">
        <f>VLOOKUP(B1175,Base!$B:$F,5,FALSE)</f>
        <v>SERVIÇOS DE ESCRITÓRIO, DE APOIO ADMINISTRATIVO E OUTROS SERVIÇOS PRESTADOS PRINCIPALMENTE ÀS
EMPRESAS</v>
      </c>
      <c r="H1175" t="str">
        <f>VLOOKUP(C1175,Base!$C:$F,4,FALSE)</f>
        <v>Outras atividades de serviços prestados principalmente às empresas</v>
      </c>
      <c r="I1175" t="str">
        <f>VLOOKUP(D1175,Base!$D:$F,3,FALSE)</f>
        <v>Atividades de serviços prestados principalmente às empresas não especificadas anteriormente</v>
      </c>
      <c r="J1175" t="str">
        <f>VLOOKUP(E1175,Base!$E:$F,2,FALSE)</f>
        <v>Emissão de vales-alimentação, vales-transporte e similares</v>
      </c>
      <c r="K1175" t="s">
        <v>3983</v>
      </c>
      <c r="L1175">
        <f>IFERROR(VLOOKUP($K1175,Base_Atividades!$E$1:$N$2398,MATCH(BancoAjustado!L$1,Base_Atividades!$E$1:$N$1,0),FALSE),0)</f>
        <v>0</v>
      </c>
      <c r="M1175">
        <f>IFERROR(VLOOKUP($K1175,Base_Atividades!$E$1:$N$2398,MATCH(BancoAjustado!M$1,Base_Atividades!$E$1:$N$1,0),FALSE),0)</f>
        <v>0</v>
      </c>
      <c r="N1175">
        <f>IFERROR(VLOOKUP($K1175,Base_Atividades!$E$1:$N$2398,MATCH(BancoAjustado!N$1,Base_Atividades!$E$1:$N$1,0),FALSE),0)</f>
        <v>0</v>
      </c>
    </row>
    <row r="1176" spans="1:14" x14ac:dyDescent="0.25">
      <c r="A1176" t="s">
        <v>3876</v>
      </c>
      <c r="B1176" t="s">
        <v>3962</v>
      </c>
      <c r="C1176" t="s">
        <v>3976</v>
      </c>
      <c r="D1176" t="s">
        <v>3981</v>
      </c>
      <c r="E1176" t="s">
        <v>3984</v>
      </c>
      <c r="F1176" t="str">
        <f>VLOOKUP(A1176,Base!$A:$F,6,FALSE)</f>
        <v>ATIVIDADES ADMINISTRATIVAS E SERVIÇOS COMPLEMENTARES</v>
      </c>
      <c r="G1176" t="str">
        <f>VLOOKUP(B1176,Base!$B:$F,5,FALSE)</f>
        <v>SERVIÇOS DE ESCRITÓRIO, DE APOIO ADMINISTRATIVO E OUTROS SERVIÇOS PRESTADOS PRINCIPALMENTE ÀS
EMPRESAS</v>
      </c>
      <c r="H1176" t="str">
        <f>VLOOKUP(C1176,Base!$C:$F,4,FALSE)</f>
        <v>Outras atividades de serviços prestados principalmente às empresas</v>
      </c>
      <c r="I1176" t="str">
        <f>VLOOKUP(D1176,Base!$D:$F,3,FALSE)</f>
        <v>Atividades de serviços prestados principalmente às empresas não especificadas anteriormente</v>
      </c>
      <c r="J1176" t="str">
        <f>VLOOKUP(E1176,Base!$E:$F,2,FALSE)</f>
        <v>Serviços de gravação de carimbos, exceto confecção</v>
      </c>
      <c r="K1176" t="s">
        <v>3984</v>
      </c>
      <c r="L1176">
        <f>IFERROR(VLOOKUP($K1176,Base_Atividades!$E$1:$N$2398,MATCH(BancoAjustado!L$1,Base_Atividades!$E$1:$N$1,0),FALSE),0)</f>
        <v>0</v>
      </c>
      <c r="M1176">
        <f>IFERROR(VLOOKUP($K1176,Base_Atividades!$E$1:$N$2398,MATCH(BancoAjustado!M$1,Base_Atividades!$E$1:$N$1,0),FALSE),0)</f>
        <v>0</v>
      </c>
      <c r="N1176">
        <f>IFERROR(VLOOKUP($K1176,Base_Atividades!$E$1:$N$2398,MATCH(BancoAjustado!N$1,Base_Atividades!$E$1:$N$1,0),FALSE),0)</f>
        <v>0</v>
      </c>
    </row>
    <row r="1177" spans="1:14" x14ac:dyDescent="0.25">
      <c r="A1177" t="s">
        <v>3876</v>
      </c>
      <c r="B1177" t="s">
        <v>3962</v>
      </c>
      <c r="C1177" t="s">
        <v>3976</v>
      </c>
      <c r="D1177" t="s">
        <v>3981</v>
      </c>
      <c r="E1177" t="s">
        <v>3985</v>
      </c>
      <c r="F1177" t="str">
        <f>VLOOKUP(A1177,Base!$A:$F,6,FALSE)</f>
        <v>ATIVIDADES ADMINISTRATIVAS E SERVIÇOS COMPLEMENTARES</v>
      </c>
      <c r="G1177" t="str">
        <f>VLOOKUP(B1177,Base!$B:$F,5,FALSE)</f>
        <v>SERVIÇOS DE ESCRITÓRIO, DE APOIO ADMINISTRATIVO E OUTROS SERVIÇOS PRESTADOS PRINCIPALMENTE ÀS
EMPRESAS</v>
      </c>
      <c r="H1177" t="str">
        <f>VLOOKUP(C1177,Base!$C:$F,4,FALSE)</f>
        <v>Outras atividades de serviços prestados principalmente às empresas</v>
      </c>
      <c r="I1177" t="str">
        <f>VLOOKUP(D1177,Base!$D:$F,3,FALSE)</f>
        <v>Atividades de serviços prestados principalmente às empresas não especificadas anteriormente</v>
      </c>
      <c r="J1177" t="str">
        <f>VLOOKUP(E1177,Base!$E:$F,2,FALSE)</f>
        <v>Leiloeiros independentes</v>
      </c>
      <c r="K1177" t="s">
        <v>3985</v>
      </c>
      <c r="L1177">
        <f>IFERROR(VLOOKUP($K1177,Base_Atividades!$E$1:$N$2398,MATCH(BancoAjustado!L$1,Base_Atividades!$E$1:$N$1,0),FALSE),0)</f>
        <v>0</v>
      </c>
      <c r="M1177">
        <f>IFERROR(VLOOKUP($K1177,Base_Atividades!$E$1:$N$2398,MATCH(BancoAjustado!M$1,Base_Atividades!$E$1:$N$1,0),FALSE),0)</f>
        <v>0</v>
      </c>
      <c r="N1177">
        <f>IFERROR(VLOOKUP($K1177,Base_Atividades!$E$1:$N$2398,MATCH(BancoAjustado!N$1,Base_Atividades!$E$1:$N$1,0),FALSE),0)</f>
        <v>0</v>
      </c>
    </row>
    <row r="1178" spans="1:14" x14ac:dyDescent="0.25">
      <c r="A1178" t="s">
        <v>3876</v>
      </c>
      <c r="B1178" t="s">
        <v>3962</v>
      </c>
      <c r="C1178" t="s">
        <v>3976</v>
      </c>
      <c r="D1178" t="s">
        <v>3981</v>
      </c>
      <c r="E1178" t="s">
        <v>3986</v>
      </c>
      <c r="F1178" t="str">
        <f>VLOOKUP(A1178,Base!$A:$F,6,FALSE)</f>
        <v>ATIVIDADES ADMINISTRATIVAS E SERVIÇOS COMPLEMENTARES</v>
      </c>
      <c r="G1178" t="str">
        <f>VLOOKUP(B1178,Base!$B:$F,5,FALSE)</f>
        <v>SERVIÇOS DE ESCRITÓRIO, DE APOIO ADMINISTRATIVO E OUTROS SERVIÇOS PRESTADOS PRINCIPALMENTE ÀS
EMPRESAS</v>
      </c>
      <c r="H1178" t="str">
        <f>VLOOKUP(C1178,Base!$C:$F,4,FALSE)</f>
        <v>Outras atividades de serviços prestados principalmente às empresas</v>
      </c>
      <c r="I1178" t="str">
        <f>VLOOKUP(D1178,Base!$D:$F,3,FALSE)</f>
        <v>Atividades de serviços prestados principalmente às empresas não especificadas anteriormente</v>
      </c>
      <c r="J1178" t="str">
        <f>VLOOKUP(E1178,Base!$E:$F,2,FALSE)</f>
        <v>Serviços de levantamento de fundos sob contrato</v>
      </c>
      <c r="K1178" t="s">
        <v>3986</v>
      </c>
      <c r="L1178">
        <f>IFERROR(VLOOKUP($K1178,Base_Atividades!$E$1:$N$2398,MATCH(BancoAjustado!L$1,Base_Atividades!$E$1:$N$1,0),FALSE),0)</f>
        <v>0</v>
      </c>
      <c r="M1178">
        <f>IFERROR(VLOOKUP($K1178,Base_Atividades!$E$1:$N$2398,MATCH(BancoAjustado!M$1,Base_Atividades!$E$1:$N$1,0),FALSE),0)</f>
        <v>0</v>
      </c>
      <c r="N1178">
        <f>IFERROR(VLOOKUP($K1178,Base_Atividades!$E$1:$N$2398,MATCH(BancoAjustado!N$1,Base_Atividades!$E$1:$N$1,0),FALSE),0)</f>
        <v>0</v>
      </c>
    </row>
    <row r="1179" spans="1:14" x14ac:dyDescent="0.25">
      <c r="A1179" t="s">
        <v>3876</v>
      </c>
      <c r="B1179" t="s">
        <v>3962</v>
      </c>
      <c r="C1179" t="s">
        <v>3976</v>
      </c>
      <c r="D1179" t="s">
        <v>3981</v>
      </c>
      <c r="E1179" t="s">
        <v>3987</v>
      </c>
      <c r="F1179" t="str">
        <f>VLOOKUP(A1179,Base!$A:$F,6,FALSE)</f>
        <v>ATIVIDADES ADMINISTRATIVAS E SERVIÇOS COMPLEMENTARES</v>
      </c>
      <c r="G1179" t="str">
        <f>VLOOKUP(B1179,Base!$B:$F,5,FALSE)</f>
        <v>SERVIÇOS DE ESCRITÓRIO, DE APOIO ADMINISTRATIVO E OUTROS SERVIÇOS PRESTADOS PRINCIPALMENTE ÀS
EMPRESAS</v>
      </c>
      <c r="H1179" t="str">
        <f>VLOOKUP(C1179,Base!$C:$F,4,FALSE)</f>
        <v>Outras atividades de serviços prestados principalmente às empresas</v>
      </c>
      <c r="I1179" t="str">
        <f>VLOOKUP(D1179,Base!$D:$F,3,FALSE)</f>
        <v>Atividades de serviços prestados principalmente às empresas não especificadas anteriormente</v>
      </c>
      <c r="J1179" t="str">
        <f>VLOOKUP(E1179,Base!$E:$F,2,FALSE)</f>
        <v>Casas lotéricas</v>
      </c>
      <c r="K1179" t="s">
        <v>3987</v>
      </c>
      <c r="L1179">
        <f>IFERROR(VLOOKUP($K1179,Base_Atividades!$E$1:$N$2398,MATCH(BancoAjustado!L$1,Base_Atividades!$E$1:$N$1,0),FALSE),0)</f>
        <v>0</v>
      </c>
      <c r="M1179">
        <f>IFERROR(VLOOKUP($K1179,Base_Atividades!$E$1:$N$2398,MATCH(BancoAjustado!M$1,Base_Atividades!$E$1:$N$1,0),FALSE),0)</f>
        <v>0</v>
      </c>
      <c r="N1179">
        <f>IFERROR(VLOOKUP($K1179,Base_Atividades!$E$1:$N$2398,MATCH(BancoAjustado!N$1,Base_Atividades!$E$1:$N$1,0),FALSE),0)</f>
        <v>0</v>
      </c>
    </row>
    <row r="1180" spans="1:14" x14ac:dyDescent="0.25">
      <c r="A1180" t="s">
        <v>3876</v>
      </c>
      <c r="B1180" t="s">
        <v>3962</v>
      </c>
      <c r="C1180" t="s">
        <v>3976</v>
      </c>
      <c r="D1180" t="s">
        <v>3981</v>
      </c>
      <c r="E1180" t="s">
        <v>3988</v>
      </c>
      <c r="F1180" t="str">
        <f>VLOOKUP(A1180,Base!$A:$F,6,FALSE)</f>
        <v>ATIVIDADES ADMINISTRATIVAS E SERVIÇOS COMPLEMENTARES</v>
      </c>
      <c r="G1180" t="str">
        <f>VLOOKUP(B1180,Base!$B:$F,5,FALSE)</f>
        <v>SERVIÇOS DE ESCRITÓRIO, DE APOIO ADMINISTRATIVO E OUTROS SERVIÇOS PRESTADOS PRINCIPALMENTE ÀS
EMPRESAS</v>
      </c>
      <c r="H1180" t="str">
        <f>VLOOKUP(C1180,Base!$C:$F,4,FALSE)</f>
        <v>Outras atividades de serviços prestados principalmente às empresas</v>
      </c>
      <c r="I1180" t="str">
        <f>VLOOKUP(D1180,Base!$D:$F,3,FALSE)</f>
        <v>Atividades de serviços prestados principalmente às empresas não especificadas anteriormente</v>
      </c>
      <c r="J1180" t="str">
        <f>VLOOKUP(E1180,Base!$E:$F,2,FALSE)</f>
        <v>Salas de acesso à Internet</v>
      </c>
      <c r="K1180" t="s">
        <v>3988</v>
      </c>
      <c r="L1180">
        <f>IFERROR(VLOOKUP($K1180,Base_Atividades!$E$1:$N$2398,MATCH(BancoAjustado!L$1,Base_Atividades!$E$1:$N$1,0),FALSE),0)</f>
        <v>0</v>
      </c>
      <c r="M1180">
        <f>IFERROR(VLOOKUP($K1180,Base_Atividades!$E$1:$N$2398,MATCH(BancoAjustado!M$1,Base_Atividades!$E$1:$N$1,0),FALSE),0)</f>
        <v>0</v>
      </c>
      <c r="N1180">
        <f>IFERROR(VLOOKUP($K1180,Base_Atividades!$E$1:$N$2398,MATCH(BancoAjustado!N$1,Base_Atividades!$E$1:$N$1,0),FALSE),0)</f>
        <v>0</v>
      </c>
    </row>
    <row r="1181" spans="1:14" x14ac:dyDescent="0.25">
      <c r="A1181" t="s">
        <v>3876</v>
      </c>
      <c r="B1181" t="s">
        <v>3962</v>
      </c>
      <c r="C1181" t="s">
        <v>3976</v>
      </c>
      <c r="D1181" t="s">
        <v>3981</v>
      </c>
      <c r="E1181" t="s">
        <v>3989</v>
      </c>
      <c r="F1181" t="str">
        <f>VLOOKUP(A1181,Base!$A:$F,6,FALSE)</f>
        <v>ATIVIDADES ADMINISTRATIVAS E SERVIÇOS COMPLEMENTARES</v>
      </c>
      <c r="G1181" t="str">
        <f>VLOOKUP(B1181,Base!$B:$F,5,FALSE)</f>
        <v>SERVIÇOS DE ESCRITÓRIO, DE APOIO ADMINISTRATIVO E OUTROS SERVIÇOS PRESTADOS PRINCIPALMENTE ÀS
EMPRESAS</v>
      </c>
      <c r="H1181" t="str">
        <f>VLOOKUP(C1181,Base!$C:$F,4,FALSE)</f>
        <v>Outras atividades de serviços prestados principalmente às empresas</v>
      </c>
      <c r="I1181" t="str">
        <f>VLOOKUP(D1181,Base!$D:$F,3,FALSE)</f>
        <v>Atividades de serviços prestados principalmente às empresas não especificadas anteriormente</v>
      </c>
      <c r="J1181" t="str">
        <f>VLOOKUP(E1181,Base!$E:$F,2,FALSE)</f>
        <v>Outras atividades de serviços prestados principalmente às empresas não especificadas anteriormente</v>
      </c>
      <c r="K1181" t="s">
        <v>3989</v>
      </c>
      <c r="L1181">
        <f>IFERROR(VLOOKUP($K1181,Base_Atividades!$E$1:$N$2398,MATCH(BancoAjustado!L$1,Base_Atividades!$E$1:$N$1,0),FALSE),0)</f>
        <v>0</v>
      </c>
      <c r="M1181">
        <f>IFERROR(VLOOKUP($K1181,Base_Atividades!$E$1:$N$2398,MATCH(BancoAjustado!M$1,Base_Atividades!$E$1:$N$1,0),FALSE),0)</f>
        <v>0</v>
      </c>
      <c r="N1181">
        <f>IFERROR(VLOOKUP($K1181,Base_Atividades!$E$1:$N$2398,MATCH(BancoAjustado!N$1,Base_Atividades!$E$1:$N$1,0),FALSE),0)</f>
        <v>0</v>
      </c>
    </row>
    <row r="1182" spans="1:14" x14ac:dyDescent="0.25">
      <c r="A1182" t="s">
        <v>3990</v>
      </c>
      <c r="B1182" t="s">
        <v>3991</v>
      </c>
      <c r="C1182" t="s">
        <v>3992</v>
      </c>
      <c r="D1182" t="s">
        <v>3993</v>
      </c>
      <c r="E1182" t="s">
        <v>3994</v>
      </c>
      <c r="F1182" t="str">
        <f>VLOOKUP(A1182,Base!$A:$F,6,FALSE)</f>
        <v>ADMINISTRAÇÃO PÚBLICA, DEFESA E SEGURIDADE SOCIAL</v>
      </c>
      <c r="G1182" t="str">
        <f>VLOOKUP(B1182,Base!$B:$F,5,FALSE)</f>
        <v>ADMINISTRAÇÃO PÚBLICA, DEFESA E SEGURIDADE SOCIAL</v>
      </c>
      <c r="H1182" t="str">
        <f>VLOOKUP(C1182,Base!$C:$F,4,FALSE)</f>
        <v>Administração do estado e da política econômica e social</v>
      </c>
      <c r="I1182" t="str">
        <f>VLOOKUP(D1182,Base!$D:$F,3,FALSE)</f>
        <v>Administração pública em geral</v>
      </c>
      <c r="J1182" t="str">
        <f>VLOOKUP(E1182,Base!$E:$F,2,FALSE)</f>
        <v>Administração pública em geral</v>
      </c>
      <c r="K1182" t="s">
        <v>3994</v>
      </c>
      <c r="L1182">
        <f>IFERROR(VLOOKUP($K1182,Base_Atividades!$E$1:$N$2398,MATCH(BancoAjustado!L$1,Base_Atividades!$E$1:$N$1,0),FALSE),0)</f>
        <v>0</v>
      </c>
      <c r="M1182">
        <f>IFERROR(VLOOKUP($K1182,Base_Atividades!$E$1:$N$2398,MATCH(BancoAjustado!M$1,Base_Atividades!$E$1:$N$1,0),FALSE),0)</f>
        <v>0</v>
      </c>
      <c r="N1182">
        <f>IFERROR(VLOOKUP($K1182,Base_Atividades!$E$1:$N$2398,MATCH(BancoAjustado!N$1,Base_Atividades!$E$1:$N$1,0),FALSE),0)</f>
        <v>0</v>
      </c>
    </row>
    <row r="1183" spans="1:14" x14ac:dyDescent="0.25">
      <c r="A1183" t="s">
        <v>3990</v>
      </c>
      <c r="B1183" t="s">
        <v>3991</v>
      </c>
      <c r="C1183" t="s">
        <v>3992</v>
      </c>
      <c r="D1183" t="s">
        <v>3995</v>
      </c>
      <c r="E1183" t="s">
        <v>3996</v>
      </c>
      <c r="F1183" t="str">
        <f>VLOOKUP(A1183,Base!$A:$F,6,FALSE)</f>
        <v>ADMINISTRAÇÃO PÚBLICA, DEFESA E SEGURIDADE SOCIAL</v>
      </c>
      <c r="G1183" t="str">
        <f>VLOOKUP(B1183,Base!$B:$F,5,FALSE)</f>
        <v>ADMINISTRAÇÃO PÚBLICA, DEFESA E SEGURIDADE SOCIAL</v>
      </c>
      <c r="H1183" t="str">
        <f>VLOOKUP(C1183,Base!$C:$F,4,FALSE)</f>
        <v>Administração do estado e da política econômica e social</v>
      </c>
      <c r="I1183" t="str">
        <f>VLOOKUP(D1183,Base!$D:$F,3,FALSE)</f>
        <v>Regulação das atividades de saúde, educação, serviços culturais e outros serviços sociais</v>
      </c>
      <c r="J1183" t="str">
        <f>VLOOKUP(E1183,Base!$E:$F,2,FALSE)</f>
        <v>Regulação das atividades de saúde, educação, serviços culturais e outros serviços sociais</v>
      </c>
      <c r="K1183" t="s">
        <v>3996</v>
      </c>
      <c r="L1183">
        <f>IFERROR(VLOOKUP($K1183,Base_Atividades!$E$1:$N$2398,MATCH(BancoAjustado!L$1,Base_Atividades!$E$1:$N$1,0),FALSE),0)</f>
        <v>0</v>
      </c>
      <c r="M1183">
        <f>IFERROR(VLOOKUP($K1183,Base_Atividades!$E$1:$N$2398,MATCH(BancoAjustado!M$1,Base_Atividades!$E$1:$N$1,0),FALSE),0)</f>
        <v>0</v>
      </c>
      <c r="N1183">
        <f>IFERROR(VLOOKUP($K1183,Base_Atividades!$E$1:$N$2398,MATCH(BancoAjustado!N$1,Base_Atividades!$E$1:$N$1,0),FALSE),0)</f>
        <v>0</v>
      </c>
    </row>
    <row r="1184" spans="1:14" x14ac:dyDescent="0.25">
      <c r="A1184" t="s">
        <v>3990</v>
      </c>
      <c r="B1184" t="s">
        <v>3991</v>
      </c>
      <c r="C1184" t="s">
        <v>3992</v>
      </c>
      <c r="D1184" t="s">
        <v>3997</v>
      </c>
      <c r="E1184" t="s">
        <v>3998</v>
      </c>
      <c r="F1184" t="str">
        <f>VLOOKUP(A1184,Base!$A:$F,6,FALSE)</f>
        <v>ADMINISTRAÇÃO PÚBLICA, DEFESA E SEGURIDADE SOCIAL</v>
      </c>
      <c r="G1184" t="str">
        <f>VLOOKUP(B1184,Base!$B:$F,5,FALSE)</f>
        <v>ADMINISTRAÇÃO PÚBLICA, DEFESA E SEGURIDADE SOCIAL</v>
      </c>
      <c r="H1184" t="str">
        <f>VLOOKUP(C1184,Base!$C:$F,4,FALSE)</f>
        <v>Administração do estado e da política econômica e social</v>
      </c>
      <c r="I1184" t="str">
        <f>VLOOKUP(D1184,Base!$D:$F,3,FALSE)</f>
        <v>Regulação das atividades econômicas</v>
      </c>
      <c r="J1184" t="str">
        <f>VLOOKUP(E1184,Base!$E:$F,2,FALSE)</f>
        <v>Regulação das atividades econômicas</v>
      </c>
      <c r="K1184" t="s">
        <v>3998</v>
      </c>
      <c r="L1184">
        <f>IFERROR(VLOOKUP($K1184,Base_Atividades!$E$1:$N$2398,MATCH(BancoAjustado!L$1,Base_Atividades!$E$1:$N$1,0),FALSE),0)</f>
        <v>0</v>
      </c>
      <c r="M1184">
        <f>IFERROR(VLOOKUP($K1184,Base_Atividades!$E$1:$N$2398,MATCH(BancoAjustado!M$1,Base_Atividades!$E$1:$N$1,0),FALSE),0)</f>
        <v>0</v>
      </c>
      <c r="N1184">
        <f>IFERROR(VLOOKUP($K1184,Base_Atividades!$E$1:$N$2398,MATCH(BancoAjustado!N$1,Base_Atividades!$E$1:$N$1,0),FALSE),0)</f>
        <v>0</v>
      </c>
    </row>
    <row r="1185" spans="1:14" x14ac:dyDescent="0.25">
      <c r="A1185" t="s">
        <v>3990</v>
      </c>
      <c r="B1185" t="s">
        <v>3991</v>
      </c>
      <c r="C1185" t="s">
        <v>3999</v>
      </c>
      <c r="D1185" t="s">
        <v>4000</v>
      </c>
      <c r="E1185" t="s">
        <v>4001</v>
      </c>
      <c r="F1185" t="str">
        <f>VLOOKUP(A1185,Base!$A:$F,6,FALSE)</f>
        <v>ADMINISTRAÇÃO PÚBLICA, DEFESA E SEGURIDADE SOCIAL</v>
      </c>
      <c r="G1185" t="str">
        <f>VLOOKUP(B1185,Base!$B:$F,5,FALSE)</f>
        <v>ADMINISTRAÇÃO PÚBLICA, DEFESA E SEGURIDADE SOCIAL</v>
      </c>
      <c r="H1185" t="str">
        <f>VLOOKUP(C1185,Base!$C:$F,4,FALSE)</f>
        <v>Serviços coletivos prestados pela administração pública</v>
      </c>
      <c r="I1185" t="str">
        <f>VLOOKUP(D1185,Base!$D:$F,3,FALSE)</f>
        <v>Relações exteriores</v>
      </c>
      <c r="J1185" t="str">
        <f>VLOOKUP(E1185,Base!$E:$F,2,FALSE)</f>
        <v>Relações exteriores</v>
      </c>
      <c r="K1185" t="s">
        <v>4001</v>
      </c>
      <c r="L1185">
        <f>IFERROR(VLOOKUP($K1185,Base_Atividades!$E$1:$N$2398,MATCH(BancoAjustado!L$1,Base_Atividades!$E$1:$N$1,0),FALSE),0)</f>
        <v>0</v>
      </c>
      <c r="M1185">
        <f>IFERROR(VLOOKUP($K1185,Base_Atividades!$E$1:$N$2398,MATCH(BancoAjustado!M$1,Base_Atividades!$E$1:$N$1,0),FALSE),0)</f>
        <v>0</v>
      </c>
      <c r="N1185">
        <f>IFERROR(VLOOKUP($K1185,Base_Atividades!$E$1:$N$2398,MATCH(BancoAjustado!N$1,Base_Atividades!$E$1:$N$1,0),FALSE),0)</f>
        <v>0</v>
      </c>
    </row>
    <row r="1186" spans="1:14" x14ac:dyDescent="0.25">
      <c r="A1186" t="s">
        <v>3990</v>
      </c>
      <c r="B1186" t="s">
        <v>3991</v>
      </c>
      <c r="C1186" t="s">
        <v>3999</v>
      </c>
      <c r="D1186" t="s">
        <v>4002</v>
      </c>
      <c r="E1186" t="s">
        <v>4003</v>
      </c>
      <c r="F1186" t="str">
        <f>VLOOKUP(A1186,Base!$A:$F,6,FALSE)</f>
        <v>ADMINISTRAÇÃO PÚBLICA, DEFESA E SEGURIDADE SOCIAL</v>
      </c>
      <c r="G1186" t="str">
        <f>VLOOKUP(B1186,Base!$B:$F,5,FALSE)</f>
        <v>ADMINISTRAÇÃO PÚBLICA, DEFESA E SEGURIDADE SOCIAL</v>
      </c>
      <c r="H1186" t="str">
        <f>VLOOKUP(C1186,Base!$C:$F,4,FALSE)</f>
        <v>Serviços coletivos prestados pela administração pública</v>
      </c>
      <c r="I1186" t="str">
        <f>VLOOKUP(D1186,Base!$D:$F,3,FALSE)</f>
        <v>Defesa</v>
      </c>
      <c r="J1186" t="str">
        <f>VLOOKUP(E1186,Base!$E:$F,2,FALSE)</f>
        <v>Defesa</v>
      </c>
      <c r="K1186" t="s">
        <v>4003</v>
      </c>
      <c r="L1186">
        <f>IFERROR(VLOOKUP($K1186,Base_Atividades!$E$1:$N$2398,MATCH(BancoAjustado!L$1,Base_Atividades!$E$1:$N$1,0),FALSE),0)</f>
        <v>0</v>
      </c>
      <c r="M1186">
        <f>IFERROR(VLOOKUP($K1186,Base_Atividades!$E$1:$N$2398,MATCH(BancoAjustado!M$1,Base_Atividades!$E$1:$N$1,0),FALSE),0)</f>
        <v>0</v>
      </c>
      <c r="N1186">
        <f>IFERROR(VLOOKUP($K1186,Base_Atividades!$E$1:$N$2398,MATCH(BancoAjustado!N$1,Base_Atividades!$E$1:$N$1,0),FALSE),0)</f>
        <v>0</v>
      </c>
    </row>
    <row r="1187" spans="1:14" x14ac:dyDescent="0.25">
      <c r="A1187" t="s">
        <v>3990</v>
      </c>
      <c r="B1187" t="s">
        <v>3991</v>
      </c>
      <c r="C1187" t="s">
        <v>3999</v>
      </c>
      <c r="D1187" t="s">
        <v>4004</v>
      </c>
      <c r="E1187" t="s">
        <v>4005</v>
      </c>
      <c r="F1187" t="str">
        <f>VLOOKUP(A1187,Base!$A:$F,6,FALSE)</f>
        <v>ADMINISTRAÇÃO PÚBLICA, DEFESA E SEGURIDADE SOCIAL</v>
      </c>
      <c r="G1187" t="str">
        <f>VLOOKUP(B1187,Base!$B:$F,5,FALSE)</f>
        <v>ADMINISTRAÇÃO PÚBLICA, DEFESA E SEGURIDADE SOCIAL</v>
      </c>
      <c r="H1187" t="str">
        <f>VLOOKUP(C1187,Base!$C:$F,4,FALSE)</f>
        <v>Serviços coletivos prestados pela administração pública</v>
      </c>
      <c r="I1187" t="str">
        <f>VLOOKUP(D1187,Base!$D:$F,3,FALSE)</f>
        <v>Justiça</v>
      </c>
      <c r="J1187" t="str">
        <f>VLOOKUP(E1187,Base!$E:$F,2,FALSE)</f>
        <v>Justiça</v>
      </c>
      <c r="K1187" t="s">
        <v>4005</v>
      </c>
      <c r="L1187">
        <f>IFERROR(VLOOKUP($K1187,Base_Atividades!$E$1:$N$2398,MATCH(BancoAjustado!L$1,Base_Atividades!$E$1:$N$1,0),FALSE),0)</f>
        <v>0</v>
      </c>
      <c r="M1187">
        <f>IFERROR(VLOOKUP($K1187,Base_Atividades!$E$1:$N$2398,MATCH(BancoAjustado!M$1,Base_Atividades!$E$1:$N$1,0),FALSE),0)</f>
        <v>0</v>
      </c>
      <c r="N1187">
        <f>IFERROR(VLOOKUP($K1187,Base_Atividades!$E$1:$N$2398,MATCH(BancoAjustado!N$1,Base_Atividades!$E$1:$N$1,0),FALSE),0)</f>
        <v>0</v>
      </c>
    </row>
    <row r="1188" spans="1:14" x14ac:dyDescent="0.25">
      <c r="A1188" t="s">
        <v>3990</v>
      </c>
      <c r="B1188" t="s">
        <v>3991</v>
      </c>
      <c r="C1188" t="s">
        <v>3999</v>
      </c>
      <c r="D1188" t="s">
        <v>4006</v>
      </c>
      <c r="E1188" t="s">
        <v>4007</v>
      </c>
      <c r="F1188" t="str">
        <f>VLOOKUP(A1188,Base!$A:$F,6,FALSE)</f>
        <v>ADMINISTRAÇÃO PÚBLICA, DEFESA E SEGURIDADE SOCIAL</v>
      </c>
      <c r="G1188" t="str">
        <f>VLOOKUP(B1188,Base!$B:$F,5,FALSE)</f>
        <v>ADMINISTRAÇÃO PÚBLICA, DEFESA E SEGURIDADE SOCIAL</v>
      </c>
      <c r="H1188" t="str">
        <f>VLOOKUP(C1188,Base!$C:$F,4,FALSE)</f>
        <v>Serviços coletivos prestados pela administração pública</v>
      </c>
      <c r="I1188" t="str">
        <f>VLOOKUP(D1188,Base!$D:$F,3,FALSE)</f>
        <v>Segurança e ordem pública</v>
      </c>
      <c r="J1188" t="str">
        <f>VLOOKUP(E1188,Base!$E:$F,2,FALSE)</f>
        <v>Segurança e ordem pública</v>
      </c>
      <c r="K1188" t="s">
        <v>4007</v>
      </c>
      <c r="L1188">
        <f>IFERROR(VLOOKUP($K1188,Base_Atividades!$E$1:$N$2398,MATCH(BancoAjustado!L$1,Base_Atividades!$E$1:$N$1,0),FALSE),0)</f>
        <v>0</v>
      </c>
      <c r="M1188">
        <f>IFERROR(VLOOKUP($K1188,Base_Atividades!$E$1:$N$2398,MATCH(BancoAjustado!M$1,Base_Atividades!$E$1:$N$1,0),FALSE),0)</f>
        <v>0</v>
      </c>
      <c r="N1188">
        <f>IFERROR(VLOOKUP($K1188,Base_Atividades!$E$1:$N$2398,MATCH(BancoAjustado!N$1,Base_Atividades!$E$1:$N$1,0),FALSE),0)</f>
        <v>0</v>
      </c>
    </row>
    <row r="1189" spans="1:14" x14ac:dyDescent="0.25">
      <c r="A1189" t="s">
        <v>3990</v>
      </c>
      <c r="B1189" t="s">
        <v>3991</v>
      </c>
      <c r="C1189" t="s">
        <v>3999</v>
      </c>
      <c r="D1189" t="s">
        <v>4008</v>
      </c>
      <c r="E1189" t="s">
        <v>4009</v>
      </c>
      <c r="F1189" t="str">
        <f>VLOOKUP(A1189,Base!$A:$F,6,FALSE)</f>
        <v>ADMINISTRAÇÃO PÚBLICA, DEFESA E SEGURIDADE SOCIAL</v>
      </c>
      <c r="G1189" t="str">
        <f>VLOOKUP(B1189,Base!$B:$F,5,FALSE)</f>
        <v>ADMINISTRAÇÃO PÚBLICA, DEFESA E SEGURIDADE SOCIAL</v>
      </c>
      <c r="H1189" t="str">
        <f>VLOOKUP(C1189,Base!$C:$F,4,FALSE)</f>
        <v>Serviços coletivos prestados pela administração pública</v>
      </c>
      <c r="I1189" t="str">
        <f>VLOOKUP(D1189,Base!$D:$F,3,FALSE)</f>
        <v>Defesa Civil</v>
      </c>
      <c r="J1189" t="str">
        <f>VLOOKUP(E1189,Base!$E:$F,2,FALSE)</f>
        <v>Defesa Civil</v>
      </c>
      <c r="K1189" t="s">
        <v>4009</v>
      </c>
      <c r="L1189">
        <f>IFERROR(VLOOKUP($K1189,Base_Atividades!$E$1:$N$2398,MATCH(BancoAjustado!L$1,Base_Atividades!$E$1:$N$1,0),FALSE),0)</f>
        <v>0</v>
      </c>
      <c r="M1189">
        <f>IFERROR(VLOOKUP($K1189,Base_Atividades!$E$1:$N$2398,MATCH(BancoAjustado!M$1,Base_Atividades!$E$1:$N$1,0),FALSE),0)</f>
        <v>0</v>
      </c>
      <c r="N1189">
        <f>IFERROR(VLOOKUP($K1189,Base_Atividades!$E$1:$N$2398,MATCH(BancoAjustado!N$1,Base_Atividades!$E$1:$N$1,0),FALSE),0)</f>
        <v>0</v>
      </c>
    </row>
    <row r="1190" spans="1:14" x14ac:dyDescent="0.25">
      <c r="A1190" t="s">
        <v>3990</v>
      </c>
      <c r="B1190" t="s">
        <v>3991</v>
      </c>
      <c r="C1190" t="s">
        <v>4010</v>
      </c>
      <c r="D1190" t="s">
        <v>4011</v>
      </c>
      <c r="E1190" t="s">
        <v>4012</v>
      </c>
      <c r="F1190" t="str">
        <f>VLOOKUP(A1190,Base!$A:$F,6,FALSE)</f>
        <v>ADMINISTRAÇÃO PÚBLICA, DEFESA E SEGURIDADE SOCIAL</v>
      </c>
      <c r="G1190" t="str">
        <f>VLOOKUP(B1190,Base!$B:$F,5,FALSE)</f>
        <v>ADMINISTRAÇÃO PÚBLICA, DEFESA E SEGURIDADE SOCIAL</v>
      </c>
      <c r="H1190" t="str">
        <f>VLOOKUP(C1190,Base!$C:$F,4,FALSE)</f>
        <v>Seguridade social obrigatória</v>
      </c>
      <c r="I1190" t="str">
        <f>VLOOKUP(D1190,Base!$D:$F,3,FALSE)</f>
        <v>Seguridade social obrigatória</v>
      </c>
      <c r="J1190" t="str">
        <f>VLOOKUP(E1190,Base!$E:$F,2,FALSE)</f>
        <v>Seguridade social obrigatória</v>
      </c>
      <c r="K1190" t="s">
        <v>4012</v>
      </c>
      <c r="L1190">
        <f>IFERROR(VLOOKUP($K1190,Base_Atividades!$E$1:$N$2398,MATCH(BancoAjustado!L$1,Base_Atividades!$E$1:$N$1,0),FALSE),0)</f>
        <v>0</v>
      </c>
      <c r="M1190">
        <f>IFERROR(VLOOKUP($K1190,Base_Atividades!$E$1:$N$2398,MATCH(BancoAjustado!M$1,Base_Atividades!$E$1:$N$1,0),FALSE),0)</f>
        <v>0</v>
      </c>
      <c r="N1190">
        <f>IFERROR(VLOOKUP($K1190,Base_Atividades!$E$1:$N$2398,MATCH(BancoAjustado!N$1,Base_Atividades!$E$1:$N$1,0),FALSE),0)</f>
        <v>0</v>
      </c>
    </row>
    <row r="1191" spans="1:14" x14ac:dyDescent="0.25">
      <c r="A1191" t="s">
        <v>4013</v>
      </c>
      <c r="B1191" t="s">
        <v>4014</v>
      </c>
      <c r="C1191" t="s">
        <v>4015</v>
      </c>
      <c r="D1191" t="s">
        <v>4016</v>
      </c>
      <c r="E1191" t="s">
        <v>4017</v>
      </c>
      <c r="F1191" t="str">
        <f>VLOOKUP(A1191,Base!$A:$F,6,FALSE)</f>
        <v>EDUCAÇÃO</v>
      </c>
      <c r="G1191" t="str">
        <f>VLOOKUP(B1191,Base!$B:$F,5,FALSE)</f>
        <v>EDUCAÇÃO</v>
      </c>
      <c r="H1191" t="str">
        <f>VLOOKUP(C1191,Base!$C:$F,4,FALSE)</f>
        <v>Educação infantil e ensino fundamental</v>
      </c>
      <c r="I1191" t="str">
        <f>VLOOKUP(D1191,Base!$D:$F,3,FALSE)</f>
        <v>Educação infantil - creche</v>
      </c>
      <c r="J1191" t="str">
        <f>VLOOKUP(E1191,Base!$E:$F,2,FALSE)</f>
        <v>Educação infantil - creche</v>
      </c>
      <c r="K1191" t="s">
        <v>4017</v>
      </c>
      <c r="L1191">
        <f>IFERROR(VLOOKUP($K1191,Base_Atividades!$E$1:$N$2398,MATCH(BancoAjustado!L$1,Base_Atividades!$E$1:$N$1,0),FALSE),0)</f>
        <v>1</v>
      </c>
      <c r="M1191">
        <f>IFERROR(VLOOKUP($K1191,Base_Atividades!$E$1:$N$2398,MATCH(BancoAjustado!M$1,Base_Atividades!$E$1:$N$1,0),FALSE),0)</f>
        <v>0</v>
      </c>
      <c r="N1191">
        <f>IFERROR(VLOOKUP($K1191,Base_Atividades!$E$1:$N$2398,MATCH(BancoAjustado!N$1,Base_Atividades!$E$1:$N$1,0),FALSE),0)</f>
        <v>0</v>
      </c>
    </row>
    <row r="1192" spans="1:14" x14ac:dyDescent="0.25">
      <c r="A1192" t="s">
        <v>4013</v>
      </c>
      <c r="B1192" t="s">
        <v>4014</v>
      </c>
      <c r="C1192" t="s">
        <v>4015</v>
      </c>
      <c r="D1192" t="s">
        <v>4018</v>
      </c>
      <c r="E1192" t="s">
        <v>4019</v>
      </c>
      <c r="F1192" t="str">
        <f>VLOOKUP(A1192,Base!$A:$F,6,FALSE)</f>
        <v>EDUCAÇÃO</v>
      </c>
      <c r="G1192" t="str">
        <f>VLOOKUP(B1192,Base!$B:$F,5,FALSE)</f>
        <v>EDUCAÇÃO</v>
      </c>
      <c r="H1192" t="str">
        <f>VLOOKUP(C1192,Base!$C:$F,4,FALSE)</f>
        <v>Educação infantil e ensino fundamental</v>
      </c>
      <c r="I1192" t="str">
        <f>VLOOKUP(D1192,Base!$D:$F,3,FALSE)</f>
        <v>Educação infantil - pré-escola</v>
      </c>
      <c r="J1192" t="str">
        <f>VLOOKUP(E1192,Base!$E:$F,2,FALSE)</f>
        <v>Educação infantil - pré-escola</v>
      </c>
      <c r="K1192" t="s">
        <v>4019</v>
      </c>
      <c r="L1192">
        <f>IFERROR(VLOOKUP($K1192,Base_Atividades!$E$1:$N$2398,MATCH(BancoAjustado!L$1,Base_Atividades!$E$1:$N$1,0),FALSE),0)</f>
        <v>1</v>
      </c>
      <c r="M1192">
        <f>IFERROR(VLOOKUP($K1192,Base_Atividades!$E$1:$N$2398,MATCH(BancoAjustado!M$1,Base_Atividades!$E$1:$N$1,0),FALSE),0)</f>
        <v>0</v>
      </c>
      <c r="N1192">
        <f>IFERROR(VLOOKUP($K1192,Base_Atividades!$E$1:$N$2398,MATCH(BancoAjustado!N$1,Base_Atividades!$E$1:$N$1,0),FALSE),0)</f>
        <v>0</v>
      </c>
    </row>
    <row r="1193" spans="1:14" x14ac:dyDescent="0.25">
      <c r="A1193" t="s">
        <v>4013</v>
      </c>
      <c r="B1193" t="s">
        <v>4014</v>
      </c>
      <c r="C1193" t="s">
        <v>4015</v>
      </c>
      <c r="D1193" t="s">
        <v>4020</v>
      </c>
      <c r="E1193" t="s">
        <v>4021</v>
      </c>
      <c r="F1193" t="str">
        <f>VLOOKUP(A1193,Base!$A:$F,6,FALSE)</f>
        <v>EDUCAÇÃO</v>
      </c>
      <c r="G1193" t="str">
        <f>VLOOKUP(B1193,Base!$B:$F,5,FALSE)</f>
        <v>EDUCAÇÃO</v>
      </c>
      <c r="H1193" t="str">
        <f>VLOOKUP(C1193,Base!$C:$F,4,FALSE)</f>
        <v>Educação infantil e ensino fundamental</v>
      </c>
      <c r="I1193" t="str">
        <f>VLOOKUP(D1193,Base!$D:$F,3,FALSE)</f>
        <v>Ensino fundamental</v>
      </c>
      <c r="J1193" t="str">
        <f>VLOOKUP(E1193,Base!$E:$F,2,FALSE)</f>
        <v>Ensino fundamental</v>
      </c>
      <c r="K1193" t="s">
        <v>4021</v>
      </c>
      <c r="L1193">
        <f>IFERROR(VLOOKUP($K1193,Base_Atividades!$E$1:$N$2398,MATCH(BancoAjustado!L$1,Base_Atividades!$E$1:$N$1,0),FALSE),0)</f>
        <v>1</v>
      </c>
      <c r="M1193">
        <f>IFERROR(VLOOKUP($K1193,Base_Atividades!$E$1:$N$2398,MATCH(BancoAjustado!M$1,Base_Atividades!$E$1:$N$1,0),FALSE),0)</f>
        <v>0</v>
      </c>
      <c r="N1193">
        <f>IFERROR(VLOOKUP($K1193,Base_Atividades!$E$1:$N$2398,MATCH(BancoAjustado!N$1,Base_Atividades!$E$1:$N$1,0),FALSE),0)</f>
        <v>0</v>
      </c>
    </row>
    <row r="1194" spans="1:14" x14ac:dyDescent="0.25">
      <c r="A1194" t="s">
        <v>4013</v>
      </c>
      <c r="B1194" t="s">
        <v>4014</v>
      </c>
      <c r="C1194" t="s">
        <v>4022</v>
      </c>
      <c r="D1194" t="s">
        <v>4023</v>
      </c>
      <c r="E1194" t="s">
        <v>4024</v>
      </c>
      <c r="F1194" t="str">
        <f>VLOOKUP(A1194,Base!$A:$F,6,FALSE)</f>
        <v>EDUCAÇÃO</v>
      </c>
      <c r="G1194" t="str">
        <f>VLOOKUP(B1194,Base!$B:$F,5,FALSE)</f>
        <v>EDUCAÇÃO</v>
      </c>
      <c r="H1194" t="str">
        <f>VLOOKUP(C1194,Base!$C:$F,4,FALSE)</f>
        <v>Ensino médio</v>
      </c>
      <c r="I1194" t="str">
        <f>VLOOKUP(D1194,Base!$D:$F,3,FALSE)</f>
        <v>Ensino médio</v>
      </c>
      <c r="J1194" t="str">
        <f>VLOOKUP(E1194,Base!$E:$F,2,FALSE)</f>
        <v>Ensino médio</v>
      </c>
      <c r="K1194" t="s">
        <v>4024</v>
      </c>
      <c r="L1194">
        <f>IFERROR(VLOOKUP($K1194,Base_Atividades!$E$1:$N$2398,MATCH(BancoAjustado!L$1,Base_Atividades!$E$1:$N$1,0),FALSE),0)</f>
        <v>1</v>
      </c>
      <c r="M1194">
        <f>IFERROR(VLOOKUP($K1194,Base_Atividades!$E$1:$N$2398,MATCH(BancoAjustado!M$1,Base_Atividades!$E$1:$N$1,0),FALSE),0)</f>
        <v>0</v>
      </c>
      <c r="N1194">
        <f>IFERROR(VLOOKUP($K1194,Base_Atividades!$E$1:$N$2398,MATCH(BancoAjustado!N$1,Base_Atividades!$E$1:$N$1,0),FALSE),0)</f>
        <v>0</v>
      </c>
    </row>
    <row r="1195" spans="1:14" x14ac:dyDescent="0.25">
      <c r="A1195" t="s">
        <v>4013</v>
      </c>
      <c r="B1195" t="s">
        <v>4014</v>
      </c>
      <c r="C1195" t="s">
        <v>4025</v>
      </c>
      <c r="D1195" t="s">
        <v>4026</v>
      </c>
      <c r="E1195" t="s">
        <v>4027</v>
      </c>
      <c r="F1195" t="str">
        <f>VLOOKUP(A1195,Base!$A:$F,6,FALSE)</f>
        <v>EDUCAÇÃO</v>
      </c>
      <c r="G1195" t="str">
        <f>VLOOKUP(B1195,Base!$B:$F,5,FALSE)</f>
        <v>EDUCAÇÃO</v>
      </c>
      <c r="H1195" t="str">
        <f>VLOOKUP(C1195,Base!$C:$F,4,FALSE)</f>
        <v>Educação superior</v>
      </c>
      <c r="I1195" t="str">
        <f>VLOOKUP(D1195,Base!$D:$F,3,FALSE)</f>
        <v>Educação superior - graduação</v>
      </c>
      <c r="J1195" t="str">
        <f>VLOOKUP(E1195,Base!$E:$F,2,FALSE)</f>
        <v>Educação superior - graduação</v>
      </c>
      <c r="K1195" t="s">
        <v>4027</v>
      </c>
      <c r="L1195">
        <f>IFERROR(VLOOKUP($K1195,Base_Atividades!$E$1:$N$2398,MATCH(BancoAjustado!L$1,Base_Atividades!$E$1:$N$1,0),FALSE),0)</f>
        <v>1</v>
      </c>
      <c r="M1195">
        <f>IFERROR(VLOOKUP($K1195,Base_Atividades!$E$1:$N$2398,MATCH(BancoAjustado!M$1,Base_Atividades!$E$1:$N$1,0),FALSE),0)</f>
        <v>0</v>
      </c>
      <c r="N1195">
        <f>IFERROR(VLOOKUP($K1195,Base_Atividades!$E$1:$N$2398,MATCH(BancoAjustado!N$1,Base_Atividades!$E$1:$N$1,0),FALSE),0)</f>
        <v>0</v>
      </c>
    </row>
    <row r="1196" spans="1:14" x14ac:dyDescent="0.25">
      <c r="A1196" t="s">
        <v>4013</v>
      </c>
      <c r="B1196" t="s">
        <v>4014</v>
      </c>
      <c r="C1196" t="s">
        <v>4025</v>
      </c>
      <c r="D1196" t="s">
        <v>4028</v>
      </c>
      <c r="E1196" t="s">
        <v>4029</v>
      </c>
      <c r="F1196" t="str">
        <f>VLOOKUP(A1196,Base!$A:$F,6,FALSE)</f>
        <v>EDUCAÇÃO</v>
      </c>
      <c r="G1196" t="str">
        <f>VLOOKUP(B1196,Base!$B:$F,5,FALSE)</f>
        <v>EDUCAÇÃO</v>
      </c>
      <c r="H1196" t="str">
        <f>VLOOKUP(C1196,Base!$C:$F,4,FALSE)</f>
        <v>Educação superior</v>
      </c>
      <c r="I1196" t="str">
        <f>VLOOKUP(D1196,Base!$D:$F,3,FALSE)</f>
        <v>Educação superior - graduação e pós-graduação</v>
      </c>
      <c r="J1196" t="str">
        <f>VLOOKUP(E1196,Base!$E:$F,2,FALSE)</f>
        <v>Educação superior - graduação e pós-graduação</v>
      </c>
      <c r="K1196" t="s">
        <v>4029</v>
      </c>
      <c r="L1196">
        <f>IFERROR(VLOOKUP($K1196,Base_Atividades!$E$1:$N$2398,MATCH(BancoAjustado!L$1,Base_Atividades!$E$1:$N$1,0),FALSE),0)</f>
        <v>1</v>
      </c>
      <c r="M1196">
        <f>IFERROR(VLOOKUP($K1196,Base_Atividades!$E$1:$N$2398,MATCH(BancoAjustado!M$1,Base_Atividades!$E$1:$N$1,0),FALSE),0)</f>
        <v>0</v>
      </c>
      <c r="N1196">
        <f>IFERROR(VLOOKUP($K1196,Base_Atividades!$E$1:$N$2398,MATCH(BancoAjustado!N$1,Base_Atividades!$E$1:$N$1,0),FALSE),0)</f>
        <v>0</v>
      </c>
    </row>
    <row r="1197" spans="1:14" x14ac:dyDescent="0.25">
      <c r="A1197" t="s">
        <v>4013</v>
      </c>
      <c r="B1197" t="s">
        <v>4014</v>
      </c>
      <c r="C1197" t="s">
        <v>4025</v>
      </c>
      <c r="D1197" t="s">
        <v>4030</v>
      </c>
      <c r="E1197" t="s">
        <v>4031</v>
      </c>
      <c r="F1197" t="str">
        <f>VLOOKUP(A1197,Base!$A:$F,6,FALSE)</f>
        <v>EDUCAÇÃO</v>
      </c>
      <c r="G1197" t="str">
        <f>VLOOKUP(B1197,Base!$B:$F,5,FALSE)</f>
        <v>EDUCAÇÃO</v>
      </c>
      <c r="H1197" t="str">
        <f>VLOOKUP(C1197,Base!$C:$F,4,FALSE)</f>
        <v>Educação superior</v>
      </c>
      <c r="I1197" t="str">
        <f>VLOOKUP(D1197,Base!$D:$F,3,FALSE)</f>
        <v>Educação superior - pós-graduação e extensão</v>
      </c>
      <c r="J1197" t="str">
        <f>VLOOKUP(E1197,Base!$E:$F,2,FALSE)</f>
        <v>Educação superior - pós-graduação e extensão</v>
      </c>
      <c r="K1197" t="s">
        <v>4031</v>
      </c>
      <c r="L1197">
        <f>IFERROR(VLOOKUP($K1197,Base_Atividades!$E$1:$N$2398,MATCH(BancoAjustado!L$1,Base_Atividades!$E$1:$N$1,0),FALSE),0)</f>
        <v>1</v>
      </c>
      <c r="M1197">
        <f>IFERROR(VLOOKUP($K1197,Base_Atividades!$E$1:$N$2398,MATCH(BancoAjustado!M$1,Base_Atividades!$E$1:$N$1,0),FALSE),0)</f>
        <v>0</v>
      </c>
      <c r="N1197">
        <f>IFERROR(VLOOKUP($K1197,Base_Atividades!$E$1:$N$2398,MATCH(BancoAjustado!N$1,Base_Atividades!$E$1:$N$1,0),FALSE),0)</f>
        <v>0</v>
      </c>
    </row>
    <row r="1198" spans="1:14" x14ac:dyDescent="0.25">
      <c r="A1198" t="s">
        <v>4013</v>
      </c>
      <c r="B1198" t="s">
        <v>4014</v>
      </c>
      <c r="C1198" t="s">
        <v>4032</v>
      </c>
      <c r="D1198" t="s">
        <v>4033</v>
      </c>
      <c r="E1198" t="s">
        <v>4034</v>
      </c>
      <c r="F1198" t="str">
        <f>VLOOKUP(A1198,Base!$A:$F,6,FALSE)</f>
        <v>EDUCAÇÃO</v>
      </c>
      <c r="G1198" t="str">
        <f>VLOOKUP(B1198,Base!$B:$F,5,FALSE)</f>
        <v>EDUCAÇÃO</v>
      </c>
      <c r="H1198" t="str">
        <f>VLOOKUP(C1198,Base!$C:$F,4,FALSE)</f>
        <v>Educação profissional de nível técnico e tecnológico</v>
      </c>
      <c r="I1198" t="str">
        <f>VLOOKUP(D1198,Base!$D:$F,3,FALSE)</f>
        <v>Educação profissional de nível técnico</v>
      </c>
      <c r="J1198" t="str">
        <f>VLOOKUP(E1198,Base!$E:$F,2,FALSE)</f>
        <v>Educação profissional de nível técnico</v>
      </c>
      <c r="K1198" t="s">
        <v>4034</v>
      </c>
      <c r="L1198">
        <f>IFERROR(VLOOKUP($K1198,Base_Atividades!$E$1:$N$2398,MATCH(BancoAjustado!L$1,Base_Atividades!$E$1:$N$1,0),FALSE),0)</f>
        <v>1</v>
      </c>
      <c r="M1198">
        <f>IFERROR(VLOOKUP($K1198,Base_Atividades!$E$1:$N$2398,MATCH(BancoAjustado!M$1,Base_Atividades!$E$1:$N$1,0),FALSE),0)</f>
        <v>0</v>
      </c>
      <c r="N1198">
        <f>IFERROR(VLOOKUP($K1198,Base_Atividades!$E$1:$N$2398,MATCH(BancoAjustado!N$1,Base_Atividades!$E$1:$N$1,0),FALSE),0)</f>
        <v>0</v>
      </c>
    </row>
    <row r="1199" spans="1:14" x14ac:dyDescent="0.25">
      <c r="A1199" t="s">
        <v>4013</v>
      </c>
      <c r="B1199" t="s">
        <v>4014</v>
      </c>
      <c r="C1199" t="s">
        <v>4032</v>
      </c>
      <c r="D1199" t="s">
        <v>4035</v>
      </c>
      <c r="E1199" t="s">
        <v>4036</v>
      </c>
      <c r="F1199" t="str">
        <f>VLOOKUP(A1199,Base!$A:$F,6,FALSE)</f>
        <v>EDUCAÇÃO</v>
      </c>
      <c r="G1199" t="str">
        <f>VLOOKUP(B1199,Base!$B:$F,5,FALSE)</f>
        <v>EDUCAÇÃO</v>
      </c>
      <c r="H1199" t="str">
        <f>VLOOKUP(C1199,Base!$C:$F,4,FALSE)</f>
        <v>Educação profissional de nível técnico e tecnológico</v>
      </c>
      <c r="I1199" t="str">
        <f>VLOOKUP(D1199,Base!$D:$F,3,FALSE)</f>
        <v>Educação profissional de nível tecnológico</v>
      </c>
      <c r="J1199" t="str">
        <f>VLOOKUP(E1199,Base!$E:$F,2,FALSE)</f>
        <v>Educação profissional de nível tecnológico</v>
      </c>
      <c r="K1199" t="s">
        <v>4036</v>
      </c>
      <c r="L1199">
        <f>IFERROR(VLOOKUP($K1199,Base_Atividades!$E$1:$N$2398,MATCH(BancoAjustado!L$1,Base_Atividades!$E$1:$N$1,0),FALSE),0)</f>
        <v>1</v>
      </c>
      <c r="M1199">
        <f>IFERROR(VLOOKUP($K1199,Base_Atividades!$E$1:$N$2398,MATCH(BancoAjustado!M$1,Base_Atividades!$E$1:$N$1,0),FALSE),0)</f>
        <v>0</v>
      </c>
      <c r="N1199">
        <f>IFERROR(VLOOKUP($K1199,Base_Atividades!$E$1:$N$2398,MATCH(BancoAjustado!N$1,Base_Atividades!$E$1:$N$1,0),FALSE),0)</f>
        <v>0</v>
      </c>
    </row>
    <row r="1200" spans="1:14" x14ac:dyDescent="0.25">
      <c r="A1200" t="s">
        <v>4013</v>
      </c>
      <c r="B1200" t="s">
        <v>4014</v>
      </c>
      <c r="C1200" t="s">
        <v>4037</v>
      </c>
      <c r="D1200" t="s">
        <v>4038</v>
      </c>
      <c r="E1200" t="s">
        <v>4039</v>
      </c>
      <c r="F1200" t="str">
        <f>VLOOKUP(A1200,Base!$A:$F,6,FALSE)</f>
        <v>EDUCAÇÃO</v>
      </c>
      <c r="G1200" t="str">
        <f>VLOOKUP(B1200,Base!$B:$F,5,FALSE)</f>
        <v>EDUCAÇÃO</v>
      </c>
      <c r="H1200" t="str">
        <f>VLOOKUP(C1200,Base!$C:$F,4,FALSE)</f>
        <v>Atividades de apoio à educação</v>
      </c>
      <c r="I1200" t="str">
        <f>VLOOKUP(D1200,Base!$D:$F,3,FALSE)</f>
        <v>Atividades de apoio à educação</v>
      </c>
      <c r="J1200" t="str">
        <f>VLOOKUP(E1200,Base!$E:$F,2,FALSE)</f>
        <v>Administração de caixas escolares</v>
      </c>
      <c r="K1200" t="s">
        <v>4039</v>
      </c>
      <c r="L1200">
        <f>IFERROR(VLOOKUP($K1200,Base_Atividades!$E$1:$N$2398,MATCH(BancoAjustado!L$1,Base_Atividades!$E$1:$N$1,0),FALSE),0)</f>
        <v>1</v>
      </c>
      <c r="M1200">
        <f>IFERROR(VLOOKUP($K1200,Base_Atividades!$E$1:$N$2398,MATCH(BancoAjustado!M$1,Base_Atividades!$E$1:$N$1,0),FALSE),0)</f>
        <v>0</v>
      </c>
      <c r="N1200">
        <f>IFERROR(VLOOKUP($K1200,Base_Atividades!$E$1:$N$2398,MATCH(BancoAjustado!N$1,Base_Atividades!$E$1:$N$1,0),FALSE),0)</f>
        <v>0</v>
      </c>
    </row>
    <row r="1201" spans="1:14" x14ac:dyDescent="0.25">
      <c r="A1201" t="s">
        <v>4013</v>
      </c>
      <c r="B1201" t="s">
        <v>4014</v>
      </c>
      <c r="C1201" t="s">
        <v>4037</v>
      </c>
      <c r="D1201" t="s">
        <v>4038</v>
      </c>
      <c r="E1201" t="s">
        <v>4040</v>
      </c>
      <c r="F1201" t="str">
        <f>VLOOKUP(A1201,Base!$A:$F,6,FALSE)</f>
        <v>EDUCAÇÃO</v>
      </c>
      <c r="G1201" t="str">
        <f>VLOOKUP(B1201,Base!$B:$F,5,FALSE)</f>
        <v>EDUCAÇÃO</v>
      </c>
      <c r="H1201" t="str">
        <f>VLOOKUP(C1201,Base!$C:$F,4,FALSE)</f>
        <v>Atividades de apoio à educação</v>
      </c>
      <c r="I1201" t="str">
        <f>VLOOKUP(D1201,Base!$D:$F,3,FALSE)</f>
        <v>Atividades de apoio à educação</v>
      </c>
      <c r="J1201" t="str">
        <f>VLOOKUP(E1201,Base!$E:$F,2,FALSE)</f>
        <v>Atividades de apoio à educação, exceto caixas escolares</v>
      </c>
      <c r="K1201" t="s">
        <v>4040</v>
      </c>
      <c r="L1201">
        <f>IFERROR(VLOOKUP($K1201,Base_Atividades!$E$1:$N$2398,MATCH(BancoAjustado!L$1,Base_Atividades!$E$1:$N$1,0),FALSE),0)</f>
        <v>1</v>
      </c>
      <c r="M1201">
        <f>IFERROR(VLOOKUP($K1201,Base_Atividades!$E$1:$N$2398,MATCH(BancoAjustado!M$1,Base_Atividades!$E$1:$N$1,0),FALSE),0)</f>
        <v>0</v>
      </c>
      <c r="N1201">
        <f>IFERROR(VLOOKUP($K1201,Base_Atividades!$E$1:$N$2398,MATCH(BancoAjustado!N$1,Base_Atividades!$E$1:$N$1,0),FALSE),0)</f>
        <v>0</v>
      </c>
    </row>
    <row r="1202" spans="1:14" x14ac:dyDescent="0.25">
      <c r="A1202" t="s">
        <v>4013</v>
      </c>
      <c r="B1202" t="s">
        <v>4014</v>
      </c>
      <c r="C1202" t="s">
        <v>4041</v>
      </c>
      <c r="D1202" t="s">
        <v>4042</v>
      </c>
      <c r="E1202" t="s">
        <v>4043</v>
      </c>
      <c r="F1202" t="str">
        <f>VLOOKUP(A1202,Base!$A:$F,6,FALSE)</f>
        <v>EDUCAÇÃO</v>
      </c>
      <c r="G1202" t="str">
        <f>VLOOKUP(B1202,Base!$B:$F,5,FALSE)</f>
        <v>EDUCAÇÃO</v>
      </c>
      <c r="H1202" t="str">
        <f>VLOOKUP(C1202,Base!$C:$F,4,FALSE)</f>
        <v>Outras atividades de ensino</v>
      </c>
      <c r="I1202" t="str">
        <f>VLOOKUP(D1202,Base!$D:$F,3,FALSE)</f>
        <v>Ensino de esportes</v>
      </c>
      <c r="J1202" t="str">
        <f>VLOOKUP(E1202,Base!$E:$F,2,FALSE)</f>
        <v>Ensino de esportes</v>
      </c>
      <c r="K1202" t="s">
        <v>4043</v>
      </c>
      <c r="L1202">
        <f>IFERROR(VLOOKUP($K1202,Base_Atividades!$E$1:$N$2398,MATCH(BancoAjustado!L$1,Base_Atividades!$E$1:$N$1,0),FALSE),0)</f>
        <v>1</v>
      </c>
      <c r="M1202">
        <f>IFERROR(VLOOKUP($K1202,Base_Atividades!$E$1:$N$2398,MATCH(BancoAjustado!M$1,Base_Atividades!$E$1:$N$1,0),FALSE),0)</f>
        <v>0</v>
      </c>
      <c r="N1202">
        <f>IFERROR(VLOOKUP($K1202,Base_Atividades!$E$1:$N$2398,MATCH(BancoAjustado!N$1,Base_Atividades!$E$1:$N$1,0),FALSE),0)</f>
        <v>0</v>
      </c>
    </row>
    <row r="1203" spans="1:14" x14ac:dyDescent="0.25">
      <c r="A1203" t="s">
        <v>4013</v>
      </c>
      <c r="B1203" t="s">
        <v>4014</v>
      </c>
      <c r="C1203" t="s">
        <v>4041</v>
      </c>
      <c r="D1203" t="s">
        <v>4044</v>
      </c>
      <c r="E1203" t="s">
        <v>4045</v>
      </c>
      <c r="F1203" t="str">
        <f>VLOOKUP(A1203,Base!$A:$F,6,FALSE)</f>
        <v>EDUCAÇÃO</v>
      </c>
      <c r="G1203" t="str">
        <f>VLOOKUP(B1203,Base!$B:$F,5,FALSE)</f>
        <v>EDUCAÇÃO</v>
      </c>
      <c r="H1203" t="str">
        <f>VLOOKUP(C1203,Base!$C:$F,4,FALSE)</f>
        <v>Outras atividades de ensino</v>
      </c>
      <c r="I1203" t="str">
        <f>VLOOKUP(D1203,Base!$D:$F,3,FALSE)</f>
        <v>Ensino de arte e cultura</v>
      </c>
      <c r="J1203" t="str">
        <f>VLOOKUP(E1203,Base!$E:$F,2,FALSE)</f>
        <v>Ensino de dança</v>
      </c>
      <c r="K1203" t="s">
        <v>4045</v>
      </c>
      <c r="L1203">
        <f>IFERROR(VLOOKUP($K1203,Base_Atividades!$E$1:$N$2398,MATCH(BancoAjustado!L$1,Base_Atividades!$E$1:$N$1,0),FALSE),0)</f>
        <v>1</v>
      </c>
      <c r="M1203">
        <f>IFERROR(VLOOKUP($K1203,Base_Atividades!$E$1:$N$2398,MATCH(BancoAjustado!M$1,Base_Atividades!$E$1:$N$1,0),FALSE),0)</f>
        <v>0</v>
      </c>
      <c r="N1203">
        <f>IFERROR(VLOOKUP($K1203,Base_Atividades!$E$1:$N$2398,MATCH(BancoAjustado!N$1,Base_Atividades!$E$1:$N$1,0),FALSE),0)</f>
        <v>0</v>
      </c>
    </row>
    <row r="1204" spans="1:14" x14ac:dyDescent="0.25">
      <c r="A1204" t="s">
        <v>4013</v>
      </c>
      <c r="B1204" t="s">
        <v>4014</v>
      </c>
      <c r="C1204" t="s">
        <v>4041</v>
      </c>
      <c r="D1204" t="s">
        <v>4044</v>
      </c>
      <c r="E1204" t="s">
        <v>4046</v>
      </c>
      <c r="F1204" t="str">
        <f>VLOOKUP(A1204,Base!$A:$F,6,FALSE)</f>
        <v>EDUCAÇÃO</v>
      </c>
      <c r="G1204" t="str">
        <f>VLOOKUP(B1204,Base!$B:$F,5,FALSE)</f>
        <v>EDUCAÇÃO</v>
      </c>
      <c r="H1204" t="str">
        <f>VLOOKUP(C1204,Base!$C:$F,4,FALSE)</f>
        <v>Outras atividades de ensino</v>
      </c>
      <c r="I1204" t="str">
        <f>VLOOKUP(D1204,Base!$D:$F,3,FALSE)</f>
        <v>Ensino de arte e cultura</v>
      </c>
      <c r="J1204" t="str">
        <f>VLOOKUP(E1204,Base!$E:$F,2,FALSE)</f>
        <v>Ensino de artes cênicas, exceto dança</v>
      </c>
      <c r="K1204" t="s">
        <v>4046</v>
      </c>
      <c r="L1204">
        <f>IFERROR(VLOOKUP($K1204,Base_Atividades!$E$1:$N$2398,MATCH(BancoAjustado!L$1,Base_Atividades!$E$1:$N$1,0),FALSE),0)</f>
        <v>1</v>
      </c>
      <c r="M1204">
        <f>IFERROR(VLOOKUP($K1204,Base_Atividades!$E$1:$N$2398,MATCH(BancoAjustado!M$1,Base_Atividades!$E$1:$N$1,0),FALSE),0)</f>
        <v>0</v>
      </c>
      <c r="N1204">
        <f>IFERROR(VLOOKUP($K1204,Base_Atividades!$E$1:$N$2398,MATCH(BancoAjustado!N$1,Base_Atividades!$E$1:$N$1,0),FALSE),0)</f>
        <v>0</v>
      </c>
    </row>
    <row r="1205" spans="1:14" x14ac:dyDescent="0.25">
      <c r="A1205" t="s">
        <v>4013</v>
      </c>
      <c r="B1205" t="s">
        <v>4014</v>
      </c>
      <c r="C1205" t="s">
        <v>4041</v>
      </c>
      <c r="D1205" t="s">
        <v>4044</v>
      </c>
      <c r="E1205" t="s">
        <v>4047</v>
      </c>
      <c r="F1205" t="str">
        <f>VLOOKUP(A1205,Base!$A:$F,6,FALSE)</f>
        <v>EDUCAÇÃO</v>
      </c>
      <c r="G1205" t="str">
        <f>VLOOKUP(B1205,Base!$B:$F,5,FALSE)</f>
        <v>EDUCAÇÃO</v>
      </c>
      <c r="H1205" t="str">
        <f>VLOOKUP(C1205,Base!$C:$F,4,FALSE)</f>
        <v>Outras atividades de ensino</v>
      </c>
      <c r="I1205" t="str">
        <f>VLOOKUP(D1205,Base!$D:$F,3,FALSE)</f>
        <v>Ensino de arte e cultura</v>
      </c>
      <c r="J1205" t="str">
        <f>VLOOKUP(E1205,Base!$E:$F,2,FALSE)</f>
        <v>Ensino de música</v>
      </c>
      <c r="K1205" t="s">
        <v>4047</v>
      </c>
      <c r="L1205">
        <f>IFERROR(VLOOKUP($K1205,Base_Atividades!$E$1:$N$2398,MATCH(BancoAjustado!L$1,Base_Atividades!$E$1:$N$1,0),FALSE),0)</f>
        <v>1</v>
      </c>
      <c r="M1205">
        <f>IFERROR(VLOOKUP($K1205,Base_Atividades!$E$1:$N$2398,MATCH(BancoAjustado!M$1,Base_Atividades!$E$1:$N$1,0),FALSE),0)</f>
        <v>0</v>
      </c>
      <c r="N1205">
        <f>IFERROR(VLOOKUP($K1205,Base_Atividades!$E$1:$N$2398,MATCH(BancoAjustado!N$1,Base_Atividades!$E$1:$N$1,0),FALSE),0)</f>
        <v>0</v>
      </c>
    </row>
    <row r="1206" spans="1:14" x14ac:dyDescent="0.25">
      <c r="A1206" t="s">
        <v>4013</v>
      </c>
      <c r="B1206" t="s">
        <v>4014</v>
      </c>
      <c r="C1206" t="s">
        <v>4041</v>
      </c>
      <c r="D1206" t="s">
        <v>4044</v>
      </c>
      <c r="E1206" t="s">
        <v>4048</v>
      </c>
      <c r="F1206" t="str">
        <f>VLOOKUP(A1206,Base!$A:$F,6,FALSE)</f>
        <v>EDUCAÇÃO</v>
      </c>
      <c r="G1206" t="str">
        <f>VLOOKUP(B1206,Base!$B:$F,5,FALSE)</f>
        <v>EDUCAÇÃO</v>
      </c>
      <c r="H1206" t="str">
        <f>VLOOKUP(C1206,Base!$C:$F,4,FALSE)</f>
        <v>Outras atividades de ensino</v>
      </c>
      <c r="I1206" t="str">
        <f>VLOOKUP(D1206,Base!$D:$F,3,FALSE)</f>
        <v>Ensino de arte e cultura</v>
      </c>
      <c r="J1206" t="str">
        <f>VLOOKUP(E1206,Base!$E:$F,2,FALSE)</f>
        <v>Ensino de arte e cultura não especificado anteriormente</v>
      </c>
      <c r="K1206" t="s">
        <v>4048</v>
      </c>
      <c r="L1206">
        <f>IFERROR(VLOOKUP($K1206,Base_Atividades!$E$1:$N$2398,MATCH(BancoAjustado!L$1,Base_Atividades!$E$1:$N$1,0),FALSE),0)</f>
        <v>1</v>
      </c>
      <c r="M1206">
        <f>IFERROR(VLOOKUP($K1206,Base_Atividades!$E$1:$N$2398,MATCH(BancoAjustado!M$1,Base_Atividades!$E$1:$N$1,0),FALSE),0)</f>
        <v>0</v>
      </c>
      <c r="N1206">
        <f>IFERROR(VLOOKUP($K1206,Base_Atividades!$E$1:$N$2398,MATCH(BancoAjustado!N$1,Base_Atividades!$E$1:$N$1,0),FALSE),0)</f>
        <v>0</v>
      </c>
    </row>
    <row r="1207" spans="1:14" x14ac:dyDescent="0.25">
      <c r="A1207" t="s">
        <v>4013</v>
      </c>
      <c r="B1207" t="s">
        <v>4014</v>
      </c>
      <c r="C1207" t="s">
        <v>4041</v>
      </c>
      <c r="D1207" t="s">
        <v>4049</v>
      </c>
      <c r="E1207" t="s">
        <v>4050</v>
      </c>
      <c r="F1207" t="str">
        <f>VLOOKUP(A1207,Base!$A:$F,6,FALSE)</f>
        <v>EDUCAÇÃO</v>
      </c>
      <c r="G1207" t="str">
        <f>VLOOKUP(B1207,Base!$B:$F,5,FALSE)</f>
        <v>EDUCAÇÃO</v>
      </c>
      <c r="H1207" t="str">
        <f>VLOOKUP(C1207,Base!$C:$F,4,FALSE)</f>
        <v>Outras atividades de ensino</v>
      </c>
      <c r="I1207" t="str">
        <f>VLOOKUP(D1207,Base!$D:$F,3,FALSE)</f>
        <v>Ensino de idiomas</v>
      </c>
      <c r="J1207" t="str">
        <f>VLOOKUP(E1207,Base!$E:$F,2,FALSE)</f>
        <v>Ensino de idiomas</v>
      </c>
      <c r="K1207" t="s">
        <v>4050</v>
      </c>
      <c r="L1207">
        <f>IFERROR(VLOOKUP($K1207,Base_Atividades!$E$1:$N$2398,MATCH(BancoAjustado!L$1,Base_Atividades!$E$1:$N$1,0),FALSE),0)</f>
        <v>1</v>
      </c>
      <c r="M1207">
        <f>IFERROR(VLOOKUP($K1207,Base_Atividades!$E$1:$N$2398,MATCH(BancoAjustado!M$1,Base_Atividades!$E$1:$N$1,0),FALSE),0)</f>
        <v>0</v>
      </c>
      <c r="N1207">
        <f>IFERROR(VLOOKUP($K1207,Base_Atividades!$E$1:$N$2398,MATCH(BancoAjustado!N$1,Base_Atividades!$E$1:$N$1,0),FALSE),0)</f>
        <v>0</v>
      </c>
    </row>
    <row r="1208" spans="1:14" x14ac:dyDescent="0.25">
      <c r="A1208" t="s">
        <v>4013</v>
      </c>
      <c r="B1208" t="s">
        <v>4014</v>
      </c>
      <c r="C1208" t="s">
        <v>4041</v>
      </c>
      <c r="D1208" t="s">
        <v>4051</v>
      </c>
      <c r="E1208" t="s">
        <v>4052</v>
      </c>
      <c r="F1208" t="str">
        <f>VLOOKUP(A1208,Base!$A:$F,6,FALSE)</f>
        <v>EDUCAÇÃO</v>
      </c>
      <c r="G1208" t="str">
        <f>VLOOKUP(B1208,Base!$B:$F,5,FALSE)</f>
        <v>EDUCAÇÃO</v>
      </c>
      <c r="H1208" t="str">
        <f>VLOOKUP(C1208,Base!$C:$F,4,FALSE)</f>
        <v>Outras atividades de ensino</v>
      </c>
      <c r="I1208" t="str">
        <f>VLOOKUP(D1208,Base!$D:$F,3,FALSE)</f>
        <v>Atividades de ensino não especificadas anteriormente</v>
      </c>
      <c r="J1208" t="str">
        <f>VLOOKUP(E1208,Base!$E:$F,2,FALSE)</f>
        <v>Formação de condutores</v>
      </c>
      <c r="K1208" t="s">
        <v>4052</v>
      </c>
      <c r="L1208">
        <f>IFERROR(VLOOKUP($K1208,Base_Atividades!$E$1:$N$2398,MATCH(BancoAjustado!L$1,Base_Atividades!$E$1:$N$1,0),FALSE),0)</f>
        <v>1</v>
      </c>
      <c r="M1208">
        <f>IFERROR(VLOOKUP($K1208,Base_Atividades!$E$1:$N$2398,MATCH(BancoAjustado!M$1,Base_Atividades!$E$1:$N$1,0),FALSE),0)</f>
        <v>0</v>
      </c>
      <c r="N1208">
        <f>IFERROR(VLOOKUP($K1208,Base_Atividades!$E$1:$N$2398,MATCH(BancoAjustado!N$1,Base_Atividades!$E$1:$N$1,0),FALSE),0)</f>
        <v>0</v>
      </c>
    </row>
    <row r="1209" spans="1:14" x14ac:dyDescent="0.25">
      <c r="A1209" t="s">
        <v>4013</v>
      </c>
      <c r="B1209" t="s">
        <v>4014</v>
      </c>
      <c r="C1209" t="s">
        <v>4041</v>
      </c>
      <c r="D1209" t="s">
        <v>4051</v>
      </c>
      <c r="E1209" t="s">
        <v>4053</v>
      </c>
      <c r="F1209" t="str">
        <f>VLOOKUP(A1209,Base!$A:$F,6,FALSE)</f>
        <v>EDUCAÇÃO</v>
      </c>
      <c r="G1209" t="str">
        <f>VLOOKUP(B1209,Base!$B:$F,5,FALSE)</f>
        <v>EDUCAÇÃO</v>
      </c>
      <c r="H1209" t="str">
        <f>VLOOKUP(C1209,Base!$C:$F,4,FALSE)</f>
        <v>Outras atividades de ensino</v>
      </c>
      <c r="I1209" t="str">
        <f>VLOOKUP(D1209,Base!$D:$F,3,FALSE)</f>
        <v>Atividades de ensino não especificadas anteriormente</v>
      </c>
      <c r="J1209" t="str">
        <f>VLOOKUP(E1209,Base!$E:$F,2,FALSE)</f>
        <v>Cursos de pilotagem</v>
      </c>
      <c r="K1209" t="s">
        <v>4053</v>
      </c>
      <c r="L1209">
        <f>IFERROR(VLOOKUP($K1209,Base_Atividades!$E$1:$N$2398,MATCH(BancoAjustado!L$1,Base_Atividades!$E$1:$N$1,0),FALSE),0)</f>
        <v>1</v>
      </c>
      <c r="M1209">
        <f>IFERROR(VLOOKUP($K1209,Base_Atividades!$E$1:$N$2398,MATCH(BancoAjustado!M$1,Base_Atividades!$E$1:$N$1,0),FALSE),0)</f>
        <v>0</v>
      </c>
      <c r="N1209">
        <f>IFERROR(VLOOKUP($K1209,Base_Atividades!$E$1:$N$2398,MATCH(BancoAjustado!N$1,Base_Atividades!$E$1:$N$1,0),FALSE),0)</f>
        <v>0</v>
      </c>
    </row>
    <row r="1210" spans="1:14" x14ac:dyDescent="0.25">
      <c r="A1210" t="s">
        <v>4013</v>
      </c>
      <c r="B1210" t="s">
        <v>4014</v>
      </c>
      <c r="C1210" t="s">
        <v>4041</v>
      </c>
      <c r="D1210" t="s">
        <v>4051</v>
      </c>
      <c r="E1210" t="s">
        <v>4054</v>
      </c>
      <c r="F1210" t="str">
        <f>VLOOKUP(A1210,Base!$A:$F,6,FALSE)</f>
        <v>EDUCAÇÃO</v>
      </c>
      <c r="G1210" t="str">
        <f>VLOOKUP(B1210,Base!$B:$F,5,FALSE)</f>
        <v>EDUCAÇÃO</v>
      </c>
      <c r="H1210" t="str">
        <f>VLOOKUP(C1210,Base!$C:$F,4,FALSE)</f>
        <v>Outras atividades de ensino</v>
      </c>
      <c r="I1210" t="str">
        <f>VLOOKUP(D1210,Base!$D:$F,3,FALSE)</f>
        <v>Atividades de ensino não especificadas anteriormente</v>
      </c>
      <c r="J1210" t="str">
        <f>VLOOKUP(E1210,Base!$E:$F,2,FALSE)</f>
        <v>Treinamento em informática</v>
      </c>
      <c r="K1210" t="s">
        <v>4054</v>
      </c>
      <c r="L1210">
        <f>IFERROR(VLOOKUP($K1210,Base_Atividades!$E$1:$N$2398,MATCH(BancoAjustado!L$1,Base_Atividades!$E$1:$N$1,0),FALSE),0)</f>
        <v>1</v>
      </c>
      <c r="M1210">
        <f>IFERROR(VLOOKUP($K1210,Base_Atividades!$E$1:$N$2398,MATCH(BancoAjustado!M$1,Base_Atividades!$E$1:$N$1,0),FALSE),0)</f>
        <v>0</v>
      </c>
      <c r="N1210">
        <f>IFERROR(VLOOKUP($K1210,Base_Atividades!$E$1:$N$2398,MATCH(BancoAjustado!N$1,Base_Atividades!$E$1:$N$1,0),FALSE),0)</f>
        <v>0</v>
      </c>
    </row>
    <row r="1211" spans="1:14" x14ac:dyDescent="0.25">
      <c r="A1211" t="s">
        <v>4013</v>
      </c>
      <c r="B1211" t="s">
        <v>4014</v>
      </c>
      <c r="C1211" t="s">
        <v>4041</v>
      </c>
      <c r="D1211" t="s">
        <v>4051</v>
      </c>
      <c r="E1211" t="s">
        <v>4055</v>
      </c>
      <c r="F1211" t="str">
        <f>VLOOKUP(A1211,Base!$A:$F,6,FALSE)</f>
        <v>EDUCAÇÃO</v>
      </c>
      <c r="G1211" t="str">
        <f>VLOOKUP(B1211,Base!$B:$F,5,FALSE)</f>
        <v>EDUCAÇÃO</v>
      </c>
      <c r="H1211" t="str">
        <f>VLOOKUP(C1211,Base!$C:$F,4,FALSE)</f>
        <v>Outras atividades de ensino</v>
      </c>
      <c r="I1211" t="str">
        <f>VLOOKUP(D1211,Base!$D:$F,3,FALSE)</f>
        <v>Atividades de ensino não especificadas anteriormente</v>
      </c>
      <c r="J1211" t="str">
        <f>VLOOKUP(E1211,Base!$E:$F,2,FALSE)</f>
        <v>Treinamento em desenvolvimento profissional e gerencial</v>
      </c>
      <c r="K1211" t="s">
        <v>4055</v>
      </c>
      <c r="L1211">
        <f>IFERROR(VLOOKUP($K1211,Base_Atividades!$E$1:$N$2398,MATCH(BancoAjustado!L$1,Base_Atividades!$E$1:$N$1,0),FALSE),0)</f>
        <v>1</v>
      </c>
      <c r="M1211">
        <f>IFERROR(VLOOKUP($K1211,Base_Atividades!$E$1:$N$2398,MATCH(BancoAjustado!M$1,Base_Atividades!$E$1:$N$1,0),FALSE),0)</f>
        <v>0</v>
      </c>
      <c r="N1211">
        <f>IFERROR(VLOOKUP($K1211,Base_Atividades!$E$1:$N$2398,MATCH(BancoAjustado!N$1,Base_Atividades!$E$1:$N$1,0),FALSE),0)</f>
        <v>0</v>
      </c>
    </row>
    <row r="1212" spans="1:14" x14ac:dyDescent="0.25">
      <c r="A1212" t="s">
        <v>4013</v>
      </c>
      <c r="B1212" t="s">
        <v>4014</v>
      </c>
      <c r="C1212" t="s">
        <v>4041</v>
      </c>
      <c r="D1212" t="s">
        <v>4051</v>
      </c>
      <c r="E1212" t="s">
        <v>4056</v>
      </c>
      <c r="F1212" t="str">
        <f>VLOOKUP(A1212,Base!$A:$F,6,FALSE)</f>
        <v>EDUCAÇÃO</v>
      </c>
      <c r="G1212" t="str">
        <f>VLOOKUP(B1212,Base!$B:$F,5,FALSE)</f>
        <v>EDUCAÇÃO</v>
      </c>
      <c r="H1212" t="str">
        <f>VLOOKUP(C1212,Base!$C:$F,4,FALSE)</f>
        <v>Outras atividades de ensino</v>
      </c>
      <c r="I1212" t="str">
        <f>VLOOKUP(D1212,Base!$D:$F,3,FALSE)</f>
        <v>Atividades de ensino não especificadas anteriormente</v>
      </c>
      <c r="J1212" t="str">
        <f>VLOOKUP(E1212,Base!$E:$F,2,FALSE)</f>
        <v>Cursos preparatórios para concursos</v>
      </c>
      <c r="K1212" t="s">
        <v>4056</v>
      </c>
      <c r="L1212">
        <f>IFERROR(VLOOKUP($K1212,Base_Atividades!$E$1:$N$2398,MATCH(BancoAjustado!L$1,Base_Atividades!$E$1:$N$1,0),FALSE),0)</f>
        <v>1</v>
      </c>
      <c r="M1212">
        <f>IFERROR(VLOOKUP($K1212,Base_Atividades!$E$1:$N$2398,MATCH(BancoAjustado!M$1,Base_Atividades!$E$1:$N$1,0),FALSE),0)</f>
        <v>0</v>
      </c>
      <c r="N1212">
        <f>IFERROR(VLOOKUP($K1212,Base_Atividades!$E$1:$N$2398,MATCH(BancoAjustado!N$1,Base_Atividades!$E$1:$N$1,0),FALSE),0)</f>
        <v>0</v>
      </c>
    </row>
    <row r="1213" spans="1:14" x14ac:dyDescent="0.25">
      <c r="A1213" t="s">
        <v>4013</v>
      </c>
      <c r="B1213" t="s">
        <v>4014</v>
      </c>
      <c r="C1213" t="s">
        <v>4041</v>
      </c>
      <c r="D1213" t="s">
        <v>4051</v>
      </c>
      <c r="E1213" t="s">
        <v>4057</v>
      </c>
      <c r="F1213" t="str">
        <f>VLOOKUP(A1213,Base!$A:$F,6,FALSE)</f>
        <v>EDUCAÇÃO</v>
      </c>
      <c r="G1213" t="str">
        <f>VLOOKUP(B1213,Base!$B:$F,5,FALSE)</f>
        <v>EDUCAÇÃO</v>
      </c>
      <c r="H1213" t="str">
        <f>VLOOKUP(C1213,Base!$C:$F,4,FALSE)</f>
        <v>Outras atividades de ensino</v>
      </c>
      <c r="I1213" t="str">
        <f>VLOOKUP(D1213,Base!$D:$F,3,FALSE)</f>
        <v>Atividades de ensino não especificadas anteriormente</v>
      </c>
      <c r="J1213" t="str">
        <f>VLOOKUP(E1213,Base!$E:$F,2,FALSE)</f>
        <v>Outras atividades de ensino não especificadas anteriormente</v>
      </c>
      <c r="K1213" t="s">
        <v>4057</v>
      </c>
      <c r="L1213">
        <f>IFERROR(VLOOKUP($K1213,Base_Atividades!$E$1:$N$2398,MATCH(BancoAjustado!L$1,Base_Atividades!$E$1:$N$1,0),FALSE),0)</f>
        <v>1</v>
      </c>
      <c r="M1213">
        <f>IFERROR(VLOOKUP($K1213,Base_Atividades!$E$1:$N$2398,MATCH(BancoAjustado!M$1,Base_Atividades!$E$1:$N$1,0),FALSE),0)</f>
        <v>0</v>
      </c>
      <c r="N1213">
        <f>IFERROR(VLOOKUP($K1213,Base_Atividades!$E$1:$N$2398,MATCH(BancoAjustado!N$1,Base_Atividades!$E$1:$N$1,0),FALSE),0)</f>
        <v>0</v>
      </c>
    </row>
    <row r="1214" spans="1:14" x14ac:dyDescent="0.25">
      <c r="A1214" t="s">
        <v>4058</v>
      </c>
      <c r="B1214" t="s">
        <v>4059</v>
      </c>
      <c r="C1214" t="s">
        <v>4060</v>
      </c>
      <c r="D1214" t="s">
        <v>4061</v>
      </c>
      <c r="E1214" t="s">
        <v>4062</v>
      </c>
      <c r="F1214" t="str">
        <f>VLOOKUP(A1214,Base!$A:$F,6,FALSE)</f>
        <v>SAÚDE HUMANA E SERVIÇOS SOCIAIS</v>
      </c>
      <c r="G1214" t="str">
        <f>VLOOKUP(B1214,Base!$B:$F,5,FALSE)</f>
        <v>ATIVIDADES DE ATENÇÃO À SAÚDE HUMANA</v>
      </c>
      <c r="H1214" t="str">
        <f>VLOOKUP(C1214,Base!$C:$F,4,FALSE)</f>
        <v>Atividades de atendimento hospitalar</v>
      </c>
      <c r="I1214" t="str">
        <f>VLOOKUP(D1214,Base!$D:$F,3,FALSE)</f>
        <v>Atividades de atendimento hospitalar</v>
      </c>
      <c r="J1214" t="str">
        <f>VLOOKUP(E1214,Base!$E:$F,2,FALSE)</f>
        <v>Atividades de atendimento hospitalar, exceto pronto-socorro e unidades para atendimento a urgências</v>
      </c>
      <c r="K1214" t="s">
        <v>4062</v>
      </c>
      <c r="L1214">
        <f>IFERROR(VLOOKUP($K1214,Base_Atividades!$E$1:$N$2398,MATCH(BancoAjustado!L$1,Base_Atividades!$E$1:$N$1,0),FALSE),0)</f>
        <v>1</v>
      </c>
      <c r="M1214">
        <f>IFERROR(VLOOKUP($K1214,Base_Atividades!$E$1:$N$2398,MATCH(BancoAjustado!M$1,Base_Atividades!$E$1:$N$1,0),FALSE),0)</f>
        <v>0</v>
      </c>
      <c r="N1214">
        <f>IFERROR(VLOOKUP($K1214,Base_Atividades!$E$1:$N$2398,MATCH(BancoAjustado!N$1,Base_Atividades!$E$1:$N$1,0),FALSE),0)</f>
        <v>0</v>
      </c>
    </row>
    <row r="1215" spans="1:14" x14ac:dyDescent="0.25">
      <c r="A1215" t="s">
        <v>4058</v>
      </c>
      <c r="B1215" t="s">
        <v>4059</v>
      </c>
      <c r="C1215" t="s">
        <v>4060</v>
      </c>
      <c r="D1215" t="s">
        <v>4061</v>
      </c>
      <c r="E1215" t="s">
        <v>4063</v>
      </c>
      <c r="F1215" t="str">
        <f>VLOOKUP(A1215,Base!$A:$F,6,FALSE)</f>
        <v>SAÚDE HUMANA E SERVIÇOS SOCIAIS</v>
      </c>
      <c r="G1215" t="str">
        <f>VLOOKUP(B1215,Base!$B:$F,5,FALSE)</f>
        <v>ATIVIDADES DE ATENÇÃO À SAÚDE HUMANA</v>
      </c>
      <c r="H1215" t="str">
        <f>VLOOKUP(C1215,Base!$C:$F,4,FALSE)</f>
        <v>Atividades de atendimento hospitalar</v>
      </c>
      <c r="I1215" t="str">
        <f>VLOOKUP(D1215,Base!$D:$F,3,FALSE)</f>
        <v>Atividades de atendimento hospitalar</v>
      </c>
      <c r="J1215" t="str">
        <f>VLOOKUP(E1215,Base!$E:$F,2,FALSE)</f>
        <v>Atividades de atendimento em pronto-socorro e unidades hospitalares para atendimento a urgências</v>
      </c>
      <c r="K1215" t="s">
        <v>4063</v>
      </c>
      <c r="L1215">
        <f>IFERROR(VLOOKUP($K1215,Base_Atividades!$E$1:$N$2398,MATCH(BancoAjustado!L$1,Base_Atividades!$E$1:$N$1,0),FALSE),0)</f>
        <v>1</v>
      </c>
      <c r="M1215">
        <f>IFERROR(VLOOKUP($K1215,Base_Atividades!$E$1:$N$2398,MATCH(BancoAjustado!M$1,Base_Atividades!$E$1:$N$1,0),FALSE),0)</f>
        <v>0</v>
      </c>
      <c r="N1215">
        <f>IFERROR(VLOOKUP($K1215,Base_Atividades!$E$1:$N$2398,MATCH(BancoAjustado!N$1,Base_Atividades!$E$1:$N$1,0),FALSE),0)</f>
        <v>0</v>
      </c>
    </row>
    <row r="1216" spans="1:14" x14ac:dyDescent="0.25">
      <c r="A1216" t="s">
        <v>4058</v>
      </c>
      <c r="B1216" t="s">
        <v>4059</v>
      </c>
      <c r="C1216" t="s">
        <v>4064</v>
      </c>
      <c r="D1216" t="s">
        <v>4065</v>
      </c>
      <c r="E1216" t="s">
        <v>4066</v>
      </c>
      <c r="F1216" t="str">
        <f>VLOOKUP(A1216,Base!$A:$F,6,FALSE)</f>
        <v>SAÚDE HUMANA E SERVIÇOS SOCIAIS</v>
      </c>
      <c r="G1216" t="str">
        <f>VLOOKUP(B1216,Base!$B:$F,5,FALSE)</f>
        <v>ATIVIDADES DE ATENÇÃO À SAÚDE HUMANA</v>
      </c>
      <c r="H1216" t="str">
        <f>VLOOKUP(C1216,Base!$C:$F,4,FALSE)</f>
        <v>Serviços móveis de atendimento a urgências e de remoção de pacientes</v>
      </c>
      <c r="I1216" t="str">
        <f>VLOOKUP(D1216,Base!$D:$F,3,FALSE)</f>
        <v>Serviços móveis de atendimento a urgências</v>
      </c>
      <c r="J1216" t="str">
        <f>VLOOKUP(E1216,Base!$E:$F,2,FALSE)</f>
        <v>UTI móvel</v>
      </c>
      <c r="K1216" t="s">
        <v>4066</v>
      </c>
      <c r="L1216">
        <f>IFERROR(VLOOKUP($K1216,Base_Atividades!$E$1:$N$2398,MATCH(BancoAjustado!L$1,Base_Atividades!$E$1:$N$1,0),FALSE),0)</f>
        <v>1</v>
      </c>
      <c r="M1216">
        <f>IFERROR(VLOOKUP($K1216,Base_Atividades!$E$1:$N$2398,MATCH(BancoAjustado!M$1,Base_Atividades!$E$1:$N$1,0),FALSE),0)</f>
        <v>0</v>
      </c>
      <c r="N1216">
        <f>IFERROR(VLOOKUP($K1216,Base_Atividades!$E$1:$N$2398,MATCH(BancoAjustado!N$1,Base_Atividades!$E$1:$N$1,0),FALSE),0)</f>
        <v>0</v>
      </c>
    </row>
    <row r="1217" spans="1:14" x14ac:dyDescent="0.25">
      <c r="A1217" t="s">
        <v>4058</v>
      </c>
      <c r="B1217" t="s">
        <v>4059</v>
      </c>
      <c r="C1217" t="s">
        <v>4064</v>
      </c>
      <c r="D1217" t="s">
        <v>4065</v>
      </c>
      <c r="E1217" t="s">
        <v>4067</v>
      </c>
      <c r="F1217" t="str">
        <f>VLOOKUP(A1217,Base!$A:$F,6,FALSE)</f>
        <v>SAÚDE HUMANA E SERVIÇOS SOCIAIS</v>
      </c>
      <c r="G1217" t="str">
        <f>VLOOKUP(B1217,Base!$B:$F,5,FALSE)</f>
        <v>ATIVIDADES DE ATENÇÃO À SAÚDE HUMANA</v>
      </c>
      <c r="H1217" t="str">
        <f>VLOOKUP(C1217,Base!$C:$F,4,FALSE)</f>
        <v>Serviços móveis de atendimento a urgências e de remoção de pacientes</v>
      </c>
      <c r="I1217" t="str">
        <f>VLOOKUP(D1217,Base!$D:$F,3,FALSE)</f>
        <v>Serviços móveis de atendimento a urgências</v>
      </c>
      <c r="J1217" t="str">
        <f>VLOOKUP(E1217,Base!$E:$F,2,FALSE)</f>
        <v>Serviços móveis de atendimento a urgências, exceto por UTI móvel</v>
      </c>
      <c r="K1217" t="s">
        <v>4067</v>
      </c>
      <c r="L1217">
        <f>IFERROR(VLOOKUP($K1217,Base_Atividades!$E$1:$N$2398,MATCH(BancoAjustado!L$1,Base_Atividades!$E$1:$N$1,0),FALSE),0)</f>
        <v>1</v>
      </c>
      <c r="M1217">
        <f>IFERROR(VLOOKUP($K1217,Base_Atividades!$E$1:$N$2398,MATCH(BancoAjustado!M$1,Base_Atividades!$E$1:$N$1,0),FALSE),0)</f>
        <v>0</v>
      </c>
      <c r="N1217">
        <f>IFERROR(VLOOKUP($K1217,Base_Atividades!$E$1:$N$2398,MATCH(BancoAjustado!N$1,Base_Atividades!$E$1:$N$1,0),FALSE),0)</f>
        <v>0</v>
      </c>
    </row>
    <row r="1218" spans="1:14" x14ac:dyDescent="0.25">
      <c r="A1218" t="s">
        <v>4058</v>
      </c>
      <c r="B1218" t="s">
        <v>4059</v>
      </c>
      <c r="C1218" t="s">
        <v>4064</v>
      </c>
      <c r="D1218" t="s">
        <v>4068</v>
      </c>
      <c r="E1218" t="s">
        <v>4069</v>
      </c>
      <c r="F1218" t="str">
        <f>VLOOKUP(A1218,Base!$A:$F,6,FALSE)</f>
        <v>SAÚDE HUMANA E SERVIÇOS SOCIAIS</v>
      </c>
      <c r="G1218" t="str">
        <f>VLOOKUP(B1218,Base!$B:$F,5,FALSE)</f>
        <v>ATIVIDADES DE ATENÇÃO À SAÚDE HUMANA</v>
      </c>
      <c r="H1218" t="str">
        <f>VLOOKUP(C1218,Base!$C:$F,4,FALSE)</f>
        <v>Serviços móveis de atendimento a urgências e de remoção de pacientes</v>
      </c>
      <c r="I1218" t="str">
        <f>VLOOKUP(D1218,Base!$D:$F,3,FALSE)</f>
        <v>Serviços de remoção de pacientes, exceto os serviços móveis de atendimento a urgências</v>
      </c>
      <c r="J1218" t="str">
        <f>VLOOKUP(E1218,Base!$E:$F,2,FALSE)</f>
        <v>Serviços de remoção de pacientes, exceto os serviços móveis de atendimento a urgências</v>
      </c>
      <c r="K1218" t="s">
        <v>4069</v>
      </c>
      <c r="L1218">
        <f>IFERROR(VLOOKUP($K1218,Base_Atividades!$E$1:$N$2398,MATCH(BancoAjustado!L$1,Base_Atividades!$E$1:$N$1,0),FALSE),0)</f>
        <v>1</v>
      </c>
      <c r="M1218">
        <f>IFERROR(VLOOKUP($K1218,Base_Atividades!$E$1:$N$2398,MATCH(BancoAjustado!M$1,Base_Atividades!$E$1:$N$1,0),FALSE),0)</f>
        <v>0</v>
      </c>
      <c r="N1218">
        <f>IFERROR(VLOOKUP($K1218,Base_Atividades!$E$1:$N$2398,MATCH(BancoAjustado!N$1,Base_Atividades!$E$1:$N$1,0),FALSE),0)</f>
        <v>0</v>
      </c>
    </row>
    <row r="1219" spans="1:14" x14ac:dyDescent="0.25">
      <c r="A1219" t="s">
        <v>4058</v>
      </c>
      <c r="B1219" t="s">
        <v>4059</v>
      </c>
      <c r="C1219" t="s">
        <v>4070</v>
      </c>
      <c r="D1219" t="s">
        <v>4071</v>
      </c>
      <c r="E1219" t="s">
        <v>4072</v>
      </c>
      <c r="F1219" t="str">
        <f>VLOOKUP(A1219,Base!$A:$F,6,FALSE)</f>
        <v>SAÚDE HUMANA E SERVIÇOS SOCIAIS</v>
      </c>
      <c r="G1219" t="str">
        <f>VLOOKUP(B1219,Base!$B:$F,5,FALSE)</f>
        <v>ATIVIDADES DE ATENÇÃO À SAÚDE HUMANA</v>
      </c>
      <c r="H1219" t="str">
        <f>VLOOKUP(C1219,Base!$C:$F,4,FALSE)</f>
        <v>Atividades de atenção ambulatorial executadas por médicos e odontólogos</v>
      </c>
      <c r="I1219" t="str">
        <f>VLOOKUP(D1219,Base!$D:$F,3,FALSE)</f>
        <v>Atividades de atenção ambulatorial executadas por médicos e odontólogos</v>
      </c>
      <c r="J1219" t="str">
        <f>VLOOKUP(E1219,Base!$E:$F,2,FALSE)</f>
        <v>Atividade médica ambulatorial com recursos para realização de procedimentos cirúrgicos</v>
      </c>
      <c r="K1219" t="s">
        <v>4072</v>
      </c>
      <c r="L1219">
        <f>IFERROR(VLOOKUP($K1219,Base_Atividades!$E$1:$N$2398,MATCH(BancoAjustado!L$1,Base_Atividades!$E$1:$N$1,0),FALSE),0)</f>
        <v>1</v>
      </c>
      <c r="M1219">
        <f>IFERROR(VLOOKUP($K1219,Base_Atividades!$E$1:$N$2398,MATCH(BancoAjustado!M$1,Base_Atividades!$E$1:$N$1,0),FALSE),0)</f>
        <v>0</v>
      </c>
      <c r="N1219">
        <f>IFERROR(VLOOKUP($K1219,Base_Atividades!$E$1:$N$2398,MATCH(BancoAjustado!N$1,Base_Atividades!$E$1:$N$1,0),FALSE),0)</f>
        <v>0</v>
      </c>
    </row>
    <row r="1220" spans="1:14" x14ac:dyDescent="0.25">
      <c r="A1220" t="s">
        <v>4058</v>
      </c>
      <c r="B1220" t="s">
        <v>4059</v>
      </c>
      <c r="C1220" t="s">
        <v>4070</v>
      </c>
      <c r="D1220" t="s">
        <v>4071</v>
      </c>
      <c r="E1220" t="s">
        <v>4073</v>
      </c>
      <c r="F1220" t="str">
        <f>VLOOKUP(A1220,Base!$A:$F,6,FALSE)</f>
        <v>SAÚDE HUMANA E SERVIÇOS SOCIAIS</v>
      </c>
      <c r="G1220" t="str">
        <f>VLOOKUP(B1220,Base!$B:$F,5,FALSE)</f>
        <v>ATIVIDADES DE ATENÇÃO À SAÚDE HUMANA</v>
      </c>
      <c r="H1220" t="str">
        <f>VLOOKUP(C1220,Base!$C:$F,4,FALSE)</f>
        <v>Atividades de atenção ambulatorial executadas por médicos e odontólogos</v>
      </c>
      <c r="I1220" t="str">
        <f>VLOOKUP(D1220,Base!$D:$F,3,FALSE)</f>
        <v>Atividades de atenção ambulatorial executadas por médicos e odontólogos</v>
      </c>
      <c r="J1220" t="str">
        <f>VLOOKUP(E1220,Base!$E:$F,2,FALSE)</f>
        <v>Atividade médica ambulatorial com recursos para realização de exames complementares</v>
      </c>
      <c r="K1220" t="s">
        <v>4073</v>
      </c>
      <c r="L1220">
        <f>IFERROR(VLOOKUP($K1220,Base_Atividades!$E$1:$N$2398,MATCH(BancoAjustado!L$1,Base_Atividades!$E$1:$N$1,0),FALSE),0)</f>
        <v>1</v>
      </c>
      <c r="M1220">
        <f>IFERROR(VLOOKUP($K1220,Base_Atividades!$E$1:$N$2398,MATCH(BancoAjustado!M$1,Base_Atividades!$E$1:$N$1,0),FALSE),0)</f>
        <v>0</v>
      </c>
      <c r="N1220">
        <f>IFERROR(VLOOKUP($K1220,Base_Atividades!$E$1:$N$2398,MATCH(BancoAjustado!N$1,Base_Atividades!$E$1:$N$1,0),FALSE),0)</f>
        <v>0</v>
      </c>
    </row>
    <row r="1221" spans="1:14" x14ac:dyDescent="0.25">
      <c r="A1221" t="s">
        <v>4058</v>
      </c>
      <c r="B1221" t="s">
        <v>4059</v>
      </c>
      <c r="C1221" t="s">
        <v>4070</v>
      </c>
      <c r="D1221" t="s">
        <v>4071</v>
      </c>
      <c r="E1221" t="s">
        <v>4074</v>
      </c>
      <c r="F1221" t="str">
        <f>VLOOKUP(A1221,Base!$A:$F,6,FALSE)</f>
        <v>SAÚDE HUMANA E SERVIÇOS SOCIAIS</v>
      </c>
      <c r="G1221" t="str">
        <f>VLOOKUP(B1221,Base!$B:$F,5,FALSE)</f>
        <v>ATIVIDADES DE ATENÇÃO À SAÚDE HUMANA</v>
      </c>
      <c r="H1221" t="str">
        <f>VLOOKUP(C1221,Base!$C:$F,4,FALSE)</f>
        <v>Atividades de atenção ambulatorial executadas por médicos e odontólogos</v>
      </c>
      <c r="I1221" t="str">
        <f>VLOOKUP(D1221,Base!$D:$F,3,FALSE)</f>
        <v>Atividades de atenção ambulatorial executadas por médicos e odontólogos</v>
      </c>
      <c r="J1221" t="str">
        <f>VLOOKUP(E1221,Base!$E:$F,2,FALSE)</f>
        <v>Atividade médica ambulatorial restrita a consultas</v>
      </c>
      <c r="K1221" t="s">
        <v>4074</v>
      </c>
      <c r="L1221">
        <f>IFERROR(VLOOKUP($K1221,Base_Atividades!$E$1:$N$2398,MATCH(BancoAjustado!L$1,Base_Atividades!$E$1:$N$1,0),FALSE),0)</f>
        <v>1</v>
      </c>
      <c r="M1221">
        <f>IFERROR(VLOOKUP($K1221,Base_Atividades!$E$1:$N$2398,MATCH(BancoAjustado!M$1,Base_Atividades!$E$1:$N$1,0),FALSE),0)</f>
        <v>0</v>
      </c>
      <c r="N1221">
        <f>IFERROR(VLOOKUP($K1221,Base_Atividades!$E$1:$N$2398,MATCH(BancoAjustado!N$1,Base_Atividades!$E$1:$N$1,0),FALSE),0)</f>
        <v>0</v>
      </c>
    </row>
    <row r="1222" spans="1:14" x14ac:dyDescent="0.25">
      <c r="A1222" t="s">
        <v>4058</v>
      </c>
      <c r="B1222" t="s">
        <v>4059</v>
      </c>
      <c r="C1222" t="s">
        <v>4070</v>
      </c>
      <c r="D1222" t="s">
        <v>4071</v>
      </c>
      <c r="E1222" t="s">
        <v>4075</v>
      </c>
      <c r="F1222" t="str">
        <f>VLOOKUP(A1222,Base!$A:$F,6,FALSE)</f>
        <v>SAÚDE HUMANA E SERVIÇOS SOCIAIS</v>
      </c>
      <c r="G1222" t="str">
        <f>VLOOKUP(B1222,Base!$B:$F,5,FALSE)</f>
        <v>ATIVIDADES DE ATENÇÃO À SAÚDE HUMANA</v>
      </c>
      <c r="H1222" t="str">
        <f>VLOOKUP(C1222,Base!$C:$F,4,FALSE)</f>
        <v>Atividades de atenção ambulatorial executadas por médicos e odontólogos</v>
      </c>
      <c r="I1222" t="str">
        <f>VLOOKUP(D1222,Base!$D:$F,3,FALSE)</f>
        <v>Atividades de atenção ambulatorial executadas por médicos e odontólogos</v>
      </c>
      <c r="J1222" t="str">
        <f>VLOOKUP(E1222,Base!$E:$F,2,FALSE)</f>
        <v>Atividade odontológica</v>
      </c>
      <c r="K1222" t="s">
        <v>4075</v>
      </c>
      <c r="L1222">
        <f>IFERROR(VLOOKUP($K1222,Base_Atividades!$E$1:$N$2398,MATCH(BancoAjustado!L$1,Base_Atividades!$E$1:$N$1,0),FALSE),0)</f>
        <v>1</v>
      </c>
      <c r="M1222">
        <f>IFERROR(VLOOKUP($K1222,Base_Atividades!$E$1:$N$2398,MATCH(BancoAjustado!M$1,Base_Atividades!$E$1:$N$1,0),FALSE),0)</f>
        <v>0</v>
      </c>
      <c r="N1222">
        <f>IFERROR(VLOOKUP($K1222,Base_Atividades!$E$1:$N$2398,MATCH(BancoAjustado!N$1,Base_Atividades!$E$1:$N$1,0),FALSE),0)</f>
        <v>0</v>
      </c>
    </row>
    <row r="1223" spans="1:14" x14ac:dyDescent="0.25">
      <c r="A1223" t="s">
        <v>4058</v>
      </c>
      <c r="B1223" t="s">
        <v>4059</v>
      </c>
      <c r="C1223" t="s">
        <v>4070</v>
      </c>
      <c r="D1223" t="s">
        <v>4071</v>
      </c>
      <c r="E1223" t="s">
        <v>4076</v>
      </c>
      <c r="F1223" t="str">
        <f>VLOOKUP(A1223,Base!$A:$F,6,FALSE)</f>
        <v>SAÚDE HUMANA E SERVIÇOS SOCIAIS</v>
      </c>
      <c r="G1223" t="str">
        <f>VLOOKUP(B1223,Base!$B:$F,5,FALSE)</f>
        <v>ATIVIDADES DE ATENÇÃO À SAÚDE HUMANA</v>
      </c>
      <c r="H1223" t="str">
        <f>VLOOKUP(C1223,Base!$C:$F,4,FALSE)</f>
        <v>Atividades de atenção ambulatorial executadas por médicos e odontólogos</v>
      </c>
      <c r="I1223" t="str">
        <f>VLOOKUP(D1223,Base!$D:$F,3,FALSE)</f>
        <v>Atividades de atenção ambulatorial executadas por médicos e odontólogos</v>
      </c>
      <c r="J1223" t="str">
        <f>VLOOKUP(E1223,Base!$E:$F,2,FALSE)</f>
        <v>Serviços de vacinação e imunização humana</v>
      </c>
      <c r="K1223" t="s">
        <v>4076</v>
      </c>
      <c r="L1223">
        <f>IFERROR(VLOOKUP($K1223,Base_Atividades!$E$1:$N$2398,MATCH(BancoAjustado!L$1,Base_Atividades!$E$1:$N$1,0),FALSE),0)</f>
        <v>1</v>
      </c>
      <c r="M1223">
        <f>IFERROR(VLOOKUP($K1223,Base_Atividades!$E$1:$N$2398,MATCH(BancoAjustado!M$1,Base_Atividades!$E$1:$N$1,0),FALSE),0)</f>
        <v>0</v>
      </c>
      <c r="N1223">
        <f>IFERROR(VLOOKUP($K1223,Base_Atividades!$E$1:$N$2398,MATCH(BancoAjustado!N$1,Base_Atividades!$E$1:$N$1,0),FALSE),0)</f>
        <v>0</v>
      </c>
    </row>
    <row r="1224" spans="1:14" x14ac:dyDescent="0.25">
      <c r="A1224" t="s">
        <v>4058</v>
      </c>
      <c r="B1224" t="s">
        <v>4059</v>
      </c>
      <c r="C1224" t="s">
        <v>4070</v>
      </c>
      <c r="D1224" t="s">
        <v>4071</v>
      </c>
      <c r="E1224" t="s">
        <v>4077</v>
      </c>
      <c r="F1224" t="str">
        <f>VLOOKUP(A1224,Base!$A:$F,6,FALSE)</f>
        <v>SAÚDE HUMANA E SERVIÇOS SOCIAIS</v>
      </c>
      <c r="G1224" t="str">
        <f>VLOOKUP(B1224,Base!$B:$F,5,FALSE)</f>
        <v>ATIVIDADES DE ATENÇÃO À SAÚDE HUMANA</v>
      </c>
      <c r="H1224" t="str">
        <f>VLOOKUP(C1224,Base!$C:$F,4,FALSE)</f>
        <v>Atividades de atenção ambulatorial executadas por médicos e odontólogos</v>
      </c>
      <c r="I1224" t="str">
        <f>VLOOKUP(D1224,Base!$D:$F,3,FALSE)</f>
        <v>Atividades de atenção ambulatorial executadas por médicos e odontólogos</v>
      </c>
      <c r="J1224" t="str">
        <f>VLOOKUP(E1224,Base!$E:$F,2,FALSE)</f>
        <v>Atividades de reprodução humana assistida</v>
      </c>
      <c r="K1224" t="s">
        <v>4077</v>
      </c>
      <c r="L1224">
        <f>IFERROR(VLOOKUP($K1224,Base_Atividades!$E$1:$N$2398,MATCH(BancoAjustado!L$1,Base_Atividades!$E$1:$N$1,0),FALSE),0)</f>
        <v>1</v>
      </c>
      <c r="M1224">
        <f>IFERROR(VLOOKUP($K1224,Base_Atividades!$E$1:$N$2398,MATCH(BancoAjustado!M$1,Base_Atividades!$E$1:$N$1,0),FALSE),0)</f>
        <v>0</v>
      </c>
      <c r="N1224">
        <f>IFERROR(VLOOKUP($K1224,Base_Atividades!$E$1:$N$2398,MATCH(BancoAjustado!N$1,Base_Atividades!$E$1:$N$1,0),FALSE),0)</f>
        <v>0</v>
      </c>
    </row>
    <row r="1225" spans="1:14" x14ac:dyDescent="0.25">
      <c r="A1225" t="s">
        <v>4058</v>
      </c>
      <c r="B1225" t="s">
        <v>4059</v>
      </c>
      <c r="C1225" t="s">
        <v>4070</v>
      </c>
      <c r="D1225" t="s">
        <v>4071</v>
      </c>
      <c r="E1225" t="s">
        <v>4078</v>
      </c>
      <c r="F1225" t="str">
        <f>VLOOKUP(A1225,Base!$A:$F,6,FALSE)</f>
        <v>SAÚDE HUMANA E SERVIÇOS SOCIAIS</v>
      </c>
      <c r="G1225" t="str">
        <f>VLOOKUP(B1225,Base!$B:$F,5,FALSE)</f>
        <v>ATIVIDADES DE ATENÇÃO À SAÚDE HUMANA</v>
      </c>
      <c r="H1225" t="str">
        <f>VLOOKUP(C1225,Base!$C:$F,4,FALSE)</f>
        <v>Atividades de atenção ambulatorial executadas por médicos e odontólogos</v>
      </c>
      <c r="I1225" t="str">
        <f>VLOOKUP(D1225,Base!$D:$F,3,FALSE)</f>
        <v>Atividades de atenção ambulatorial executadas por médicos e odontólogos</v>
      </c>
      <c r="J1225" t="str">
        <f>VLOOKUP(E1225,Base!$E:$F,2,FALSE)</f>
        <v>Atividades de atenção ambulatorial não especificadas anteriormente</v>
      </c>
      <c r="K1225" t="s">
        <v>4078</v>
      </c>
      <c r="L1225">
        <f>IFERROR(VLOOKUP($K1225,Base_Atividades!$E$1:$N$2398,MATCH(BancoAjustado!L$1,Base_Atividades!$E$1:$N$1,0),FALSE),0)</f>
        <v>1</v>
      </c>
      <c r="M1225">
        <f>IFERROR(VLOOKUP($K1225,Base_Atividades!$E$1:$N$2398,MATCH(BancoAjustado!M$1,Base_Atividades!$E$1:$N$1,0),FALSE),0)</f>
        <v>0</v>
      </c>
      <c r="N1225">
        <f>IFERROR(VLOOKUP($K1225,Base_Atividades!$E$1:$N$2398,MATCH(BancoAjustado!N$1,Base_Atividades!$E$1:$N$1,0),FALSE),0)</f>
        <v>0</v>
      </c>
    </row>
    <row r="1226" spans="1:14" x14ac:dyDescent="0.25">
      <c r="A1226" t="s">
        <v>4058</v>
      </c>
      <c r="B1226" t="s">
        <v>4059</v>
      </c>
      <c r="C1226" t="s">
        <v>4079</v>
      </c>
      <c r="D1226" t="s">
        <v>4080</v>
      </c>
      <c r="E1226" t="s">
        <v>4081</v>
      </c>
      <c r="F1226" t="str">
        <f>VLOOKUP(A1226,Base!$A:$F,6,FALSE)</f>
        <v>SAÚDE HUMANA E SERVIÇOS SOCIAIS</v>
      </c>
      <c r="G1226" t="str">
        <f>VLOOKUP(B1226,Base!$B:$F,5,FALSE)</f>
        <v>ATIVIDADES DE ATENÇÃO À SAÚDE HUMANA</v>
      </c>
      <c r="H1226" t="str">
        <f>VLOOKUP(C1226,Base!$C:$F,4,FALSE)</f>
        <v>Atividades de serviços de complementação diagnóstica e terapêutica</v>
      </c>
      <c r="I1226" t="str">
        <f>VLOOKUP(D1226,Base!$D:$F,3,FALSE)</f>
        <v>Atividades de serviços de complementação diagnóstica e terapêutica</v>
      </c>
      <c r="J1226" t="str">
        <f>VLOOKUP(E1226,Base!$E:$F,2,FALSE)</f>
        <v>Laboratórios de anatomia patológica e citológica</v>
      </c>
      <c r="K1226" t="s">
        <v>4081</v>
      </c>
      <c r="L1226">
        <f>IFERROR(VLOOKUP($K1226,Base_Atividades!$E$1:$N$2398,MATCH(BancoAjustado!L$1,Base_Atividades!$E$1:$N$1,0),FALSE),0)</f>
        <v>1</v>
      </c>
      <c r="M1226">
        <f>IFERROR(VLOOKUP($K1226,Base_Atividades!$E$1:$N$2398,MATCH(BancoAjustado!M$1,Base_Atividades!$E$1:$N$1,0),FALSE),0)</f>
        <v>0</v>
      </c>
      <c r="N1226">
        <f>IFERROR(VLOOKUP($K1226,Base_Atividades!$E$1:$N$2398,MATCH(BancoAjustado!N$1,Base_Atividades!$E$1:$N$1,0),FALSE),0)</f>
        <v>0</v>
      </c>
    </row>
    <row r="1227" spans="1:14" x14ac:dyDescent="0.25">
      <c r="A1227" t="s">
        <v>4058</v>
      </c>
      <c r="B1227" t="s">
        <v>4059</v>
      </c>
      <c r="C1227" t="s">
        <v>4079</v>
      </c>
      <c r="D1227" t="s">
        <v>4080</v>
      </c>
      <c r="E1227" t="s">
        <v>4082</v>
      </c>
      <c r="F1227" t="str">
        <f>VLOOKUP(A1227,Base!$A:$F,6,FALSE)</f>
        <v>SAÚDE HUMANA E SERVIÇOS SOCIAIS</v>
      </c>
      <c r="G1227" t="str">
        <f>VLOOKUP(B1227,Base!$B:$F,5,FALSE)</f>
        <v>ATIVIDADES DE ATENÇÃO À SAÚDE HUMANA</v>
      </c>
      <c r="H1227" t="str">
        <f>VLOOKUP(C1227,Base!$C:$F,4,FALSE)</f>
        <v>Atividades de serviços de complementação diagnóstica e terapêutica</v>
      </c>
      <c r="I1227" t="str">
        <f>VLOOKUP(D1227,Base!$D:$F,3,FALSE)</f>
        <v>Atividades de serviços de complementação diagnóstica e terapêutica</v>
      </c>
      <c r="J1227" t="str">
        <f>VLOOKUP(E1227,Base!$E:$F,2,FALSE)</f>
        <v>Laboratórios clínicos</v>
      </c>
      <c r="K1227" t="s">
        <v>4082</v>
      </c>
      <c r="L1227">
        <f>IFERROR(VLOOKUP($K1227,Base_Atividades!$E$1:$N$2398,MATCH(BancoAjustado!L$1,Base_Atividades!$E$1:$N$1,0),FALSE),0)</f>
        <v>1</v>
      </c>
      <c r="M1227">
        <f>IFERROR(VLOOKUP($K1227,Base_Atividades!$E$1:$N$2398,MATCH(BancoAjustado!M$1,Base_Atividades!$E$1:$N$1,0),FALSE),0)</f>
        <v>0</v>
      </c>
      <c r="N1227">
        <f>IFERROR(VLOOKUP($K1227,Base_Atividades!$E$1:$N$2398,MATCH(BancoAjustado!N$1,Base_Atividades!$E$1:$N$1,0),FALSE),0)</f>
        <v>0</v>
      </c>
    </row>
    <row r="1228" spans="1:14" x14ac:dyDescent="0.25">
      <c r="A1228" t="s">
        <v>4058</v>
      </c>
      <c r="B1228" t="s">
        <v>4059</v>
      </c>
      <c r="C1228" t="s">
        <v>4079</v>
      </c>
      <c r="D1228" t="s">
        <v>4080</v>
      </c>
      <c r="E1228" t="s">
        <v>4083</v>
      </c>
      <c r="F1228" t="str">
        <f>VLOOKUP(A1228,Base!$A:$F,6,FALSE)</f>
        <v>SAÚDE HUMANA E SERVIÇOS SOCIAIS</v>
      </c>
      <c r="G1228" t="str">
        <f>VLOOKUP(B1228,Base!$B:$F,5,FALSE)</f>
        <v>ATIVIDADES DE ATENÇÃO À SAÚDE HUMANA</v>
      </c>
      <c r="H1228" t="str">
        <f>VLOOKUP(C1228,Base!$C:$F,4,FALSE)</f>
        <v>Atividades de serviços de complementação diagnóstica e terapêutica</v>
      </c>
      <c r="I1228" t="str">
        <f>VLOOKUP(D1228,Base!$D:$F,3,FALSE)</f>
        <v>Atividades de serviços de complementação diagnóstica e terapêutica</v>
      </c>
      <c r="J1228" t="str">
        <f>VLOOKUP(E1228,Base!$E:$F,2,FALSE)</f>
        <v>Serviços de diálise e nefrologia</v>
      </c>
      <c r="K1228" t="s">
        <v>4083</v>
      </c>
      <c r="L1228">
        <f>IFERROR(VLOOKUP($K1228,Base_Atividades!$E$1:$N$2398,MATCH(BancoAjustado!L$1,Base_Atividades!$E$1:$N$1,0),FALSE),0)</f>
        <v>1</v>
      </c>
      <c r="M1228">
        <f>IFERROR(VLOOKUP($K1228,Base_Atividades!$E$1:$N$2398,MATCH(BancoAjustado!M$1,Base_Atividades!$E$1:$N$1,0),FALSE),0)</f>
        <v>0</v>
      </c>
      <c r="N1228">
        <f>IFERROR(VLOOKUP($K1228,Base_Atividades!$E$1:$N$2398,MATCH(BancoAjustado!N$1,Base_Atividades!$E$1:$N$1,0),FALSE),0)</f>
        <v>0</v>
      </c>
    </row>
    <row r="1229" spans="1:14" x14ac:dyDescent="0.25">
      <c r="A1229" t="s">
        <v>4058</v>
      </c>
      <c r="B1229" t="s">
        <v>4059</v>
      </c>
      <c r="C1229" t="s">
        <v>4079</v>
      </c>
      <c r="D1229" t="s">
        <v>4080</v>
      </c>
      <c r="E1229" t="s">
        <v>4084</v>
      </c>
      <c r="F1229" t="str">
        <f>VLOOKUP(A1229,Base!$A:$F,6,FALSE)</f>
        <v>SAÚDE HUMANA E SERVIÇOS SOCIAIS</v>
      </c>
      <c r="G1229" t="str">
        <f>VLOOKUP(B1229,Base!$B:$F,5,FALSE)</f>
        <v>ATIVIDADES DE ATENÇÃO À SAÚDE HUMANA</v>
      </c>
      <c r="H1229" t="str">
        <f>VLOOKUP(C1229,Base!$C:$F,4,FALSE)</f>
        <v>Atividades de serviços de complementação diagnóstica e terapêutica</v>
      </c>
      <c r="I1229" t="str">
        <f>VLOOKUP(D1229,Base!$D:$F,3,FALSE)</f>
        <v>Atividades de serviços de complementação diagnóstica e terapêutica</v>
      </c>
      <c r="J1229" t="str">
        <f>VLOOKUP(E1229,Base!$E:$F,2,FALSE)</f>
        <v>Serviços de tomografia</v>
      </c>
      <c r="K1229" t="s">
        <v>4084</v>
      </c>
      <c r="L1229">
        <f>IFERROR(VLOOKUP($K1229,Base_Atividades!$E$1:$N$2398,MATCH(BancoAjustado!L$1,Base_Atividades!$E$1:$N$1,0),FALSE),0)</f>
        <v>1</v>
      </c>
      <c r="M1229">
        <f>IFERROR(VLOOKUP($K1229,Base_Atividades!$E$1:$N$2398,MATCH(BancoAjustado!M$1,Base_Atividades!$E$1:$N$1,0),FALSE),0)</f>
        <v>0</v>
      </c>
      <c r="N1229">
        <f>IFERROR(VLOOKUP($K1229,Base_Atividades!$E$1:$N$2398,MATCH(BancoAjustado!N$1,Base_Atividades!$E$1:$N$1,0),FALSE),0)</f>
        <v>0</v>
      </c>
    </row>
    <row r="1230" spans="1:14" x14ac:dyDescent="0.25">
      <c r="A1230" t="s">
        <v>4058</v>
      </c>
      <c r="B1230" t="s">
        <v>4059</v>
      </c>
      <c r="C1230" t="s">
        <v>4079</v>
      </c>
      <c r="D1230" t="s">
        <v>4080</v>
      </c>
      <c r="E1230" t="s">
        <v>4085</v>
      </c>
      <c r="F1230" t="str">
        <f>VLOOKUP(A1230,Base!$A:$F,6,FALSE)</f>
        <v>SAÚDE HUMANA E SERVIÇOS SOCIAIS</v>
      </c>
      <c r="G1230" t="str">
        <f>VLOOKUP(B1230,Base!$B:$F,5,FALSE)</f>
        <v>ATIVIDADES DE ATENÇÃO À SAÚDE HUMANA</v>
      </c>
      <c r="H1230" t="str">
        <f>VLOOKUP(C1230,Base!$C:$F,4,FALSE)</f>
        <v>Atividades de serviços de complementação diagnóstica e terapêutica</v>
      </c>
      <c r="I1230" t="str">
        <f>VLOOKUP(D1230,Base!$D:$F,3,FALSE)</f>
        <v>Atividades de serviços de complementação diagnóstica e terapêutica</v>
      </c>
      <c r="J1230" t="str">
        <f>VLOOKUP(E1230,Base!$E:$F,2,FALSE)</f>
        <v>Serviços de diagnóstico por imagem com uso de radiação ionizante, exceto tomografia</v>
      </c>
      <c r="K1230" t="s">
        <v>4085</v>
      </c>
      <c r="L1230">
        <f>IFERROR(VLOOKUP($K1230,Base_Atividades!$E$1:$N$2398,MATCH(BancoAjustado!L$1,Base_Atividades!$E$1:$N$1,0),FALSE),0)</f>
        <v>1</v>
      </c>
      <c r="M1230">
        <f>IFERROR(VLOOKUP($K1230,Base_Atividades!$E$1:$N$2398,MATCH(BancoAjustado!M$1,Base_Atividades!$E$1:$N$1,0),FALSE),0)</f>
        <v>0</v>
      </c>
      <c r="N1230">
        <f>IFERROR(VLOOKUP($K1230,Base_Atividades!$E$1:$N$2398,MATCH(BancoAjustado!N$1,Base_Atividades!$E$1:$N$1,0),FALSE),0)</f>
        <v>0</v>
      </c>
    </row>
    <row r="1231" spans="1:14" x14ac:dyDescent="0.25">
      <c r="A1231" t="s">
        <v>4058</v>
      </c>
      <c r="B1231" t="s">
        <v>4059</v>
      </c>
      <c r="C1231" t="s">
        <v>4079</v>
      </c>
      <c r="D1231" t="s">
        <v>4080</v>
      </c>
      <c r="E1231" t="s">
        <v>4086</v>
      </c>
      <c r="F1231" t="str">
        <f>VLOOKUP(A1231,Base!$A:$F,6,FALSE)</f>
        <v>SAÚDE HUMANA E SERVIÇOS SOCIAIS</v>
      </c>
      <c r="G1231" t="str">
        <f>VLOOKUP(B1231,Base!$B:$F,5,FALSE)</f>
        <v>ATIVIDADES DE ATENÇÃO À SAÚDE HUMANA</v>
      </c>
      <c r="H1231" t="str">
        <f>VLOOKUP(C1231,Base!$C:$F,4,FALSE)</f>
        <v>Atividades de serviços de complementação diagnóstica e terapêutica</v>
      </c>
      <c r="I1231" t="str">
        <f>VLOOKUP(D1231,Base!$D:$F,3,FALSE)</f>
        <v>Atividades de serviços de complementação diagnóstica e terapêutica</v>
      </c>
      <c r="J1231" t="str">
        <f>VLOOKUP(E1231,Base!$E:$F,2,FALSE)</f>
        <v>Serviços de ressonância magnética</v>
      </c>
      <c r="K1231" t="s">
        <v>4086</v>
      </c>
      <c r="L1231">
        <f>IFERROR(VLOOKUP($K1231,Base_Atividades!$E$1:$N$2398,MATCH(BancoAjustado!L$1,Base_Atividades!$E$1:$N$1,0),FALSE),0)</f>
        <v>1</v>
      </c>
      <c r="M1231">
        <f>IFERROR(VLOOKUP($K1231,Base_Atividades!$E$1:$N$2398,MATCH(BancoAjustado!M$1,Base_Atividades!$E$1:$N$1,0),FALSE),0)</f>
        <v>0</v>
      </c>
      <c r="N1231">
        <f>IFERROR(VLOOKUP($K1231,Base_Atividades!$E$1:$N$2398,MATCH(BancoAjustado!N$1,Base_Atividades!$E$1:$N$1,0),FALSE),0)</f>
        <v>0</v>
      </c>
    </row>
    <row r="1232" spans="1:14" x14ac:dyDescent="0.25">
      <c r="A1232" t="s">
        <v>4058</v>
      </c>
      <c r="B1232" t="s">
        <v>4059</v>
      </c>
      <c r="C1232" t="s">
        <v>4079</v>
      </c>
      <c r="D1232" t="s">
        <v>4080</v>
      </c>
      <c r="E1232" t="s">
        <v>4087</v>
      </c>
      <c r="F1232" t="str">
        <f>VLOOKUP(A1232,Base!$A:$F,6,FALSE)</f>
        <v>SAÚDE HUMANA E SERVIÇOS SOCIAIS</v>
      </c>
      <c r="G1232" t="str">
        <f>VLOOKUP(B1232,Base!$B:$F,5,FALSE)</f>
        <v>ATIVIDADES DE ATENÇÃO À SAÚDE HUMANA</v>
      </c>
      <c r="H1232" t="str">
        <f>VLOOKUP(C1232,Base!$C:$F,4,FALSE)</f>
        <v>Atividades de serviços de complementação diagnóstica e terapêutica</v>
      </c>
      <c r="I1232" t="str">
        <f>VLOOKUP(D1232,Base!$D:$F,3,FALSE)</f>
        <v>Atividades de serviços de complementação diagnóstica e terapêutica</v>
      </c>
      <c r="J1232" t="str">
        <f>VLOOKUP(E1232,Base!$E:$F,2,FALSE)</f>
        <v>Serviços de diagnóstico por imagem sem uso de radiação ionizante, exceto ressonância magnética</v>
      </c>
      <c r="K1232" t="s">
        <v>4087</v>
      </c>
      <c r="L1232">
        <f>IFERROR(VLOOKUP($K1232,Base_Atividades!$E$1:$N$2398,MATCH(BancoAjustado!L$1,Base_Atividades!$E$1:$N$1,0),FALSE),0)</f>
        <v>1</v>
      </c>
      <c r="M1232">
        <f>IFERROR(VLOOKUP($K1232,Base_Atividades!$E$1:$N$2398,MATCH(BancoAjustado!M$1,Base_Atividades!$E$1:$N$1,0),FALSE),0)</f>
        <v>0</v>
      </c>
      <c r="N1232">
        <f>IFERROR(VLOOKUP($K1232,Base_Atividades!$E$1:$N$2398,MATCH(BancoAjustado!N$1,Base_Atividades!$E$1:$N$1,0),FALSE),0)</f>
        <v>0</v>
      </c>
    </row>
    <row r="1233" spans="1:14" x14ac:dyDescent="0.25">
      <c r="A1233" t="s">
        <v>4058</v>
      </c>
      <c r="B1233" t="s">
        <v>4059</v>
      </c>
      <c r="C1233" t="s">
        <v>4079</v>
      </c>
      <c r="D1233" t="s">
        <v>4080</v>
      </c>
      <c r="E1233" t="s">
        <v>4088</v>
      </c>
      <c r="F1233" t="str">
        <f>VLOOKUP(A1233,Base!$A:$F,6,FALSE)</f>
        <v>SAÚDE HUMANA E SERVIÇOS SOCIAIS</v>
      </c>
      <c r="G1233" t="str">
        <f>VLOOKUP(B1233,Base!$B:$F,5,FALSE)</f>
        <v>ATIVIDADES DE ATENÇÃO À SAÚDE HUMANA</v>
      </c>
      <c r="H1233" t="str">
        <f>VLOOKUP(C1233,Base!$C:$F,4,FALSE)</f>
        <v>Atividades de serviços de complementação diagnóstica e terapêutica</v>
      </c>
      <c r="I1233" t="str">
        <f>VLOOKUP(D1233,Base!$D:$F,3,FALSE)</f>
        <v>Atividades de serviços de complementação diagnóstica e terapêutica</v>
      </c>
      <c r="J1233" t="str">
        <f>VLOOKUP(E1233,Base!$E:$F,2,FALSE)</f>
        <v>Serviços de diagnóstico por registro gráfico - ECG, EEG e outros exames análogos</v>
      </c>
      <c r="K1233" t="s">
        <v>4088</v>
      </c>
      <c r="L1233">
        <f>IFERROR(VLOOKUP($K1233,Base_Atividades!$E$1:$N$2398,MATCH(BancoAjustado!L$1,Base_Atividades!$E$1:$N$1,0),FALSE),0)</f>
        <v>1</v>
      </c>
      <c r="M1233">
        <f>IFERROR(VLOOKUP($K1233,Base_Atividades!$E$1:$N$2398,MATCH(BancoAjustado!M$1,Base_Atividades!$E$1:$N$1,0),FALSE),0)</f>
        <v>0</v>
      </c>
      <c r="N1233">
        <f>IFERROR(VLOOKUP($K1233,Base_Atividades!$E$1:$N$2398,MATCH(BancoAjustado!N$1,Base_Atividades!$E$1:$N$1,0),FALSE),0)</f>
        <v>0</v>
      </c>
    </row>
    <row r="1234" spans="1:14" x14ac:dyDescent="0.25">
      <c r="A1234" t="s">
        <v>4058</v>
      </c>
      <c r="B1234" t="s">
        <v>4059</v>
      </c>
      <c r="C1234" t="s">
        <v>4079</v>
      </c>
      <c r="D1234" t="s">
        <v>4080</v>
      </c>
      <c r="E1234" t="s">
        <v>4089</v>
      </c>
      <c r="F1234" t="str">
        <f>VLOOKUP(A1234,Base!$A:$F,6,FALSE)</f>
        <v>SAÚDE HUMANA E SERVIÇOS SOCIAIS</v>
      </c>
      <c r="G1234" t="str">
        <f>VLOOKUP(B1234,Base!$B:$F,5,FALSE)</f>
        <v>ATIVIDADES DE ATENÇÃO À SAÚDE HUMANA</v>
      </c>
      <c r="H1234" t="str">
        <f>VLOOKUP(C1234,Base!$C:$F,4,FALSE)</f>
        <v>Atividades de serviços de complementação diagnóstica e terapêutica</v>
      </c>
      <c r="I1234" t="str">
        <f>VLOOKUP(D1234,Base!$D:$F,3,FALSE)</f>
        <v>Atividades de serviços de complementação diagnóstica e terapêutica</v>
      </c>
      <c r="J1234" t="str">
        <f>VLOOKUP(E1234,Base!$E:$F,2,FALSE)</f>
        <v>Serviços de diagnóstico por métodos ópticos - endoscopia e outros exames análogos</v>
      </c>
      <c r="K1234" t="s">
        <v>4089</v>
      </c>
      <c r="L1234">
        <f>IFERROR(VLOOKUP($K1234,Base_Atividades!$E$1:$N$2398,MATCH(BancoAjustado!L$1,Base_Atividades!$E$1:$N$1,0),FALSE),0)</f>
        <v>1</v>
      </c>
      <c r="M1234">
        <f>IFERROR(VLOOKUP($K1234,Base_Atividades!$E$1:$N$2398,MATCH(BancoAjustado!M$1,Base_Atividades!$E$1:$N$1,0),FALSE),0)</f>
        <v>0</v>
      </c>
      <c r="N1234">
        <f>IFERROR(VLOOKUP($K1234,Base_Atividades!$E$1:$N$2398,MATCH(BancoAjustado!N$1,Base_Atividades!$E$1:$N$1,0),FALSE),0)</f>
        <v>0</v>
      </c>
    </row>
    <row r="1235" spans="1:14" x14ac:dyDescent="0.25">
      <c r="A1235" t="s">
        <v>4058</v>
      </c>
      <c r="B1235" t="s">
        <v>4059</v>
      </c>
      <c r="C1235" t="s">
        <v>4079</v>
      </c>
      <c r="D1235" t="s">
        <v>4080</v>
      </c>
      <c r="E1235" t="s">
        <v>4090</v>
      </c>
      <c r="F1235" t="str">
        <f>VLOOKUP(A1235,Base!$A:$F,6,FALSE)</f>
        <v>SAÚDE HUMANA E SERVIÇOS SOCIAIS</v>
      </c>
      <c r="G1235" t="str">
        <f>VLOOKUP(B1235,Base!$B:$F,5,FALSE)</f>
        <v>ATIVIDADES DE ATENÇÃO À SAÚDE HUMANA</v>
      </c>
      <c r="H1235" t="str">
        <f>VLOOKUP(C1235,Base!$C:$F,4,FALSE)</f>
        <v>Atividades de serviços de complementação diagnóstica e terapêutica</v>
      </c>
      <c r="I1235" t="str">
        <f>VLOOKUP(D1235,Base!$D:$F,3,FALSE)</f>
        <v>Atividades de serviços de complementação diagnóstica e terapêutica</v>
      </c>
      <c r="J1235" t="str">
        <f>VLOOKUP(E1235,Base!$E:$F,2,FALSE)</f>
        <v>Serviços de quimioterapia</v>
      </c>
      <c r="K1235" t="s">
        <v>4090</v>
      </c>
      <c r="L1235">
        <f>IFERROR(VLOOKUP($K1235,Base_Atividades!$E$1:$N$2398,MATCH(BancoAjustado!L$1,Base_Atividades!$E$1:$N$1,0),FALSE),0)</f>
        <v>1</v>
      </c>
      <c r="M1235">
        <f>IFERROR(VLOOKUP($K1235,Base_Atividades!$E$1:$N$2398,MATCH(BancoAjustado!M$1,Base_Atividades!$E$1:$N$1,0),FALSE),0)</f>
        <v>0</v>
      </c>
      <c r="N1235">
        <f>IFERROR(VLOOKUP($K1235,Base_Atividades!$E$1:$N$2398,MATCH(BancoAjustado!N$1,Base_Atividades!$E$1:$N$1,0),FALSE),0)</f>
        <v>0</v>
      </c>
    </row>
    <row r="1236" spans="1:14" x14ac:dyDescent="0.25">
      <c r="A1236" t="s">
        <v>4058</v>
      </c>
      <c r="B1236" t="s">
        <v>4059</v>
      </c>
      <c r="C1236" t="s">
        <v>4079</v>
      </c>
      <c r="D1236" t="s">
        <v>4080</v>
      </c>
      <c r="E1236" t="s">
        <v>4091</v>
      </c>
      <c r="F1236" t="str">
        <f>VLOOKUP(A1236,Base!$A:$F,6,FALSE)</f>
        <v>SAÚDE HUMANA E SERVIÇOS SOCIAIS</v>
      </c>
      <c r="G1236" t="str">
        <f>VLOOKUP(B1236,Base!$B:$F,5,FALSE)</f>
        <v>ATIVIDADES DE ATENÇÃO À SAÚDE HUMANA</v>
      </c>
      <c r="H1236" t="str">
        <f>VLOOKUP(C1236,Base!$C:$F,4,FALSE)</f>
        <v>Atividades de serviços de complementação diagnóstica e terapêutica</v>
      </c>
      <c r="I1236" t="str">
        <f>VLOOKUP(D1236,Base!$D:$F,3,FALSE)</f>
        <v>Atividades de serviços de complementação diagnóstica e terapêutica</v>
      </c>
      <c r="J1236" t="str">
        <f>VLOOKUP(E1236,Base!$E:$F,2,FALSE)</f>
        <v>Serviços de radioterapia</v>
      </c>
      <c r="K1236" t="s">
        <v>4091</v>
      </c>
      <c r="L1236">
        <f>IFERROR(VLOOKUP($K1236,Base_Atividades!$E$1:$N$2398,MATCH(BancoAjustado!L$1,Base_Atividades!$E$1:$N$1,0),FALSE),0)</f>
        <v>1</v>
      </c>
      <c r="M1236">
        <f>IFERROR(VLOOKUP($K1236,Base_Atividades!$E$1:$N$2398,MATCH(BancoAjustado!M$1,Base_Atividades!$E$1:$N$1,0),FALSE),0)</f>
        <v>0</v>
      </c>
      <c r="N1236">
        <f>IFERROR(VLOOKUP($K1236,Base_Atividades!$E$1:$N$2398,MATCH(BancoAjustado!N$1,Base_Atividades!$E$1:$N$1,0),FALSE),0)</f>
        <v>0</v>
      </c>
    </row>
    <row r="1237" spans="1:14" x14ac:dyDescent="0.25">
      <c r="A1237" t="s">
        <v>4058</v>
      </c>
      <c r="B1237" t="s">
        <v>4059</v>
      </c>
      <c r="C1237" t="s">
        <v>4079</v>
      </c>
      <c r="D1237" t="s">
        <v>4080</v>
      </c>
      <c r="E1237" t="s">
        <v>4092</v>
      </c>
      <c r="F1237" t="str">
        <f>VLOOKUP(A1237,Base!$A:$F,6,FALSE)</f>
        <v>SAÚDE HUMANA E SERVIÇOS SOCIAIS</v>
      </c>
      <c r="G1237" t="str">
        <f>VLOOKUP(B1237,Base!$B:$F,5,FALSE)</f>
        <v>ATIVIDADES DE ATENÇÃO À SAÚDE HUMANA</v>
      </c>
      <c r="H1237" t="str">
        <f>VLOOKUP(C1237,Base!$C:$F,4,FALSE)</f>
        <v>Atividades de serviços de complementação diagnóstica e terapêutica</v>
      </c>
      <c r="I1237" t="str">
        <f>VLOOKUP(D1237,Base!$D:$F,3,FALSE)</f>
        <v>Atividades de serviços de complementação diagnóstica e terapêutica</v>
      </c>
      <c r="J1237" t="str">
        <f>VLOOKUP(E1237,Base!$E:$F,2,FALSE)</f>
        <v>Serviços de hemoterapia</v>
      </c>
      <c r="K1237" t="s">
        <v>4092</v>
      </c>
      <c r="L1237">
        <f>IFERROR(VLOOKUP($K1237,Base_Atividades!$E$1:$N$2398,MATCH(BancoAjustado!L$1,Base_Atividades!$E$1:$N$1,0),FALSE),0)</f>
        <v>1</v>
      </c>
      <c r="M1237">
        <f>IFERROR(VLOOKUP($K1237,Base_Atividades!$E$1:$N$2398,MATCH(BancoAjustado!M$1,Base_Atividades!$E$1:$N$1,0),FALSE),0)</f>
        <v>0</v>
      </c>
      <c r="N1237">
        <f>IFERROR(VLOOKUP($K1237,Base_Atividades!$E$1:$N$2398,MATCH(BancoAjustado!N$1,Base_Atividades!$E$1:$N$1,0),FALSE),0)</f>
        <v>0</v>
      </c>
    </row>
    <row r="1238" spans="1:14" x14ac:dyDescent="0.25">
      <c r="A1238" t="s">
        <v>4058</v>
      </c>
      <c r="B1238" t="s">
        <v>4059</v>
      </c>
      <c r="C1238" t="s">
        <v>4079</v>
      </c>
      <c r="D1238" t="s">
        <v>4080</v>
      </c>
      <c r="E1238" t="s">
        <v>4093</v>
      </c>
      <c r="F1238" t="str">
        <f>VLOOKUP(A1238,Base!$A:$F,6,FALSE)</f>
        <v>SAÚDE HUMANA E SERVIÇOS SOCIAIS</v>
      </c>
      <c r="G1238" t="str">
        <f>VLOOKUP(B1238,Base!$B:$F,5,FALSE)</f>
        <v>ATIVIDADES DE ATENÇÃO À SAÚDE HUMANA</v>
      </c>
      <c r="H1238" t="str">
        <f>VLOOKUP(C1238,Base!$C:$F,4,FALSE)</f>
        <v>Atividades de serviços de complementação diagnóstica e terapêutica</v>
      </c>
      <c r="I1238" t="str">
        <f>VLOOKUP(D1238,Base!$D:$F,3,FALSE)</f>
        <v>Atividades de serviços de complementação diagnóstica e terapêutica</v>
      </c>
      <c r="J1238" t="str">
        <f>VLOOKUP(E1238,Base!$E:$F,2,FALSE)</f>
        <v>Serviços de litotripsia</v>
      </c>
      <c r="K1238" t="s">
        <v>4093</v>
      </c>
      <c r="L1238">
        <f>IFERROR(VLOOKUP($K1238,Base_Atividades!$E$1:$N$2398,MATCH(BancoAjustado!L$1,Base_Atividades!$E$1:$N$1,0),FALSE),0)</f>
        <v>1</v>
      </c>
      <c r="M1238">
        <f>IFERROR(VLOOKUP($K1238,Base_Atividades!$E$1:$N$2398,MATCH(BancoAjustado!M$1,Base_Atividades!$E$1:$N$1,0),FALSE),0)</f>
        <v>0</v>
      </c>
      <c r="N1238">
        <f>IFERROR(VLOOKUP($K1238,Base_Atividades!$E$1:$N$2398,MATCH(BancoAjustado!N$1,Base_Atividades!$E$1:$N$1,0),FALSE),0)</f>
        <v>0</v>
      </c>
    </row>
    <row r="1239" spans="1:14" x14ac:dyDescent="0.25">
      <c r="A1239" t="s">
        <v>4058</v>
      </c>
      <c r="B1239" t="s">
        <v>4059</v>
      </c>
      <c r="C1239" t="s">
        <v>4079</v>
      </c>
      <c r="D1239" t="s">
        <v>4080</v>
      </c>
      <c r="E1239" t="s">
        <v>4094</v>
      </c>
      <c r="F1239" t="str">
        <f>VLOOKUP(A1239,Base!$A:$F,6,FALSE)</f>
        <v>SAÚDE HUMANA E SERVIÇOS SOCIAIS</v>
      </c>
      <c r="G1239" t="str">
        <f>VLOOKUP(B1239,Base!$B:$F,5,FALSE)</f>
        <v>ATIVIDADES DE ATENÇÃO À SAÚDE HUMANA</v>
      </c>
      <c r="H1239" t="str">
        <f>VLOOKUP(C1239,Base!$C:$F,4,FALSE)</f>
        <v>Atividades de serviços de complementação diagnóstica e terapêutica</v>
      </c>
      <c r="I1239" t="str">
        <f>VLOOKUP(D1239,Base!$D:$F,3,FALSE)</f>
        <v>Atividades de serviços de complementação diagnóstica e terapêutica</v>
      </c>
      <c r="J1239" t="str">
        <f>VLOOKUP(E1239,Base!$E:$F,2,FALSE)</f>
        <v>Serviços de bancos de células e tecidos humanos</v>
      </c>
      <c r="K1239" t="s">
        <v>4094</v>
      </c>
      <c r="L1239">
        <f>IFERROR(VLOOKUP($K1239,Base_Atividades!$E$1:$N$2398,MATCH(BancoAjustado!L$1,Base_Atividades!$E$1:$N$1,0),FALSE),0)</f>
        <v>1</v>
      </c>
      <c r="M1239">
        <f>IFERROR(VLOOKUP($K1239,Base_Atividades!$E$1:$N$2398,MATCH(BancoAjustado!M$1,Base_Atividades!$E$1:$N$1,0),FALSE),0)</f>
        <v>0</v>
      </c>
      <c r="N1239">
        <f>IFERROR(VLOOKUP($K1239,Base_Atividades!$E$1:$N$2398,MATCH(BancoAjustado!N$1,Base_Atividades!$E$1:$N$1,0),FALSE),0)</f>
        <v>0</v>
      </c>
    </row>
    <row r="1240" spans="1:14" x14ac:dyDescent="0.25">
      <c r="A1240" t="s">
        <v>4058</v>
      </c>
      <c r="B1240" t="s">
        <v>4059</v>
      </c>
      <c r="C1240" t="s">
        <v>4079</v>
      </c>
      <c r="D1240" t="s">
        <v>4080</v>
      </c>
      <c r="E1240" t="s">
        <v>4095</v>
      </c>
      <c r="F1240" t="str">
        <f>VLOOKUP(A1240,Base!$A:$F,6,FALSE)</f>
        <v>SAÚDE HUMANA E SERVIÇOS SOCIAIS</v>
      </c>
      <c r="G1240" t="str">
        <f>VLOOKUP(B1240,Base!$B:$F,5,FALSE)</f>
        <v>ATIVIDADES DE ATENÇÃO À SAÚDE HUMANA</v>
      </c>
      <c r="H1240" t="str">
        <f>VLOOKUP(C1240,Base!$C:$F,4,FALSE)</f>
        <v>Atividades de serviços de complementação diagnóstica e terapêutica</v>
      </c>
      <c r="I1240" t="str">
        <f>VLOOKUP(D1240,Base!$D:$F,3,FALSE)</f>
        <v>Atividades de serviços de complementação diagnóstica e terapêutica</v>
      </c>
      <c r="J1240" t="str">
        <f>VLOOKUP(E1240,Base!$E:$F,2,FALSE)</f>
        <v>Atividades de serviços de complementação diagnóstica e terapêutica não especificadas anteriormente</v>
      </c>
      <c r="K1240" t="s">
        <v>4095</v>
      </c>
      <c r="L1240">
        <f>IFERROR(VLOOKUP($K1240,Base_Atividades!$E$1:$N$2398,MATCH(BancoAjustado!L$1,Base_Atividades!$E$1:$N$1,0),FALSE),0)</f>
        <v>1</v>
      </c>
      <c r="M1240">
        <f>IFERROR(VLOOKUP($K1240,Base_Atividades!$E$1:$N$2398,MATCH(BancoAjustado!M$1,Base_Atividades!$E$1:$N$1,0),FALSE),0)</f>
        <v>0</v>
      </c>
      <c r="N1240">
        <f>IFERROR(VLOOKUP($K1240,Base_Atividades!$E$1:$N$2398,MATCH(BancoAjustado!N$1,Base_Atividades!$E$1:$N$1,0),FALSE),0)</f>
        <v>0</v>
      </c>
    </row>
    <row r="1241" spans="1:14" x14ac:dyDescent="0.25">
      <c r="A1241" t="s">
        <v>4058</v>
      </c>
      <c r="B1241" t="s">
        <v>4059</v>
      </c>
      <c r="C1241" t="s">
        <v>4096</v>
      </c>
      <c r="D1241" t="s">
        <v>4097</v>
      </c>
      <c r="E1241" t="s">
        <v>4098</v>
      </c>
      <c r="F1241" t="str">
        <f>VLOOKUP(A1241,Base!$A:$F,6,FALSE)</f>
        <v>SAÚDE HUMANA E SERVIÇOS SOCIAIS</v>
      </c>
      <c r="G1241" t="str">
        <f>VLOOKUP(B1241,Base!$B:$F,5,FALSE)</f>
        <v>ATIVIDADES DE ATENÇÃO À SAÚDE HUMANA</v>
      </c>
      <c r="H1241" t="str">
        <f>VLOOKUP(C1241,Base!$C:$F,4,FALSE)</f>
        <v>Atividades de profissionais da área de saúde, exceto médicos e odontólogos</v>
      </c>
      <c r="I1241" t="str">
        <f>VLOOKUP(D1241,Base!$D:$F,3,FALSE)</f>
        <v>Atividades de profissionais da área de saúde, exceto médicos e odontólogos</v>
      </c>
      <c r="J1241" t="str">
        <f>VLOOKUP(E1241,Base!$E:$F,2,FALSE)</f>
        <v>Atividades de enfermagem</v>
      </c>
      <c r="K1241" t="s">
        <v>4098</v>
      </c>
      <c r="L1241">
        <f>IFERROR(VLOOKUP($K1241,Base_Atividades!$E$1:$N$2398,MATCH(BancoAjustado!L$1,Base_Atividades!$E$1:$N$1,0),FALSE),0)</f>
        <v>1</v>
      </c>
      <c r="M1241">
        <f>IFERROR(VLOOKUP($K1241,Base_Atividades!$E$1:$N$2398,MATCH(BancoAjustado!M$1,Base_Atividades!$E$1:$N$1,0),FALSE),0)</f>
        <v>0</v>
      </c>
      <c r="N1241">
        <f>IFERROR(VLOOKUP($K1241,Base_Atividades!$E$1:$N$2398,MATCH(BancoAjustado!N$1,Base_Atividades!$E$1:$N$1,0),FALSE),0)</f>
        <v>0</v>
      </c>
    </row>
    <row r="1242" spans="1:14" x14ac:dyDescent="0.25">
      <c r="A1242" t="s">
        <v>4058</v>
      </c>
      <c r="B1242" t="s">
        <v>4059</v>
      </c>
      <c r="C1242" t="s">
        <v>4096</v>
      </c>
      <c r="D1242" t="s">
        <v>4097</v>
      </c>
      <c r="E1242" t="s">
        <v>4099</v>
      </c>
      <c r="F1242" t="str">
        <f>VLOOKUP(A1242,Base!$A:$F,6,FALSE)</f>
        <v>SAÚDE HUMANA E SERVIÇOS SOCIAIS</v>
      </c>
      <c r="G1242" t="str">
        <f>VLOOKUP(B1242,Base!$B:$F,5,FALSE)</f>
        <v>ATIVIDADES DE ATENÇÃO À SAÚDE HUMANA</v>
      </c>
      <c r="H1242" t="str">
        <f>VLOOKUP(C1242,Base!$C:$F,4,FALSE)</f>
        <v>Atividades de profissionais da área de saúde, exceto médicos e odontólogos</v>
      </c>
      <c r="I1242" t="str">
        <f>VLOOKUP(D1242,Base!$D:$F,3,FALSE)</f>
        <v>Atividades de profissionais da área de saúde, exceto médicos e odontólogos</v>
      </c>
      <c r="J1242" t="str">
        <f>VLOOKUP(E1242,Base!$E:$F,2,FALSE)</f>
        <v>Atividades de profissionais da nutrição</v>
      </c>
      <c r="K1242" t="s">
        <v>4099</v>
      </c>
      <c r="L1242">
        <f>IFERROR(VLOOKUP($K1242,Base_Atividades!$E$1:$N$2398,MATCH(BancoAjustado!L$1,Base_Atividades!$E$1:$N$1,0),FALSE),0)</f>
        <v>1</v>
      </c>
      <c r="M1242">
        <f>IFERROR(VLOOKUP($K1242,Base_Atividades!$E$1:$N$2398,MATCH(BancoAjustado!M$1,Base_Atividades!$E$1:$N$1,0),FALSE),0)</f>
        <v>0</v>
      </c>
      <c r="N1242">
        <f>IFERROR(VLOOKUP($K1242,Base_Atividades!$E$1:$N$2398,MATCH(BancoAjustado!N$1,Base_Atividades!$E$1:$N$1,0),FALSE),0)</f>
        <v>0</v>
      </c>
    </row>
    <row r="1243" spans="1:14" x14ac:dyDescent="0.25">
      <c r="A1243" t="s">
        <v>4058</v>
      </c>
      <c r="B1243" t="s">
        <v>4059</v>
      </c>
      <c r="C1243" t="s">
        <v>4096</v>
      </c>
      <c r="D1243" t="s">
        <v>4097</v>
      </c>
      <c r="E1243" t="s">
        <v>4100</v>
      </c>
      <c r="F1243" t="str">
        <f>VLOOKUP(A1243,Base!$A:$F,6,FALSE)</f>
        <v>SAÚDE HUMANA E SERVIÇOS SOCIAIS</v>
      </c>
      <c r="G1243" t="str">
        <f>VLOOKUP(B1243,Base!$B:$F,5,FALSE)</f>
        <v>ATIVIDADES DE ATENÇÃO À SAÚDE HUMANA</v>
      </c>
      <c r="H1243" t="str">
        <f>VLOOKUP(C1243,Base!$C:$F,4,FALSE)</f>
        <v>Atividades de profissionais da área de saúde, exceto médicos e odontólogos</v>
      </c>
      <c r="I1243" t="str">
        <f>VLOOKUP(D1243,Base!$D:$F,3,FALSE)</f>
        <v>Atividades de profissionais da área de saúde, exceto médicos e odontólogos</v>
      </c>
      <c r="J1243" t="str">
        <f>VLOOKUP(E1243,Base!$E:$F,2,FALSE)</f>
        <v>Atividades de psicologia e psicanálise</v>
      </c>
      <c r="K1243" t="s">
        <v>4100</v>
      </c>
      <c r="L1243">
        <f>IFERROR(VLOOKUP($K1243,Base_Atividades!$E$1:$N$2398,MATCH(BancoAjustado!L$1,Base_Atividades!$E$1:$N$1,0),FALSE),0)</f>
        <v>1</v>
      </c>
      <c r="M1243">
        <f>IFERROR(VLOOKUP($K1243,Base_Atividades!$E$1:$N$2398,MATCH(BancoAjustado!M$1,Base_Atividades!$E$1:$N$1,0),FALSE),0)</f>
        <v>0</v>
      </c>
      <c r="N1243">
        <f>IFERROR(VLOOKUP($K1243,Base_Atividades!$E$1:$N$2398,MATCH(BancoAjustado!N$1,Base_Atividades!$E$1:$N$1,0),FALSE),0)</f>
        <v>0</v>
      </c>
    </row>
    <row r="1244" spans="1:14" x14ac:dyDescent="0.25">
      <c r="A1244" t="s">
        <v>4058</v>
      </c>
      <c r="B1244" t="s">
        <v>4059</v>
      </c>
      <c r="C1244" t="s">
        <v>4096</v>
      </c>
      <c r="D1244" t="s">
        <v>4097</v>
      </c>
      <c r="E1244" t="s">
        <v>4101</v>
      </c>
      <c r="F1244" t="str">
        <f>VLOOKUP(A1244,Base!$A:$F,6,FALSE)</f>
        <v>SAÚDE HUMANA E SERVIÇOS SOCIAIS</v>
      </c>
      <c r="G1244" t="str">
        <f>VLOOKUP(B1244,Base!$B:$F,5,FALSE)</f>
        <v>ATIVIDADES DE ATENÇÃO À SAÚDE HUMANA</v>
      </c>
      <c r="H1244" t="str">
        <f>VLOOKUP(C1244,Base!$C:$F,4,FALSE)</f>
        <v>Atividades de profissionais da área de saúde, exceto médicos e odontólogos</v>
      </c>
      <c r="I1244" t="str">
        <f>VLOOKUP(D1244,Base!$D:$F,3,FALSE)</f>
        <v>Atividades de profissionais da área de saúde, exceto médicos e odontólogos</v>
      </c>
      <c r="J1244" t="str">
        <f>VLOOKUP(E1244,Base!$E:$F,2,FALSE)</f>
        <v>Atividades de fisioterapia</v>
      </c>
      <c r="K1244" t="s">
        <v>4101</v>
      </c>
      <c r="L1244">
        <f>IFERROR(VLOOKUP($K1244,Base_Atividades!$E$1:$N$2398,MATCH(BancoAjustado!L$1,Base_Atividades!$E$1:$N$1,0),FALSE),0)</f>
        <v>1</v>
      </c>
      <c r="M1244">
        <f>IFERROR(VLOOKUP($K1244,Base_Atividades!$E$1:$N$2398,MATCH(BancoAjustado!M$1,Base_Atividades!$E$1:$N$1,0),FALSE),0)</f>
        <v>0</v>
      </c>
      <c r="N1244">
        <f>IFERROR(VLOOKUP($K1244,Base_Atividades!$E$1:$N$2398,MATCH(BancoAjustado!N$1,Base_Atividades!$E$1:$N$1,0),FALSE),0)</f>
        <v>0</v>
      </c>
    </row>
    <row r="1245" spans="1:14" x14ac:dyDescent="0.25">
      <c r="A1245" t="s">
        <v>4058</v>
      </c>
      <c r="B1245" t="s">
        <v>4059</v>
      </c>
      <c r="C1245" t="s">
        <v>4096</v>
      </c>
      <c r="D1245" t="s">
        <v>4097</v>
      </c>
      <c r="E1245" t="s">
        <v>4102</v>
      </c>
      <c r="F1245" t="str">
        <f>VLOOKUP(A1245,Base!$A:$F,6,FALSE)</f>
        <v>SAÚDE HUMANA E SERVIÇOS SOCIAIS</v>
      </c>
      <c r="G1245" t="str">
        <f>VLOOKUP(B1245,Base!$B:$F,5,FALSE)</f>
        <v>ATIVIDADES DE ATENÇÃO À SAÚDE HUMANA</v>
      </c>
      <c r="H1245" t="str">
        <f>VLOOKUP(C1245,Base!$C:$F,4,FALSE)</f>
        <v>Atividades de profissionais da área de saúde, exceto médicos e odontólogos</v>
      </c>
      <c r="I1245" t="str">
        <f>VLOOKUP(D1245,Base!$D:$F,3,FALSE)</f>
        <v>Atividades de profissionais da área de saúde, exceto médicos e odontólogos</v>
      </c>
      <c r="J1245" t="str">
        <f>VLOOKUP(E1245,Base!$E:$F,2,FALSE)</f>
        <v>Atividades de terapia ocupacional</v>
      </c>
      <c r="K1245" t="s">
        <v>4102</v>
      </c>
      <c r="L1245">
        <f>IFERROR(VLOOKUP($K1245,Base_Atividades!$E$1:$N$2398,MATCH(BancoAjustado!L$1,Base_Atividades!$E$1:$N$1,0),FALSE),0)</f>
        <v>1</v>
      </c>
      <c r="M1245">
        <f>IFERROR(VLOOKUP($K1245,Base_Atividades!$E$1:$N$2398,MATCH(BancoAjustado!M$1,Base_Atividades!$E$1:$N$1,0),FALSE),0)</f>
        <v>0</v>
      </c>
      <c r="N1245">
        <f>IFERROR(VLOOKUP($K1245,Base_Atividades!$E$1:$N$2398,MATCH(BancoAjustado!N$1,Base_Atividades!$E$1:$N$1,0),FALSE),0)</f>
        <v>0</v>
      </c>
    </row>
    <row r="1246" spans="1:14" x14ac:dyDescent="0.25">
      <c r="A1246" t="s">
        <v>4058</v>
      </c>
      <c r="B1246" t="s">
        <v>4059</v>
      </c>
      <c r="C1246" t="s">
        <v>4096</v>
      </c>
      <c r="D1246" t="s">
        <v>4097</v>
      </c>
      <c r="E1246" t="s">
        <v>4103</v>
      </c>
      <c r="F1246" t="str">
        <f>VLOOKUP(A1246,Base!$A:$F,6,FALSE)</f>
        <v>SAÚDE HUMANA E SERVIÇOS SOCIAIS</v>
      </c>
      <c r="G1246" t="str">
        <f>VLOOKUP(B1246,Base!$B:$F,5,FALSE)</f>
        <v>ATIVIDADES DE ATENÇÃO À SAÚDE HUMANA</v>
      </c>
      <c r="H1246" t="str">
        <f>VLOOKUP(C1246,Base!$C:$F,4,FALSE)</f>
        <v>Atividades de profissionais da área de saúde, exceto médicos e odontólogos</v>
      </c>
      <c r="I1246" t="str">
        <f>VLOOKUP(D1246,Base!$D:$F,3,FALSE)</f>
        <v>Atividades de profissionais da área de saúde, exceto médicos e odontólogos</v>
      </c>
      <c r="J1246" t="str">
        <f>VLOOKUP(E1246,Base!$E:$F,2,FALSE)</f>
        <v>Atividades de fonoaudiologia</v>
      </c>
      <c r="K1246" t="s">
        <v>4103</v>
      </c>
      <c r="L1246">
        <f>IFERROR(VLOOKUP($K1246,Base_Atividades!$E$1:$N$2398,MATCH(BancoAjustado!L$1,Base_Atividades!$E$1:$N$1,0),FALSE),0)</f>
        <v>1</v>
      </c>
      <c r="M1246">
        <f>IFERROR(VLOOKUP($K1246,Base_Atividades!$E$1:$N$2398,MATCH(BancoAjustado!M$1,Base_Atividades!$E$1:$N$1,0),FALSE),0)</f>
        <v>0</v>
      </c>
      <c r="N1246">
        <f>IFERROR(VLOOKUP($K1246,Base_Atividades!$E$1:$N$2398,MATCH(BancoAjustado!N$1,Base_Atividades!$E$1:$N$1,0),FALSE),0)</f>
        <v>0</v>
      </c>
    </row>
    <row r="1247" spans="1:14" x14ac:dyDescent="0.25">
      <c r="A1247" t="s">
        <v>4058</v>
      </c>
      <c r="B1247" t="s">
        <v>4059</v>
      </c>
      <c r="C1247" t="s">
        <v>4096</v>
      </c>
      <c r="D1247" t="s">
        <v>4097</v>
      </c>
      <c r="E1247" t="s">
        <v>4104</v>
      </c>
      <c r="F1247" t="str">
        <f>VLOOKUP(A1247,Base!$A:$F,6,FALSE)</f>
        <v>SAÚDE HUMANA E SERVIÇOS SOCIAIS</v>
      </c>
      <c r="G1247" t="str">
        <f>VLOOKUP(B1247,Base!$B:$F,5,FALSE)</f>
        <v>ATIVIDADES DE ATENÇÃO À SAÚDE HUMANA</v>
      </c>
      <c r="H1247" t="str">
        <f>VLOOKUP(C1247,Base!$C:$F,4,FALSE)</f>
        <v>Atividades de profissionais da área de saúde, exceto médicos e odontólogos</v>
      </c>
      <c r="I1247" t="str">
        <f>VLOOKUP(D1247,Base!$D:$F,3,FALSE)</f>
        <v>Atividades de profissionais da área de saúde, exceto médicos e odontólogos</v>
      </c>
      <c r="J1247" t="str">
        <f>VLOOKUP(E1247,Base!$E:$F,2,FALSE)</f>
        <v>Atividades de terapia de nutrição enteral e parenteral</v>
      </c>
      <c r="K1247" t="s">
        <v>4104</v>
      </c>
      <c r="L1247">
        <f>IFERROR(VLOOKUP($K1247,Base_Atividades!$E$1:$N$2398,MATCH(BancoAjustado!L$1,Base_Atividades!$E$1:$N$1,0),FALSE),0)</f>
        <v>1</v>
      </c>
      <c r="M1247">
        <f>IFERROR(VLOOKUP($K1247,Base_Atividades!$E$1:$N$2398,MATCH(BancoAjustado!M$1,Base_Atividades!$E$1:$N$1,0),FALSE),0)</f>
        <v>0</v>
      </c>
      <c r="N1247">
        <f>IFERROR(VLOOKUP($K1247,Base_Atividades!$E$1:$N$2398,MATCH(BancoAjustado!N$1,Base_Atividades!$E$1:$N$1,0),FALSE),0)</f>
        <v>0</v>
      </c>
    </row>
    <row r="1248" spans="1:14" x14ac:dyDescent="0.25">
      <c r="A1248" t="s">
        <v>4058</v>
      </c>
      <c r="B1248" t="s">
        <v>4059</v>
      </c>
      <c r="C1248" t="s">
        <v>4096</v>
      </c>
      <c r="D1248" t="s">
        <v>4097</v>
      </c>
      <c r="E1248" t="s">
        <v>4105</v>
      </c>
      <c r="F1248" t="str">
        <f>VLOOKUP(A1248,Base!$A:$F,6,FALSE)</f>
        <v>SAÚDE HUMANA E SERVIÇOS SOCIAIS</v>
      </c>
      <c r="G1248" t="str">
        <f>VLOOKUP(B1248,Base!$B:$F,5,FALSE)</f>
        <v>ATIVIDADES DE ATENÇÃO À SAÚDE HUMANA</v>
      </c>
      <c r="H1248" t="str">
        <f>VLOOKUP(C1248,Base!$C:$F,4,FALSE)</f>
        <v>Atividades de profissionais da área de saúde, exceto médicos e odontólogos</v>
      </c>
      <c r="I1248" t="str">
        <f>VLOOKUP(D1248,Base!$D:$F,3,FALSE)</f>
        <v>Atividades de profissionais da área de saúde, exceto médicos e odontólogos</v>
      </c>
      <c r="J1248" t="str">
        <f>VLOOKUP(E1248,Base!$E:$F,2,FALSE)</f>
        <v>Atividades de profissionais da área de saúde não especificadas anteriormente</v>
      </c>
      <c r="K1248" t="s">
        <v>4105</v>
      </c>
      <c r="L1248">
        <f>IFERROR(VLOOKUP($K1248,Base_Atividades!$E$1:$N$2398,MATCH(BancoAjustado!L$1,Base_Atividades!$E$1:$N$1,0),FALSE),0)</f>
        <v>1</v>
      </c>
      <c r="M1248">
        <f>IFERROR(VLOOKUP($K1248,Base_Atividades!$E$1:$N$2398,MATCH(BancoAjustado!M$1,Base_Atividades!$E$1:$N$1,0),FALSE),0)</f>
        <v>0</v>
      </c>
      <c r="N1248">
        <f>IFERROR(VLOOKUP($K1248,Base_Atividades!$E$1:$N$2398,MATCH(BancoAjustado!N$1,Base_Atividades!$E$1:$N$1,0),FALSE),0)</f>
        <v>0</v>
      </c>
    </row>
    <row r="1249" spans="1:14" x14ac:dyDescent="0.25">
      <c r="A1249" t="s">
        <v>4058</v>
      </c>
      <c r="B1249" t="s">
        <v>4059</v>
      </c>
      <c r="C1249" t="s">
        <v>4106</v>
      </c>
      <c r="D1249" t="s">
        <v>4107</v>
      </c>
      <c r="E1249" t="s">
        <v>4108</v>
      </c>
      <c r="F1249" t="str">
        <f>VLOOKUP(A1249,Base!$A:$F,6,FALSE)</f>
        <v>SAÚDE HUMANA E SERVIÇOS SOCIAIS</v>
      </c>
      <c r="G1249" t="str">
        <f>VLOOKUP(B1249,Base!$B:$F,5,FALSE)</f>
        <v>ATIVIDADES DE ATENÇÃO À SAÚDE HUMANA</v>
      </c>
      <c r="H1249" t="str">
        <f>VLOOKUP(C1249,Base!$C:$F,4,FALSE)</f>
        <v>Atividades de apoio à gestão de saúde</v>
      </c>
      <c r="I1249" t="str">
        <f>VLOOKUP(D1249,Base!$D:$F,3,FALSE)</f>
        <v>Atividades de apoio à gestão de saúde</v>
      </c>
      <c r="J1249" t="str">
        <f>VLOOKUP(E1249,Base!$E:$F,2,FALSE)</f>
        <v>Atividades de apoio à gestão de saúde</v>
      </c>
      <c r="K1249" t="s">
        <v>4108</v>
      </c>
      <c r="L1249">
        <f>IFERROR(VLOOKUP($K1249,Base_Atividades!$E$1:$N$2398,MATCH(BancoAjustado!L$1,Base_Atividades!$E$1:$N$1,0),FALSE),0)</f>
        <v>1</v>
      </c>
      <c r="M1249">
        <f>IFERROR(VLOOKUP($K1249,Base_Atividades!$E$1:$N$2398,MATCH(BancoAjustado!M$1,Base_Atividades!$E$1:$N$1,0),FALSE),0)</f>
        <v>0</v>
      </c>
      <c r="N1249">
        <f>IFERROR(VLOOKUP($K1249,Base_Atividades!$E$1:$N$2398,MATCH(BancoAjustado!N$1,Base_Atividades!$E$1:$N$1,0),FALSE),0)</f>
        <v>0</v>
      </c>
    </row>
    <row r="1250" spans="1:14" x14ac:dyDescent="0.25">
      <c r="A1250" t="s">
        <v>4058</v>
      </c>
      <c r="B1250" t="s">
        <v>4059</v>
      </c>
      <c r="C1250" t="s">
        <v>4109</v>
      </c>
      <c r="D1250" t="s">
        <v>4110</v>
      </c>
      <c r="E1250" t="s">
        <v>4111</v>
      </c>
      <c r="F1250" t="str">
        <f>VLOOKUP(A1250,Base!$A:$F,6,FALSE)</f>
        <v>SAÚDE HUMANA E SERVIÇOS SOCIAIS</v>
      </c>
      <c r="G1250" t="str">
        <f>VLOOKUP(B1250,Base!$B:$F,5,FALSE)</f>
        <v>ATIVIDADES DE ATENÇÃO À SAÚDE HUMANA</v>
      </c>
      <c r="H1250" t="str">
        <f>VLOOKUP(C1250,Base!$C:$F,4,FALSE)</f>
        <v>Atividades de atenção à saúde humana não especificadas anteriormente</v>
      </c>
      <c r="I1250" t="str">
        <f>VLOOKUP(D1250,Base!$D:$F,3,FALSE)</f>
        <v>Atividades de atenção à saúde humana não especificadas anteriormente</v>
      </c>
      <c r="J1250" t="str">
        <f>VLOOKUP(E1250,Base!$E:$F,2,FALSE)</f>
        <v>Atividades de práticas integrativas e complementares em saúde humana</v>
      </c>
      <c r="K1250" t="s">
        <v>4111</v>
      </c>
      <c r="L1250">
        <f>IFERROR(VLOOKUP($K1250,Base_Atividades!$E$1:$N$2398,MATCH(BancoAjustado!L$1,Base_Atividades!$E$1:$N$1,0),FALSE),0)</f>
        <v>1</v>
      </c>
      <c r="M1250">
        <f>IFERROR(VLOOKUP($K1250,Base_Atividades!$E$1:$N$2398,MATCH(BancoAjustado!M$1,Base_Atividades!$E$1:$N$1,0),FALSE),0)</f>
        <v>0</v>
      </c>
      <c r="N1250">
        <f>IFERROR(VLOOKUP($K1250,Base_Atividades!$E$1:$N$2398,MATCH(BancoAjustado!N$1,Base_Atividades!$E$1:$N$1,0),FALSE),0)</f>
        <v>0</v>
      </c>
    </row>
    <row r="1251" spans="1:14" x14ac:dyDescent="0.25">
      <c r="A1251" t="s">
        <v>4058</v>
      </c>
      <c r="B1251" t="s">
        <v>4059</v>
      </c>
      <c r="C1251" t="s">
        <v>4109</v>
      </c>
      <c r="D1251" t="s">
        <v>4110</v>
      </c>
      <c r="E1251" t="s">
        <v>4112</v>
      </c>
      <c r="F1251" t="str">
        <f>VLOOKUP(A1251,Base!$A:$F,6,FALSE)</f>
        <v>SAÚDE HUMANA E SERVIÇOS SOCIAIS</v>
      </c>
      <c r="G1251" t="str">
        <f>VLOOKUP(B1251,Base!$B:$F,5,FALSE)</f>
        <v>ATIVIDADES DE ATENÇÃO À SAÚDE HUMANA</v>
      </c>
      <c r="H1251" t="str">
        <f>VLOOKUP(C1251,Base!$C:$F,4,FALSE)</f>
        <v>Atividades de atenção à saúde humana não especificadas anteriormente</v>
      </c>
      <c r="I1251" t="str">
        <f>VLOOKUP(D1251,Base!$D:$F,3,FALSE)</f>
        <v>Atividades de atenção à saúde humana não especificadas anteriormente</v>
      </c>
      <c r="J1251" t="str">
        <f>VLOOKUP(E1251,Base!$E:$F,2,FALSE)</f>
        <v>Atividades de bancos de leite humano</v>
      </c>
      <c r="K1251" t="s">
        <v>4112</v>
      </c>
      <c r="L1251">
        <f>IFERROR(VLOOKUP($K1251,Base_Atividades!$E$1:$N$2398,MATCH(BancoAjustado!L$1,Base_Atividades!$E$1:$N$1,0),FALSE),0)</f>
        <v>1</v>
      </c>
      <c r="M1251">
        <f>IFERROR(VLOOKUP($K1251,Base_Atividades!$E$1:$N$2398,MATCH(BancoAjustado!M$1,Base_Atividades!$E$1:$N$1,0),FALSE),0)</f>
        <v>0</v>
      </c>
      <c r="N1251">
        <f>IFERROR(VLOOKUP($K1251,Base_Atividades!$E$1:$N$2398,MATCH(BancoAjustado!N$1,Base_Atividades!$E$1:$N$1,0),FALSE),0)</f>
        <v>0</v>
      </c>
    </row>
    <row r="1252" spans="1:14" x14ac:dyDescent="0.25">
      <c r="A1252" t="s">
        <v>4058</v>
      </c>
      <c r="B1252" t="s">
        <v>4059</v>
      </c>
      <c r="C1252" t="s">
        <v>4109</v>
      </c>
      <c r="D1252" t="s">
        <v>4110</v>
      </c>
      <c r="E1252" t="s">
        <v>4113</v>
      </c>
      <c r="F1252" t="str">
        <f>VLOOKUP(A1252,Base!$A:$F,6,FALSE)</f>
        <v>SAÚDE HUMANA E SERVIÇOS SOCIAIS</v>
      </c>
      <c r="G1252" t="str">
        <f>VLOOKUP(B1252,Base!$B:$F,5,FALSE)</f>
        <v>ATIVIDADES DE ATENÇÃO À SAÚDE HUMANA</v>
      </c>
      <c r="H1252" t="str">
        <f>VLOOKUP(C1252,Base!$C:$F,4,FALSE)</f>
        <v>Atividades de atenção à saúde humana não especificadas anteriormente</v>
      </c>
      <c r="I1252" t="str">
        <f>VLOOKUP(D1252,Base!$D:$F,3,FALSE)</f>
        <v>Atividades de atenção à saúde humana não especificadas anteriormente</v>
      </c>
      <c r="J1252" t="str">
        <f>VLOOKUP(E1252,Base!$E:$F,2,FALSE)</f>
        <v>Atividades de acupuntura</v>
      </c>
      <c r="K1252" t="s">
        <v>4113</v>
      </c>
      <c r="L1252">
        <f>IFERROR(VLOOKUP($K1252,Base_Atividades!$E$1:$N$2398,MATCH(BancoAjustado!L$1,Base_Atividades!$E$1:$N$1,0),FALSE),0)</f>
        <v>1</v>
      </c>
      <c r="M1252">
        <f>IFERROR(VLOOKUP($K1252,Base_Atividades!$E$1:$N$2398,MATCH(BancoAjustado!M$1,Base_Atividades!$E$1:$N$1,0),FALSE),0)</f>
        <v>0</v>
      </c>
      <c r="N1252">
        <f>IFERROR(VLOOKUP($K1252,Base_Atividades!$E$1:$N$2398,MATCH(BancoAjustado!N$1,Base_Atividades!$E$1:$N$1,0),FALSE),0)</f>
        <v>0</v>
      </c>
    </row>
    <row r="1253" spans="1:14" x14ac:dyDescent="0.25">
      <c r="A1253" t="s">
        <v>4058</v>
      </c>
      <c r="B1253" t="s">
        <v>4059</v>
      </c>
      <c r="C1253" t="s">
        <v>4109</v>
      </c>
      <c r="D1253" t="s">
        <v>4110</v>
      </c>
      <c r="E1253" t="s">
        <v>4114</v>
      </c>
      <c r="F1253" t="str">
        <f>VLOOKUP(A1253,Base!$A:$F,6,FALSE)</f>
        <v>SAÚDE HUMANA E SERVIÇOS SOCIAIS</v>
      </c>
      <c r="G1253" t="str">
        <f>VLOOKUP(B1253,Base!$B:$F,5,FALSE)</f>
        <v>ATIVIDADES DE ATENÇÃO À SAÚDE HUMANA</v>
      </c>
      <c r="H1253" t="str">
        <f>VLOOKUP(C1253,Base!$C:$F,4,FALSE)</f>
        <v>Atividades de atenção à saúde humana não especificadas anteriormente</v>
      </c>
      <c r="I1253" t="str">
        <f>VLOOKUP(D1253,Base!$D:$F,3,FALSE)</f>
        <v>Atividades de atenção à saúde humana não especificadas anteriormente</v>
      </c>
      <c r="J1253" t="str">
        <f>VLOOKUP(E1253,Base!$E:$F,2,FALSE)</f>
        <v>Atividades de podologia</v>
      </c>
      <c r="K1253" t="s">
        <v>4114</v>
      </c>
      <c r="L1253">
        <f>IFERROR(VLOOKUP($K1253,Base_Atividades!$E$1:$N$2398,MATCH(BancoAjustado!L$1,Base_Atividades!$E$1:$N$1,0),FALSE),0)</f>
        <v>1</v>
      </c>
      <c r="M1253">
        <f>IFERROR(VLOOKUP($K1253,Base_Atividades!$E$1:$N$2398,MATCH(BancoAjustado!M$1,Base_Atividades!$E$1:$N$1,0),FALSE),0)</f>
        <v>0</v>
      </c>
      <c r="N1253">
        <f>IFERROR(VLOOKUP($K1253,Base_Atividades!$E$1:$N$2398,MATCH(BancoAjustado!N$1,Base_Atividades!$E$1:$N$1,0),FALSE),0)</f>
        <v>0</v>
      </c>
    </row>
    <row r="1254" spans="1:14" x14ac:dyDescent="0.25">
      <c r="A1254" t="s">
        <v>4058</v>
      </c>
      <c r="B1254" t="s">
        <v>4059</v>
      </c>
      <c r="C1254" t="s">
        <v>4109</v>
      </c>
      <c r="D1254" t="s">
        <v>4110</v>
      </c>
      <c r="E1254" t="s">
        <v>4115</v>
      </c>
      <c r="F1254" t="str">
        <f>VLOOKUP(A1254,Base!$A:$F,6,FALSE)</f>
        <v>SAÚDE HUMANA E SERVIÇOS SOCIAIS</v>
      </c>
      <c r="G1254" t="str">
        <f>VLOOKUP(B1254,Base!$B:$F,5,FALSE)</f>
        <v>ATIVIDADES DE ATENÇÃO À SAÚDE HUMANA</v>
      </c>
      <c r="H1254" t="str">
        <f>VLOOKUP(C1254,Base!$C:$F,4,FALSE)</f>
        <v>Atividades de atenção à saúde humana não especificadas anteriormente</v>
      </c>
      <c r="I1254" t="str">
        <f>VLOOKUP(D1254,Base!$D:$F,3,FALSE)</f>
        <v>Atividades de atenção à saúde humana não especificadas anteriormente</v>
      </c>
      <c r="J1254" t="str">
        <f>VLOOKUP(E1254,Base!$E:$F,2,FALSE)</f>
        <v>Outras atividades de atenção à saúde humana não especificadas anteriormente</v>
      </c>
      <c r="K1254" t="s">
        <v>4115</v>
      </c>
      <c r="L1254">
        <f>IFERROR(VLOOKUP($K1254,Base_Atividades!$E$1:$N$2398,MATCH(BancoAjustado!L$1,Base_Atividades!$E$1:$N$1,0),FALSE),0)</f>
        <v>1</v>
      </c>
      <c r="M1254">
        <f>IFERROR(VLOOKUP($K1254,Base_Atividades!$E$1:$N$2398,MATCH(BancoAjustado!M$1,Base_Atividades!$E$1:$N$1,0),FALSE),0)</f>
        <v>0</v>
      </c>
      <c r="N1254">
        <f>IFERROR(VLOOKUP($K1254,Base_Atividades!$E$1:$N$2398,MATCH(BancoAjustado!N$1,Base_Atividades!$E$1:$N$1,0),FALSE),0)</f>
        <v>0</v>
      </c>
    </row>
    <row r="1255" spans="1:14" x14ac:dyDescent="0.25">
      <c r="A1255" t="s">
        <v>4058</v>
      </c>
      <c r="B1255" t="s">
        <v>4116</v>
      </c>
      <c r="C1255" t="s">
        <v>4117</v>
      </c>
      <c r="D1255" t="s">
        <v>4118</v>
      </c>
      <c r="E1255" t="s">
        <v>4119</v>
      </c>
      <c r="F1255" t="str">
        <f>VLOOKUP(A1255,Base!$A:$F,6,FALSE)</f>
        <v>SAÚDE HUMANA E SERVIÇOS SOCIAIS</v>
      </c>
      <c r="G1255" t="str">
        <f>VLOOKUP(B1255,Base!$B:$F,5,FALSE)</f>
        <v>ATIVIDADES DE ATENÇÃO À SAÚDE HUMANA INTEGRADAS COM ASSISTÊNCIA SOCIAL, PRESTADAS EM RESIDÊNCIAS COLETIVAS E PARTICULARES</v>
      </c>
      <c r="H1255" t="str">
        <f>VLOOKUP(C1255,Base!$C:$F,4,FALSE)</f>
        <v>Atividades de assistência a idosos, deficientes físicos, imunodeprimidos e convalescentes, e de infraestrutura e apoio a pacientes prestadas em residências coletivas e particulares</v>
      </c>
      <c r="I1255" t="str">
        <f>VLOOKUP(D1255,Base!$D:$F,3,FALSE)</f>
        <v>Atividades de assistência a idosos, deficientes físicos, imunodeprimidos e convalescentes prestadas em residências coletivas e particulares</v>
      </c>
      <c r="J1255" t="str">
        <f>VLOOKUP(E1255,Base!$E:$F,2,FALSE)</f>
        <v>Clínicas e residências geriátricas</v>
      </c>
      <c r="K1255" t="s">
        <v>4119</v>
      </c>
      <c r="L1255">
        <f>IFERROR(VLOOKUP($K1255,Base_Atividades!$E$1:$N$2398,MATCH(BancoAjustado!L$1,Base_Atividades!$E$1:$N$1,0),FALSE),0)</f>
        <v>1</v>
      </c>
      <c r="M1255">
        <f>IFERROR(VLOOKUP($K1255,Base_Atividades!$E$1:$N$2398,MATCH(BancoAjustado!M$1,Base_Atividades!$E$1:$N$1,0),FALSE),0)</f>
        <v>0</v>
      </c>
      <c r="N1255">
        <f>IFERROR(VLOOKUP($K1255,Base_Atividades!$E$1:$N$2398,MATCH(BancoAjustado!N$1,Base_Atividades!$E$1:$N$1,0),FALSE),0)</f>
        <v>0</v>
      </c>
    </row>
    <row r="1256" spans="1:14" x14ac:dyDescent="0.25">
      <c r="A1256" t="s">
        <v>4058</v>
      </c>
      <c r="B1256" t="s">
        <v>4116</v>
      </c>
      <c r="C1256" t="s">
        <v>4117</v>
      </c>
      <c r="D1256" t="s">
        <v>4118</v>
      </c>
      <c r="E1256" t="s">
        <v>4120</v>
      </c>
      <c r="F1256" t="str">
        <f>VLOOKUP(A1256,Base!$A:$F,6,FALSE)</f>
        <v>SAÚDE HUMANA E SERVIÇOS SOCIAIS</v>
      </c>
      <c r="G1256" t="str">
        <f>VLOOKUP(B1256,Base!$B:$F,5,FALSE)</f>
        <v>ATIVIDADES DE ATENÇÃO À SAÚDE HUMANA INTEGRADAS COM ASSISTÊNCIA SOCIAL, PRESTADAS EM RESIDÊNCIAS COLETIVAS E PARTICULARES</v>
      </c>
      <c r="H1256" t="str">
        <f>VLOOKUP(C1256,Base!$C:$F,4,FALSE)</f>
        <v>Atividades de assistência a idosos, deficientes físicos, imunodeprimidos e convalescentes, e de infraestrutura e apoio a pacientes prestadas em residências coletivas e particulares</v>
      </c>
      <c r="I1256" t="str">
        <f>VLOOKUP(D1256,Base!$D:$F,3,FALSE)</f>
        <v>Atividades de assistência a idosos, deficientes físicos, imunodeprimidos e convalescentes prestadas em residências coletivas e particulares</v>
      </c>
      <c r="J1256" t="str">
        <f>VLOOKUP(E1256,Base!$E:$F,2,FALSE)</f>
        <v>Instituições de longa permanência para idosos</v>
      </c>
      <c r="K1256" t="s">
        <v>4120</v>
      </c>
      <c r="L1256">
        <f>IFERROR(VLOOKUP($K1256,Base_Atividades!$E$1:$N$2398,MATCH(BancoAjustado!L$1,Base_Atividades!$E$1:$N$1,0),FALSE),0)</f>
        <v>1</v>
      </c>
      <c r="M1256">
        <f>IFERROR(VLOOKUP($K1256,Base_Atividades!$E$1:$N$2398,MATCH(BancoAjustado!M$1,Base_Atividades!$E$1:$N$1,0),FALSE),0)</f>
        <v>0</v>
      </c>
      <c r="N1256">
        <f>IFERROR(VLOOKUP($K1256,Base_Atividades!$E$1:$N$2398,MATCH(BancoAjustado!N$1,Base_Atividades!$E$1:$N$1,0),FALSE),0)</f>
        <v>0</v>
      </c>
    </row>
    <row r="1257" spans="1:14" x14ac:dyDescent="0.25">
      <c r="A1257" t="s">
        <v>4058</v>
      </c>
      <c r="B1257" t="s">
        <v>4116</v>
      </c>
      <c r="C1257" t="s">
        <v>4117</v>
      </c>
      <c r="D1257" t="s">
        <v>4118</v>
      </c>
      <c r="E1257" t="s">
        <v>4121</v>
      </c>
      <c r="F1257" t="str">
        <f>VLOOKUP(A1257,Base!$A:$F,6,FALSE)</f>
        <v>SAÚDE HUMANA E SERVIÇOS SOCIAIS</v>
      </c>
      <c r="G1257" t="str">
        <f>VLOOKUP(B1257,Base!$B:$F,5,FALSE)</f>
        <v>ATIVIDADES DE ATENÇÃO À SAÚDE HUMANA INTEGRADAS COM ASSISTÊNCIA SOCIAL, PRESTADAS EM RESIDÊNCIAS COLETIVAS E PARTICULARES</v>
      </c>
      <c r="H1257" t="str">
        <f>VLOOKUP(C1257,Base!$C:$F,4,FALSE)</f>
        <v>Atividades de assistência a idosos, deficientes físicos, imunodeprimidos e convalescentes, e de infraestrutura e apoio a pacientes prestadas em residências coletivas e particulares</v>
      </c>
      <c r="I1257" t="str">
        <f>VLOOKUP(D1257,Base!$D:$F,3,FALSE)</f>
        <v>Atividades de assistência a idosos, deficientes físicos, imunodeprimidos e convalescentes prestadas em residências coletivas e particulares</v>
      </c>
      <c r="J1257" t="str">
        <f>VLOOKUP(E1257,Base!$E:$F,2,FALSE)</f>
        <v>Atividades de assistência a deficientes físicos, imunodeprimidos e convalescentes</v>
      </c>
      <c r="K1257" t="s">
        <v>4121</v>
      </c>
      <c r="L1257">
        <f>IFERROR(VLOOKUP($K1257,Base_Atividades!$E$1:$N$2398,MATCH(BancoAjustado!L$1,Base_Atividades!$E$1:$N$1,0),FALSE),0)</f>
        <v>1</v>
      </c>
      <c r="M1257">
        <f>IFERROR(VLOOKUP($K1257,Base_Atividades!$E$1:$N$2398,MATCH(BancoAjustado!M$1,Base_Atividades!$E$1:$N$1,0),FALSE),0)</f>
        <v>0</v>
      </c>
      <c r="N1257">
        <f>IFERROR(VLOOKUP($K1257,Base_Atividades!$E$1:$N$2398,MATCH(BancoAjustado!N$1,Base_Atividades!$E$1:$N$1,0),FALSE),0)</f>
        <v>0</v>
      </c>
    </row>
    <row r="1258" spans="1:14" x14ac:dyDescent="0.25">
      <c r="A1258" t="s">
        <v>4058</v>
      </c>
      <c r="B1258" t="s">
        <v>4116</v>
      </c>
      <c r="C1258" t="s">
        <v>4117</v>
      </c>
      <c r="D1258" t="s">
        <v>4118</v>
      </c>
      <c r="E1258" t="s">
        <v>4122</v>
      </c>
      <c r="F1258" t="str">
        <f>VLOOKUP(A1258,Base!$A:$F,6,FALSE)</f>
        <v>SAÚDE HUMANA E SERVIÇOS SOCIAIS</v>
      </c>
      <c r="G1258" t="str">
        <f>VLOOKUP(B1258,Base!$B:$F,5,FALSE)</f>
        <v>ATIVIDADES DE ATENÇÃO À SAÚDE HUMANA INTEGRADAS COM ASSISTÊNCIA SOCIAL, PRESTADAS EM RESIDÊNCIAS COLETIVAS E PARTICULARES</v>
      </c>
      <c r="H1258" t="str">
        <f>VLOOKUP(C1258,Base!$C:$F,4,FALSE)</f>
        <v>Atividades de assistência a idosos, deficientes físicos, imunodeprimidos e convalescentes, e de infraestrutura e apoio a pacientes prestadas em residências coletivas e particulares</v>
      </c>
      <c r="I1258" t="str">
        <f>VLOOKUP(D1258,Base!$D:$F,3,FALSE)</f>
        <v>Atividades de assistência a idosos, deficientes físicos, imunodeprimidos e convalescentes prestadas em residências coletivas e particulares</v>
      </c>
      <c r="J1258" t="str">
        <f>VLOOKUP(E1258,Base!$E:$F,2,FALSE)</f>
        <v>Centros de apoio a pacientes com câncer e com AIDS</v>
      </c>
      <c r="K1258" t="s">
        <v>4122</v>
      </c>
      <c r="L1258">
        <f>IFERROR(VLOOKUP($K1258,Base_Atividades!$E$1:$N$2398,MATCH(BancoAjustado!L$1,Base_Atividades!$E$1:$N$1,0),FALSE),0)</f>
        <v>1</v>
      </c>
      <c r="M1258">
        <f>IFERROR(VLOOKUP($K1258,Base_Atividades!$E$1:$N$2398,MATCH(BancoAjustado!M$1,Base_Atividades!$E$1:$N$1,0),FALSE),0)</f>
        <v>0</v>
      </c>
      <c r="N1258">
        <f>IFERROR(VLOOKUP($K1258,Base_Atividades!$E$1:$N$2398,MATCH(BancoAjustado!N$1,Base_Atividades!$E$1:$N$1,0),FALSE),0)</f>
        <v>0</v>
      </c>
    </row>
    <row r="1259" spans="1:14" x14ac:dyDescent="0.25">
      <c r="A1259" t="s">
        <v>4058</v>
      </c>
      <c r="B1259" t="s">
        <v>4116</v>
      </c>
      <c r="C1259" t="s">
        <v>4117</v>
      </c>
      <c r="D1259" t="s">
        <v>4118</v>
      </c>
      <c r="E1259" t="s">
        <v>4123</v>
      </c>
      <c r="F1259" t="str">
        <f>VLOOKUP(A1259,Base!$A:$F,6,FALSE)</f>
        <v>SAÚDE HUMANA E SERVIÇOS SOCIAIS</v>
      </c>
      <c r="G1259" t="str">
        <f>VLOOKUP(B1259,Base!$B:$F,5,FALSE)</f>
        <v>ATIVIDADES DE ATENÇÃO À SAÚDE HUMANA INTEGRADAS COM ASSISTÊNCIA SOCIAL, PRESTADAS EM RESIDÊNCIAS COLETIVAS E PARTICULARES</v>
      </c>
      <c r="H1259" t="str">
        <f>VLOOKUP(C1259,Base!$C:$F,4,FALSE)</f>
        <v>Atividades de assistência a idosos, deficientes físicos, imunodeprimidos e convalescentes, e de infraestrutura e apoio a pacientes prestadas em residências coletivas e particulares</v>
      </c>
      <c r="I1259" t="str">
        <f>VLOOKUP(D1259,Base!$D:$F,3,FALSE)</f>
        <v>Atividades de assistência a idosos, deficientes físicos, imunodeprimidos e convalescentes prestadas em residências coletivas e particulares</v>
      </c>
      <c r="J1259" t="str">
        <f>VLOOKUP(E1259,Base!$E:$F,2,FALSE)</f>
        <v>Condomínios residenciais para idosos</v>
      </c>
      <c r="K1259" t="s">
        <v>4123</v>
      </c>
      <c r="L1259">
        <f>IFERROR(VLOOKUP($K1259,Base_Atividades!$E$1:$N$2398,MATCH(BancoAjustado!L$1,Base_Atividades!$E$1:$N$1,0),FALSE),0)</f>
        <v>1</v>
      </c>
      <c r="M1259">
        <f>IFERROR(VLOOKUP($K1259,Base_Atividades!$E$1:$N$2398,MATCH(BancoAjustado!M$1,Base_Atividades!$E$1:$N$1,0),FALSE),0)</f>
        <v>0</v>
      </c>
      <c r="N1259">
        <f>IFERROR(VLOOKUP($K1259,Base_Atividades!$E$1:$N$2398,MATCH(BancoAjustado!N$1,Base_Atividades!$E$1:$N$1,0),FALSE),0)</f>
        <v>0</v>
      </c>
    </row>
    <row r="1260" spans="1:14" x14ac:dyDescent="0.25">
      <c r="A1260" t="s">
        <v>4058</v>
      </c>
      <c r="B1260" t="s">
        <v>4116</v>
      </c>
      <c r="C1260" t="s">
        <v>4117</v>
      </c>
      <c r="D1260" t="s">
        <v>4124</v>
      </c>
      <c r="E1260" t="s">
        <v>4125</v>
      </c>
      <c r="F1260" t="str">
        <f>VLOOKUP(A1260,Base!$A:$F,6,FALSE)</f>
        <v>SAÚDE HUMANA E SERVIÇOS SOCIAIS</v>
      </c>
      <c r="G1260" t="str">
        <f>VLOOKUP(B1260,Base!$B:$F,5,FALSE)</f>
        <v>ATIVIDADES DE ATENÇÃO À SAÚDE HUMANA INTEGRADAS COM ASSISTÊNCIA SOCIAL, PRESTADAS EM RESIDÊNCIAS COLETIVAS E PARTICULARES</v>
      </c>
      <c r="H1260" t="str">
        <f>VLOOKUP(C1260,Base!$C:$F,4,FALSE)</f>
        <v>Atividades de assistência a idosos, deficientes físicos, imunodeprimidos e convalescentes, e de infraestrutura e apoio a pacientes prestadas em residências coletivas e particulares</v>
      </c>
      <c r="I1260" t="str">
        <f>VLOOKUP(D1260,Base!$D:$F,3,FALSE)</f>
        <v>Atividades de fornecimento de infraestrutura de apoio e assistência a paciente no domicílio</v>
      </c>
      <c r="J1260" t="str">
        <f>VLOOKUP(E1260,Base!$E:$F,2,FALSE)</f>
        <v>Atividades de fornecimento de infraestrutura de apoio e assistência a paciente no domicílio</v>
      </c>
      <c r="K1260" t="s">
        <v>4125</v>
      </c>
      <c r="L1260">
        <f>IFERROR(VLOOKUP($K1260,Base_Atividades!$E$1:$N$2398,MATCH(BancoAjustado!L$1,Base_Atividades!$E$1:$N$1,0),FALSE),0)</f>
        <v>1</v>
      </c>
      <c r="M1260">
        <f>IFERROR(VLOOKUP($K1260,Base_Atividades!$E$1:$N$2398,MATCH(BancoAjustado!M$1,Base_Atividades!$E$1:$N$1,0),FALSE),0)</f>
        <v>0</v>
      </c>
      <c r="N1260">
        <f>IFERROR(VLOOKUP($K1260,Base_Atividades!$E$1:$N$2398,MATCH(BancoAjustado!N$1,Base_Atividades!$E$1:$N$1,0),FALSE),0)</f>
        <v>0</v>
      </c>
    </row>
    <row r="1261" spans="1:14" x14ac:dyDescent="0.25">
      <c r="A1261" t="s">
        <v>4058</v>
      </c>
      <c r="B1261" t="s">
        <v>4116</v>
      </c>
      <c r="C1261" t="s">
        <v>4126</v>
      </c>
      <c r="D1261" t="s">
        <v>4127</v>
      </c>
      <c r="E1261" t="s">
        <v>4128</v>
      </c>
      <c r="F1261" t="str">
        <f>VLOOKUP(A1261,Base!$A:$F,6,FALSE)</f>
        <v>SAÚDE HUMANA E SERVIÇOS SOCIAIS</v>
      </c>
      <c r="G1261" t="str">
        <f>VLOOKUP(B1261,Base!$B:$F,5,FALSE)</f>
        <v>ATIVIDADES DE ATENÇÃO À SAÚDE HUMANA INTEGRADAS COM ASSISTÊNCIA SOCIAL, PRESTADAS EM RESIDÊNCIAS COLETIVAS E PARTICULARES</v>
      </c>
      <c r="H1261" t="str">
        <f>VLOOKUP(C1261,Base!$C:$F,4,FALSE)</f>
        <v>Atividades de assistência psicossocial e à saúde a portadores de distúrbios psíquicos, deficiência mental e dependência
química</v>
      </c>
      <c r="I1261" t="str">
        <f>VLOOKUP(D1261,Base!$D:$F,3,FALSE)</f>
        <v>Atividades de assistência psicossocial e à saúde a portadores de distúrbios psíquicos, deficiência mental e dependência
química</v>
      </c>
      <c r="J1261" t="str">
        <f>VLOOKUP(E1261,Base!$E:$F,2,FALSE)</f>
        <v>Atividades de centros de assistência psicossocial</v>
      </c>
      <c r="K1261" t="s">
        <v>4128</v>
      </c>
      <c r="L1261">
        <f>IFERROR(VLOOKUP($K1261,Base_Atividades!$E$1:$N$2398,MATCH(BancoAjustado!L$1,Base_Atividades!$E$1:$N$1,0),FALSE),0)</f>
        <v>1</v>
      </c>
      <c r="M1261">
        <f>IFERROR(VLOOKUP($K1261,Base_Atividades!$E$1:$N$2398,MATCH(BancoAjustado!M$1,Base_Atividades!$E$1:$N$1,0),FALSE),0)</f>
        <v>0</v>
      </c>
      <c r="N1261">
        <f>IFERROR(VLOOKUP($K1261,Base_Atividades!$E$1:$N$2398,MATCH(BancoAjustado!N$1,Base_Atividades!$E$1:$N$1,0),FALSE),0)</f>
        <v>0</v>
      </c>
    </row>
    <row r="1262" spans="1:14" x14ac:dyDescent="0.25">
      <c r="A1262" t="s">
        <v>4058</v>
      </c>
      <c r="B1262" t="s">
        <v>4116</v>
      </c>
      <c r="C1262" t="s">
        <v>4126</v>
      </c>
      <c r="D1262" t="s">
        <v>4127</v>
      </c>
      <c r="E1262" t="s">
        <v>4129</v>
      </c>
      <c r="F1262" t="str">
        <f>VLOOKUP(A1262,Base!$A:$F,6,FALSE)</f>
        <v>SAÚDE HUMANA E SERVIÇOS SOCIAIS</v>
      </c>
      <c r="G1262" t="str">
        <f>VLOOKUP(B1262,Base!$B:$F,5,FALSE)</f>
        <v>ATIVIDADES DE ATENÇÃO À SAÚDE HUMANA INTEGRADAS COM ASSISTÊNCIA SOCIAL, PRESTADAS EM RESIDÊNCIAS COLETIVAS E PARTICULARES</v>
      </c>
      <c r="H1262" t="str">
        <f>VLOOKUP(C1262,Base!$C:$F,4,FALSE)</f>
        <v>Atividades de assistência psicossocial e à saúde a portadores de distúrbios psíquicos, deficiência mental e dependência
química</v>
      </c>
      <c r="I1262" t="str">
        <f>VLOOKUP(D1262,Base!$D:$F,3,FALSE)</f>
        <v>Atividades de assistência psicossocial e à saúde a portadores de distúrbios psíquicos, deficiência mental e dependência
química</v>
      </c>
      <c r="J1262" t="str">
        <f>VLOOKUP(E1262,Base!$E:$F,2,FALSE)</f>
        <v>Atividades de assistência psicossocial e à saúde a portadores de distúrbios psíquicos, deficiência mental e dependência química e grupos similares não especificadas anteriormente</v>
      </c>
      <c r="K1262" t="s">
        <v>4129</v>
      </c>
      <c r="L1262">
        <f>IFERROR(VLOOKUP($K1262,Base_Atividades!$E$1:$N$2398,MATCH(BancoAjustado!L$1,Base_Atividades!$E$1:$N$1,0),FALSE),0)</f>
        <v>1</v>
      </c>
      <c r="M1262">
        <f>IFERROR(VLOOKUP($K1262,Base_Atividades!$E$1:$N$2398,MATCH(BancoAjustado!M$1,Base_Atividades!$E$1:$N$1,0),FALSE),0)</f>
        <v>0</v>
      </c>
      <c r="N1262">
        <f>IFERROR(VLOOKUP($K1262,Base_Atividades!$E$1:$N$2398,MATCH(BancoAjustado!N$1,Base_Atividades!$E$1:$N$1,0),FALSE),0)</f>
        <v>0</v>
      </c>
    </row>
    <row r="1263" spans="1:14" x14ac:dyDescent="0.25">
      <c r="A1263" t="s">
        <v>4058</v>
      </c>
      <c r="B1263" t="s">
        <v>4116</v>
      </c>
      <c r="C1263" t="s">
        <v>4130</v>
      </c>
      <c r="D1263" t="s">
        <v>4131</v>
      </c>
      <c r="E1263" t="s">
        <v>4132</v>
      </c>
      <c r="F1263" t="str">
        <f>VLOOKUP(A1263,Base!$A:$F,6,FALSE)</f>
        <v>SAÚDE HUMANA E SERVIÇOS SOCIAIS</v>
      </c>
      <c r="G1263" t="str">
        <f>VLOOKUP(B1263,Base!$B:$F,5,FALSE)</f>
        <v>ATIVIDADES DE ATENÇÃO À SAÚDE HUMANA INTEGRADAS COM ASSISTÊNCIA SOCIAL, PRESTADAS EM RESIDÊNCIAS COLETIVAS E PARTICULARES</v>
      </c>
      <c r="H1263" t="str">
        <f>VLOOKUP(C1263,Base!$C:$F,4,FALSE)</f>
        <v>Atividades de assistência social prestadas em residências coletivas e particulares</v>
      </c>
      <c r="I1263" t="str">
        <f>VLOOKUP(D1263,Base!$D:$F,3,FALSE)</f>
        <v>Atividades de assistência social prestadas em residências coletivas e particulares</v>
      </c>
      <c r="J1263" t="str">
        <f>VLOOKUP(E1263,Base!$E:$F,2,FALSE)</f>
        <v>Orfanatos</v>
      </c>
      <c r="K1263" t="s">
        <v>4132</v>
      </c>
      <c r="L1263">
        <f>IFERROR(VLOOKUP($K1263,Base_Atividades!$E$1:$N$2398,MATCH(BancoAjustado!L$1,Base_Atividades!$E$1:$N$1,0),FALSE),0)</f>
        <v>1</v>
      </c>
      <c r="M1263">
        <f>IFERROR(VLOOKUP($K1263,Base_Atividades!$E$1:$N$2398,MATCH(BancoAjustado!M$1,Base_Atividades!$E$1:$N$1,0),FALSE),0)</f>
        <v>0</v>
      </c>
      <c r="N1263">
        <f>IFERROR(VLOOKUP($K1263,Base_Atividades!$E$1:$N$2398,MATCH(BancoAjustado!N$1,Base_Atividades!$E$1:$N$1,0),FALSE),0)</f>
        <v>0</v>
      </c>
    </row>
    <row r="1264" spans="1:14" x14ac:dyDescent="0.25">
      <c r="A1264" t="s">
        <v>4058</v>
      </c>
      <c r="B1264" t="s">
        <v>4116</v>
      </c>
      <c r="C1264" t="s">
        <v>4130</v>
      </c>
      <c r="D1264" t="s">
        <v>4131</v>
      </c>
      <c r="E1264" t="s">
        <v>4133</v>
      </c>
      <c r="F1264" t="str">
        <f>VLOOKUP(A1264,Base!$A:$F,6,FALSE)</f>
        <v>SAÚDE HUMANA E SERVIÇOS SOCIAIS</v>
      </c>
      <c r="G1264" t="str">
        <f>VLOOKUP(B1264,Base!$B:$F,5,FALSE)</f>
        <v>ATIVIDADES DE ATENÇÃO À SAÚDE HUMANA INTEGRADAS COM ASSISTÊNCIA SOCIAL, PRESTADAS EM RESIDÊNCIAS COLETIVAS E PARTICULARES</v>
      </c>
      <c r="H1264" t="str">
        <f>VLOOKUP(C1264,Base!$C:$F,4,FALSE)</f>
        <v>Atividades de assistência social prestadas em residências coletivas e particulares</v>
      </c>
      <c r="I1264" t="str">
        <f>VLOOKUP(D1264,Base!$D:$F,3,FALSE)</f>
        <v>Atividades de assistência social prestadas em residências coletivas e particulares</v>
      </c>
      <c r="J1264" t="str">
        <f>VLOOKUP(E1264,Base!$E:$F,2,FALSE)</f>
        <v>Albergues assistenciais</v>
      </c>
      <c r="K1264" t="s">
        <v>4133</v>
      </c>
      <c r="L1264">
        <f>IFERROR(VLOOKUP($K1264,Base_Atividades!$E$1:$N$2398,MATCH(BancoAjustado!L$1,Base_Atividades!$E$1:$N$1,0),FALSE),0)</f>
        <v>1</v>
      </c>
      <c r="M1264">
        <f>IFERROR(VLOOKUP($K1264,Base_Atividades!$E$1:$N$2398,MATCH(BancoAjustado!M$1,Base_Atividades!$E$1:$N$1,0),FALSE),0)</f>
        <v>0</v>
      </c>
      <c r="N1264">
        <f>IFERROR(VLOOKUP($K1264,Base_Atividades!$E$1:$N$2398,MATCH(BancoAjustado!N$1,Base_Atividades!$E$1:$N$1,0),FALSE),0)</f>
        <v>0</v>
      </c>
    </row>
    <row r="1265" spans="1:14" x14ac:dyDescent="0.25">
      <c r="A1265" t="s">
        <v>4058</v>
      </c>
      <c r="B1265" t="s">
        <v>4116</v>
      </c>
      <c r="C1265" t="s">
        <v>4130</v>
      </c>
      <c r="D1265" t="s">
        <v>4131</v>
      </c>
      <c r="E1265" t="s">
        <v>4134</v>
      </c>
      <c r="F1265" t="str">
        <f>VLOOKUP(A1265,Base!$A:$F,6,FALSE)</f>
        <v>SAÚDE HUMANA E SERVIÇOS SOCIAIS</v>
      </c>
      <c r="G1265" t="str">
        <f>VLOOKUP(B1265,Base!$B:$F,5,FALSE)</f>
        <v>ATIVIDADES DE ATENÇÃO À SAÚDE HUMANA INTEGRADAS COM ASSISTÊNCIA SOCIAL, PRESTADAS EM RESIDÊNCIAS COLETIVAS E PARTICULARES</v>
      </c>
      <c r="H1265" t="str">
        <f>VLOOKUP(C1265,Base!$C:$F,4,FALSE)</f>
        <v>Atividades de assistência social prestadas em residências coletivas e particulares</v>
      </c>
      <c r="I1265" t="str">
        <f>VLOOKUP(D1265,Base!$D:$F,3,FALSE)</f>
        <v>Atividades de assistência social prestadas em residências coletivas e particulares</v>
      </c>
      <c r="J1265" t="str">
        <f>VLOOKUP(E1265,Base!$E:$F,2,FALSE)</f>
        <v>Atividades de assistência social prestadas em residências coletivas e particulares não especificadas anteriormente</v>
      </c>
      <c r="K1265" t="s">
        <v>4134</v>
      </c>
      <c r="L1265">
        <f>IFERROR(VLOOKUP($K1265,Base_Atividades!$E$1:$N$2398,MATCH(BancoAjustado!L$1,Base_Atividades!$E$1:$N$1,0),FALSE),0)</f>
        <v>1</v>
      </c>
      <c r="M1265">
        <f>IFERROR(VLOOKUP($K1265,Base_Atividades!$E$1:$N$2398,MATCH(BancoAjustado!M$1,Base_Atividades!$E$1:$N$1,0),FALSE),0)</f>
        <v>0</v>
      </c>
      <c r="N1265">
        <f>IFERROR(VLOOKUP($K1265,Base_Atividades!$E$1:$N$2398,MATCH(BancoAjustado!N$1,Base_Atividades!$E$1:$N$1,0),FALSE),0)</f>
        <v>0</v>
      </c>
    </row>
    <row r="1266" spans="1:14" x14ac:dyDescent="0.25">
      <c r="A1266" t="s">
        <v>4058</v>
      </c>
      <c r="B1266" t="s">
        <v>4135</v>
      </c>
      <c r="C1266" t="s">
        <v>4136</v>
      </c>
      <c r="D1266" t="s">
        <v>4137</v>
      </c>
      <c r="E1266" t="s">
        <v>4138</v>
      </c>
      <c r="F1266" t="str">
        <f>VLOOKUP(A1266,Base!$A:$F,6,FALSE)</f>
        <v>SAÚDE HUMANA E SERVIÇOS SOCIAIS</v>
      </c>
      <c r="G1266" t="str">
        <f>VLOOKUP(B1266,Base!$B:$F,5,FALSE)</f>
        <v>SERVIÇOS DE ASSISTÊNCIA SOCIAL SEM ALOJAMENTO</v>
      </c>
      <c r="H1266" t="str">
        <f>VLOOKUP(C1266,Base!$C:$F,4,FALSE)</f>
        <v>Serviços de assistência social sem alojamento</v>
      </c>
      <c r="I1266" t="str">
        <f>VLOOKUP(D1266,Base!$D:$F,3,FALSE)</f>
        <v>Serviços de assistência social sem alojamento</v>
      </c>
      <c r="J1266" t="str">
        <f>VLOOKUP(E1266,Base!$E:$F,2,FALSE)</f>
        <v>Serviços de assistência social sem alojamento</v>
      </c>
      <c r="K1266" t="s">
        <v>4138</v>
      </c>
      <c r="L1266">
        <f>IFERROR(VLOOKUP($K1266,Base_Atividades!$E$1:$N$2398,MATCH(BancoAjustado!L$1,Base_Atividades!$E$1:$N$1,0),FALSE),0)</f>
        <v>1</v>
      </c>
      <c r="M1266">
        <f>IFERROR(VLOOKUP($K1266,Base_Atividades!$E$1:$N$2398,MATCH(BancoAjustado!M$1,Base_Atividades!$E$1:$N$1,0),FALSE),0)</f>
        <v>0</v>
      </c>
      <c r="N1266">
        <f>IFERROR(VLOOKUP($K1266,Base_Atividades!$E$1:$N$2398,MATCH(BancoAjustado!N$1,Base_Atividades!$E$1:$N$1,0),FALSE),0)</f>
        <v>0</v>
      </c>
    </row>
    <row r="1267" spans="1:14" x14ac:dyDescent="0.25">
      <c r="A1267" t="s">
        <v>4139</v>
      </c>
      <c r="B1267" t="s">
        <v>4140</v>
      </c>
      <c r="C1267" t="s">
        <v>4141</v>
      </c>
      <c r="D1267" t="s">
        <v>4142</v>
      </c>
      <c r="E1267" t="s">
        <v>4143</v>
      </c>
      <c r="F1267" t="str">
        <f>VLOOKUP(A1267,Base!$A:$F,6,FALSE)</f>
        <v>ARTES, CULTURA, ESPORTE E RECREAÇÃO</v>
      </c>
      <c r="G1267" t="str">
        <f>VLOOKUP(B1267,Base!$B:$F,5,FALSE)</f>
        <v>ATIVIDADES ARTÍSTICAS, CRIATIVAS E DE ESPETÁCULOS</v>
      </c>
      <c r="H1267" t="str">
        <f>VLOOKUP(C1267,Base!$C:$F,4,FALSE)</f>
        <v>Atividades artísticas, criativas e de espetáculos</v>
      </c>
      <c r="I1267" t="str">
        <f>VLOOKUP(D1267,Base!$D:$F,3,FALSE)</f>
        <v>Artes cênicas, espetáculos e atividades complementares</v>
      </c>
      <c r="J1267" t="str">
        <f>VLOOKUP(E1267,Base!$E:$F,2,FALSE)</f>
        <v>Produção teatral</v>
      </c>
      <c r="K1267" t="s">
        <v>4143</v>
      </c>
      <c r="L1267">
        <f>IFERROR(VLOOKUP($K1267,Base_Atividades!$E$1:$N$2398,MATCH(BancoAjustado!L$1,Base_Atividades!$E$1:$N$1,0),FALSE),0)</f>
        <v>1</v>
      </c>
      <c r="M1267">
        <f>IFERROR(VLOOKUP($K1267,Base_Atividades!$E$1:$N$2398,MATCH(BancoAjustado!M$1,Base_Atividades!$E$1:$N$1,0),FALSE),0)</f>
        <v>0</v>
      </c>
      <c r="N1267">
        <f>IFERROR(VLOOKUP($K1267,Base_Atividades!$E$1:$N$2398,MATCH(BancoAjustado!N$1,Base_Atividades!$E$1:$N$1,0),FALSE),0)</f>
        <v>0</v>
      </c>
    </row>
    <row r="1268" spans="1:14" x14ac:dyDescent="0.25">
      <c r="A1268" t="s">
        <v>4139</v>
      </c>
      <c r="B1268" t="s">
        <v>4140</v>
      </c>
      <c r="C1268" t="s">
        <v>4141</v>
      </c>
      <c r="D1268" t="s">
        <v>4142</v>
      </c>
      <c r="E1268" t="s">
        <v>4144</v>
      </c>
      <c r="F1268" t="str">
        <f>VLOOKUP(A1268,Base!$A:$F,6,FALSE)</f>
        <v>ARTES, CULTURA, ESPORTE E RECREAÇÃO</v>
      </c>
      <c r="G1268" t="str">
        <f>VLOOKUP(B1268,Base!$B:$F,5,FALSE)</f>
        <v>ATIVIDADES ARTÍSTICAS, CRIATIVAS E DE ESPETÁCULOS</v>
      </c>
      <c r="H1268" t="str">
        <f>VLOOKUP(C1268,Base!$C:$F,4,FALSE)</f>
        <v>Atividades artísticas, criativas e de espetáculos</v>
      </c>
      <c r="I1268" t="str">
        <f>VLOOKUP(D1268,Base!$D:$F,3,FALSE)</f>
        <v>Artes cênicas, espetáculos e atividades complementares</v>
      </c>
      <c r="J1268" t="str">
        <f>VLOOKUP(E1268,Base!$E:$F,2,FALSE)</f>
        <v>Produção musical</v>
      </c>
      <c r="K1268" t="s">
        <v>4144</v>
      </c>
      <c r="L1268">
        <f>IFERROR(VLOOKUP($K1268,Base_Atividades!$E$1:$N$2398,MATCH(BancoAjustado!L$1,Base_Atividades!$E$1:$N$1,0),FALSE),0)</f>
        <v>1</v>
      </c>
      <c r="M1268">
        <f>IFERROR(VLOOKUP($K1268,Base_Atividades!$E$1:$N$2398,MATCH(BancoAjustado!M$1,Base_Atividades!$E$1:$N$1,0),FALSE),0)</f>
        <v>0</v>
      </c>
      <c r="N1268">
        <f>IFERROR(VLOOKUP($K1268,Base_Atividades!$E$1:$N$2398,MATCH(BancoAjustado!N$1,Base_Atividades!$E$1:$N$1,0),FALSE),0)</f>
        <v>0</v>
      </c>
    </row>
    <row r="1269" spans="1:14" x14ac:dyDescent="0.25">
      <c r="A1269" t="s">
        <v>4139</v>
      </c>
      <c r="B1269" t="s">
        <v>4140</v>
      </c>
      <c r="C1269" t="s">
        <v>4141</v>
      </c>
      <c r="D1269" t="s">
        <v>4142</v>
      </c>
      <c r="E1269" t="s">
        <v>4145</v>
      </c>
      <c r="F1269" t="str">
        <f>VLOOKUP(A1269,Base!$A:$F,6,FALSE)</f>
        <v>ARTES, CULTURA, ESPORTE E RECREAÇÃO</v>
      </c>
      <c r="G1269" t="str">
        <f>VLOOKUP(B1269,Base!$B:$F,5,FALSE)</f>
        <v>ATIVIDADES ARTÍSTICAS, CRIATIVAS E DE ESPETÁCULOS</v>
      </c>
      <c r="H1269" t="str">
        <f>VLOOKUP(C1269,Base!$C:$F,4,FALSE)</f>
        <v>Atividades artísticas, criativas e de espetáculos</v>
      </c>
      <c r="I1269" t="str">
        <f>VLOOKUP(D1269,Base!$D:$F,3,FALSE)</f>
        <v>Artes cênicas, espetáculos e atividades complementares</v>
      </c>
      <c r="J1269" t="str">
        <f>VLOOKUP(E1269,Base!$E:$F,2,FALSE)</f>
        <v>Produção de espetáculos de dança</v>
      </c>
      <c r="K1269" t="s">
        <v>4145</v>
      </c>
      <c r="L1269">
        <f>IFERROR(VLOOKUP($K1269,Base_Atividades!$E$1:$N$2398,MATCH(BancoAjustado!L$1,Base_Atividades!$E$1:$N$1,0),FALSE),0)</f>
        <v>1</v>
      </c>
      <c r="M1269">
        <f>IFERROR(VLOOKUP($K1269,Base_Atividades!$E$1:$N$2398,MATCH(BancoAjustado!M$1,Base_Atividades!$E$1:$N$1,0),FALSE),0)</f>
        <v>0</v>
      </c>
      <c r="N1269">
        <f>IFERROR(VLOOKUP($K1269,Base_Atividades!$E$1:$N$2398,MATCH(BancoAjustado!N$1,Base_Atividades!$E$1:$N$1,0),FALSE),0)</f>
        <v>0</v>
      </c>
    </row>
    <row r="1270" spans="1:14" x14ac:dyDescent="0.25">
      <c r="A1270" t="s">
        <v>4139</v>
      </c>
      <c r="B1270" t="s">
        <v>4140</v>
      </c>
      <c r="C1270" t="s">
        <v>4141</v>
      </c>
      <c r="D1270" t="s">
        <v>4142</v>
      </c>
      <c r="E1270" t="s">
        <v>4146</v>
      </c>
      <c r="F1270" t="str">
        <f>VLOOKUP(A1270,Base!$A:$F,6,FALSE)</f>
        <v>ARTES, CULTURA, ESPORTE E RECREAÇÃO</v>
      </c>
      <c r="G1270" t="str">
        <f>VLOOKUP(B1270,Base!$B:$F,5,FALSE)</f>
        <v>ATIVIDADES ARTÍSTICAS, CRIATIVAS E DE ESPETÁCULOS</v>
      </c>
      <c r="H1270" t="str">
        <f>VLOOKUP(C1270,Base!$C:$F,4,FALSE)</f>
        <v>Atividades artísticas, criativas e de espetáculos</v>
      </c>
      <c r="I1270" t="str">
        <f>VLOOKUP(D1270,Base!$D:$F,3,FALSE)</f>
        <v>Artes cênicas, espetáculos e atividades complementares</v>
      </c>
      <c r="J1270" t="str">
        <f>VLOOKUP(E1270,Base!$E:$F,2,FALSE)</f>
        <v>Produção de espetáculos circenses, de marionetes e similares</v>
      </c>
      <c r="K1270" t="s">
        <v>4146</v>
      </c>
      <c r="L1270">
        <f>IFERROR(VLOOKUP($K1270,Base_Atividades!$E$1:$N$2398,MATCH(BancoAjustado!L$1,Base_Atividades!$E$1:$N$1,0),FALSE),0)</f>
        <v>1</v>
      </c>
      <c r="M1270">
        <f>IFERROR(VLOOKUP($K1270,Base_Atividades!$E$1:$N$2398,MATCH(BancoAjustado!M$1,Base_Atividades!$E$1:$N$1,0),FALSE),0)</f>
        <v>0</v>
      </c>
      <c r="N1270">
        <f>IFERROR(VLOOKUP($K1270,Base_Atividades!$E$1:$N$2398,MATCH(BancoAjustado!N$1,Base_Atividades!$E$1:$N$1,0),FALSE),0)</f>
        <v>0</v>
      </c>
    </row>
    <row r="1271" spans="1:14" x14ac:dyDescent="0.25">
      <c r="A1271" t="s">
        <v>4139</v>
      </c>
      <c r="B1271" t="s">
        <v>4140</v>
      </c>
      <c r="C1271" t="s">
        <v>4141</v>
      </c>
      <c r="D1271" t="s">
        <v>4142</v>
      </c>
      <c r="E1271" t="s">
        <v>4147</v>
      </c>
      <c r="F1271" t="str">
        <f>VLOOKUP(A1271,Base!$A:$F,6,FALSE)</f>
        <v>ARTES, CULTURA, ESPORTE E RECREAÇÃO</v>
      </c>
      <c r="G1271" t="str">
        <f>VLOOKUP(B1271,Base!$B:$F,5,FALSE)</f>
        <v>ATIVIDADES ARTÍSTICAS, CRIATIVAS E DE ESPETÁCULOS</v>
      </c>
      <c r="H1271" t="str">
        <f>VLOOKUP(C1271,Base!$C:$F,4,FALSE)</f>
        <v>Atividades artísticas, criativas e de espetáculos</v>
      </c>
      <c r="I1271" t="str">
        <f>VLOOKUP(D1271,Base!$D:$F,3,FALSE)</f>
        <v>Artes cênicas, espetáculos e atividades complementares</v>
      </c>
      <c r="J1271" t="str">
        <f>VLOOKUP(E1271,Base!$E:$F,2,FALSE)</f>
        <v>Produção de espetáculos de rodeios, vaquejadas e similares</v>
      </c>
      <c r="K1271" t="s">
        <v>4147</v>
      </c>
      <c r="L1271">
        <f>IFERROR(VLOOKUP($K1271,Base_Atividades!$E$1:$N$2398,MATCH(BancoAjustado!L$1,Base_Atividades!$E$1:$N$1,0),FALSE),0)</f>
        <v>1</v>
      </c>
      <c r="M1271">
        <f>IFERROR(VLOOKUP($K1271,Base_Atividades!$E$1:$N$2398,MATCH(BancoAjustado!M$1,Base_Atividades!$E$1:$N$1,0),FALSE),0)</f>
        <v>0</v>
      </c>
      <c r="N1271">
        <f>IFERROR(VLOOKUP($K1271,Base_Atividades!$E$1:$N$2398,MATCH(BancoAjustado!N$1,Base_Atividades!$E$1:$N$1,0),FALSE),0)</f>
        <v>0</v>
      </c>
    </row>
    <row r="1272" spans="1:14" x14ac:dyDescent="0.25">
      <c r="A1272" t="s">
        <v>4139</v>
      </c>
      <c r="B1272" t="s">
        <v>4140</v>
      </c>
      <c r="C1272" t="s">
        <v>4141</v>
      </c>
      <c r="D1272" t="s">
        <v>4142</v>
      </c>
      <c r="E1272" t="s">
        <v>4148</v>
      </c>
      <c r="F1272" t="str">
        <f>VLOOKUP(A1272,Base!$A:$F,6,FALSE)</f>
        <v>ARTES, CULTURA, ESPORTE E RECREAÇÃO</v>
      </c>
      <c r="G1272" t="str">
        <f>VLOOKUP(B1272,Base!$B:$F,5,FALSE)</f>
        <v>ATIVIDADES ARTÍSTICAS, CRIATIVAS E DE ESPETÁCULOS</v>
      </c>
      <c r="H1272" t="str">
        <f>VLOOKUP(C1272,Base!$C:$F,4,FALSE)</f>
        <v>Atividades artísticas, criativas e de espetáculos</v>
      </c>
      <c r="I1272" t="str">
        <f>VLOOKUP(D1272,Base!$D:$F,3,FALSE)</f>
        <v>Artes cênicas, espetáculos e atividades complementares</v>
      </c>
      <c r="J1272" t="str">
        <f>VLOOKUP(E1272,Base!$E:$F,2,FALSE)</f>
        <v>Atividades de sonorização e de iluminação</v>
      </c>
      <c r="K1272" t="s">
        <v>4148</v>
      </c>
      <c r="L1272">
        <f>IFERROR(VLOOKUP($K1272,Base_Atividades!$E$1:$N$2398,MATCH(BancoAjustado!L$1,Base_Atividades!$E$1:$N$1,0),FALSE),0)</f>
        <v>1</v>
      </c>
      <c r="M1272">
        <f>IFERROR(VLOOKUP($K1272,Base_Atividades!$E$1:$N$2398,MATCH(BancoAjustado!M$1,Base_Atividades!$E$1:$N$1,0),FALSE),0)</f>
        <v>0</v>
      </c>
      <c r="N1272">
        <f>IFERROR(VLOOKUP($K1272,Base_Atividades!$E$1:$N$2398,MATCH(BancoAjustado!N$1,Base_Atividades!$E$1:$N$1,0),FALSE),0)</f>
        <v>0</v>
      </c>
    </row>
    <row r="1273" spans="1:14" x14ac:dyDescent="0.25">
      <c r="A1273" t="s">
        <v>4139</v>
      </c>
      <c r="B1273" t="s">
        <v>4140</v>
      </c>
      <c r="C1273" t="s">
        <v>4141</v>
      </c>
      <c r="D1273" t="s">
        <v>4142</v>
      </c>
      <c r="E1273" t="s">
        <v>4149</v>
      </c>
      <c r="F1273" t="str">
        <f>VLOOKUP(A1273,Base!$A:$F,6,FALSE)</f>
        <v>ARTES, CULTURA, ESPORTE E RECREAÇÃO</v>
      </c>
      <c r="G1273" t="str">
        <f>VLOOKUP(B1273,Base!$B:$F,5,FALSE)</f>
        <v>ATIVIDADES ARTÍSTICAS, CRIATIVAS E DE ESPETÁCULOS</v>
      </c>
      <c r="H1273" t="str">
        <f>VLOOKUP(C1273,Base!$C:$F,4,FALSE)</f>
        <v>Atividades artísticas, criativas e de espetáculos</v>
      </c>
      <c r="I1273" t="str">
        <f>VLOOKUP(D1273,Base!$D:$F,3,FALSE)</f>
        <v>Artes cênicas, espetáculos e atividades complementares</v>
      </c>
      <c r="J1273" t="str">
        <f>VLOOKUP(E1273,Base!$E:$F,2,FALSE)</f>
        <v>Artes cênicas, espetáculos e atividades complementares não especificados anteriormente</v>
      </c>
      <c r="K1273" t="s">
        <v>4149</v>
      </c>
      <c r="L1273">
        <f>IFERROR(VLOOKUP($K1273,Base_Atividades!$E$1:$N$2398,MATCH(BancoAjustado!L$1,Base_Atividades!$E$1:$N$1,0),FALSE),0)</f>
        <v>1</v>
      </c>
      <c r="M1273">
        <f>IFERROR(VLOOKUP($K1273,Base_Atividades!$E$1:$N$2398,MATCH(BancoAjustado!M$1,Base_Atividades!$E$1:$N$1,0),FALSE),0)</f>
        <v>0</v>
      </c>
      <c r="N1273">
        <f>IFERROR(VLOOKUP($K1273,Base_Atividades!$E$1:$N$2398,MATCH(BancoAjustado!N$1,Base_Atividades!$E$1:$N$1,0),FALSE),0)</f>
        <v>0</v>
      </c>
    </row>
    <row r="1274" spans="1:14" x14ac:dyDescent="0.25">
      <c r="A1274" t="s">
        <v>4139</v>
      </c>
      <c r="B1274" t="s">
        <v>4140</v>
      </c>
      <c r="C1274" t="s">
        <v>4141</v>
      </c>
      <c r="D1274" t="s">
        <v>4150</v>
      </c>
      <c r="E1274" t="s">
        <v>4151</v>
      </c>
      <c r="F1274" t="str">
        <f>VLOOKUP(A1274,Base!$A:$F,6,FALSE)</f>
        <v>ARTES, CULTURA, ESPORTE E RECREAÇÃO</v>
      </c>
      <c r="G1274" t="str">
        <f>VLOOKUP(B1274,Base!$B:$F,5,FALSE)</f>
        <v>ATIVIDADES ARTÍSTICAS, CRIATIVAS E DE ESPETÁCULOS</v>
      </c>
      <c r="H1274" t="str">
        <f>VLOOKUP(C1274,Base!$C:$F,4,FALSE)</f>
        <v>Atividades artísticas, criativas e de espetáculos</v>
      </c>
      <c r="I1274" t="str">
        <f>VLOOKUP(D1274,Base!$D:$F,3,FALSE)</f>
        <v>Criação artística</v>
      </c>
      <c r="J1274" t="str">
        <f>VLOOKUP(E1274,Base!$E:$F,2,FALSE)</f>
        <v>Atividades de artistas plásticos, jornalistas independentes e
escritores</v>
      </c>
      <c r="K1274" t="s">
        <v>4151</v>
      </c>
      <c r="L1274">
        <f>IFERROR(VLOOKUP($K1274,Base_Atividades!$E$1:$N$2398,MATCH(BancoAjustado!L$1,Base_Atividades!$E$1:$N$1,0),FALSE),0)</f>
        <v>1</v>
      </c>
      <c r="M1274">
        <f>IFERROR(VLOOKUP($K1274,Base_Atividades!$E$1:$N$2398,MATCH(BancoAjustado!M$1,Base_Atividades!$E$1:$N$1,0),FALSE),0)</f>
        <v>0</v>
      </c>
      <c r="N1274">
        <f>IFERROR(VLOOKUP($K1274,Base_Atividades!$E$1:$N$2398,MATCH(BancoAjustado!N$1,Base_Atividades!$E$1:$N$1,0),FALSE),0)</f>
        <v>0</v>
      </c>
    </row>
    <row r="1275" spans="1:14" x14ac:dyDescent="0.25">
      <c r="A1275" t="s">
        <v>4139</v>
      </c>
      <c r="B1275" t="s">
        <v>4140</v>
      </c>
      <c r="C1275" t="s">
        <v>4141</v>
      </c>
      <c r="D1275" t="s">
        <v>4150</v>
      </c>
      <c r="E1275" t="s">
        <v>4152</v>
      </c>
      <c r="F1275" t="str">
        <f>VLOOKUP(A1275,Base!$A:$F,6,FALSE)</f>
        <v>ARTES, CULTURA, ESPORTE E RECREAÇÃO</v>
      </c>
      <c r="G1275" t="str">
        <f>VLOOKUP(B1275,Base!$B:$F,5,FALSE)</f>
        <v>ATIVIDADES ARTÍSTICAS, CRIATIVAS E DE ESPETÁCULOS</v>
      </c>
      <c r="H1275" t="str">
        <f>VLOOKUP(C1275,Base!$C:$F,4,FALSE)</f>
        <v>Atividades artísticas, criativas e de espetáculos</v>
      </c>
      <c r="I1275" t="str">
        <f>VLOOKUP(D1275,Base!$D:$F,3,FALSE)</f>
        <v>Criação artística</v>
      </c>
      <c r="J1275" t="str">
        <f>VLOOKUP(E1275,Base!$E:$F,2,FALSE)</f>
        <v>Restauração de obras de arte</v>
      </c>
      <c r="K1275" t="s">
        <v>4152</v>
      </c>
      <c r="L1275">
        <f>IFERROR(VLOOKUP($K1275,Base_Atividades!$E$1:$N$2398,MATCH(BancoAjustado!L$1,Base_Atividades!$E$1:$N$1,0),FALSE),0)</f>
        <v>1</v>
      </c>
      <c r="M1275">
        <f>IFERROR(VLOOKUP($K1275,Base_Atividades!$E$1:$N$2398,MATCH(BancoAjustado!M$1,Base_Atividades!$E$1:$N$1,0),FALSE),0)</f>
        <v>0</v>
      </c>
      <c r="N1275">
        <f>IFERROR(VLOOKUP($K1275,Base_Atividades!$E$1:$N$2398,MATCH(BancoAjustado!N$1,Base_Atividades!$E$1:$N$1,0),FALSE),0)</f>
        <v>0</v>
      </c>
    </row>
    <row r="1276" spans="1:14" x14ac:dyDescent="0.25">
      <c r="A1276" t="s">
        <v>4139</v>
      </c>
      <c r="B1276" t="s">
        <v>4140</v>
      </c>
      <c r="C1276" t="s">
        <v>4141</v>
      </c>
      <c r="D1276" t="s">
        <v>4153</v>
      </c>
      <c r="E1276" t="s">
        <v>4154</v>
      </c>
      <c r="F1276" t="str">
        <f>VLOOKUP(A1276,Base!$A:$F,6,FALSE)</f>
        <v>ARTES, CULTURA, ESPORTE E RECREAÇÃO</v>
      </c>
      <c r="G1276" t="str">
        <f>VLOOKUP(B1276,Base!$B:$F,5,FALSE)</f>
        <v>ATIVIDADES ARTÍSTICAS, CRIATIVAS E DE ESPETÁCULOS</v>
      </c>
      <c r="H1276" t="str">
        <f>VLOOKUP(C1276,Base!$C:$F,4,FALSE)</f>
        <v>Atividades artísticas, criativas e de espetáculos</v>
      </c>
      <c r="I1276" t="str">
        <f>VLOOKUP(D1276,Base!$D:$F,3,FALSE)</f>
        <v>Gestão de espaços para artes cênicas, espetáculos e outras atividades artísticas</v>
      </c>
      <c r="J1276" t="str">
        <f>VLOOKUP(E1276,Base!$E:$F,2,FALSE)</f>
        <v>Gestão de espaços para artes cênicas, espetáculos e outras atividades artísticas</v>
      </c>
      <c r="K1276" t="s">
        <v>4154</v>
      </c>
      <c r="L1276">
        <f>IFERROR(VLOOKUP($K1276,Base_Atividades!$E$1:$N$2398,MATCH(BancoAjustado!L$1,Base_Atividades!$E$1:$N$1,0),FALSE),0)</f>
        <v>1</v>
      </c>
      <c r="M1276">
        <f>IFERROR(VLOOKUP($K1276,Base_Atividades!$E$1:$N$2398,MATCH(BancoAjustado!M$1,Base_Atividades!$E$1:$N$1,0),FALSE),0)</f>
        <v>0</v>
      </c>
      <c r="N1276">
        <f>IFERROR(VLOOKUP($K1276,Base_Atividades!$E$1:$N$2398,MATCH(BancoAjustado!N$1,Base_Atividades!$E$1:$N$1,0),FALSE),0)</f>
        <v>0</v>
      </c>
    </row>
    <row r="1277" spans="1:14" x14ac:dyDescent="0.25">
      <c r="A1277" t="s">
        <v>4139</v>
      </c>
      <c r="B1277" t="s">
        <v>4155</v>
      </c>
      <c r="C1277" t="s">
        <v>4156</v>
      </c>
      <c r="D1277" t="s">
        <v>4157</v>
      </c>
      <c r="E1277" t="s">
        <v>4158</v>
      </c>
      <c r="F1277" t="str">
        <f>VLOOKUP(A1277,Base!$A:$F,6,FALSE)</f>
        <v>ARTES, CULTURA, ESPORTE E RECREAÇÃO</v>
      </c>
      <c r="G1277" t="str">
        <f>VLOOKUP(B1277,Base!$B:$F,5,FALSE)</f>
        <v>ATIVIDADES LIGADAS AO PATRIMÔNIO CULTURAL E AMBIENTAL</v>
      </c>
      <c r="H1277" t="str">
        <f>VLOOKUP(C1277,Base!$C:$F,4,FALSE)</f>
        <v>Atividades ligadas ao patrimônio cultural e ambiental</v>
      </c>
      <c r="I1277" t="str">
        <f>VLOOKUP(D1277,Base!$D:$F,3,FALSE)</f>
        <v>Atividades de bibliotecas e arquivos</v>
      </c>
      <c r="J1277" t="str">
        <f>VLOOKUP(E1277,Base!$E:$F,2,FALSE)</f>
        <v>Atividades de bibliotecas e arquivos</v>
      </c>
      <c r="K1277" t="s">
        <v>4158</v>
      </c>
      <c r="L1277">
        <f>IFERROR(VLOOKUP($K1277,Base_Atividades!$E$1:$N$2398,MATCH(BancoAjustado!L$1,Base_Atividades!$E$1:$N$1,0),FALSE),0)</f>
        <v>1</v>
      </c>
      <c r="M1277">
        <f>IFERROR(VLOOKUP($K1277,Base_Atividades!$E$1:$N$2398,MATCH(BancoAjustado!M$1,Base_Atividades!$E$1:$N$1,0),FALSE),0)</f>
        <v>0</v>
      </c>
      <c r="N1277">
        <f>IFERROR(VLOOKUP($K1277,Base_Atividades!$E$1:$N$2398,MATCH(BancoAjustado!N$1,Base_Atividades!$E$1:$N$1,0),FALSE),0)</f>
        <v>0</v>
      </c>
    </row>
    <row r="1278" spans="1:14" x14ac:dyDescent="0.25">
      <c r="A1278" t="s">
        <v>4139</v>
      </c>
      <c r="B1278" t="s">
        <v>4155</v>
      </c>
      <c r="C1278" t="s">
        <v>4156</v>
      </c>
      <c r="D1278" t="s">
        <v>4159</v>
      </c>
      <c r="E1278" t="s">
        <v>4160</v>
      </c>
      <c r="F1278" t="str">
        <f>VLOOKUP(A1278,Base!$A:$F,6,FALSE)</f>
        <v>ARTES, CULTURA, ESPORTE E RECREAÇÃO</v>
      </c>
      <c r="G1278" t="str">
        <f>VLOOKUP(B1278,Base!$B:$F,5,FALSE)</f>
        <v>ATIVIDADES LIGADAS AO PATRIMÔNIO CULTURAL E AMBIENTAL</v>
      </c>
      <c r="H1278" t="str">
        <f>VLOOKUP(C1278,Base!$C:$F,4,FALSE)</f>
        <v>Atividades ligadas ao patrimônio cultural e ambiental</v>
      </c>
      <c r="I1278" t="str">
        <f>VLOOKUP(D1278,Base!$D:$F,3,FALSE)</f>
        <v>Atividades de museus e de exploração, restauração artística
e conservação de lugares e prédios históricos e atrações
similares</v>
      </c>
      <c r="J1278" t="str">
        <f>VLOOKUP(E1278,Base!$E:$F,2,FALSE)</f>
        <v>Atividades de museus e de exploração de lugares e prédios históricos e atrações similares</v>
      </c>
      <c r="K1278" t="s">
        <v>4160</v>
      </c>
      <c r="L1278">
        <f>IFERROR(VLOOKUP($K1278,Base_Atividades!$E$1:$N$2398,MATCH(BancoAjustado!L$1,Base_Atividades!$E$1:$N$1,0),FALSE),0)</f>
        <v>1</v>
      </c>
      <c r="M1278">
        <f>IFERROR(VLOOKUP($K1278,Base_Atividades!$E$1:$N$2398,MATCH(BancoAjustado!M$1,Base_Atividades!$E$1:$N$1,0),FALSE),0)</f>
        <v>0</v>
      </c>
      <c r="N1278">
        <f>IFERROR(VLOOKUP($K1278,Base_Atividades!$E$1:$N$2398,MATCH(BancoAjustado!N$1,Base_Atividades!$E$1:$N$1,0),FALSE),0)</f>
        <v>0</v>
      </c>
    </row>
    <row r="1279" spans="1:14" x14ac:dyDescent="0.25">
      <c r="A1279" t="s">
        <v>4139</v>
      </c>
      <c r="B1279" t="s">
        <v>4155</v>
      </c>
      <c r="C1279" t="s">
        <v>4156</v>
      </c>
      <c r="D1279" t="s">
        <v>4159</v>
      </c>
      <c r="E1279" t="s">
        <v>4161</v>
      </c>
      <c r="F1279" t="str">
        <f>VLOOKUP(A1279,Base!$A:$F,6,FALSE)</f>
        <v>ARTES, CULTURA, ESPORTE E RECREAÇÃO</v>
      </c>
      <c r="G1279" t="str">
        <f>VLOOKUP(B1279,Base!$B:$F,5,FALSE)</f>
        <v>ATIVIDADES LIGADAS AO PATRIMÔNIO CULTURAL E AMBIENTAL</v>
      </c>
      <c r="H1279" t="str">
        <f>VLOOKUP(C1279,Base!$C:$F,4,FALSE)</f>
        <v>Atividades ligadas ao patrimônio cultural e ambiental</v>
      </c>
      <c r="I1279" t="str">
        <f>VLOOKUP(D1279,Base!$D:$F,3,FALSE)</f>
        <v>Atividades de museus e de exploração, restauração artística
e conservação de lugares e prédios históricos e atrações
similares</v>
      </c>
      <c r="J1279" t="str">
        <f>VLOOKUP(E1279,Base!$E:$F,2,FALSE)</f>
        <v>Restauração e conservação de lugares e prédios históricos</v>
      </c>
      <c r="K1279" t="s">
        <v>4161</v>
      </c>
      <c r="L1279">
        <f>IFERROR(VLOOKUP($K1279,Base_Atividades!$E$1:$N$2398,MATCH(BancoAjustado!L$1,Base_Atividades!$E$1:$N$1,0),FALSE),0)</f>
        <v>1</v>
      </c>
      <c r="M1279">
        <f>IFERROR(VLOOKUP($K1279,Base_Atividades!$E$1:$N$2398,MATCH(BancoAjustado!M$1,Base_Atividades!$E$1:$N$1,0),FALSE),0)</f>
        <v>0</v>
      </c>
      <c r="N1279">
        <f>IFERROR(VLOOKUP($K1279,Base_Atividades!$E$1:$N$2398,MATCH(BancoAjustado!N$1,Base_Atividades!$E$1:$N$1,0),FALSE),0)</f>
        <v>0</v>
      </c>
    </row>
    <row r="1280" spans="1:14" x14ac:dyDescent="0.25">
      <c r="A1280" t="s">
        <v>4139</v>
      </c>
      <c r="B1280" t="s">
        <v>4155</v>
      </c>
      <c r="C1280" t="s">
        <v>4156</v>
      </c>
      <c r="D1280" t="s">
        <v>4162</v>
      </c>
      <c r="E1280" t="s">
        <v>4163</v>
      </c>
      <c r="F1280" t="str">
        <f>VLOOKUP(A1280,Base!$A:$F,6,FALSE)</f>
        <v>ARTES, CULTURA, ESPORTE E RECREAÇÃO</v>
      </c>
      <c r="G1280" t="str">
        <f>VLOOKUP(B1280,Base!$B:$F,5,FALSE)</f>
        <v>ATIVIDADES LIGADAS AO PATRIMÔNIO CULTURAL E AMBIENTAL</v>
      </c>
      <c r="H1280" t="str">
        <f>VLOOKUP(C1280,Base!$C:$F,4,FALSE)</f>
        <v>Atividades ligadas ao patrimônio cultural e ambiental</v>
      </c>
      <c r="I1280" t="str">
        <f>VLOOKUP(D1280,Base!$D:$F,3,FALSE)</f>
        <v>Atividades de jardins botânicos, zoológicos, parques nacionais, reservas ecológicas e áreas de proteção ambiental</v>
      </c>
      <c r="J1280" t="str">
        <f>VLOOKUP(E1280,Base!$E:$F,2,FALSE)</f>
        <v>Atividades de jardins botânicos, zoológicos, parques nacionais, reservas ecológicas e áreas de proteção ambiental</v>
      </c>
      <c r="K1280" t="s">
        <v>4163</v>
      </c>
      <c r="L1280">
        <f>IFERROR(VLOOKUP($K1280,Base_Atividades!$E$1:$N$2398,MATCH(BancoAjustado!L$1,Base_Atividades!$E$1:$N$1,0),FALSE),0)</f>
        <v>1</v>
      </c>
      <c r="M1280">
        <f>IFERROR(VLOOKUP($K1280,Base_Atividades!$E$1:$N$2398,MATCH(BancoAjustado!M$1,Base_Atividades!$E$1:$N$1,0),FALSE),0)</f>
        <v>0</v>
      </c>
      <c r="N1280">
        <f>IFERROR(VLOOKUP($K1280,Base_Atividades!$E$1:$N$2398,MATCH(BancoAjustado!N$1,Base_Atividades!$E$1:$N$1,0),FALSE),0)</f>
        <v>0</v>
      </c>
    </row>
    <row r="1281" spans="1:14" x14ac:dyDescent="0.25">
      <c r="A1281" t="s">
        <v>4139</v>
      </c>
      <c r="B1281" t="s">
        <v>4164</v>
      </c>
      <c r="C1281" t="s">
        <v>4165</v>
      </c>
      <c r="D1281" t="s">
        <v>4166</v>
      </c>
      <c r="E1281" t="s">
        <v>4167</v>
      </c>
      <c r="F1281" t="str">
        <f>VLOOKUP(A1281,Base!$A:$F,6,FALSE)</f>
        <v>ARTES, CULTURA, ESPORTE E RECREAÇÃO</v>
      </c>
      <c r="G1281" t="str">
        <f>VLOOKUP(B1281,Base!$B:$F,5,FALSE)</f>
        <v>ATIVIDADES DE EXPLORAÇÃO DE JOGOS DE AZAR E
APOSTAS</v>
      </c>
      <c r="H1281" t="str">
        <f>VLOOKUP(C1281,Base!$C:$F,4,FALSE)</f>
        <v>Atividades de exploração de jogos de azar e apostas</v>
      </c>
      <c r="I1281" t="str">
        <f>VLOOKUP(D1281,Base!$D:$F,3,FALSE)</f>
        <v>Atividades de exploração de jogos de azar e apostas</v>
      </c>
      <c r="J1281" t="str">
        <f>VLOOKUP(E1281,Base!$E:$F,2,FALSE)</f>
        <v>Casas de bingo</v>
      </c>
      <c r="K1281" t="s">
        <v>4167</v>
      </c>
      <c r="L1281">
        <f>IFERROR(VLOOKUP($K1281,Base_Atividades!$E$1:$N$2398,MATCH(BancoAjustado!L$1,Base_Atividades!$E$1:$N$1,0),FALSE),0)</f>
        <v>0</v>
      </c>
      <c r="M1281">
        <f>IFERROR(VLOOKUP($K1281,Base_Atividades!$E$1:$N$2398,MATCH(BancoAjustado!M$1,Base_Atividades!$E$1:$N$1,0),FALSE),0)</f>
        <v>0</v>
      </c>
      <c r="N1281">
        <f>IFERROR(VLOOKUP($K1281,Base_Atividades!$E$1:$N$2398,MATCH(BancoAjustado!N$1,Base_Atividades!$E$1:$N$1,0),FALSE),0)</f>
        <v>0</v>
      </c>
    </row>
    <row r="1282" spans="1:14" x14ac:dyDescent="0.25">
      <c r="A1282" t="s">
        <v>4139</v>
      </c>
      <c r="B1282" t="s">
        <v>4164</v>
      </c>
      <c r="C1282" t="s">
        <v>4165</v>
      </c>
      <c r="D1282" t="s">
        <v>4166</v>
      </c>
      <c r="E1282" t="s">
        <v>4168</v>
      </c>
      <c r="F1282" t="str">
        <f>VLOOKUP(A1282,Base!$A:$F,6,FALSE)</f>
        <v>ARTES, CULTURA, ESPORTE E RECREAÇÃO</v>
      </c>
      <c r="G1282" t="str">
        <f>VLOOKUP(B1282,Base!$B:$F,5,FALSE)</f>
        <v>ATIVIDADES DE EXPLORAÇÃO DE JOGOS DE AZAR E
APOSTAS</v>
      </c>
      <c r="H1282" t="str">
        <f>VLOOKUP(C1282,Base!$C:$F,4,FALSE)</f>
        <v>Atividades de exploração de jogos de azar e apostas</v>
      </c>
      <c r="I1282" t="str">
        <f>VLOOKUP(D1282,Base!$D:$F,3,FALSE)</f>
        <v>Atividades de exploração de jogos de azar e apostas</v>
      </c>
      <c r="J1282" t="str">
        <f>VLOOKUP(E1282,Base!$E:$F,2,FALSE)</f>
        <v>Exploração de apostas em corridas de cavalos</v>
      </c>
      <c r="K1282" t="s">
        <v>4168</v>
      </c>
      <c r="L1282">
        <f>IFERROR(VLOOKUP($K1282,Base_Atividades!$E$1:$N$2398,MATCH(BancoAjustado!L$1,Base_Atividades!$E$1:$N$1,0),FALSE),0)</f>
        <v>0</v>
      </c>
      <c r="M1282">
        <f>IFERROR(VLOOKUP($K1282,Base_Atividades!$E$1:$N$2398,MATCH(BancoAjustado!M$1,Base_Atividades!$E$1:$N$1,0),FALSE),0)</f>
        <v>0</v>
      </c>
      <c r="N1282">
        <f>IFERROR(VLOOKUP($K1282,Base_Atividades!$E$1:$N$2398,MATCH(BancoAjustado!N$1,Base_Atividades!$E$1:$N$1,0),FALSE),0)</f>
        <v>0</v>
      </c>
    </row>
    <row r="1283" spans="1:14" x14ac:dyDescent="0.25">
      <c r="A1283" t="s">
        <v>4139</v>
      </c>
      <c r="B1283" t="s">
        <v>4164</v>
      </c>
      <c r="C1283" t="s">
        <v>4165</v>
      </c>
      <c r="D1283" t="s">
        <v>4166</v>
      </c>
      <c r="E1283" t="s">
        <v>4169</v>
      </c>
      <c r="F1283" t="str">
        <f>VLOOKUP(A1283,Base!$A:$F,6,FALSE)</f>
        <v>ARTES, CULTURA, ESPORTE E RECREAÇÃO</v>
      </c>
      <c r="G1283" t="str">
        <f>VLOOKUP(B1283,Base!$B:$F,5,FALSE)</f>
        <v>ATIVIDADES DE EXPLORAÇÃO DE JOGOS DE AZAR E
APOSTAS</v>
      </c>
      <c r="H1283" t="str">
        <f>VLOOKUP(C1283,Base!$C:$F,4,FALSE)</f>
        <v>Atividades de exploração de jogos de azar e apostas</v>
      </c>
      <c r="I1283" t="str">
        <f>VLOOKUP(D1283,Base!$D:$F,3,FALSE)</f>
        <v>Atividades de exploração de jogos de azar e apostas</v>
      </c>
      <c r="J1283" t="str">
        <f>VLOOKUP(E1283,Base!$E:$F,2,FALSE)</f>
        <v>Exploração de jogos de azar e apostas não especificados anteriormente</v>
      </c>
      <c r="K1283" t="s">
        <v>4169</v>
      </c>
      <c r="L1283">
        <f>IFERROR(VLOOKUP($K1283,Base_Atividades!$E$1:$N$2398,MATCH(BancoAjustado!L$1,Base_Atividades!$E$1:$N$1,0),FALSE),0)</f>
        <v>0</v>
      </c>
      <c r="M1283">
        <f>IFERROR(VLOOKUP($K1283,Base_Atividades!$E$1:$N$2398,MATCH(BancoAjustado!M$1,Base_Atividades!$E$1:$N$1,0),FALSE),0)</f>
        <v>0</v>
      </c>
      <c r="N1283">
        <f>IFERROR(VLOOKUP($K1283,Base_Atividades!$E$1:$N$2398,MATCH(BancoAjustado!N$1,Base_Atividades!$E$1:$N$1,0),FALSE),0)</f>
        <v>0</v>
      </c>
    </row>
    <row r="1284" spans="1:14" x14ac:dyDescent="0.25">
      <c r="A1284" t="s">
        <v>4139</v>
      </c>
      <c r="B1284" t="s">
        <v>4170</v>
      </c>
      <c r="C1284" t="s">
        <v>4171</v>
      </c>
      <c r="D1284" t="s">
        <v>4172</v>
      </c>
      <c r="E1284" t="s">
        <v>4173</v>
      </c>
      <c r="F1284" t="str">
        <f>VLOOKUP(A1284,Base!$A:$F,6,FALSE)</f>
        <v>ARTES, CULTURA, ESPORTE E RECREAÇÃO</v>
      </c>
      <c r="G1284" t="str">
        <f>VLOOKUP(B1284,Base!$B:$F,5,FALSE)</f>
        <v>ATIVIDADES ESPORTIVAS E DE RECREAÇÃO E LAZER</v>
      </c>
      <c r="H1284" t="str">
        <f>VLOOKUP(C1284,Base!$C:$F,4,FALSE)</f>
        <v>Atividades esportivas</v>
      </c>
      <c r="I1284" t="str">
        <f>VLOOKUP(D1284,Base!$D:$F,3,FALSE)</f>
        <v>Gestão de instalações de esportes</v>
      </c>
      <c r="J1284" t="str">
        <f>VLOOKUP(E1284,Base!$E:$F,2,FALSE)</f>
        <v>Gestão de instalações de esportes</v>
      </c>
      <c r="K1284" t="s">
        <v>4173</v>
      </c>
      <c r="L1284">
        <f>IFERROR(VLOOKUP($K1284,Base_Atividades!$E$1:$N$2398,MATCH(BancoAjustado!L$1,Base_Atividades!$E$1:$N$1,0),FALSE),0)</f>
        <v>0</v>
      </c>
      <c r="M1284">
        <f>IFERROR(VLOOKUP($K1284,Base_Atividades!$E$1:$N$2398,MATCH(BancoAjustado!M$1,Base_Atividades!$E$1:$N$1,0),FALSE),0)</f>
        <v>0</v>
      </c>
      <c r="N1284">
        <f>IFERROR(VLOOKUP($K1284,Base_Atividades!$E$1:$N$2398,MATCH(BancoAjustado!N$1,Base_Atividades!$E$1:$N$1,0),FALSE),0)</f>
        <v>0</v>
      </c>
    </row>
    <row r="1285" spans="1:14" x14ac:dyDescent="0.25">
      <c r="A1285" t="s">
        <v>4139</v>
      </c>
      <c r="B1285" t="s">
        <v>4170</v>
      </c>
      <c r="C1285" t="s">
        <v>4171</v>
      </c>
      <c r="D1285" t="s">
        <v>4174</v>
      </c>
      <c r="E1285" t="s">
        <v>4175</v>
      </c>
      <c r="F1285" t="str">
        <f>VLOOKUP(A1285,Base!$A:$F,6,FALSE)</f>
        <v>ARTES, CULTURA, ESPORTE E RECREAÇÃO</v>
      </c>
      <c r="G1285" t="str">
        <f>VLOOKUP(B1285,Base!$B:$F,5,FALSE)</f>
        <v>ATIVIDADES ESPORTIVAS E DE RECREAÇÃO E LAZER</v>
      </c>
      <c r="H1285" t="str">
        <f>VLOOKUP(C1285,Base!$C:$F,4,FALSE)</f>
        <v>Atividades esportivas</v>
      </c>
      <c r="I1285" t="str">
        <f>VLOOKUP(D1285,Base!$D:$F,3,FALSE)</f>
        <v>Clubes sociais, esportivos e similares</v>
      </c>
      <c r="J1285" t="str">
        <f>VLOOKUP(E1285,Base!$E:$F,2,FALSE)</f>
        <v>Clubes sociais, esportivos e similares</v>
      </c>
      <c r="K1285" t="s">
        <v>4175</v>
      </c>
      <c r="L1285">
        <f>IFERROR(VLOOKUP($K1285,Base_Atividades!$E$1:$N$2398,MATCH(BancoAjustado!L$1,Base_Atividades!$E$1:$N$1,0),FALSE),0)</f>
        <v>0</v>
      </c>
      <c r="M1285">
        <f>IFERROR(VLOOKUP($K1285,Base_Atividades!$E$1:$N$2398,MATCH(BancoAjustado!M$1,Base_Atividades!$E$1:$N$1,0),FALSE),0)</f>
        <v>0</v>
      </c>
      <c r="N1285">
        <f>IFERROR(VLOOKUP($K1285,Base_Atividades!$E$1:$N$2398,MATCH(BancoAjustado!N$1,Base_Atividades!$E$1:$N$1,0),FALSE),0)</f>
        <v>0</v>
      </c>
    </row>
    <row r="1286" spans="1:14" x14ac:dyDescent="0.25">
      <c r="A1286" t="s">
        <v>4139</v>
      </c>
      <c r="B1286" t="s">
        <v>4170</v>
      </c>
      <c r="C1286" t="s">
        <v>4171</v>
      </c>
      <c r="D1286" t="s">
        <v>4176</v>
      </c>
      <c r="E1286" t="s">
        <v>4177</v>
      </c>
      <c r="F1286" t="str">
        <f>VLOOKUP(A1286,Base!$A:$F,6,FALSE)</f>
        <v>ARTES, CULTURA, ESPORTE E RECREAÇÃO</v>
      </c>
      <c r="G1286" t="str">
        <f>VLOOKUP(B1286,Base!$B:$F,5,FALSE)</f>
        <v>ATIVIDADES ESPORTIVAS E DE RECREAÇÃO E LAZER</v>
      </c>
      <c r="H1286" t="str">
        <f>VLOOKUP(C1286,Base!$C:$F,4,FALSE)</f>
        <v>Atividades esportivas</v>
      </c>
      <c r="I1286" t="str">
        <f>VLOOKUP(D1286,Base!$D:$F,3,FALSE)</f>
        <v>Atividades de condicionamento físico</v>
      </c>
      <c r="J1286" t="str">
        <f>VLOOKUP(E1286,Base!$E:$F,2,FALSE)</f>
        <v>Atividades de condicionamento físico</v>
      </c>
      <c r="K1286" t="s">
        <v>4177</v>
      </c>
      <c r="L1286">
        <f>IFERROR(VLOOKUP($K1286,Base_Atividades!$E$1:$N$2398,MATCH(BancoAjustado!L$1,Base_Atividades!$E$1:$N$1,0),FALSE),0)</f>
        <v>0</v>
      </c>
      <c r="M1286">
        <f>IFERROR(VLOOKUP($K1286,Base_Atividades!$E$1:$N$2398,MATCH(BancoAjustado!M$1,Base_Atividades!$E$1:$N$1,0),FALSE),0)</f>
        <v>0</v>
      </c>
      <c r="N1286">
        <f>IFERROR(VLOOKUP($K1286,Base_Atividades!$E$1:$N$2398,MATCH(BancoAjustado!N$1,Base_Atividades!$E$1:$N$1,0),FALSE),0)</f>
        <v>0</v>
      </c>
    </row>
    <row r="1287" spans="1:14" x14ac:dyDescent="0.25">
      <c r="A1287" t="s">
        <v>4139</v>
      </c>
      <c r="B1287" t="s">
        <v>4170</v>
      </c>
      <c r="C1287" t="s">
        <v>4171</v>
      </c>
      <c r="D1287" t="s">
        <v>4178</v>
      </c>
      <c r="E1287" t="s">
        <v>4179</v>
      </c>
      <c r="F1287" t="str">
        <f>VLOOKUP(A1287,Base!$A:$F,6,FALSE)</f>
        <v>ARTES, CULTURA, ESPORTE E RECREAÇÃO</v>
      </c>
      <c r="G1287" t="str">
        <f>VLOOKUP(B1287,Base!$B:$F,5,FALSE)</f>
        <v>ATIVIDADES ESPORTIVAS E DE RECREAÇÃO E LAZER</v>
      </c>
      <c r="H1287" t="str">
        <f>VLOOKUP(C1287,Base!$C:$F,4,FALSE)</f>
        <v>Atividades esportivas</v>
      </c>
      <c r="I1287" t="str">
        <f>VLOOKUP(D1287,Base!$D:$F,3,FALSE)</f>
        <v>Atividades esportivas não especificadas anteriormente</v>
      </c>
      <c r="J1287" t="str">
        <f>VLOOKUP(E1287,Base!$E:$F,2,FALSE)</f>
        <v>Produção e promoção de eventos esportivos</v>
      </c>
      <c r="K1287" t="s">
        <v>4179</v>
      </c>
      <c r="L1287">
        <f>IFERROR(VLOOKUP($K1287,Base_Atividades!$E$1:$N$2398,MATCH(BancoAjustado!L$1,Base_Atividades!$E$1:$N$1,0),FALSE),0)</f>
        <v>0</v>
      </c>
      <c r="M1287">
        <f>IFERROR(VLOOKUP($K1287,Base_Atividades!$E$1:$N$2398,MATCH(BancoAjustado!M$1,Base_Atividades!$E$1:$N$1,0),FALSE),0)</f>
        <v>0</v>
      </c>
      <c r="N1287">
        <f>IFERROR(VLOOKUP($K1287,Base_Atividades!$E$1:$N$2398,MATCH(BancoAjustado!N$1,Base_Atividades!$E$1:$N$1,0),FALSE),0)</f>
        <v>0</v>
      </c>
    </row>
    <row r="1288" spans="1:14" x14ac:dyDescent="0.25">
      <c r="A1288" t="s">
        <v>4139</v>
      </c>
      <c r="B1288" t="s">
        <v>4170</v>
      </c>
      <c r="C1288" t="s">
        <v>4171</v>
      </c>
      <c r="D1288" t="s">
        <v>4178</v>
      </c>
      <c r="E1288" t="s">
        <v>4180</v>
      </c>
      <c r="F1288" t="str">
        <f>VLOOKUP(A1288,Base!$A:$F,6,FALSE)</f>
        <v>ARTES, CULTURA, ESPORTE E RECREAÇÃO</v>
      </c>
      <c r="G1288" t="str">
        <f>VLOOKUP(B1288,Base!$B:$F,5,FALSE)</f>
        <v>ATIVIDADES ESPORTIVAS E DE RECREAÇÃO E LAZER</v>
      </c>
      <c r="H1288" t="str">
        <f>VLOOKUP(C1288,Base!$C:$F,4,FALSE)</f>
        <v>Atividades esportivas</v>
      </c>
      <c r="I1288" t="str">
        <f>VLOOKUP(D1288,Base!$D:$F,3,FALSE)</f>
        <v>Atividades esportivas não especificadas anteriormente</v>
      </c>
      <c r="J1288" t="str">
        <f>VLOOKUP(E1288,Base!$E:$F,2,FALSE)</f>
        <v>Outras atividades esportivas não especificadas anteriormente</v>
      </c>
      <c r="K1288" t="s">
        <v>4180</v>
      </c>
      <c r="L1288">
        <f>IFERROR(VLOOKUP($K1288,Base_Atividades!$E$1:$N$2398,MATCH(BancoAjustado!L$1,Base_Atividades!$E$1:$N$1,0),FALSE),0)</f>
        <v>0</v>
      </c>
      <c r="M1288">
        <f>IFERROR(VLOOKUP($K1288,Base_Atividades!$E$1:$N$2398,MATCH(BancoAjustado!M$1,Base_Atividades!$E$1:$N$1,0),FALSE),0)</f>
        <v>0</v>
      </c>
      <c r="N1288">
        <f>IFERROR(VLOOKUP($K1288,Base_Atividades!$E$1:$N$2398,MATCH(BancoAjustado!N$1,Base_Atividades!$E$1:$N$1,0),FALSE),0)</f>
        <v>0</v>
      </c>
    </row>
    <row r="1289" spans="1:14" x14ac:dyDescent="0.25">
      <c r="A1289" t="s">
        <v>4139</v>
      </c>
      <c r="B1289" t="s">
        <v>4170</v>
      </c>
      <c r="C1289" t="s">
        <v>4181</v>
      </c>
      <c r="D1289" t="s">
        <v>4182</v>
      </c>
      <c r="E1289" t="s">
        <v>4183</v>
      </c>
      <c r="F1289" t="str">
        <f>VLOOKUP(A1289,Base!$A:$F,6,FALSE)</f>
        <v>ARTES, CULTURA, ESPORTE E RECREAÇÃO</v>
      </c>
      <c r="G1289" t="str">
        <f>VLOOKUP(B1289,Base!$B:$F,5,FALSE)</f>
        <v>ATIVIDADES ESPORTIVAS E DE RECREAÇÃO E LAZER</v>
      </c>
      <c r="H1289" t="str">
        <f>VLOOKUP(C1289,Base!$C:$F,4,FALSE)</f>
        <v>Atividades de recreação e lazer</v>
      </c>
      <c r="I1289" t="str">
        <f>VLOOKUP(D1289,Base!$D:$F,3,FALSE)</f>
        <v>Parques de diversão e parques temáticos</v>
      </c>
      <c r="J1289" t="str">
        <f>VLOOKUP(E1289,Base!$E:$F,2,FALSE)</f>
        <v>Parques de diversão e parques temáticos</v>
      </c>
      <c r="K1289" t="s">
        <v>4183</v>
      </c>
      <c r="L1289">
        <f>IFERROR(VLOOKUP($K1289,Base_Atividades!$E$1:$N$2398,MATCH(BancoAjustado!L$1,Base_Atividades!$E$1:$N$1,0),FALSE),0)</f>
        <v>0</v>
      </c>
      <c r="M1289">
        <f>IFERROR(VLOOKUP($K1289,Base_Atividades!$E$1:$N$2398,MATCH(BancoAjustado!M$1,Base_Atividades!$E$1:$N$1,0),FALSE),0)</f>
        <v>0</v>
      </c>
      <c r="N1289">
        <f>IFERROR(VLOOKUP($K1289,Base_Atividades!$E$1:$N$2398,MATCH(BancoAjustado!N$1,Base_Atividades!$E$1:$N$1,0),FALSE),0)</f>
        <v>0</v>
      </c>
    </row>
    <row r="1290" spans="1:14" x14ac:dyDescent="0.25">
      <c r="A1290" t="s">
        <v>4139</v>
      </c>
      <c r="B1290" t="s">
        <v>4170</v>
      </c>
      <c r="C1290" t="s">
        <v>4181</v>
      </c>
      <c r="D1290" t="s">
        <v>4184</v>
      </c>
      <c r="E1290" t="s">
        <v>4185</v>
      </c>
      <c r="F1290" t="str">
        <f>VLOOKUP(A1290,Base!$A:$F,6,FALSE)</f>
        <v>ARTES, CULTURA, ESPORTE E RECREAÇÃO</v>
      </c>
      <c r="G1290" t="str">
        <f>VLOOKUP(B1290,Base!$B:$F,5,FALSE)</f>
        <v>ATIVIDADES ESPORTIVAS E DE RECREAÇÃO E LAZER</v>
      </c>
      <c r="H1290" t="str">
        <f>VLOOKUP(C1290,Base!$C:$F,4,FALSE)</f>
        <v>Atividades de recreação e lazer</v>
      </c>
      <c r="I1290" t="str">
        <f>VLOOKUP(D1290,Base!$D:$F,3,FALSE)</f>
        <v>Atividades de recreação e lazer não especificadas
anteriormente</v>
      </c>
      <c r="J1290" t="str">
        <f>VLOOKUP(E1290,Base!$E:$F,2,FALSE)</f>
        <v>Discotecas, danceterias, salões de dança e similares</v>
      </c>
      <c r="K1290" t="s">
        <v>4185</v>
      </c>
      <c r="L1290">
        <f>IFERROR(VLOOKUP($K1290,Base_Atividades!$E$1:$N$2398,MATCH(BancoAjustado!L$1,Base_Atividades!$E$1:$N$1,0),FALSE),0)</f>
        <v>0</v>
      </c>
      <c r="M1290">
        <f>IFERROR(VLOOKUP($K1290,Base_Atividades!$E$1:$N$2398,MATCH(BancoAjustado!M$1,Base_Atividades!$E$1:$N$1,0),FALSE),0)</f>
        <v>0</v>
      </c>
      <c r="N1290">
        <f>IFERROR(VLOOKUP($K1290,Base_Atividades!$E$1:$N$2398,MATCH(BancoAjustado!N$1,Base_Atividades!$E$1:$N$1,0),FALSE),0)</f>
        <v>0</v>
      </c>
    </row>
    <row r="1291" spans="1:14" x14ac:dyDescent="0.25">
      <c r="A1291" t="s">
        <v>4139</v>
      </c>
      <c r="B1291" t="s">
        <v>4170</v>
      </c>
      <c r="C1291" t="s">
        <v>4181</v>
      </c>
      <c r="D1291" t="s">
        <v>4184</v>
      </c>
      <c r="E1291" t="s">
        <v>4186</v>
      </c>
      <c r="F1291" t="str">
        <f>VLOOKUP(A1291,Base!$A:$F,6,FALSE)</f>
        <v>ARTES, CULTURA, ESPORTE E RECREAÇÃO</v>
      </c>
      <c r="G1291" t="str">
        <f>VLOOKUP(B1291,Base!$B:$F,5,FALSE)</f>
        <v>ATIVIDADES ESPORTIVAS E DE RECREAÇÃO E LAZER</v>
      </c>
      <c r="H1291" t="str">
        <f>VLOOKUP(C1291,Base!$C:$F,4,FALSE)</f>
        <v>Atividades de recreação e lazer</v>
      </c>
      <c r="I1291" t="str">
        <f>VLOOKUP(D1291,Base!$D:$F,3,FALSE)</f>
        <v>Atividades de recreação e lazer não especificadas
anteriormente</v>
      </c>
      <c r="J1291" t="str">
        <f>VLOOKUP(E1291,Base!$E:$F,2,FALSE)</f>
        <v>Exploração de boliches</v>
      </c>
      <c r="K1291" t="s">
        <v>4186</v>
      </c>
      <c r="L1291">
        <f>IFERROR(VLOOKUP($K1291,Base_Atividades!$E$1:$N$2398,MATCH(BancoAjustado!L$1,Base_Atividades!$E$1:$N$1,0),FALSE),0)</f>
        <v>0</v>
      </c>
      <c r="M1291">
        <f>IFERROR(VLOOKUP($K1291,Base_Atividades!$E$1:$N$2398,MATCH(BancoAjustado!M$1,Base_Atividades!$E$1:$N$1,0),FALSE),0)</f>
        <v>0</v>
      </c>
      <c r="N1291">
        <f>IFERROR(VLOOKUP($K1291,Base_Atividades!$E$1:$N$2398,MATCH(BancoAjustado!N$1,Base_Atividades!$E$1:$N$1,0),FALSE),0)</f>
        <v>0</v>
      </c>
    </row>
    <row r="1292" spans="1:14" x14ac:dyDescent="0.25">
      <c r="A1292" t="s">
        <v>4139</v>
      </c>
      <c r="B1292" t="s">
        <v>4170</v>
      </c>
      <c r="C1292" t="s">
        <v>4181</v>
      </c>
      <c r="D1292" t="s">
        <v>4184</v>
      </c>
      <c r="E1292" t="s">
        <v>4187</v>
      </c>
      <c r="F1292" t="str">
        <f>VLOOKUP(A1292,Base!$A:$F,6,FALSE)</f>
        <v>ARTES, CULTURA, ESPORTE E RECREAÇÃO</v>
      </c>
      <c r="G1292" t="str">
        <f>VLOOKUP(B1292,Base!$B:$F,5,FALSE)</f>
        <v>ATIVIDADES ESPORTIVAS E DE RECREAÇÃO E LAZER</v>
      </c>
      <c r="H1292" t="str">
        <f>VLOOKUP(C1292,Base!$C:$F,4,FALSE)</f>
        <v>Atividades de recreação e lazer</v>
      </c>
      <c r="I1292" t="str">
        <f>VLOOKUP(D1292,Base!$D:$F,3,FALSE)</f>
        <v>Atividades de recreação e lazer não especificadas
anteriormente</v>
      </c>
      <c r="J1292" t="str">
        <f>VLOOKUP(E1292,Base!$E:$F,2,FALSE)</f>
        <v>Exploração de jogos de sinuca, bilhar e similares</v>
      </c>
      <c r="K1292" t="s">
        <v>4187</v>
      </c>
      <c r="L1292">
        <f>IFERROR(VLOOKUP($K1292,Base_Atividades!$E$1:$N$2398,MATCH(BancoAjustado!L$1,Base_Atividades!$E$1:$N$1,0),FALSE),0)</f>
        <v>0</v>
      </c>
      <c r="M1292">
        <f>IFERROR(VLOOKUP($K1292,Base_Atividades!$E$1:$N$2398,MATCH(BancoAjustado!M$1,Base_Atividades!$E$1:$N$1,0),FALSE),0)</f>
        <v>0</v>
      </c>
      <c r="N1292">
        <f>IFERROR(VLOOKUP($K1292,Base_Atividades!$E$1:$N$2398,MATCH(BancoAjustado!N$1,Base_Atividades!$E$1:$N$1,0),FALSE),0)</f>
        <v>0</v>
      </c>
    </row>
    <row r="1293" spans="1:14" x14ac:dyDescent="0.25">
      <c r="A1293" t="s">
        <v>4139</v>
      </c>
      <c r="B1293" t="s">
        <v>4170</v>
      </c>
      <c r="C1293" t="s">
        <v>4181</v>
      </c>
      <c r="D1293" t="s">
        <v>4184</v>
      </c>
      <c r="E1293" t="s">
        <v>4188</v>
      </c>
      <c r="F1293" t="str">
        <f>VLOOKUP(A1293,Base!$A:$F,6,FALSE)</f>
        <v>ARTES, CULTURA, ESPORTE E RECREAÇÃO</v>
      </c>
      <c r="G1293" t="str">
        <f>VLOOKUP(B1293,Base!$B:$F,5,FALSE)</f>
        <v>ATIVIDADES ESPORTIVAS E DE RECREAÇÃO E LAZER</v>
      </c>
      <c r="H1293" t="str">
        <f>VLOOKUP(C1293,Base!$C:$F,4,FALSE)</f>
        <v>Atividades de recreação e lazer</v>
      </c>
      <c r="I1293" t="str">
        <f>VLOOKUP(D1293,Base!$D:$F,3,FALSE)</f>
        <v>Atividades de recreação e lazer não especificadas
anteriormente</v>
      </c>
      <c r="J1293" t="str">
        <f>VLOOKUP(E1293,Base!$E:$F,2,FALSE)</f>
        <v>Exploração de jogos eletrônicos recreativos</v>
      </c>
      <c r="K1293" t="s">
        <v>4188</v>
      </c>
      <c r="L1293">
        <f>IFERROR(VLOOKUP($K1293,Base_Atividades!$E$1:$N$2398,MATCH(BancoAjustado!L$1,Base_Atividades!$E$1:$N$1,0),FALSE),0)</f>
        <v>0</v>
      </c>
      <c r="M1293">
        <f>IFERROR(VLOOKUP($K1293,Base_Atividades!$E$1:$N$2398,MATCH(BancoAjustado!M$1,Base_Atividades!$E$1:$N$1,0),FALSE),0)</f>
        <v>0</v>
      </c>
      <c r="N1293">
        <f>IFERROR(VLOOKUP($K1293,Base_Atividades!$E$1:$N$2398,MATCH(BancoAjustado!N$1,Base_Atividades!$E$1:$N$1,0),FALSE),0)</f>
        <v>0</v>
      </c>
    </row>
    <row r="1294" spans="1:14" x14ac:dyDescent="0.25">
      <c r="A1294" t="s">
        <v>4139</v>
      </c>
      <c r="B1294" t="s">
        <v>4170</v>
      </c>
      <c r="C1294" t="s">
        <v>4181</v>
      </c>
      <c r="D1294" t="s">
        <v>4184</v>
      </c>
      <c r="E1294" t="s">
        <v>4189</v>
      </c>
      <c r="F1294" t="str">
        <f>VLOOKUP(A1294,Base!$A:$F,6,FALSE)</f>
        <v>ARTES, CULTURA, ESPORTE E RECREAÇÃO</v>
      </c>
      <c r="G1294" t="str">
        <f>VLOOKUP(B1294,Base!$B:$F,5,FALSE)</f>
        <v>ATIVIDADES ESPORTIVAS E DE RECREAÇÃO E LAZER</v>
      </c>
      <c r="H1294" t="str">
        <f>VLOOKUP(C1294,Base!$C:$F,4,FALSE)</f>
        <v>Atividades de recreação e lazer</v>
      </c>
      <c r="I1294" t="str">
        <f>VLOOKUP(D1294,Base!$D:$F,3,FALSE)</f>
        <v>Atividades de recreação e lazer não especificadas
anteriormente</v>
      </c>
      <c r="J1294" t="str">
        <f>VLOOKUP(E1294,Base!$E:$F,2,FALSE)</f>
        <v>Outras atividades de recreação e lazer não especificadas anteriormente</v>
      </c>
      <c r="K1294" t="s">
        <v>4189</v>
      </c>
      <c r="L1294">
        <f>IFERROR(VLOOKUP($K1294,Base_Atividades!$E$1:$N$2398,MATCH(BancoAjustado!L$1,Base_Atividades!$E$1:$N$1,0),FALSE),0)</f>
        <v>0</v>
      </c>
      <c r="M1294">
        <f>IFERROR(VLOOKUP($K1294,Base_Atividades!$E$1:$N$2398,MATCH(BancoAjustado!M$1,Base_Atividades!$E$1:$N$1,0),FALSE),0)</f>
        <v>0</v>
      </c>
      <c r="N1294">
        <f>IFERROR(VLOOKUP($K1294,Base_Atividades!$E$1:$N$2398,MATCH(BancoAjustado!N$1,Base_Atividades!$E$1:$N$1,0),FALSE),0)</f>
        <v>0</v>
      </c>
    </row>
    <row r="1295" spans="1:14" x14ac:dyDescent="0.25">
      <c r="A1295" t="s">
        <v>4190</v>
      </c>
      <c r="B1295">
        <v>94</v>
      </c>
      <c r="C1295" t="s">
        <v>4191</v>
      </c>
      <c r="D1295" t="s">
        <v>4192</v>
      </c>
      <c r="E1295" t="s">
        <v>4193</v>
      </c>
      <c r="F1295" t="str">
        <f>VLOOKUP(A1295,Base!$A:$F,6,FALSE)</f>
        <v>OUTRAS ATIVIDADES DE SERVIÇOS</v>
      </c>
      <c r="G1295" t="str">
        <f>VLOOKUP(B1295,Base!$B:$F,5,FALSE)</f>
        <v>ATIVIDADES DE ORGANIZAÇÕES ASSOCIATIVAS</v>
      </c>
      <c r="H1295" t="str">
        <f>VLOOKUP(C1295,Base!$C:$F,4,FALSE)</f>
        <v>Atividades de organizações associativas patronais, empresariais e profissionais</v>
      </c>
      <c r="I1295" t="str">
        <f>VLOOKUP(D1295,Base!$D:$F,3,FALSE)</f>
        <v>Atividades de organizações associativas patronais e empresariais</v>
      </c>
      <c r="J1295" t="str">
        <f>VLOOKUP(E1295,Base!$E:$F,2,FALSE)</f>
        <v>Atividades de organizações associativas patronais e empresariais</v>
      </c>
      <c r="K1295" t="s">
        <v>4193</v>
      </c>
      <c r="L1295">
        <f>IFERROR(VLOOKUP($K1295,Base_Atividades!$E$1:$N$2398,MATCH(BancoAjustado!L$1,Base_Atividades!$E$1:$N$1,0),FALSE),0)</f>
        <v>0</v>
      </c>
      <c r="M1295">
        <f>IFERROR(VLOOKUP($K1295,Base_Atividades!$E$1:$N$2398,MATCH(BancoAjustado!M$1,Base_Atividades!$E$1:$N$1,0),FALSE),0)</f>
        <v>0</v>
      </c>
      <c r="N1295">
        <f>IFERROR(VLOOKUP($K1295,Base_Atividades!$E$1:$N$2398,MATCH(BancoAjustado!N$1,Base_Atividades!$E$1:$N$1,0),FALSE),0)</f>
        <v>0</v>
      </c>
    </row>
    <row r="1296" spans="1:14" x14ac:dyDescent="0.25">
      <c r="A1296" t="s">
        <v>4190</v>
      </c>
      <c r="B1296">
        <v>94</v>
      </c>
      <c r="C1296" t="s">
        <v>4191</v>
      </c>
      <c r="D1296" t="s">
        <v>4194</v>
      </c>
      <c r="E1296" t="s">
        <v>4195</v>
      </c>
      <c r="F1296" t="str">
        <f>VLOOKUP(A1296,Base!$A:$F,6,FALSE)</f>
        <v>OUTRAS ATIVIDADES DE SERVIÇOS</v>
      </c>
      <c r="G1296" t="str">
        <f>VLOOKUP(B1296,Base!$B:$F,5,FALSE)</f>
        <v>ATIVIDADES DE ORGANIZAÇÕES ASSOCIATIVAS</v>
      </c>
      <c r="H1296" t="str">
        <f>VLOOKUP(C1296,Base!$C:$F,4,FALSE)</f>
        <v>Atividades de organizações associativas patronais, empresariais e profissionais</v>
      </c>
      <c r="I1296" t="str">
        <f>VLOOKUP(D1296,Base!$D:$F,3,FALSE)</f>
        <v>Atividades de organizações associativas profissionais</v>
      </c>
      <c r="J1296" t="str">
        <f>VLOOKUP(E1296,Base!$E:$F,2,FALSE)</f>
        <v>Atividades de fiscalização profissional</v>
      </c>
      <c r="K1296" t="s">
        <v>4195</v>
      </c>
      <c r="L1296">
        <f>IFERROR(VLOOKUP($K1296,Base_Atividades!$E$1:$N$2398,MATCH(BancoAjustado!L$1,Base_Atividades!$E$1:$N$1,0),FALSE),0)</f>
        <v>0</v>
      </c>
      <c r="M1296">
        <f>IFERROR(VLOOKUP($K1296,Base_Atividades!$E$1:$N$2398,MATCH(BancoAjustado!M$1,Base_Atividades!$E$1:$N$1,0),FALSE),0)</f>
        <v>0</v>
      </c>
      <c r="N1296">
        <f>IFERROR(VLOOKUP($K1296,Base_Atividades!$E$1:$N$2398,MATCH(BancoAjustado!N$1,Base_Atividades!$E$1:$N$1,0),FALSE),0)</f>
        <v>0</v>
      </c>
    </row>
    <row r="1297" spans="1:14" x14ac:dyDescent="0.25">
      <c r="A1297" t="s">
        <v>4190</v>
      </c>
      <c r="B1297">
        <v>94</v>
      </c>
      <c r="C1297" t="s">
        <v>4191</v>
      </c>
      <c r="D1297" t="s">
        <v>4194</v>
      </c>
      <c r="E1297" t="s">
        <v>4196</v>
      </c>
      <c r="F1297" t="str">
        <f>VLOOKUP(A1297,Base!$A:$F,6,FALSE)</f>
        <v>OUTRAS ATIVIDADES DE SERVIÇOS</v>
      </c>
      <c r="G1297" t="str">
        <f>VLOOKUP(B1297,Base!$B:$F,5,FALSE)</f>
        <v>ATIVIDADES DE ORGANIZAÇÕES ASSOCIATIVAS</v>
      </c>
      <c r="H1297" t="str">
        <f>VLOOKUP(C1297,Base!$C:$F,4,FALSE)</f>
        <v>Atividades de organizações associativas patronais, empresariais e profissionais</v>
      </c>
      <c r="I1297" t="str">
        <f>VLOOKUP(D1297,Base!$D:$F,3,FALSE)</f>
        <v>Atividades de organizações associativas profissionais</v>
      </c>
      <c r="J1297" t="str">
        <f>VLOOKUP(E1297,Base!$E:$F,2,FALSE)</f>
        <v>Outras atividades associativas profissionais</v>
      </c>
      <c r="K1297" t="s">
        <v>4196</v>
      </c>
      <c r="L1297">
        <f>IFERROR(VLOOKUP($K1297,Base_Atividades!$E$1:$N$2398,MATCH(BancoAjustado!L$1,Base_Atividades!$E$1:$N$1,0),FALSE),0)</f>
        <v>0</v>
      </c>
      <c r="M1297">
        <f>IFERROR(VLOOKUP($K1297,Base_Atividades!$E$1:$N$2398,MATCH(BancoAjustado!M$1,Base_Atividades!$E$1:$N$1,0),FALSE),0)</f>
        <v>0</v>
      </c>
      <c r="N1297">
        <f>IFERROR(VLOOKUP($K1297,Base_Atividades!$E$1:$N$2398,MATCH(BancoAjustado!N$1,Base_Atividades!$E$1:$N$1,0),FALSE),0)</f>
        <v>0</v>
      </c>
    </row>
    <row r="1298" spans="1:14" x14ac:dyDescent="0.25">
      <c r="A1298" t="s">
        <v>4190</v>
      </c>
      <c r="B1298">
        <v>94</v>
      </c>
      <c r="C1298" t="s">
        <v>4197</v>
      </c>
      <c r="D1298" t="s">
        <v>4198</v>
      </c>
      <c r="E1298" t="s">
        <v>4199</v>
      </c>
      <c r="F1298" t="str">
        <f>VLOOKUP(A1298,Base!$A:$F,6,FALSE)</f>
        <v>OUTRAS ATIVIDADES DE SERVIÇOS</v>
      </c>
      <c r="G1298" t="str">
        <f>VLOOKUP(B1298,Base!$B:$F,5,FALSE)</f>
        <v>ATIVIDADES DE ORGANIZAÇÕES ASSOCIATIVAS</v>
      </c>
      <c r="H1298" t="str">
        <f>VLOOKUP(C1298,Base!$C:$F,4,FALSE)</f>
        <v>Atividades de organizações sindicais</v>
      </c>
      <c r="I1298" t="str">
        <f>VLOOKUP(D1298,Base!$D:$F,3,FALSE)</f>
        <v>Atividades de organizações sindicais</v>
      </c>
      <c r="J1298" t="str">
        <f>VLOOKUP(E1298,Base!$E:$F,2,FALSE)</f>
        <v>Atividades de organizações sindicais</v>
      </c>
      <c r="K1298" t="s">
        <v>4199</v>
      </c>
      <c r="L1298">
        <f>IFERROR(VLOOKUP($K1298,Base_Atividades!$E$1:$N$2398,MATCH(BancoAjustado!L$1,Base_Atividades!$E$1:$N$1,0),FALSE),0)</f>
        <v>0</v>
      </c>
      <c r="M1298">
        <f>IFERROR(VLOOKUP($K1298,Base_Atividades!$E$1:$N$2398,MATCH(BancoAjustado!M$1,Base_Atividades!$E$1:$N$1,0),FALSE),0)</f>
        <v>0</v>
      </c>
      <c r="N1298">
        <f>IFERROR(VLOOKUP($K1298,Base_Atividades!$E$1:$N$2398,MATCH(BancoAjustado!N$1,Base_Atividades!$E$1:$N$1,0),FALSE),0)</f>
        <v>0</v>
      </c>
    </row>
    <row r="1299" spans="1:14" x14ac:dyDescent="0.25">
      <c r="A1299" t="s">
        <v>4190</v>
      </c>
      <c r="B1299">
        <v>94</v>
      </c>
      <c r="C1299" t="s">
        <v>4200</v>
      </c>
      <c r="D1299" t="s">
        <v>4201</v>
      </c>
      <c r="E1299" t="s">
        <v>4202</v>
      </c>
      <c r="F1299" t="str">
        <f>VLOOKUP(A1299,Base!$A:$F,6,FALSE)</f>
        <v>OUTRAS ATIVIDADES DE SERVIÇOS</v>
      </c>
      <c r="G1299" t="str">
        <f>VLOOKUP(B1299,Base!$B:$F,5,FALSE)</f>
        <v>ATIVIDADES DE ORGANIZAÇÕES ASSOCIATIVAS</v>
      </c>
      <c r="H1299" t="str">
        <f>VLOOKUP(C1299,Base!$C:$F,4,FALSE)</f>
        <v>Atividades de associações de defesa de direitos sociais</v>
      </c>
      <c r="I1299" t="str">
        <f>VLOOKUP(D1299,Base!$D:$F,3,FALSE)</f>
        <v>Atividades de associações de defesa de direitos sociais</v>
      </c>
      <c r="J1299" t="str">
        <f>VLOOKUP(E1299,Base!$E:$F,2,FALSE)</f>
        <v>Atividades de associações de defesa de direitos sociais</v>
      </c>
      <c r="K1299" t="s">
        <v>4202</v>
      </c>
      <c r="L1299">
        <f>IFERROR(VLOOKUP($K1299,Base_Atividades!$E$1:$N$2398,MATCH(BancoAjustado!L$1,Base_Atividades!$E$1:$N$1,0),FALSE),0)</f>
        <v>0</v>
      </c>
      <c r="M1299">
        <f>IFERROR(VLOOKUP($K1299,Base_Atividades!$E$1:$N$2398,MATCH(BancoAjustado!M$1,Base_Atividades!$E$1:$N$1,0),FALSE),0)</f>
        <v>0</v>
      </c>
      <c r="N1299">
        <f>IFERROR(VLOOKUP($K1299,Base_Atividades!$E$1:$N$2398,MATCH(BancoAjustado!N$1,Base_Atividades!$E$1:$N$1,0),FALSE),0)</f>
        <v>0</v>
      </c>
    </row>
    <row r="1300" spans="1:14" x14ac:dyDescent="0.25">
      <c r="A1300" t="s">
        <v>4190</v>
      </c>
      <c r="B1300">
        <v>94</v>
      </c>
      <c r="C1300" t="s">
        <v>4203</v>
      </c>
      <c r="D1300" t="s">
        <v>4204</v>
      </c>
      <c r="E1300" t="s">
        <v>4205</v>
      </c>
      <c r="F1300" t="str">
        <f>VLOOKUP(A1300,Base!$A:$F,6,FALSE)</f>
        <v>OUTRAS ATIVIDADES DE SERVIÇOS</v>
      </c>
      <c r="G1300" t="str">
        <f>VLOOKUP(B1300,Base!$B:$F,5,FALSE)</f>
        <v>ATIVIDADES DE ORGANIZAÇÕES ASSOCIATIVAS</v>
      </c>
      <c r="H1300" t="str">
        <f>VLOOKUP(C1300,Base!$C:$F,4,FALSE)</f>
        <v>Atividades de organizações associativas não especificadas anteriormente</v>
      </c>
      <c r="I1300" t="str">
        <f>VLOOKUP(D1300,Base!$D:$F,3,FALSE)</f>
        <v>Atividades de organizações religiosas</v>
      </c>
      <c r="J1300" t="str">
        <f>VLOOKUP(E1300,Base!$E:$F,2,FALSE)</f>
        <v>Atividades de organizações religiosas ou filosóficas</v>
      </c>
      <c r="K1300" t="s">
        <v>4205</v>
      </c>
      <c r="L1300">
        <f>IFERROR(VLOOKUP($K1300,Base_Atividades!$E$1:$N$2398,MATCH(BancoAjustado!L$1,Base_Atividades!$E$1:$N$1,0),FALSE),0)</f>
        <v>0</v>
      </c>
      <c r="M1300">
        <f>IFERROR(VLOOKUP($K1300,Base_Atividades!$E$1:$N$2398,MATCH(BancoAjustado!M$1,Base_Atividades!$E$1:$N$1,0),FALSE),0)</f>
        <v>0</v>
      </c>
      <c r="N1300">
        <f>IFERROR(VLOOKUP($K1300,Base_Atividades!$E$1:$N$2398,MATCH(BancoAjustado!N$1,Base_Atividades!$E$1:$N$1,0),FALSE),0)</f>
        <v>0</v>
      </c>
    </row>
    <row r="1301" spans="1:14" x14ac:dyDescent="0.25">
      <c r="A1301" t="s">
        <v>4190</v>
      </c>
      <c r="B1301">
        <v>94</v>
      </c>
      <c r="C1301" t="s">
        <v>4203</v>
      </c>
      <c r="D1301" t="s">
        <v>4206</v>
      </c>
      <c r="E1301" t="s">
        <v>4207</v>
      </c>
      <c r="F1301" t="str">
        <f>VLOOKUP(A1301,Base!$A:$F,6,FALSE)</f>
        <v>OUTRAS ATIVIDADES DE SERVIÇOS</v>
      </c>
      <c r="G1301" t="str">
        <f>VLOOKUP(B1301,Base!$B:$F,5,FALSE)</f>
        <v>ATIVIDADES DE ORGANIZAÇÕES ASSOCIATIVAS</v>
      </c>
      <c r="H1301" t="str">
        <f>VLOOKUP(C1301,Base!$C:$F,4,FALSE)</f>
        <v>Atividades de organizações associativas não especificadas anteriormente</v>
      </c>
      <c r="I1301" t="str">
        <f>VLOOKUP(D1301,Base!$D:$F,3,FALSE)</f>
        <v>Atividades de organizações políticas</v>
      </c>
      <c r="J1301" t="str">
        <f>VLOOKUP(E1301,Base!$E:$F,2,FALSE)</f>
        <v>Atividades de organizações políticas</v>
      </c>
      <c r="K1301" t="s">
        <v>4207</v>
      </c>
      <c r="L1301">
        <f>IFERROR(VLOOKUP($K1301,Base_Atividades!$E$1:$N$2398,MATCH(BancoAjustado!L$1,Base_Atividades!$E$1:$N$1,0),FALSE),0)</f>
        <v>0</v>
      </c>
      <c r="M1301">
        <f>IFERROR(VLOOKUP($K1301,Base_Atividades!$E$1:$N$2398,MATCH(BancoAjustado!M$1,Base_Atividades!$E$1:$N$1,0),FALSE),0)</f>
        <v>0</v>
      </c>
      <c r="N1301">
        <f>IFERROR(VLOOKUP($K1301,Base_Atividades!$E$1:$N$2398,MATCH(BancoAjustado!N$1,Base_Atividades!$E$1:$N$1,0),FALSE),0)</f>
        <v>0</v>
      </c>
    </row>
    <row r="1302" spans="1:14" x14ac:dyDescent="0.25">
      <c r="A1302" t="s">
        <v>4190</v>
      </c>
      <c r="B1302">
        <v>94</v>
      </c>
      <c r="C1302" t="s">
        <v>4203</v>
      </c>
      <c r="D1302" t="s">
        <v>4208</v>
      </c>
      <c r="E1302" t="s">
        <v>4209</v>
      </c>
      <c r="F1302" t="str">
        <f>VLOOKUP(A1302,Base!$A:$F,6,FALSE)</f>
        <v>OUTRAS ATIVIDADES DE SERVIÇOS</v>
      </c>
      <c r="G1302" t="str">
        <f>VLOOKUP(B1302,Base!$B:$F,5,FALSE)</f>
        <v>ATIVIDADES DE ORGANIZAÇÕES ASSOCIATIVAS</v>
      </c>
      <c r="H1302" t="str">
        <f>VLOOKUP(C1302,Base!$C:$F,4,FALSE)</f>
        <v>Atividades de organizações associativas não especificadas anteriormente</v>
      </c>
      <c r="I1302" t="str">
        <f>VLOOKUP(D1302,Base!$D:$F,3,FALSE)</f>
        <v>Atividades de organizações associativas ligadas à cultura
e à arte</v>
      </c>
      <c r="J1302" t="str">
        <f>VLOOKUP(E1302,Base!$E:$F,2,FALSE)</f>
        <v>Atividades de organizações associativas ligadas à cultura e à arte</v>
      </c>
      <c r="K1302" t="s">
        <v>4209</v>
      </c>
      <c r="L1302">
        <f>IFERROR(VLOOKUP($K1302,Base_Atividades!$E$1:$N$2398,MATCH(BancoAjustado!L$1,Base_Atividades!$E$1:$N$1,0),FALSE),0)</f>
        <v>0</v>
      </c>
      <c r="M1302">
        <f>IFERROR(VLOOKUP($K1302,Base_Atividades!$E$1:$N$2398,MATCH(BancoAjustado!M$1,Base_Atividades!$E$1:$N$1,0),FALSE),0)</f>
        <v>0</v>
      </c>
      <c r="N1302">
        <f>IFERROR(VLOOKUP($K1302,Base_Atividades!$E$1:$N$2398,MATCH(BancoAjustado!N$1,Base_Atividades!$E$1:$N$1,0),FALSE),0)</f>
        <v>0</v>
      </c>
    </row>
    <row r="1303" spans="1:14" x14ac:dyDescent="0.25">
      <c r="A1303" t="s">
        <v>4190</v>
      </c>
      <c r="B1303">
        <v>94</v>
      </c>
      <c r="C1303" t="s">
        <v>4203</v>
      </c>
      <c r="D1303" t="s">
        <v>4210</v>
      </c>
      <c r="E1303" t="s">
        <v>4211</v>
      </c>
      <c r="F1303" t="str">
        <f>VLOOKUP(A1303,Base!$A:$F,6,FALSE)</f>
        <v>OUTRAS ATIVIDADES DE SERVIÇOS</v>
      </c>
      <c r="G1303" t="str">
        <f>VLOOKUP(B1303,Base!$B:$F,5,FALSE)</f>
        <v>ATIVIDADES DE ORGANIZAÇÕES ASSOCIATIVAS</v>
      </c>
      <c r="H1303" t="str">
        <f>VLOOKUP(C1303,Base!$C:$F,4,FALSE)</f>
        <v>Atividades de organizações associativas não especificadas anteriormente</v>
      </c>
      <c r="I1303" t="str">
        <f>VLOOKUP(D1303,Base!$D:$F,3,FALSE)</f>
        <v>Atividades associativas não especificadas anteriormente</v>
      </c>
      <c r="J1303" t="str">
        <f>VLOOKUP(E1303,Base!$E:$F,2,FALSE)</f>
        <v>Atividades associativas não especificadas anteriormente</v>
      </c>
      <c r="K1303" t="s">
        <v>4211</v>
      </c>
      <c r="L1303">
        <f>IFERROR(VLOOKUP($K1303,Base_Atividades!$E$1:$N$2398,MATCH(BancoAjustado!L$1,Base_Atividades!$E$1:$N$1,0),FALSE),0)</f>
        <v>0</v>
      </c>
      <c r="M1303">
        <f>IFERROR(VLOOKUP($K1303,Base_Atividades!$E$1:$N$2398,MATCH(BancoAjustado!M$1,Base_Atividades!$E$1:$N$1,0),FALSE),0)</f>
        <v>0</v>
      </c>
      <c r="N1303">
        <f>IFERROR(VLOOKUP($K1303,Base_Atividades!$E$1:$N$2398,MATCH(BancoAjustado!N$1,Base_Atividades!$E$1:$N$1,0),FALSE),0)</f>
        <v>0</v>
      </c>
    </row>
    <row r="1304" spans="1:14" x14ac:dyDescent="0.25">
      <c r="A1304" t="s">
        <v>4190</v>
      </c>
      <c r="B1304">
        <v>95</v>
      </c>
      <c r="C1304" t="s">
        <v>4212</v>
      </c>
      <c r="D1304" t="s">
        <v>4213</v>
      </c>
      <c r="E1304" t="s">
        <v>4214</v>
      </c>
      <c r="F1304" t="str">
        <f>VLOOKUP(A1304,Base!$A:$F,6,FALSE)</f>
        <v>OUTRAS ATIVIDADES DE SERVIÇOS</v>
      </c>
      <c r="G1304" t="str">
        <f>VLOOKUP(B1304,Base!$B:$F,5,FALSE)</f>
        <v>REPARAÇÃO E MANUTENÇÃO DE EQUIPAMENTOS DE INFORMÁTICA E COMUNICAÇÃO E DE OBJETOS PESSOAIS E DOMÉSTICOS</v>
      </c>
      <c r="H1304" t="str">
        <f>VLOOKUP(C1304,Base!$C:$F,4,FALSE)</f>
        <v>Reparação e manutenção de equipamentos de informática e comunicação</v>
      </c>
      <c r="I1304" t="str">
        <f>VLOOKUP(D1304,Base!$D:$F,3,FALSE)</f>
        <v>Reparação e manutenção de computadores e de equipamentos periféricos</v>
      </c>
      <c r="J1304" t="str">
        <f>VLOOKUP(E1304,Base!$E:$F,2,FALSE)</f>
        <v>Reparação e manutenção de computadores e de equipamentos periféricos</v>
      </c>
      <c r="K1304" t="s">
        <v>4214</v>
      </c>
      <c r="L1304">
        <f>IFERROR(VLOOKUP($K1304,Base_Atividades!$E$1:$N$2398,MATCH(BancoAjustado!L$1,Base_Atividades!$E$1:$N$1,0),FALSE),0)</f>
        <v>1</v>
      </c>
      <c r="M1304">
        <f>IFERROR(VLOOKUP($K1304,Base_Atividades!$E$1:$N$2398,MATCH(BancoAjustado!M$1,Base_Atividades!$E$1:$N$1,0),FALSE),0)</f>
        <v>0</v>
      </c>
      <c r="N1304">
        <f>IFERROR(VLOOKUP($K1304,Base_Atividades!$E$1:$N$2398,MATCH(BancoAjustado!N$1,Base_Atividades!$E$1:$N$1,0),FALSE),0)</f>
        <v>0</v>
      </c>
    </row>
    <row r="1305" spans="1:14" x14ac:dyDescent="0.25">
      <c r="A1305" t="s">
        <v>4190</v>
      </c>
      <c r="B1305">
        <v>95</v>
      </c>
      <c r="C1305" t="s">
        <v>4212</v>
      </c>
      <c r="D1305" t="s">
        <v>4215</v>
      </c>
      <c r="E1305" t="s">
        <v>4216</v>
      </c>
      <c r="F1305" t="str">
        <f>VLOOKUP(A1305,Base!$A:$F,6,FALSE)</f>
        <v>OUTRAS ATIVIDADES DE SERVIÇOS</v>
      </c>
      <c r="G1305" t="str">
        <f>VLOOKUP(B1305,Base!$B:$F,5,FALSE)</f>
        <v>REPARAÇÃO E MANUTENÇÃO DE EQUIPAMENTOS DE INFORMÁTICA E COMUNICAÇÃO E DE OBJETOS PESSOAIS E DOMÉSTICOS</v>
      </c>
      <c r="H1305" t="str">
        <f>VLOOKUP(C1305,Base!$C:$F,4,FALSE)</f>
        <v>Reparação e manutenção de equipamentos de informática e comunicação</v>
      </c>
      <c r="I1305" t="str">
        <f>VLOOKUP(D1305,Base!$D:$F,3,FALSE)</f>
        <v>Reparação e manutenção de equipamentos de comunicação</v>
      </c>
      <c r="J1305" t="str">
        <f>VLOOKUP(E1305,Base!$E:$F,2,FALSE)</f>
        <v>Reparação e manutenção de equipamentos de comunicação</v>
      </c>
      <c r="K1305" t="s">
        <v>4216</v>
      </c>
      <c r="L1305">
        <f>IFERROR(VLOOKUP($K1305,Base_Atividades!$E$1:$N$2398,MATCH(BancoAjustado!L$1,Base_Atividades!$E$1:$N$1,0),FALSE),0)</f>
        <v>1</v>
      </c>
      <c r="M1305">
        <f>IFERROR(VLOOKUP($K1305,Base_Atividades!$E$1:$N$2398,MATCH(BancoAjustado!M$1,Base_Atividades!$E$1:$N$1,0),FALSE),0)</f>
        <v>0</v>
      </c>
      <c r="N1305">
        <f>IFERROR(VLOOKUP($K1305,Base_Atividades!$E$1:$N$2398,MATCH(BancoAjustado!N$1,Base_Atividades!$E$1:$N$1,0),FALSE),0)</f>
        <v>0</v>
      </c>
    </row>
    <row r="1306" spans="1:14" x14ac:dyDescent="0.25">
      <c r="A1306" t="s">
        <v>4190</v>
      </c>
      <c r="B1306">
        <v>95</v>
      </c>
      <c r="C1306" t="s">
        <v>4217</v>
      </c>
      <c r="D1306" t="s">
        <v>4218</v>
      </c>
      <c r="E1306" t="s">
        <v>4219</v>
      </c>
      <c r="F1306" t="str">
        <f>VLOOKUP(A1306,Base!$A:$F,6,FALSE)</f>
        <v>OUTRAS ATIVIDADES DE SERVIÇOS</v>
      </c>
      <c r="G1306" t="str">
        <f>VLOOKUP(B1306,Base!$B:$F,5,FALSE)</f>
        <v>REPARAÇÃO E MANUTENÇÃO DE EQUIPAMENTOS DE INFORMÁTICA E COMUNICAÇÃO E DE OBJETOS PESSOAIS E DOMÉSTICOS</v>
      </c>
      <c r="H1306" t="str">
        <f>VLOOKUP(C1306,Base!$C:$F,4,FALSE)</f>
        <v>Reparação e manutenção de objetos e equipamentos pessoais e domésticos</v>
      </c>
      <c r="I1306" t="str">
        <f>VLOOKUP(D1306,Base!$D:$F,3,FALSE)</f>
        <v>Reparação e manutenção de equipamentos eletroeletrônicos de uso pessoal e doméstico</v>
      </c>
      <c r="J1306" t="str">
        <f>VLOOKUP(E1306,Base!$E:$F,2,FALSE)</f>
        <v>Reparação e manutenção de equipamentos eletroeletrônicos de uso pessoal e doméstico</v>
      </c>
      <c r="K1306" t="s">
        <v>4219</v>
      </c>
      <c r="L1306">
        <f>IFERROR(VLOOKUP($K1306,Base_Atividades!$E$1:$N$2398,MATCH(BancoAjustado!L$1,Base_Atividades!$E$1:$N$1,0),FALSE),0)</f>
        <v>1</v>
      </c>
      <c r="M1306">
        <f>IFERROR(VLOOKUP($K1306,Base_Atividades!$E$1:$N$2398,MATCH(BancoAjustado!M$1,Base_Atividades!$E$1:$N$1,0),FALSE),0)</f>
        <v>0</v>
      </c>
      <c r="N1306">
        <f>IFERROR(VLOOKUP($K1306,Base_Atividades!$E$1:$N$2398,MATCH(BancoAjustado!N$1,Base_Atividades!$E$1:$N$1,0),FALSE),0)</f>
        <v>0</v>
      </c>
    </row>
    <row r="1307" spans="1:14" x14ac:dyDescent="0.25">
      <c r="A1307" t="s">
        <v>4190</v>
      </c>
      <c r="B1307">
        <v>95</v>
      </c>
      <c r="C1307" t="s">
        <v>4217</v>
      </c>
      <c r="D1307" t="s">
        <v>4220</v>
      </c>
      <c r="E1307" t="s">
        <v>4221</v>
      </c>
      <c r="F1307" t="str">
        <f>VLOOKUP(A1307,Base!$A:$F,6,FALSE)</f>
        <v>OUTRAS ATIVIDADES DE SERVIÇOS</v>
      </c>
      <c r="G1307" t="str">
        <f>VLOOKUP(B1307,Base!$B:$F,5,FALSE)</f>
        <v>REPARAÇÃO E MANUTENÇÃO DE EQUIPAMENTOS DE INFORMÁTICA E COMUNICAÇÃO E DE OBJETOS PESSOAIS E DOMÉSTICOS</v>
      </c>
      <c r="H1307" t="str">
        <f>VLOOKUP(C1307,Base!$C:$F,4,FALSE)</f>
        <v>Reparação e manutenção de objetos e equipamentos pessoais e domésticos</v>
      </c>
      <c r="I1307" t="str">
        <f>VLOOKUP(D1307,Base!$D:$F,3,FALSE)</f>
        <v>Reparação e manutenção de objetos e equipamentos pessoais e domésticos não especificados anteriormente</v>
      </c>
      <c r="J1307" t="str">
        <f>VLOOKUP(E1307,Base!$E:$F,2,FALSE)</f>
        <v>Reparação de calçados, bolsas e artigos de viagem</v>
      </c>
      <c r="K1307" t="s">
        <v>4221</v>
      </c>
      <c r="L1307">
        <f>IFERROR(VLOOKUP($K1307,Base_Atividades!$E$1:$N$2398,MATCH(BancoAjustado!L$1,Base_Atividades!$E$1:$N$1,0),FALSE),0)</f>
        <v>1</v>
      </c>
      <c r="M1307">
        <f>IFERROR(VLOOKUP($K1307,Base_Atividades!$E$1:$N$2398,MATCH(BancoAjustado!M$1,Base_Atividades!$E$1:$N$1,0),FALSE),0)</f>
        <v>0</v>
      </c>
      <c r="N1307">
        <f>IFERROR(VLOOKUP($K1307,Base_Atividades!$E$1:$N$2398,MATCH(BancoAjustado!N$1,Base_Atividades!$E$1:$N$1,0),FALSE),0)</f>
        <v>0</v>
      </c>
    </row>
    <row r="1308" spans="1:14" x14ac:dyDescent="0.25">
      <c r="A1308" t="s">
        <v>4190</v>
      </c>
      <c r="B1308">
        <v>95</v>
      </c>
      <c r="C1308" t="s">
        <v>4217</v>
      </c>
      <c r="D1308" t="s">
        <v>4220</v>
      </c>
      <c r="E1308" t="s">
        <v>4222</v>
      </c>
      <c r="F1308" t="str">
        <f>VLOOKUP(A1308,Base!$A:$F,6,FALSE)</f>
        <v>OUTRAS ATIVIDADES DE SERVIÇOS</v>
      </c>
      <c r="G1308" t="str">
        <f>VLOOKUP(B1308,Base!$B:$F,5,FALSE)</f>
        <v>REPARAÇÃO E MANUTENÇÃO DE EQUIPAMENTOS DE INFORMÁTICA E COMUNICAÇÃO E DE OBJETOS PESSOAIS E DOMÉSTICOS</v>
      </c>
      <c r="H1308" t="str">
        <f>VLOOKUP(C1308,Base!$C:$F,4,FALSE)</f>
        <v>Reparação e manutenção de objetos e equipamentos pessoais e domésticos</v>
      </c>
      <c r="I1308" t="str">
        <f>VLOOKUP(D1308,Base!$D:$F,3,FALSE)</f>
        <v>Reparação e manutenção de objetos e equipamentos pessoais e domésticos não especificados anteriormente</v>
      </c>
      <c r="J1308" t="str">
        <f>VLOOKUP(E1308,Base!$E:$F,2,FALSE)</f>
        <v>Chaveiros</v>
      </c>
      <c r="K1308" t="s">
        <v>4222</v>
      </c>
      <c r="L1308">
        <f>IFERROR(VLOOKUP($K1308,Base_Atividades!$E$1:$N$2398,MATCH(BancoAjustado!L$1,Base_Atividades!$E$1:$N$1,0),FALSE),0)</f>
        <v>1</v>
      </c>
      <c r="M1308">
        <f>IFERROR(VLOOKUP($K1308,Base_Atividades!$E$1:$N$2398,MATCH(BancoAjustado!M$1,Base_Atividades!$E$1:$N$1,0),FALSE),0)</f>
        <v>0</v>
      </c>
      <c r="N1308">
        <f>IFERROR(VLOOKUP($K1308,Base_Atividades!$E$1:$N$2398,MATCH(BancoAjustado!N$1,Base_Atividades!$E$1:$N$1,0),FALSE),0)</f>
        <v>0</v>
      </c>
    </row>
    <row r="1309" spans="1:14" x14ac:dyDescent="0.25">
      <c r="A1309" t="s">
        <v>4190</v>
      </c>
      <c r="B1309">
        <v>95</v>
      </c>
      <c r="C1309" t="s">
        <v>4217</v>
      </c>
      <c r="D1309" t="s">
        <v>4220</v>
      </c>
      <c r="E1309" t="s">
        <v>4223</v>
      </c>
      <c r="F1309" t="str">
        <f>VLOOKUP(A1309,Base!$A:$F,6,FALSE)</f>
        <v>OUTRAS ATIVIDADES DE SERVIÇOS</v>
      </c>
      <c r="G1309" t="str">
        <f>VLOOKUP(B1309,Base!$B:$F,5,FALSE)</f>
        <v>REPARAÇÃO E MANUTENÇÃO DE EQUIPAMENTOS DE INFORMÁTICA E COMUNICAÇÃO E DE OBJETOS PESSOAIS E DOMÉSTICOS</v>
      </c>
      <c r="H1309" t="str">
        <f>VLOOKUP(C1309,Base!$C:$F,4,FALSE)</f>
        <v>Reparação e manutenção de objetos e equipamentos pessoais e domésticos</v>
      </c>
      <c r="I1309" t="str">
        <f>VLOOKUP(D1309,Base!$D:$F,3,FALSE)</f>
        <v>Reparação e manutenção de objetos e equipamentos pessoais e domésticos não especificados anteriormente</v>
      </c>
      <c r="J1309" t="str">
        <f>VLOOKUP(E1309,Base!$E:$F,2,FALSE)</f>
        <v>Reparação de relógios</v>
      </c>
      <c r="K1309" t="s">
        <v>4223</v>
      </c>
      <c r="L1309">
        <f>IFERROR(VLOOKUP($K1309,Base_Atividades!$E$1:$N$2398,MATCH(BancoAjustado!L$1,Base_Atividades!$E$1:$N$1,0),FALSE),0)</f>
        <v>1</v>
      </c>
      <c r="M1309">
        <f>IFERROR(VLOOKUP($K1309,Base_Atividades!$E$1:$N$2398,MATCH(BancoAjustado!M$1,Base_Atividades!$E$1:$N$1,0),FALSE),0)</f>
        <v>0</v>
      </c>
      <c r="N1309">
        <f>IFERROR(VLOOKUP($K1309,Base_Atividades!$E$1:$N$2398,MATCH(BancoAjustado!N$1,Base_Atividades!$E$1:$N$1,0),FALSE),0)</f>
        <v>0</v>
      </c>
    </row>
    <row r="1310" spans="1:14" x14ac:dyDescent="0.25">
      <c r="A1310" t="s">
        <v>4190</v>
      </c>
      <c r="B1310">
        <v>95</v>
      </c>
      <c r="C1310" t="s">
        <v>4217</v>
      </c>
      <c r="D1310" t="s">
        <v>4220</v>
      </c>
      <c r="E1310" t="s">
        <v>4224</v>
      </c>
      <c r="F1310" t="str">
        <f>VLOOKUP(A1310,Base!$A:$F,6,FALSE)</f>
        <v>OUTRAS ATIVIDADES DE SERVIÇOS</v>
      </c>
      <c r="G1310" t="str">
        <f>VLOOKUP(B1310,Base!$B:$F,5,FALSE)</f>
        <v>REPARAÇÃO E MANUTENÇÃO DE EQUIPAMENTOS DE INFORMÁTICA E COMUNICAÇÃO E DE OBJETOS PESSOAIS E DOMÉSTICOS</v>
      </c>
      <c r="H1310" t="str">
        <f>VLOOKUP(C1310,Base!$C:$F,4,FALSE)</f>
        <v>Reparação e manutenção de objetos e equipamentos pessoais e domésticos</v>
      </c>
      <c r="I1310" t="str">
        <f>VLOOKUP(D1310,Base!$D:$F,3,FALSE)</f>
        <v>Reparação e manutenção de objetos e equipamentos pessoais e domésticos não especificados anteriormente</v>
      </c>
      <c r="J1310" t="str">
        <f>VLOOKUP(E1310,Base!$E:$F,2,FALSE)</f>
        <v>Reparação de bicicletas, triciclos e outros veículos não motorizados</v>
      </c>
      <c r="K1310" t="s">
        <v>4224</v>
      </c>
      <c r="L1310">
        <f>IFERROR(VLOOKUP($K1310,Base_Atividades!$E$1:$N$2398,MATCH(BancoAjustado!L$1,Base_Atividades!$E$1:$N$1,0),FALSE),0)</f>
        <v>1</v>
      </c>
      <c r="M1310">
        <f>IFERROR(VLOOKUP($K1310,Base_Atividades!$E$1:$N$2398,MATCH(BancoAjustado!M$1,Base_Atividades!$E$1:$N$1,0),FALSE),0)</f>
        <v>0</v>
      </c>
      <c r="N1310">
        <f>IFERROR(VLOOKUP($K1310,Base_Atividades!$E$1:$N$2398,MATCH(BancoAjustado!N$1,Base_Atividades!$E$1:$N$1,0),FALSE),0)</f>
        <v>0</v>
      </c>
    </row>
    <row r="1311" spans="1:14" x14ac:dyDescent="0.25">
      <c r="A1311" t="s">
        <v>4190</v>
      </c>
      <c r="B1311">
        <v>95</v>
      </c>
      <c r="C1311" t="s">
        <v>4217</v>
      </c>
      <c r="D1311" t="s">
        <v>4220</v>
      </c>
      <c r="E1311" t="s">
        <v>4225</v>
      </c>
      <c r="F1311" t="str">
        <f>VLOOKUP(A1311,Base!$A:$F,6,FALSE)</f>
        <v>OUTRAS ATIVIDADES DE SERVIÇOS</v>
      </c>
      <c r="G1311" t="str">
        <f>VLOOKUP(B1311,Base!$B:$F,5,FALSE)</f>
        <v>REPARAÇÃO E MANUTENÇÃO DE EQUIPAMENTOS DE INFORMÁTICA E COMUNICAÇÃO E DE OBJETOS PESSOAIS E DOMÉSTICOS</v>
      </c>
      <c r="H1311" t="str">
        <f>VLOOKUP(C1311,Base!$C:$F,4,FALSE)</f>
        <v>Reparação e manutenção de objetos e equipamentos pessoais e domésticos</v>
      </c>
      <c r="I1311" t="str">
        <f>VLOOKUP(D1311,Base!$D:$F,3,FALSE)</f>
        <v>Reparação e manutenção de objetos e equipamentos pessoais e domésticos não especificados anteriormente</v>
      </c>
      <c r="J1311" t="str">
        <f>VLOOKUP(E1311,Base!$E:$F,2,FALSE)</f>
        <v>Reparação de artigos do mobiliário</v>
      </c>
      <c r="K1311" t="s">
        <v>4225</v>
      </c>
      <c r="L1311">
        <f>IFERROR(VLOOKUP($K1311,Base_Atividades!$E$1:$N$2398,MATCH(BancoAjustado!L$1,Base_Atividades!$E$1:$N$1,0),FALSE),0)</f>
        <v>1</v>
      </c>
      <c r="M1311">
        <f>IFERROR(VLOOKUP($K1311,Base_Atividades!$E$1:$N$2398,MATCH(BancoAjustado!M$1,Base_Atividades!$E$1:$N$1,0),FALSE),0)</f>
        <v>0</v>
      </c>
      <c r="N1311">
        <f>IFERROR(VLOOKUP($K1311,Base_Atividades!$E$1:$N$2398,MATCH(BancoAjustado!N$1,Base_Atividades!$E$1:$N$1,0),FALSE),0)</f>
        <v>0</v>
      </c>
    </row>
    <row r="1312" spans="1:14" x14ac:dyDescent="0.25">
      <c r="A1312" t="s">
        <v>4190</v>
      </c>
      <c r="B1312">
        <v>95</v>
      </c>
      <c r="C1312" t="s">
        <v>4217</v>
      </c>
      <c r="D1312" t="s">
        <v>4220</v>
      </c>
      <c r="E1312" t="s">
        <v>4226</v>
      </c>
      <c r="F1312" t="str">
        <f>VLOOKUP(A1312,Base!$A:$F,6,FALSE)</f>
        <v>OUTRAS ATIVIDADES DE SERVIÇOS</v>
      </c>
      <c r="G1312" t="str">
        <f>VLOOKUP(B1312,Base!$B:$F,5,FALSE)</f>
        <v>REPARAÇÃO E MANUTENÇÃO DE EQUIPAMENTOS DE INFORMÁTICA E COMUNICAÇÃO E DE OBJETOS PESSOAIS E DOMÉSTICOS</v>
      </c>
      <c r="H1312" t="str">
        <f>VLOOKUP(C1312,Base!$C:$F,4,FALSE)</f>
        <v>Reparação e manutenção de objetos e equipamentos pessoais e domésticos</v>
      </c>
      <c r="I1312" t="str">
        <f>VLOOKUP(D1312,Base!$D:$F,3,FALSE)</f>
        <v>Reparação e manutenção de objetos e equipamentos pessoais e domésticos não especificados anteriormente</v>
      </c>
      <c r="J1312" t="str">
        <f>VLOOKUP(E1312,Base!$E:$F,2,FALSE)</f>
        <v>Reparação de jóias</v>
      </c>
      <c r="K1312" t="s">
        <v>4226</v>
      </c>
      <c r="L1312">
        <f>IFERROR(VLOOKUP($K1312,Base_Atividades!$E$1:$N$2398,MATCH(BancoAjustado!L$1,Base_Atividades!$E$1:$N$1,0),FALSE),0)</f>
        <v>1</v>
      </c>
      <c r="M1312">
        <f>IFERROR(VLOOKUP($K1312,Base_Atividades!$E$1:$N$2398,MATCH(BancoAjustado!M$1,Base_Atividades!$E$1:$N$1,0),FALSE),0)</f>
        <v>0</v>
      </c>
      <c r="N1312">
        <f>IFERROR(VLOOKUP($K1312,Base_Atividades!$E$1:$N$2398,MATCH(BancoAjustado!N$1,Base_Atividades!$E$1:$N$1,0),FALSE),0)</f>
        <v>0</v>
      </c>
    </row>
    <row r="1313" spans="1:14" x14ac:dyDescent="0.25">
      <c r="A1313" t="s">
        <v>4190</v>
      </c>
      <c r="B1313">
        <v>95</v>
      </c>
      <c r="C1313" t="s">
        <v>4217</v>
      </c>
      <c r="D1313" t="s">
        <v>4220</v>
      </c>
      <c r="E1313" t="s">
        <v>4227</v>
      </c>
      <c r="F1313" t="str">
        <f>VLOOKUP(A1313,Base!$A:$F,6,FALSE)</f>
        <v>OUTRAS ATIVIDADES DE SERVIÇOS</v>
      </c>
      <c r="G1313" t="str">
        <f>VLOOKUP(B1313,Base!$B:$F,5,FALSE)</f>
        <v>REPARAÇÃO E MANUTENÇÃO DE EQUIPAMENTOS DE INFORMÁTICA E COMUNICAÇÃO E DE OBJETOS PESSOAIS E DOMÉSTICOS</v>
      </c>
      <c r="H1313" t="str">
        <f>VLOOKUP(C1313,Base!$C:$F,4,FALSE)</f>
        <v>Reparação e manutenção de objetos e equipamentos pessoais e domésticos</v>
      </c>
      <c r="I1313" t="str">
        <f>VLOOKUP(D1313,Base!$D:$F,3,FALSE)</f>
        <v>Reparação e manutenção de objetos e equipamentos pessoais e domésticos não especificados anteriormente</v>
      </c>
      <c r="J1313" t="str">
        <f>VLOOKUP(E1313,Base!$E:$F,2,FALSE)</f>
        <v>Reparação e manutenção de outros objetos e equipamentos pessoais e domésticos não especificados anteriormente</v>
      </c>
      <c r="K1313" t="s">
        <v>4227</v>
      </c>
      <c r="L1313">
        <f>IFERROR(VLOOKUP($K1313,Base_Atividades!$E$1:$N$2398,MATCH(BancoAjustado!L$1,Base_Atividades!$E$1:$N$1,0),FALSE),0)</f>
        <v>1</v>
      </c>
      <c r="M1313">
        <f>IFERROR(VLOOKUP($K1313,Base_Atividades!$E$1:$N$2398,MATCH(BancoAjustado!M$1,Base_Atividades!$E$1:$N$1,0),FALSE),0)</f>
        <v>0</v>
      </c>
      <c r="N1313">
        <f>IFERROR(VLOOKUP($K1313,Base_Atividades!$E$1:$N$2398,MATCH(BancoAjustado!N$1,Base_Atividades!$E$1:$N$1,0),FALSE),0)</f>
        <v>0</v>
      </c>
    </row>
    <row r="1314" spans="1:14" x14ac:dyDescent="0.25">
      <c r="A1314" t="s">
        <v>4190</v>
      </c>
      <c r="B1314" t="s">
        <v>4228</v>
      </c>
      <c r="C1314" t="s">
        <v>4229</v>
      </c>
      <c r="D1314" t="s">
        <v>4230</v>
      </c>
      <c r="E1314" t="s">
        <v>4231</v>
      </c>
      <c r="F1314" t="str">
        <f>VLOOKUP(A1314,Base!$A:$F,6,FALSE)</f>
        <v>OUTRAS ATIVIDADES DE SERVIÇOS</v>
      </c>
      <c r="G1314" t="str">
        <f>VLOOKUP(B1314,Base!$B:$F,5,FALSE)</f>
        <v>OUTRAS ATIVIDADES DE SERVIÇOS PESSOAIS</v>
      </c>
      <c r="H1314" t="str">
        <f>VLOOKUP(C1314,Base!$C:$F,4,FALSE)</f>
        <v>Outras atividades de serviços pessoais</v>
      </c>
      <c r="I1314" t="str">
        <f>VLOOKUP(D1314,Base!$D:$F,3,FALSE)</f>
        <v>Lavanderias, tinturarias e toalheiros</v>
      </c>
      <c r="J1314" t="str">
        <f>VLOOKUP(E1314,Base!$E:$F,2,FALSE)</f>
        <v>Lavanderias</v>
      </c>
      <c r="K1314" t="s">
        <v>4231</v>
      </c>
      <c r="L1314">
        <f>IFERROR(VLOOKUP($K1314,Base_Atividades!$E$1:$N$2398,MATCH(BancoAjustado!L$1,Base_Atividades!$E$1:$N$1,0),FALSE),0)</f>
        <v>0</v>
      </c>
      <c r="M1314">
        <f>IFERROR(VLOOKUP($K1314,Base_Atividades!$E$1:$N$2398,MATCH(BancoAjustado!M$1,Base_Atividades!$E$1:$N$1,0),FALSE),0)</f>
        <v>0</v>
      </c>
      <c r="N1314">
        <f>IFERROR(VLOOKUP($K1314,Base_Atividades!$E$1:$N$2398,MATCH(BancoAjustado!N$1,Base_Atividades!$E$1:$N$1,0),FALSE),0)</f>
        <v>0</v>
      </c>
    </row>
    <row r="1315" spans="1:14" x14ac:dyDescent="0.25">
      <c r="A1315" t="s">
        <v>4190</v>
      </c>
      <c r="B1315" t="s">
        <v>4228</v>
      </c>
      <c r="C1315" t="s">
        <v>4229</v>
      </c>
      <c r="D1315" t="s">
        <v>4230</v>
      </c>
      <c r="E1315" t="s">
        <v>4232</v>
      </c>
      <c r="F1315" t="str">
        <f>VLOOKUP(A1315,Base!$A:$F,6,FALSE)</f>
        <v>OUTRAS ATIVIDADES DE SERVIÇOS</v>
      </c>
      <c r="G1315" t="str">
        <f>VLOOKUP(B1315,Base!$B:$F,5,FALSE)</f>
        <v>OUTRAS ATIVIDADES DE SERVIÇOS PESSOAIS</v>
      </c>
      <c r="H1315" t="str">
        <f>VLOOKUP(C1315,Base!$C:$F,4,FALSE)</f>
        <v>Outras atividades de serviços pessoais</v>
      </c>
      <c r="I1315" t="str">
        <f>VLOOKUP(D1315,Base!$D:$F,3,FALSE)</f>
        <v>Lavanderias, tinturarias e toalheiros</v>
      </c>
      <c r="J1315" t="str">
        <f>VLOOKUP(E1315,Base!$E:$F,2,FALSE)</f>
        <v>Tinturarias</v>
      </c>
      <c r="K1315" t="s">
        <v>4232</v>
      </c>
      <c r="L1315">
        <f>IFERROR(VLOOKUP($K1315,Base_Atividades!$E$1:$N$2398,MATCH(BancoAjustado!L$1,Base_Atividades!$E$1:$N$1,0),FALSE),0)</f>
        <v>0</v>
      </c>
      <c r="M1315">
        <f>IFERROR(VLOOKUP($K1315,Base_Atividades!$E$1:$N$2398,MATCH(BancoAjustado!M$1,Base_Atividades!$E$1:$N$1,0),FALSE),0)</f>
        <v>0</v>
      </c>
      <c r="N1315">
        <f>IFERROR(VLOOKUP($K1315,Base_Atividades!$E$1:$N$2398,MATCH(BancoAjustado!N$1,Base_Atividades!$E$1:$N$1,0),FALSE),0)</f>
        <v>0</v>
      </c>
    </row>
    <row r="1316" spans="1:14" x14ac:dyDescent="0.25">
      <c r="A1316" t="s">
        <v>4190</v>
      </c>
      <c r="B1316" t="s">
        <v>4228</v>
      </c>
      <c r="C1316" t="s">
        <v>4229</v>
      </c>
      <c r="D1316" t="s">
        <v>4230</v>
      </c>
      <c r="E1316" t="s">
        <v>4233</v>
      </c>
      <c r="F1316" t="str">
        <f>VLOOKUP(A1316,Base!$A:$F,6,FALSE)</f>
        <v>OUTRAS ATIVIDADES DE SERVIÇOS</v>
      </c>
      <c r="G1316" t="str">
        <f>VLOOKUP(B1316,Base!$B:$F,5,FALSE)</f>
        <v>OUTRAS ATIVIDADES DE SERVIÇOS PESSOAIS</v>
      </c>
      <c r="H1316" t="str">
        <f>VLOOKUP(C1316,Base!$C:$F,4,FALSE)</f>
        <v>Outras atividades de serviços pessoais</v>
      </c>
      <c r="I1316" t="str">
        <f>VLOOKUP(D1316,Base!$D:$F,3,FALSE)</f>
        <v>Lavanderias, tinturarias e toalheiros</v>
      </c>
      <c r="J1316" t="str">
        <f>VLOOKUP(E1316,Base!$E:$F,2,FALSE)</f>
        <v>Toalheiros</v>
      </c>
      <c r="K1316" t="s">
        <v>4233</v>
      </c>
      <c r="L1316">
        <f>IFERROR(VLOOKUP($K1316,Base_Atividades!$E$1:$N$2398,MATCH(BancoAjustado!L$1,Base_Atividades!$E$1:$N$1,0),FALSE),0)</f>
        <v>0</v>
      </c>
      <c r="M1316">
        <f>IFERROR(VLOOKUP($K1316,Base_Atividades!$E$1:$N$2398,MATCH(BancoAjustado!M$1,Base_Atividades!$E$1:$N$1,0),FALSE),0)</f>
        <v>0</v>
      </c>
      <c r="N1316">
        <f>IFERROR(VLOOKUP($K1316,Base_Atividades!$E$1:$N$2398,MATCH(BancoAjustado!N$1,Base_Atividades!$E$1:$N$1,0),FALSE),0)</f>
        <v>0</v>
      </c>
    </row>
    <row r="1317" spans="1:14" x14ac:dyDescent="0.25">
      <c r="A1317" t="s">
        <v>4190</v>
      </c>
      <c r="B1317" t="s">
        <v>4228</v>
      </c>
      <c r="C1317" t="s">
        <v>4229</v>
      </c>
      <c r="D1317" t="s">
        <v>4234</v>
      </c>
      <c r="E1317" t="s">
        <v>4235</v>
      </c>
      <c r="F1317" t="str">
        <f>VLOOKUP(A1317,Base!$A:$F,6,FALSE)</f>
        <v>OUTRAS ATIVIDADES DE SERVIÇOS</v>
      </c>
      <c r="G1317" t="str">
        <f>VLOOKUP(B1317,Base!$B:$F,5,FALSE)</f>
        <v>OUTRAS ATIVIDADES DE SERVIÇOS PESSOAIS</v>
      </c>
      <c r="H1317" t="str">
        <f>VLOOKUP(C1317,Base!$C:$F,4,FALSE)</f>
        <v>Outras atividades de serviços pessoais</v>
      </c>
      <c r="I1317" t="str">
        <f>VLOOKUP(D1317,Base!$D:$F,3,FALSE)</f>
        <v>Cabeleireiros e outras atividades de tratamento de beleza</v>
      </c>
      <c r="J1317" t="str">
        <f>VLOOKUP(E1317,Base!$E:$F,2,FALSE)</f>
        <v>Cabeleireiros, manicure e pedicure</v>
      </c>
      <c r="K1317" t="s">
        <v>4235</v>
      </c>
      <c r="L1317">
        <f>IFERROR(VLOOKUP($K1317,Base_Atividades!$E$1:$N$2398,MATCH(BancoAjustado!L$1,Base_Atividades!$E$1:$N$1,0),FALSE),0)</f>
        <v>0</v>
      </c>
      <c r="M1317">
        <f>IFERROR(VLOOKUP($K1317,Base_Atividades!$E$1:$N$2398,MATCH(BancoAjustado!M$1,Base_Atividades!$E$1:$N$1,0),FALSE),0)</f>
        <v>0</v>
      </c>
      <c r="N1317">
        <f>IFERROR(VLOOKUP($K1317,Base_Atividades!$E$1:$N$2398,MATCH(BancoAjustado!N$1,Base_Atividades!$E$1:$N$1,0),FALSE),0)</f>
        <v>0</v>
      </c>
    </row>
    <row r="1318" spans="1:14" x14ac:dyDescent="0.25">
      <c r="A1318" t="s">
        <v>4190</v>
      </c>
      <c r="B1318" t="s">
        <v>4228</v>
      </c>
      <c r="C1318" t="s">
        <v>4229</v>
      </c>
      <c r="D1318" t="s">
        <v>4234</v>
      </c>
      <c r="E1318" t="s">
        <v>4236</v>
      </c>
      <c r="F1318" t="str">
        <f>VLOOKUP(A1318,Base!$A:$F,6,FALSE)</f>
        <v>OUTRAS ATIVIDADES DE SERVIÇOS</v>
      </c>
      <c r="G1318" t="str">
        <f>VLOOKUP(B1318,Base!$B:$F,5,FALSE)</f>
        <v>OUTRAS ATIVIDADES DE SERVIÇOS PESSOAIS</v>
      </c>
      <c r="H1318" t="str">
        <f>VLOOKUP(C1318,Base!$C:$F,4,FALSE)</f>
        <v>Outras atividades de serviços pessoais</v>
      </c>
      <c r="I1318" t="str">
        <f>VLOOKUP(D1318,Base!$D:$F,3,FALSE)</f>
        <v>Cabeleireiros e outras atividades de tratamento de beleza</v>
      </c>
      <c r="J1318" t="str">
        <f>VLOOKUP(E1318,Base!$E:$F,2,FALSE)</f>
        <v>Atividades de estética e outros serviços de cuidados com a beleza</v>
      </c>
      <c r="K1318" t="s">
        <v>4236</v>
      </c>
      <c r="L1318">
        <f>IFERROR(VLOOKUP($K1318,Base_Atividades!$E$1:$N$2398,MATCH(BancoAjustado!L$1,Base_Atividades!$E$1:$N$1,0),FALSE),0)</f>
        <v>0</v>
      </c>
      <c r="M1318">
        <f>IFERROR(VLOOKUP($K1318,Base_Atividades!$E$1:$N$2398,MATCH(BancoAjustado!M$1,Base_Atividades!$E$1:$N$1,0),FALSE),0)</f>
        <v>0</v>
      </c>
      <c r="N1318">
        <f>IFERROR(VLOOKUP($K1318,Base_Atividades!$E$1:$N$2398,MATCH(BancoAjustado!N$1,Base_Atividades!$E$1:$N$1,0),FALSE),0)</f>
        <v>0</v>
      </c>
    </row>
    <row r="1319" spans="1:14" x14ac:dyDescent="0.25">
      <c r="A1319" t="s">
        <v>4190</v>
      </c>
      <c r="B1319" t="s">
        <v>4228</v>
      </c>
      <c r="C1319" t="s">
        <v>4229</v>
      </c>
      <c r="D1319" t="s">
        <v>4237</v>
      </c>
      <c r="E1319" t="s">
        <v>4238</v>
      </c>
      <c r="F1319" t="str">
        <f>VLOOKUP(A1319,Base!$A:$F,6,FALSE)</f>
        <v>OUTRAS ATIVIDADES DE SERVIÇOS</v>
      </c>
      <c r="G1319" t="str">
        <f>VLOOKUP(B1319,Base!$B:$F,5,FALSE)</f>
        <v>OUTRAS ATIVIDADES DE SERVIÇOS PESSOAIS</v>
      </c>
      <c r="H1319" t="str">
        <f>VLOOKUP(C1319,Base!$C:$F,4,FALSE)</f>
        <v>Outras atividades de serviços pessoais</v>
      </c>
      <c r="I1319" t="str">
        <f>VLOOKUP(D1319,Base!$D:$F,3,FALSE)</f>
        <v>Atividades funerárias e serviços relacionados</v>
      </c>
      <c r="J1319" t="str">
        <f>VLOOKUP(E1319,Base!$E:$F,2,FALSE)</f>
        <v>Gestão e manutenção de cemitérios</v>
      </c>
      <c r="K1319" t="s">
        <v>4238</v>
      </c>
      <c r="L1319">
        <f>IFERROR(VLOOKUP($K1319,Base_Atividades!$E$1:$N$2398,MATCH(BancoAjustado!L$1,Base_Atividades!$E$1:$N$1,0),FALSE),0)</f>
        <v>0</v>
      </c>
      <c r="M1319">
        <f>IFERROR(VLOOKUP($K1319,Base_Atividades!$E$1:$N$2398,MATCH(BancoAjustado!M$1,Base_Atividades!$E$1:$N$1,0),FALSE),0)</f>
        <v>0</v>
      </c>
      <c r="N1319">
        <f>IFERROR(VLOOKUP($K1319,Base_Atividades!$E$1:$N$2398,MATCH(BancoAjustado!N$1,Base_Atividades!$E$1:$N$1,0),FALSE),0)</f>
        <v>0</v>
      </c>
    </row>
    <row r="1320" spans="1:14" x14ac:dyDescent="0.25">
      <c r="A1320" t="s">
        <v>4190</v>
      </c>
      <c r="B1320" t="s">
        <v>4228</v>
      </c>
      <c r="C1320" t="s">
        <v>4229</v>
      </c>
      <c r="D1320" t="s">
        <v>4237</v>
      </c>
      <c r="E1320" t="s">
        <v>4239</v>
      </c>
      <c r="F1320" t="str">
        <f>VLOOKUP(A1320,Base!$A:$F,6,FALSE)</f>
        <v>OUTRAS ATIVIDADES DE SERVIÇOS</v>
      </c>
      <c r="G1320" t="str">
        <f>VLOOKUP(B1320,Base!$B:$F,5,FALSE)</f>
        <v>OUTRAS ATIVIDADES DE SERVIÇOS PESSOAIS</v>
      </c>
      <c r="H1320" t="str">
        <f>VLOOKUP(C1320,Base!$C:$F,4,FALSE)</f>
        <v>Outras atividades de serviços pessoais</v>
      </c>
      <c r="I1320" t="str">
        <f>VLOOKUP(D1320,Base!$D:$F,3,FALSE)</f>
        <v>Atividades funerárias e serviços relacionados</v>
      </c>
      <c r="J1320" t="str">
        <f>VLOOKUP(E1320,Base!$E:$F,2,FALSE)</f>
        <v>Serviços de cremação</v>
      </c>
      <c r="K1320" t="s">
        <v>4239</v>
      </c>
      <c r="L1320">
        <f>IFERROR(VLOOKUP($K1320,Base_Atividades!$E$1:$N$2398,MATCH(BancoAjustado!L$1,Base_Atividades!$E$1:$N$1,0),FALSE),0)</f>
        <v>0</v>
      </c>
      <c r="M1320">
        <f>IFERROR(VLOOKUP($K1320,Base_Atividades!$E$1:$N$2398,MATCH(BancoAjustado!M$1,Base_Atividades!$E$1:$N$1,0),FALSE),0)</f>
        <v>0</v>
      </c>
      <c r="N1320">
        <f>IFERROR(VLOOKUP($K1320,Base_Atividades!$E$1:$N$2398,MATCH(BancoAjustado!N$1,Base_Atividades!$E$1:$N$1,0),FALSE),0)</f>
        <v>0</v>
      </c>
    </row>
    <row r="1321" spans="1:14" x14ac:dyDescent="0.25">
      <c r="A1321" t="s">
        <v>4190</v>
      </c>
      <c r="B1321" t="s">
        <v>4228</v>
      </c>
      <c r="C1321" t="s">
        <v>4229</v>
      </c>
      <c r="D1321" t="s">
        <v>4237</v>
      </c>
      <c r="E1321" t="s">
        <v>4240</v>
      </c>
      <c r="F1321" t="str">
        <f>VLOOKUP(A1321,Base!$A:$F,6,FALSE)</f>
        <v>OUTRAS ATIVIDADES DE SERVIÇOS</v>
      </c>
      <c r="G1321" t="str">
        <f>VLOOKUP(B1321,Base!$B:$F,5,FALSE)</f>
        <v>OUTRAS ATIVIDADES DE SERVIÇOS PESSOAIS</v>
      </c>
      <c r="H1321" t="str">
        <f>VLOOKUP(C1321,Base!$C:$F,4,FALSE)</f>
        <v>Outras atividades de serviços pessoais</v>
      </c>
      <c r="I1321" t="str">
        <f>VLOOKUP(D1321,Base!$D:$F,3,FALSE)</f>
        <v>Atividades funerárias e serviços relacionados</v>
      </c>
      <c r="J1321" t="str">
        <f>VLOOKUP(E1321,Base!$E:$F,2,FALSE)</f>
        <v>Serviços de sepultamento</v>
      </c>
      <c r="K1321" t="s">
        <v>4240</v>
      </c>
      <c r="L1321">
        <f>IFERROR(VLOOKUP($K1321,Base_Atividades!$E$1:$N$2398,MATCH(BancoAjustado!L$1,Base_Atividades!$E$1:$N$1,0),FALSE),0)</f>
        <v>0</v>
      </c>
      <c r="M1321">
        <f>IFERROR(VLOOKUP($K1321,Base_Atividades!$E$1:$N$2398,MATCH(BancoAjustado!M$1,Base_Atividades!$E$1:$N$1,0),FALSE),0)</f>
        <v>0</v>
      </c>
      <c r="N1321">
        <f>IFERROR(VLOOKUP($K1321,Base_Atividades!$E$1:$N$2398,MATCH(BancoAjustado!N$1,Base_Atividades!$E$1:$N$1,0),FALSE),0)</f>
        <v>0</v>
      </c>
    </row>
    <row r="1322" spans="1:14" x14ac:dyDescent="0.25">
      <c r="A1322" t="s">
        <v>4190</v>
      </c>
      <c r="B1322" t="s">
        <v>4228</v>
      </c>
      <c r="C1322" t="s">
        <v>4229</v>
      </c>
      <c r="D1322" t="s">
        <v>4237</v>
      </c>
      <c r="E1322" t="s">
        <v>4241</v>
      </c>
      <c r="F1322" t="str">
        <f>VLOOKUP(A1322,Base!$A:$F,6,FALSE)</f>
        <v>OUTRAS ATIVIDADES DE SERVIÇOS</v>
      </c>
      <c r="G1322" t="str">
        <f>VLOOKUP(B1322,Base!$B:$F,5,FALSE)</f>
        <v>OUTRAS ATIVIDADES DE SERVIÇOS PESSOAIS</v>
      </c>
      <c r="H1322" t="str">
        <f>VLOOKUP(C1322,Base!$C:$F,4,FALSE)</f>
        <v>Outras atividades de serviços pessoais</v>
      </c>
      <c r="I1322" t="str">
        <f>VLOOKUP(D1322,Base!$D:$F,3,FALSE)</f>
        <v>Atividades funerárias e serviços relacionados</v>
      </c>
      <c r="J1322" t="str">
        <f>VLOOKUP(E1322,Base!$E:$F,2,FALSE)</f>
        <v>Serviços de funerárias</v>
      </c>
      <c r="K1322" t="s">
        <v>4241</v>
      </c>
      <c r="L1322">
        <f>IFERROR(VLOOKUP($K1322,Base_Atividades!$E$1:$N$2398,MATCH(BancoAjustado!L$1,Base_Atividades!$E$1:$N$1,0),FALSE),0)</f>
        <v>0</v>
      </c>
      <c r="M1322">
        <f>IFERROR(VLOOKUP($K1322,Base_Atividades!$E$1:$N$2398,MATCH(BancoAjustado!M$1,Base_Atividades!$E$1:$N$1,0),FALSE),0)</f>
        <v>0</v>
      </c>
      <c r="N1322">
        <f>IFERROR(VLOOKUP($K1322,Base_Atividades!$E$1:$N$2398,MATCH(BancoAjustado!N$1,Base_Atividades!$E$1:$N$1,0),FALSE),0)</f>
        <v>0</v>
      </c>
    </row>
    <row r="1323" spans="1:14" x14ac:dyDescent="0.25">
      <c r="A1323" t="s">
        <v>4190</v>
      </c>
      <c r="B1323" t="s">
        <v>4228</v>
      </c>
      <c r="C1323" t="s">
        <v>4229</v>
      </c>
      <c r="D1323" t="s">
        <v>4237</v>
      </c>
      <c r="E1323" t="s">
        <v>4242</v>
      </c>
      <c r="F1323" t="str">
        <f>VLOOKUP(A1323,Base!$A:$F,6,FALSE)</f>
        <v>OUTRAS ATIVIDADES DE SERVIÇOS</v>
      </c>
      <c r="G1323" t="str">
        <f>VLOOKUP(B1323,Base!$B:$F,5,FALSE)</f>
        <v>OUTRAS ATIVIDADES DE SERVIÇOS PESSOAIS</v>
      </c>
      <c r="H1323" t="str">
        <f>VLOOKUP(C1323,Base!$C:$F,4,FALSE)</f>
        <v>Outras atividades de serviços pessoais</v>
      </c>
      <c r="I1323" t="str">
        <f>VLOOKUP(D1323,Base!$D:$F,3,FALSE)</f>
        <v>Atividades funerárias e serviços relacionados</v>
      </c>
      <c r="J1323" t="str">
        <f>VLOOKUP(E1323,Base!$E:$F,2,FALSE)</f>
        <v>Serviços de somatoconservação</v>
      </c>
      <c r="K1323" t="s">
        <v>4242</v>
      </c>
      <c r="L1323">
        <f>IFERROR(VLOOKUP($K1323,Base_Atividades!$E$1:$N$2398,MATCH(BancoAjustado!L$1,Base_Atividades!$E$1:$N$1,0),FALSE),0)</f>
        <v>0</v>
      </c>
      <c r="M1323">
        <f>IFERROR(VLOOKUP($K1323,Base_Atividades!$E$1:$N$2398,MATCH(BancoAjustado!M$1,Base_Atividades!$E$1:$N$1,0),FALSE),0)</f>
        <v>0</v>
      </c>
      <c r="N1323">
        <f>IFERROR(VLOOKUP($K1323,Base_Atividades!$E$1:$N$2398,MATCH(BancoAjustado!N$1,Base_Atividades!$E$1:$N$1,0),FALSE),0)</f>
        <v>0</v>
      </c>
    </row>
    <row r="1324" spans="1:14" x14ac:dyDescent="0.25">
      <c r="A1324" t="s">
        <v>4190</v>
      </c>
      <c r="B1324" t="s">
        <v>4228</v>
      </c>
      <c r="C1324" t="s">
        <v>4229</v>
      </c>
      <c r="D1324" t="s">
        <v>4237</v>
      </c>
      <c r="E1324" t="s">
        <v>4243</v>
      </c>
      <c r="F1324" t="str">
        <f>VLOOKUP(A1324,Base!$A:$F,6,FALSE)</f>
        <v>OUTRAS ATIVIDADES DE SERVIÇOS</v>
      </c>
      <c r="G1324" t="str">
        <f>VLOOKUP(B1324,Base!$B:$F,5,FALSE)</f>
        <v>OUTRAS ATIVIDADES DE SERVIÇOS PESSOAIS</v>
      </c>
      <c r="H1324" t="str">
        <f>VLOOKUP(C1324,Base!$C:$F,4,FALSE)</f>
        <v>Outras atividades de serviços pessoais</v>
      </c>
      <c r="I1324" t="str">
        <f>VLOOKUP(D1324,Base!$D:$F,3,FALSE)</f>
        <v>Atividades funerárias e serviços relacionados</v>
      </c>
      <c r="J1324" t="str">
        <f>VLOOKUP(E1324,Base!$E:$F,2,FALSE)</f>
        <v>Atividades funerárias e serviços relacionados não especificados anteriormente</v>
      </c>
      <c r="K1324" t="s">
        <v>4243</v>
      </c>
      <c r="L1324">
        <f>IFERROR(VLOOKUP($K1324,Base_Atividades!$E$1:$N$2398,MATCH(BancoAjustado!L$1,Base_Atividades!$E$1:$N$1,0),FALSE),0)</f>
        <v>0</v>
      </c>
      <c r="M1324">
        <f>IFERROR(VLOOKUP($K1324,Base_Atividades!$E$1:$N$2398,MATCH(BancoAjustado!M$1,Base_Atividades!$E$1:$N$1,0),FALSE),0)</f>
        <v>0</v>
      </c>
      <c r="N1324">
        <f>IFERROR(VLOOKUP($K1324,Base_Atividades!$E$1:$N$2398,MATCH(BancoAjustado!N$1,Base_Atividades!$E$1:$N$1,0),FALSE),0)</f>
        <v>0</v>
      </c>
    </row>
    <row r="1325" spans="1:14" x14ac:dyDescent="0.25">
      <c r="A1325" t="s">
        <v>4190</v>
      </c>
      <c r="B1325" t="s">
        <v>4228</v>
      </c>
      <c r="C1325" t="s">
        <v>4229</v>
      </c>
      <c r="D1325" t="s">
        <v>4244</v>
      </c>
      <c r="E1325" t="s">
        <v>4245</v>
      </c>
      <c r="F1325" t="str">
        <f>VLOOKUP(A1325,Base!$A:$F,6,FALSE)</f>
        <v>OUTRAS ATIVIDADES DE SERVIÇOS</v>
      </c>
      <c r="G1325" t="str">
        <f>VLOOKUP(B1325,Base!$B:$F,5,FALSE)</f>
        <v>OUTRAS ATIVIDADES DE SERVIÇOS PESSOAIS</v>
      </c>
      <c r="H1325" t="str">
        <f>VLOOKUP(C1325,Base!$C:$F,4,FALSE)</f>
        <v>Outras atividades de serviços pessoais</v>
      </c>
      <c r="I1325" t="str">
        <f>VLOOKUP(D1325,Base!$D:$F,3,FALSE)</f>
        <v>Atividades de serviços pessoais não especificadas anteriormente</v>
      </c>
      <c r="J1325" t="str">
        <f>VLOOKUP(E1325,Base!$E:$F,2,FALSE)</f>
        <v>Agências matrimoniais</v>
      </c>
      <c r="K1325" t="s">
        <v>4245</v>
      </c>
      <c r="L1325">
        <f>IFERROR(VLOOKUP($K1325,Base_Atividades!$E$1:$N$2398,MATCH(BancoAjustado!L$1,Base_Atividades!$E$1:$N$1,0),FALSE),0)</f>
        <v>0</v>
      </c>
      <c r="M1325">
        <f>IFERROR(VLOOKUP($K1325,Base_Atividades!$E$1:$N$2398,MATCH(BancoAjustado!M$1,Base_Atividades!$E$1:$N$1,0),FALSE),0)</f>
        <v>0</v>
      </c>
      <c r="N1325">
        <f>IFERROR(VLOOKUP($K1325,Base_Atividades!$E$1:$N$2398,MATCH(BancoAjustado!N$1,Base_Atividades!$E$1:$N$1,0),FALSE),0)</f>
        <v>0</v>
      </c>
    </row>
    <row r="1326" spans="1:14" x14ac:dyDescent="0.25">
      <c r="A1326" t="s">
        <v>4190</v>
      </c>
      <c r="B1326" t="s">
        <v>4228</v>
      </c>
      <c r="C1326" t="s">
        <v>4229</v>
      </c>
      <c r="D1326" t="s">
        <v>4244</v>
      </c>
      <c r="E1326" t="s">
        <v>4246</v>
      </c>
      <c r="F1326" t="str">
        <f>VLOOKUP(A1326,Base!$A:$F,6,FALSE)</f>
        <v>OUTRAS ATIVIDADES DE SERVIÇOS</v>
      </c>
      <c r="G1326" t="str">
        <f>VLOOKUP(B1326,Base!$B:$F,5,FALSE)</f>
        <v>OUTRAS ATIVIDADES DE SERVIÇOS PESSOAIS</v>
      </c>
      <c r="H1326" t="str">
        <f>VLOOKUP(C1326,Base!$C:$F,4,FALSE)</f>
        <v>Outras atividades de serviços pessoais</v>
      </c>
      <c r="I1326" t="str">
        <f>VLOOKUP(D1326,Base!$D:$F,3,FALSE)</f>
        <v>Atividades de serviços pessoais não especificadas anteriormente</v>
      </c>
      <c r="J1326" t="str">
        <f>VLOOKUP(E1326,Base!$E:$F,2,FALSE)</f>
        <v>Exploração de máquinas de serviços pessoais acionadas por moeda</v>
      </c>
      <c r="K1326" t="s">
        <v>4246</v>
      </c>
      <c r="L1326">
        <f>IFERROR(VLOOKUP($K1326,Base_Atividades!$E$1:$N$2398,MATCH(BancoAjustado!L$1,Base_Atividades!$E$1:$N$1,0),FALSE),0)</f>
        <v>0</v>
      </c>
      <c r="M1326">
        <f>IFERROR(VLOOKUP($K1326,Base_Atividades!$E$1:$N$2398,MATCH(BancoAjustado!M$1,Base_Atividades!$E$1:$N$1,0),FALSE),0)</f>
        <v>0</v>
      </c>
      <c r="N1326">
        <f>IFERROR(VLOOKUP($K1326,Base_Atividades!$E$1:$N$2398,MATCH(BancoAjustado!N$1,Base_Atividades!$E$1:$N$1,0),FALSE),0)</f>
        <v>0</v>
      </c>
    </row>
    <row r="1327" spans="1:14" x14ac:dyDescent="0.25">
      <c r="A1327" t="s">
        <v>4190</v>
      </c>
      <c r="B1327" t="s">
        <v>4228</v>
      </c>
      <c r="C1327" t="s">
        <v>4229</v>
      </c>
      <c r="D1327" t="s">
        <v>4244</v>
      </c>
      <c r="E1327" t="s">
        <v>4247</v>
      </c>
      <c r="F1327" t="str">
        <f>VLOOKUP(A1327,Base!$A:$F,6,FALSE)</f>
        <v>OUTRAS ATIVIDADES DE SERVIÇOS</v>
      </c>
      <c r="G1327" t="str">
        <f>VLOOKUP(B1327,Base!$B:$F,5,FALSE)</f>
        <v>OUTRAS ATIVIDADES DE SERVIÇOS PESSOAIS</v>
      </c>
      <c r="H1327" t="str">
        <f>VLOOKUP(C1327,Base!$C:$F,4,FALSE)</f>
        <v>Outras atividades de serviços pessoais</v>
      </c>
      <c r="I1327" t="str">
        <f>VLOOKUP(D1327,Base!$D:$F,3,FALSE)</f>
        <v>Atividades de serviços pessoais não especificadas anteriormente</v>
      </c>
      <c r="J1327" t="str">
        <f>VLOOKUP(E1327,Base!$E:$F,2,FALSE)</f>
        <v>Atividades de sauna e banhos</v>
      </c>
      <c r="K1327" t="s">
        <v>4247</v>
      </c>
      <c r="L1327">
        <f>IFERROR(VLOOKUP($K1327,Base_Atividades!$E$1:$N$2398,MATCH(BancoAjustado!L$1,Base_Atividades!$E$1:$N$1,0),FALSE),0)</f>
        <v>0</v>
      </c>
      <c r="M1327">
        <f>IFERROR(VLOOKUP($K1327,Base_Atividades!$E$1:$N$2398,MATCH(BancoAjustado!M$1,Base_Atividades!$E$1:$N$1,0),FALSE),0)</f>
        <v>0</v>
      </c>
      <c r="N1327">
        <f>IFERROR(VLOOKUP($K1327,Base_Atividades!$E$1:$N$2398,MATCH(BancoAjustado!N$1,Base_Atividades!$E$1:$N$1,0),FALSE),0)</f>
        <v>0</v>
      </c>
    </row>
    <row r="1328" spans="1:14" x14ac:dyDescent="0.25">
      <c r="A1328" t="s">
        <v>4190</v>
      </c>
      <c r="B1328" t="s">
        <v>4228</v>
      </c>
      <c r="C1328" t="s">
        <v>4229</v>
      </c>
      <c r="D1328" t="s">
        <v>4244</v>
      </c>
      <c r="E1328" t="s">
        <v>4248</v>
      </c>
      <c r="F1328" t="str">
        <f>VLOOKUP(A1328,Base!$A:$F,6,FALSE)</f>
        <v>OUTRAS ATIVIDADES DE SERVIÇOS</v>
      </c>
      <c r="G1328" t="str">
        <f>VLOOKUP(B1328,Base!$B:$F,5,FALSE)</f>
        <v>OUTRAS ATIVIDADES DE SERVIÇOS PESSOAIS</v>
      </c>
      <c r="H1328" t="str">
        <f>VLOOKUP(C1328,Base!$C:$F,4,FALSE)</f>
        <v>Outras atividades de serviços pessoais</v>
      </c>
      <c r="I1328" t="str">
        <f>VLOOKUP(D1328,Base!$D:$F,3,FALSE)</f>
        <v>Atividades de serviços pessoais não especificadas anteriormente</v>
      </c>
      <c r="J1328" t="str">
        <f>VLOOKUP(E1328,Base!$E:$F,2,FALSE)</f>
        <v>Serviços de tatuagem e colocação de piercing</v>
      </c>
      <c r="K1328" t="s">
        <v>4248</v>
      </c>
      <c r="L1328">
        <f>IFERROR(VLOOKUP($K1328,Base_Atividades!$E$1:$N$2398,MATCH(BancoAjustado!L$1,Base_Atividades!$E$1:$N$1,0),FALSE),0)</f>
        <v>0</v>
      </c>
      <c r="M1328">
        <f>IFERROR(VLOOKUP($K1328,Base_Atividades!$E$1:$N$2398,MATCH(BancoAjustado!M$1,Base_Atividades!$E$1:$N$1,0),FALSE),0)</f>
        <v>0</v>
      </c>
      <c r="N1328">
        <f>IFERROR(VLOOKUP($K1328,Base_Atividades!$E$1:$N$2398,MATCH(BancoAjustado!N$1,Base_Atividades!$E$1:$N$1,0),FALSE),0)</f>
        <v>0</v>
      </c>
    </row>
    <row r="1329" spans="1:14" x14ac:dyDescent="0.25">
      <c r="A1329" t="s">
        <v>4190</v>
      </c>
      <c r="B1329" t="s">
        <v>4228</v>
      </c>
      <c r="C1329" t="s">
        <v>4229</v>
      </c>
      <c r="D1329" t="s">
        <v>4244</v>
      </c>
      <c r="E1329" t="s">
        <v>4250</v>
      </c>
      <c r="F1329" t="str">
        <f>VLOOKUP(A1329,Base!$A:$F,6,FALSE)</f>
        <v>OUTRAS ATIVIDADES DE SERVIÇOS</v>
      </c>
      <c r="G1329" t="str">
        <f>VLOOKUP(B1329,Base!$B:$F,5,FALSE)</f>
        <v>OUTRAS ATIVIDADES DE SERVIÇOS PESSOAIS</v>
      </c>
      <c r="H1329" t="str">
        <f>VLOOKUP(C1329,Base!$C:$F,4,FALSE)</f>
        <v>Outras atividades de serviços pessoais</v>
      </c>
      <c r="I1329" t="str">
        <f>VLOOKUP(D1329,Base!$D:$F,3,FALSE)</f>
        <v>Atividades de serviços pessoais não especificadas anteriormente</v>
      </c>
      <c r="J1329" t="str">
        <f>VLOOKUP(E1329,Base!$E:$F,2,FALSE)</f>
        <v>Alojamento de animais domésticos</v>
      </c>
      <c r="K1329" t="s">
        <v>4250</v>
      </c>
      <c r="L1329">
        <f>IFERROR(VLOOKUP($K1329,Base_Atividades!$E$1:$N$2398,MATCH(BancoAjustado!L$1,Base_Atividades!$E$1:$N$1,0),FALSE),0)</f>
        <v>0</v>
      </c>
      <c r="M1329">
        <f>IFERROR(VLOOKUP($K1329,Base_Atividades!$E$1:$N$2398,MATCH(BancoAjustado!M$1,Base_Atividades!$E$1:$N$1,0),FALSE),0)</f>
        <v>0</v>
      </c>
      <c r="N1329">
        <f>IFERROR(VLOOKUP($K1329,Base_Atividades!$E$1:$N$2398,MATCH(BancoAjustado!N$1,Base_Atividades!$E$1:$N$1,0),FALSE),0)</f>
        <v>0</v>
      </c>
    </row>
    <row r="1330" spans="1:14" x14ac:dyDescent="0.25">
      <c r="A1330" t="s">
        <v>4190</v>
      </c>
      <c r="B1330" t="s">
        <v>4228</v>
      </c>
      <c r="C1330" t="s">
        <v>4229</v>
      </c>
      <c r="D1330" t="s">
        <v>4244</v>
      </c>
      <c r="E1330" t="s">
        <v>4251</v>
      </c>
      <c r="F1330" t="str">
        <f>VLOOKUP(A1330,Base!$A:$F,6,FALSE)</f>
        <v>OUTRAS ATIVIDADES DE SERVIÇOS</v>
      </c>
      <c r="G1330" t="str">
        <f>VLOOKUP(B1330,Base!$B:$F,5,FALSE)</f>
        <v>OUTRAS ATIVIDADES DE SERVIÇOS PESSOAIS</v>
      </c>
      <c r="H1330" t="str">
        <f>VLOOKUP(C1330,Base!$C:$F,4,FALSE)</f>
        <v>Outras atividades de serviços pessoais</v>
      </c>
      <c r="I1330" t="str">
        <f>VLOOKUP(D1330,Base!$D:$F,3,FALSE)</f>
        <v>Atividades de serviços pessoais não especificadas anteriormente</v>
      </c>
      <c r="J1330" t="str">
        <f>VLOOKUP(E1330,Base!$E:$F,2,FALSE)</f>
        <v>Higiene e embelezamento de animais domésticos</v>
      </c>
      <c r="K1330" t="s">
        <v>4251</v>
      </c>
      <c r="L1330">
        <f>IFERROR(VLOOKUP($K1330,Base_Atividades!$E$1:$N$2398,MATCH(BancoAjustado!L$1,Base_Atividades!$E$1:$N$1,0),FALSE),0)</f>
        <v>0</v>
      </c>
      <c r="M1330">
        <f>IFERROR(VLOOKUP($K1330,Base_Atividades!$E$1:$N$2398,MATCH(BancoAjustado!M$1,Base_Atividades!$E$1:$N$1,0),FALSE),0)</f>
        <v>0</v>
      </c>
      <c r="N1330">
        <f>IFERROR(VLOOKUP($K1330,Base_Atividades!$E$1:$N$2398,MATCH(BancoAjustado!N$1,Base_Atividades!$E$1:$N$1,0),FALSE),0)</f>
        <v>0</v>
      </c>
    </row>
    <row r="1331" spans="1:14" x14ac:dyDescent="0.25">
      <c r="A1331" t="s">
        <v>4190</v>
      </c>
      <c r="B1331" t="s">
        <v>4228</v>
      </c>
      <c r="C1331" t="s">
        <v>4229</v>
      </c>
      <c r="D1331" t="s">
        <v>4244</v>
      </c>
      <c r="E1331" t="s">
        <v>4252</v>
      </c>
      <c r="F1331" t="str">
        <f>VLOOKUP(A1331,Base!$A:$F,6,FALSE)</f>
        <v>OUTRAS ATIVIDADES DE SERVIÇOS</v>
      </c>
      <c r="G1331" t="str">
        <f>VLOOKUP(B1331,Base!$B:$F,5,FALSE)</f>
        <v>OUTRAS ATIVIDADES DE SERVIÇOS PESSOAIS</v>
      </c>
      <c r="H1331" t="str">
        <f>VLOOKUP(C1331,Base!$C:$F,4,FALSE)</f>
        <v>Outras atividades de serviços pessoais</v>
      </c>
      <c r="I1331" t="str">
        <f>VLOOKUP(D1331,Base!$D:$F,3,FALSE)</f>
        <v>Atividades de serviços pessoais não especificadas anteriormente</v>
      </c>
      <c r="J1331" t="str">
        <f>VLOOKUP(E1331,Base!$E:$F,2,FALSE)</f>
        <v>Outras atividades de serviços pessoais não especificadas anteriormente</v>
      </c>
      <c r="K1331" t="s">
        <v>4252</v>
      </c>
      <c r="L1331">
        <f>IFERROR(VLOOKUP($K1331,Base_Atividades!$E$1:$N$2398,MATCH(BancoAjustado!L$1,Base_Atividades!$E$1:$N$1,0),FALSE),0)</f>
        <v>0</v>
      </c>
      <c r="M1331">
        <f>IFERROR(VLOOKUP($K1331,Base_Atividades!$E$1:$N$2398,MATCH(BancoAjustado!M$1,Base_Atividades!$E$1:$N$1,0),FALSE),0)</f>
        <v>0</v>
      </c>
      <c r="N1331">
        <f>IFERROR(VLOOKUP($K1331,Base_Atividades!$E$1:$N$2398,MATCH(BancoAjustado!N$1,Base_Atividades!$E$1:$N$1,0),FALSE),0)</f>
        <v>0</v>
      </c>
    </row>
    <row r="1332" spans="1:14" x14ac:dyDescent="0.25">
      <c r="A1332" t="s">
        <v>4253</v>
      </c>
      <c r="B1332" t="s">
        <v>4254</v>
      </c>
      <c r="C1332" t="s">
        <v>4255</v>
      </c>
      <c r="D1332" t="s">
        <v>4256</v>
      </c>
      <c r="E1332" t="s">
        <v>4257</v>
      </c>
      <c r="F1332" t="str">
        <f>VLOOKUP(A1332,Base!$A:$F,6,FALSE)</f>
        <v>SERVIÇOS DOMÉSTICOS</v>
      </c>
      <c r="G1332" t="str">
        <f>VLOOKUP(B1332,Base!$B:$F,5,FALSE)</f>
        <v>SERVIÇOS DOMÉSTICOS</v>
      </c>
      <c r="H1332" t="str">
        <f>VLOOKUP(C1332,Base!$C:$F,4,FALSE)</f>
        <v>Serviços domésticos</v>
      </c>
      <c r="I1332" t="str">
        <f>VLOOKUP(D1332,Base!$D:$F,3,FALSE)</f>
        <v>Serviços domésticos</v>
      </c>
      <c r="J1332" t="str">
        <f>VLOOKUP(E1332,Base!$E:$F,2,FALSE)</f>
        <v>Serviços domésticos</v>
      </c>
      <c r="K1332" t="s">
        <v>4257</v>
      </c>
      <c r="L1332">
        <f>IFERROR(VLOOKUP($K1332,Base_Atividades!$E$1:$N$2398,MATCH(BancoAjustado!L$1,Base_Atividades!$E$1:$N$1,0),FALSE),0)</f>
        <v>0</v>
      </c>
      <c r="M1332">
        <f>IFERROR(VLOOKUP($K1332,Base_Atividades!$E$1:$N$2398,MATCH(BancoAjustado!M$1,Base_Atividades!$E$1:$N$1,0),FALSE),0)</f>
        <v>0</v>
      </c>
      <c r="N1332">
        <f>IFERROR(VLOOKUP($K1332,Base_Atividades!$E$1:$N$2398,MATCH(BancoAjustado!N$1,Base_Atividades!$E$1:$N$1,0),FALSE),0)</f>
        <v>0</v>
      </c>
    </row>
  </sheetData>
  <autoFilter ref="A1:J1332" xr:uid="{9D6DDD67-2500-494A-947B-CD03E453765E}">
    <sortState xmlns:xlrd2="http://schemas.microsoft.com/office/spreadsheetml/2017/richdata2" ref="A355:J355">
      <sortCondition ref="J1:J13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319C-5D75-4303-AF07-A6BD64996A3D}">
  <dimension ref="A1:K2398"/>
  <sheetViews>
    <sheetView workbookViewId="0">
      <selection activeCell="F17" sqref="F17"/>
    </sheetView>
  </sheetViews>
  <sheetFormatPr defaultRowHeight="15" x14ac:dyDescent="0.25"/>
  <cols>
    <col min="6" max="6" width="76.140625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11" x14ac:dyDescent="0.25">
      <c r="A2" t="s">
        <v>1863</v>
      </c>
      <c r="C2" t="s">
        <v>1864</v>
      </c>
      <c r="D2" t="s">
        <v>1864</v>
      </c>
      <c r="E2" t="s">
        <v>1864</v>
      </c>
      <c r="F2" t="s">
        <v>6</v>
      </c>
    </row>
    <row r="3" spans="1:11" x14ac:dyDescent="0.25">
      <c r="B3" t="s">
        <v>1865</v>
      </c>
      <c r="C3" t="s">
        <v>1864</v>
      </c>
      <c r="D3" t="s">
        <v>1864</v>
      </c>
      <c r="E3" t="s">
        <v>1864</v>
      </c>
      <c r="F3" t="s">
        <v>7</v>
      </c>
    </row>
    <row r="4" spans="1:11" x14ac:dyDescent="0.25">
      <c r="C4" t="s">
        <v>1866</v>
      </c>
      <c r="D4" t="s">
        <v>1864</v>
      </c>
      <c r="E4" t="s">
        <v>1864</v>
      </c>
      <c r="F4" t="s">
        <v>8</v>
      </c>
    </row>
    <row r="5" spans="1:11" x14ac:dyDescent="0.25">
      <c r="C5" t="s">
        <v>1864</v>
      </c>
      <c r="D5" t="s">
        <v>1867</v>
      </c>
      <c r="E5" t="s">
        <v>1864</v>
      </c>
      <c r="F5" t="s">
        <v>9</v>
      </c>
    </row>
    <row r="6" spans="1:11" x14ac:dyDescent="0.25">
      <c r="C6" t="s">
        <v>1864</v>
      </c>
      <c r="D6" t="s">
        <v>1864</v>
      </c>
      <c r="E6" t="s">
        <v>1868</v>
      </c>
      <c r="F6" t="s">
        <v>10</v>
      </c>
      <c r="G6" t="str">
        <f>A2</f>
        <v>A</v>
      </c>
      <c r="H6" t="str">
        <f>B3</f>
        <v>01</v>
      </c>
      <c r="I6" t="str">
        <f>C4</f>
        <v>011</v>
      </c>
      <c r="J6" t="str">
        <f>D5</f>
        <v>01113</v>
      </c>
      <c r="K6" t="str">
        <f>E6</f>
        <v>0111301</v>
      </c>
    </row>
    <row r="7" spans="1:11" x14ac:dyDescent="0.25">
      <c r="C7" t="s">
        <v>1864</v>
      </c>
      <c r="D7" t="s">
        <v>1864</v>
      </c>
      <c r="E7" t="s">
        <v>1869</v>
      </c>
      <c r="F7" t="s">
        <v>11</v>
      </c>
      <c r="G7" t="str">
        <f>IF(A7="",G6,A7)</f>
        <v>A</v>
      </c>
      <c r="H7" t="str">
        <f t="shared" ref="H7:J8" si="0">IF(B7="",H6,B7)</f>
        <v>01</v>
      </c>
      <c r="I7" t="str">
        <f t="shared" si="0"/>
        <v>011</v>
      </c>
      <c r="J7" t="str">
        <f t="shared" si="0"/>
        <v>01113</v>
      </c>
      <c r="K7" t="str">
        <f>E7</f>
        <v>0111302</v>
      </c>
    </row>
    <row r="8" spans="1:11" x14ac:dyDescent="0.25">
      <c r="C8" t="s">
        <v>1864</v>
      </c>
      <c r="D8" t="s">
        <v>1864</v>
      </c>
      <c r="E8" t="s">
        <v>1870</v>
      </c>
      <c r="F8" t="s">
        <v>12</v>
      </c>
      <c r="G8" t="str">
        <f>IF(A8="",G7,A8)</f>
        <v>A</v>
      </c>
      <c r="H8" t="str">
        <f t="shared" si="0"/>
        <v>01</v>
      </c>
      <c r="I8" t="str">
        <f t="shared" si="0"/>
        <v>011</v>
      </c>
      <c r="J8" t="str">
        <f t="shared" si="0"/>
        <v>01113</v>
      </c>
      <c r="K8" t="str">
        <f t="shared" ref="K8:K71" si="1">E8</f>
        <v>0111303</v>
      </c>
    </row>
    <row r="9" spans="1:11" x14ac:dyDescent="0.25">
      <c r="C9" t="s">
        <v>1864</v>
      </c>
      <c r="D9" t="s">
        <v>1864</v>
      </c>
      <c r="E9" t="s">
        <v>1871</v>
      </c>
      <c r="F9" t="s">
        <v>13</v>
      </c>
      <c r="G9" t="str">
        <f t="shared" ref="G9:G72" si="2">IF(A9="",G8,A9)</f>
        <v>A</v>
      </c>
      <c r="H9" t="str">
        <f t="shared" ref="H9:H72" si="3">IF(B9="",H8,B9)</f>
        <v>01</v>
      </c>
      <c r="I9" t="str">
        <f t="shared" ref="I9:I72" si="4">IF(C9="",I8,C9)</f>
        <v>011</v>
      </c>
      <c r="J9" t="str">
        <f>IF(D9="",J8,D9)</f>
        <v>01113</v>
      </c>
      <c r="K9" t="str">
        <f t="shared" si="1"/>
        <v>0111399</v>
      </c>
    </row>
    <row r="10" spans="1:11" x14ac:dyDescent="0.25">
      <c r="C10" t="s">
        <v>1864</v>
      </c>
      <c r="D10" t="s">
        <v>1872</v>
      </c>
      <c r="E10" t="s">
        <v>1864</v>
      </c>
      <c r="F10" t="s">
        <v>14</v>
      </c>
      <c r="G10" t="str">
        <f t="shared" si="2"/>
        <v>A</v>
      </c>
      <c r="H10" t="str">
        <f t="shared" si="3"/>
        <v>01</v>
      </c>
      <c r="I10" t="str">
        <f t="shared" si="4"/>
        <v>011</v>
      </c>
      <c r="J10" t="str">
        <f>IF(D10="",J9,D10)</f>
        <v>01121</v>
      </c>
      <c r="K10" t="str">
        <f t="shared" si="1"/>
        <v/>
      </c>
    </row>
    <row r="11" spans="1:11" x14ac:dyDescent="0.25">
      <c r="C11" t="s">
        <v>1864</v>
      </c>
      <c r="D11" t="s">
        <v>1864</v>
      </c>
      <c r="E11" t="s">
        <v>1873</v>
      </c>
      <c r="F11" t="s">
        <v>15</v>
      </c>
      <c r="G11" t="str">
        <f t="shared" si="2"/>
        <v>A</v>
      </c>
      <c r="H11" t="str">
        <f t="shared" si="3"/>
        <v>01</v>
      </c>
      <c r="I11" t="str">
        <f t="shared" si="4"/>
        <v>011</v>
      </c>
      <c r="J11" t="str">
        <f t="shared" ref="J11:J72" si="5">IF(D11="",J10,D11)</f>
        <v>01121</v>
      </c>
      <c r="K11" t="str">
        <f t="shared" si="1"/>
        <v>0112101</v>
      </c>
    </row>
    <row r="12" spans="1:11" x14ac:dyDescent="0.25">
      <c r="C12" t="s">
        <v>1864</v>
      </c>
      <c r="D12" t="s">
        <v>1864</v>
      </c>
      <c r="E12" t="s">
        <v>1874</v>
      </c>
      <c r="F12" t="s">
        <v>16</v>
      </c>
      <c r="G12" t="str">
        <f t="shared" si="2"/>
        <v>A</v>
      </c>
      <c r="H12" t="str">
        <f t="shared" si="3"/>
        <v>01</v>
      </c>
      <c r="I12" t="str">
        <f t="shared" si="4"/>
        <v>011</v>
      </c>
      <c r="J12" t="str">
        <f t="shared" si="5"/>
        <v>01121</v>
      </c>
      <c r="K12" t="str">
        <f t="shared" si="1"/>
        <v>0112102</v>
      </c>
    </row>
    <row r="13" spans="1:11" x14ac:dyDescent="0.25">
      <c r="C13" t="s">
        <v>1864</v>
      </c>
      <c r="D13" t="s">
        <v>1864</v>
      </c>
      <c r="E13" t="s">
        <v>1875</v>
      </c>
      <c r="F13" t="s">
        <v>17</v>
      </c>
      <c r="G13" t="str">
        <f t="shared" si="2"/>
        <v>A</v>
      </c>
      <c r="H13" t="str">
        <f t="shared" si="3"/>
        <v>01</v>
      </c>
      <c r="I13" t="str">
        <f t="shared" si="4"/>
        <v>011</v>
      </c>
      <c r="J13" t="str">
        <f t="shared" si="5"/>
        <v>01121</v>
      </c>
      <c r="K13" t="str">
        <f t="shared" si="1"/>
        <v>0112199</v>
      </c>
    </row>
    <row r="14" spans="1:11" x14ac:dyDescent="0.25">
      <c r="C14" t="s">
        <v>1864</v>
      </c>
      <c r="D14" t="s">
        <v>1876</v>
      </c>
      <c r="E14" t="s">
        <v>1864</v>
      </c>
      <c r="F14" t="s">
        <v>18</v>
      </c>
      <c r="G14" t="str">
        <f t="shared" si="2"/>
        <v>A</v>
      </c>
      <c r="H14" t="str">
        <f t="shared" si="3"/>
        <v>01</v>
      </c>
      <c r="I14" t="str">
        <f t="shared" si="4"/>
        <v>011</v>
      </c>
      <c r="J14" t="str">
        <f>IF(D14="",J13,D14)</f>
        <v>01130</v>
      </c>
      <c r="K14" t="str">
        <f t="shared" si="1"/>
        <v/>
      </c>
    </row>
    <row r="15" spans="1:11" x14ac:dyDescent="0.25">
      <c r="C15" t="s">
        <v>1864</v>
      </c>
      <c r="D15" t="s">
        <v>1864</v>
      </c>
      <c r="E15" t="s">
        <v>1877</v>
      </c>
      <c r="F15" t="s">
        <v>18</v>
      </c>
      <c r="G15" t="str">
        <f t="shared" si="2"/>
        <v>A</v>
      </c>
      <c r="H15" t="str">
        <f t="shared" si="3"/>
        <v>01</v>
      </c>
      <c r="I15" t="str">
        <f t="shared" si="4"/>
        <v>011</v>
      </c>
      <c r="J15" t="str">
        <f t="shared" si="5"/>
        <v>01130</v>
      </c>
      <c r="K15" t="str">
        <f t="shared" si="1"/>
        <v>0113000</v>
      </c>
    </row>
    <row r="16" spans="1:11" x14ac:dyDescent="0.25">
      <c r="C16" t="s">
        <v>1864</v>
      </c>
      <c r="D16" t="s">
        <v>1878</v>
      </c>
      <c r="E16" t="s">
        <v>1864</v>
      </c>
      <c r="F16" t="s">
        <v>19</v>
      </c>
      <c r="G16" t="str">
        <f t="shared" si="2"/>
        <v>A</v>
      </c>
      <c r="H16" t="str">
        <f t="shared" si="3"/>
        <v>01</v>
      </c>
      <c r="I16" t="str">
        <f t="shared" si="4"/>
        <v>011</v>
      </c>
      <c r="J16" t="str">
        <f t="shared" si="5"/>
        <v>01148</v>
      </c>
      <c r="K16" t="str">
        <f t="shared" si="1"/>
        <v/>
      </c>
    </row>
    <row r="17" spans="3:11" x14ac:dyDescent="0.25">
      <c r="C17" t="s">
        <v>1864</v>
      </c>
      <c r="D17" t="s">
        <v>1864</v>
      </c>
      <c r="E17" t="s">
        <v>1879</v>
      </c>
      <c r="F17" t="s">
        <v>19</v>
      </c>
      <c r="G17" t="str">
        <f t="shared" si="2"/>
        <v>A</v>
      </c>
      <c r="H17" t="str">
        <f t="shared" si="3"/>
        <v>01</v>
      </c>
      <c r="I17" t="str">
        <f t="shared" si="4"/>
        <v>011</v>
      </c>
      <c r="J17" t="str">
        <f t="shared" si="5"/>
        <v>01148</v>
      </c>
      <c r="K17" t="str">
        <f t="shared" si="1"/>
        <v>0114800</v>
      </c>
    </row>
    <row r="18" spans="3:11" x14ac:dyDescent="0.25">
      <c r="C18" t="s">
        <v>1864</v>
      </c>
      <c r="D18" t="s">
        <v>1880</v>
      </c>
      <c r="E18" t="s">
        <v>1864</v>
      </c>
      <c r="F18" t="s">
        <v>20</v>
      </c>
      <c r="G18" t="str">
        <f t="shared" si="2"/>
        <v>A</v>
      </c>
      <c r="H18" t="str">
        <f t="shared" si="3"/>
        <v>01</v>
      </c>
      <c r="I18" t="str">
        <f t="shared" si="4"/>
        <v>011</v>
      </c>
      <c r="J18" t="str">
        <f t="shared" si="5"/>
        <v>01156</v>
      </c>
      <c r="K18" t="str">
        <f t="shared" si="1"/>
        <v/>
      </c>
    </row>
    <row r="19" spans="3:11" x14ac:dyDescent="0.25">
      <c r="C19" t="s">
        <v>1864</v>
      </c>
      <c r="D19" t="s">
        <v>1864</v>
      </c>
      <c r="E19" t="s">
        <v>1881</v>
      </c>
      <c r="F19" t="s">
        <v>20</v>
      </c>
      <c r="G19" t="str">
        <f t="shared" si="2"/>
        <v>A</v>
      </c>
      <c r="H19" t="str">
        <f t="shared" si="3"/>
        <v>01</v>
      </c>
      <c r="I19" t="str">
        <f t="shared" si="4"/>
        <v>011</v>
      </c>
      <c r="J19" t="str">
        <f t="shared" si="5"/>
        <v>01156</v>
      </c>
      <c r="K19" t="str">
        <f t="shared" si="1"/>
        <v>0115600</v>
      </c>
    </row>
    <row r="20" spans="3:11" x14ac:dyDescent="0.25">
      <c r="C20" t="s">
        <v>1864</v>
      </c>
      <c r="D20" t="s">
        <v>1882</v>
      </c>
      <c r="E20" t="s">
        <v>1864</v>
      </c>
      <c r="F20" t="s">
        <v>21</v>
      </c>
      <c r="G20" t="str">
        <f t="shared" si="2"/>
        <v>A</v>
      </c>
      <c r="H20" t="str">
        <f t="shared" si="3"/>
        <v>01</v>
      </c>
      <c r="I20" t="str">
        <f t="shared" si="4"/>
        <v>011</v>
      </c>
      <c r="J20" t="str">
        <f t="shared" si="5"/>
        <v>01164</v>
      </c>
      <c r="K20" t="str">
        <f t="shared" si="1"/>
        <v/>
      </c>
    </row>
    <row r="21" spans="3:11" x14ac:dyDescent="0.25">
      <c r="C21" t="s">
        <v>1864</v>
      </c>
      <c r="D21" t="s">
        <v>1864</v>
      </c>
      <c r="E21" t="s">
        <v>1883</v>
      </c>
      <c r="F21" t="s">
        <v>22</v>
      </c>
      <c r="G21" t="str">
        <f t="shared" si="2"/>
        <v>A</v>
      </c>
      <c r="H21" t="str">
        <f t="shared" si="3"/>
        <v>01</v>
      </c>
      <c r="I21" t="str">
        <f t="shared" si="4"/>
        <v>011</v>
      </c>
      <c r="J21" t="str">
        <f t="shared" si="5"/>
        <v>01164</v>
      </c>
      <c r="K21" t="str">
        <f t="shared" si="1"/>
        <v>0116401</v>
      </c>
    </row>
    <row r="22" spans="3:11" x14ac:dyDescent="0.25">
      <c r="C22" t="s">
        <v>1864</v>
      </c>
      <c r="D22" t="s">
        <v>1864</v>
      </c>
      <c r="E22" t="s">
        <v>1884</v>
      </c>
      <c r="F22" t="s">
        <v>23</v>
      </c>
      <c r="G22" t="str">
        <f t="shared" si="2"/>
        <v>A</v>
      </c>
      <c r="H22" t="str">
        <f t="shared" si="3"/>
        <v>01</v>
      </c>
      <c r="I22" t="str">
        <f t="shared" si="4"/>
        <v>011</v>
      </c>
      <c r="J22" t="str">
        <f t="shared" si="5"/>
        <v>01164</v>
      </c>
      <c r="K22" t="str">
        <f t="shared" si="1"/>
        <v>0116402</v>
      </c>
    </row>
    <row r="23" spans="3:11" x14ac:dyDescent="0.25">
      <c r="C23" t="s">
        <v>1864</v>
      </c>
      <c r="D23" t="s">
        <v>1864</v>
      </c>
      <c r="E23" t="s">
        <v>1885</v>
      </c>
      <c r="F23" t="s">
        <v>24</v>
      </c>
      <c r="G23" t="str">
        <f t="shared" si="2"/>
        <v>A</v>
      </c>
      <c r="H23" t="str">
        <f t="shared" si="3"/>
        <v>01</v>
      </c>
      <c r="I23" t="str">
        <f t="shared" si="4"/>
        <v>011</v>
      </c>
      <c r="J23" t="str">
        <f t="shared" si="5"/>
        <v>01164</v>
      </c>
      <c r="K23" t="str">
        <f t="shared" si="1"/>
        <v>0116403</v>
      </c>
    </row>
    <row r="24" spans="3:11" x14ac:dyDescent="0.25">
      <c r="C24" t="s">
        <v>1864</v>
      </c>
      <c r="D24" t="s">
        <v>1864</v>
      </c>
      <c r="E24" t="s">
        <v>1886</v>
      </c>
      <c r="F24" t="s">
        <v>25</v>
      </c>
      <c r="G24" t="str">
        <f t="shared" si="2"/>
        <v>A</v>
      </c>
      <c r="H24" t="str">
        <f t="shared" si="3"/>
        <v>01</v>
      </c>
      <c r="I24" t="str">
        <f t="shared" si="4"/>
        <v>011</v>
      </c>
      <c r="J24" t="str">
        <f t="shared" si="5"/>
        <v>01164</v>
      </c>
      <c r="K24" t="str">
        <f t="shared" si="1"/>
        <v>0116499</v>
      </c>
    </row>
    <row r="25" spans="3:11" x14ac:dyDescent="0.25">
      <c r="C25" t="s">
        <v>1864</v>
      </c>
      <c r="D25" t="s">
        <v>1887</v>
      </c>
      <c r="E25" t="s">
        <v>1864</v>
      </c>
      <c r="F25" t="s">
        <v>26</v>
      </c>
      <c r="G25" t="str">
        <f t="shared" si="2"/>
        <v>A</v>
      </c>
      <c r="H25" t="str">
        <f t="shared" si="3"/>
        <v>01</v>
      </c>
      <c r="I25" t="str">
        <f t="shared" si="4"/>
        <v>011</v>
      </c>
      <c r="J25" t="str">
        <f t="shared" si="5"/>
        <v>01199</v>
      </c>
      <c r="K25" t="str">
        <f t="shared" si="1"/>
        <v/>
      </c>
    </row>
    <row r="26" spans="3:11" x14ac:dyDescent="0.25">
      <c r="C26" t="s">
        <v>1864</v>
      </c>
      <c r="D26" t="s">
        <v>1864</v>
      </c>
      <c r="E26" t="s">
        <v>1888</v>
      </c>
      <c r="F26" t="s">
        <v>27</v>
      </c>
      <c r="G26" t="str">
        <f t="shared" si="2"/>
        <v>A</v>
      </c>
      <c r="H26" t="str">
        <f t="shared" si="3"/>
        <v>01</v>
      </c>
      <c r="I26" t="str">
        <f t="shared" si="4"/>
        <v>011</v>
      </c>
      <c r="J26" t="str">
        <f t="shared" si="5"/>
        <v>01199</v>
      </c>
      <c r="K26" t="str">
        <f t="shared" si="1"/>
        <v>0119901</v>
      </c>
    </row>
    <row r="27" spans="3:11" x14ac:dyDescent="0.25">
      <c r="C27" t="s">
        <v>1864</v>
      </c>
      <c r="D27" t="s">
        <v>1864</v>
      </c>
      <c r="E27" t="s">
        <v>1889</v>
      </c>
      <c r="F27" t="s">
        <v>28</v>
      </c>
      <c r="G27" t="str">
        <f t="shared" si="2"/>
        <v>A</v>
      </c>
      <c r="H27" t="str">
        <f t="shared" si="3"/>
        <v>01</v>
      </c>
      <c r="I27" t="str">
        <f t="shared" si="4"/>
        <v>011</v>
      </c>
      <c r="J27" t="str">
        <f t="shared" si="5"/>
        <v>01199</v>
      </c>
      <c r="K27" t="str">
        <f t="shared" si="1"/>
        <v>0119902</v>
      </c>
    </row>
    <row r="28" spans="3:11" x14ac:dyDescent="0.25">
      <c r="C28" t="s">
        <v>1864</v>
      </c>
      <c r="D28" t="s">
        <v>1864</v>
      </c>
      <c r="E28" t="s">
        <v>1890</v>
      </c>
      <c r="F28" t="s">
        <v>29</v>
      </c>
      <c r="G28" t="str">
        <f t="shared" si="2"/>
        <v>A</v>
      </c>
      <c r="H28" t="str">
        <f t="shared" si="3"/>
        <v>01</v>
      </c>
      <c r="I28" t="str">
        <f t="shared" si="4"/>
        <v>011</v>
      </c>
      <c r="J28" t="str">
        <f t="shared" si="5"/>
        <v>01199</v>
      </c>
      <c r="K28" t="str">
        <f t="shared" si="1"/>
        <v>0119903</v>
      </c>
    </row>
    <row r="29" spans="3:11" x14ac:dyDescent="0.25">
      <c r="C29" t="s">
        <v>1864</v>
      </c>
      <c r="D29" t="s">
        <v>1864</v>
      </c>
      <c r="E29" t="s">
        <v>1891</v>
      </c>
      <c r="F29" t="s">
        <v>30</v>
      </c>
      <c r="G29" t="str">
        <f t="shared" si="2"/>
        <v>A</v>
      </c>
      <c r="H29" t="str">
        <f t="shared" si="3"/>
        <v>01</v>
      </c>
      <c r="I29" t="str">
        <f t="shared" si="4"/>
        <v>011</v>
      </c>
      <c r="J29" t="str">
        <f t="shared" si="5"/>
        <v>01199</v>
      </c>
      <c r="K29" t="str">
        <f t="shared" si="1"/>
        <v>0119904</v>
      </c>
    </row>
    <row r="30" spans="3:11" x14ac:dyDescent="0.25">
      <c r="C30" t="s">
        <v>1864</v>
      </c>
      <c r="D30" t="s">
        <v>1864</v>
      </c>
      <c r="E30" t="s">
        <v>1892</v>
      </c>
      <c r="F30" t="s">
        <v>31</v>
      </c>
      <c r="G30" t="str">
        <f t="shared" si="2"/>
        <v>A</v>
      </c>
      <c r="H30" t="str">
        <f t="shared" si="3"/>
        <v>01</v>
      </c>
      <c r="I30" t="str">
        <f t="shared" si="4"/>
        <v>011</v>
      </c>
      <c r="J30" t="str">
        <f t="shared" si="5"/>
        <v>01199</v>
      </c>
      <c r="K30" t="str">
        <f t="shared" si="1"/>
        <v>0119905</v>
      </c>
    </row>
    <row r="31" spans="3:11" x14ac:dyDescent="0.25">
      <c r="C31" t="s">
        <v>1864</v>
      </c>
      <c r="D31" t="s">
        <v>1864</v>
      </c>
      <c r="E31" t="s">
        <v>1893</v>
      </c>
      <c r="F31" t="s">
        <v>32</v>
      </c>
      <c r="G31" t="str">
        <f t="shared" si="2"/>
        <v>A</v>
      </c>
      <c r="H31" t="str">
        <f t="shared" si="3"/>
        <v>01</v>
      </c>
      <c r="I31" t="str">
        <f t="shared" si="4"/>
        <v>011</v>
      </c>
      <c r="J31" t="str">
        <f t="shared" si="5"/>
        <v>01199</v>
      </c>
      <c r="K31" t="str">
        <f t="shared" si="1"/>
        <v>0119906</v>
      </c>
    </row>
    <row r="32" spans="3:11" x14ac:dyDescent="0.25">
      <c r="C32" t="s">
        <v>1864</v>
      </c>
      <c r="D32" t="s">
        <v>1864</v>
      </c>
      <c r="E32" t="s">
        <v>1894</v>
      </c>
      <c r="F32" t="s">
        <v>33</v>
      </c>
      <c r="G32" t="str">
        <f t="shared" si="2"/>
        <v>A</v>
      </c>
      <c r="H32" t="str">
        <f t="shared" si="3"/>
        <v>01</v>
      </c>
      <c r="I32" t="str">
        <f t="shared" si="4"/>
        <v>011</v>
      </c>
      <c r="J32" t="str">
        <f t="shared" si="5"/>
        <v>01199</v>
      </c>
      <c r="K32" t="str">
        <f t="shared" si="1"/>
        <v>0119907</v>
      </c>
    </row>
    <row r="33" spans="3:11" x14ac:dyDescent="0.25">
      <c r="C33" t="s">
        <v>1864</v>
      </c>
      <c r="D33" t="s">
        <v>1864</v>
      </c>
      <c r="E33" t="s">
        <v>1895</v>
      </c>
      <c r="F33" t="s">
        <v>34</v>
      </c>
      <c r="G33" t="str">
        <f t="shared" si="2"/>
        <v>A</v>
      </c>
      <c r="H33" t="str">
        <f t="shared" si="3"/>
        <v>01</v>
      </c>
      <c r="I33" t="str">
        <f t="shared" si="4"/>
        <v>011</v>
      </c>
      <c r="J33" t="str">
        <f t="shared" si="5"/>
        <v>01199</v>
      </c>
      <c r="K33" t="str">
        <f t="shared" si="1"/>
        <v>0119908</v>
      </c>
    </row>
    <row r="34" spans="3:11" x14ac:dyDescent="0.25">
      <c r="C34" t="s">
        <v>1864</v>
      </c>
      <c r="D34" t="s">
        <v>1864</v>
      </c>
      <c r="E34" t="s">
        <v>1896</v>
      </c>
      <c r="F34" t="s">
        <v>35</v>
      </c>
      <c r="G34" t="str">
        <f t="shared" si="2"/>
        <v>A</v>
      </c>
      <c r="H34" t="str">
        <f t="shared" si="3"/>
        <v>01</v>
      </c>
      <c r="I34" t="str">
        <f t="shared" si="4"/>
        <v>011</v>
      </c>
      <c r="J34" t="str">
        <f t="shared" si="5"/>
        <v>01199</v>
      </c>
      <c r="K34" t="str">
        <f t="shared" si="1"/>
        <v>0119909</v>
      </c>
    </row>
    <row r="35" spans="3:11" x14ac:dyDescent="0.25">
      <c r="C35" t="s">
        <v>1864</v>
      </c>
      <c r="D35" t="s">
        <v>1864</v>
      </c>
      <c r="E35" t="s">
        <v>1897</v>
      </c>
      <c r="F35" t="s">
        <v>36</v>
      </c>
      <c r="G35" t="str">
        <f t="shared" si="2"/>
        <v>A</v>
      </c>
      <c r="H35" t="str">
        <f t="shared" si="3"/>
        <v>01</v>
      </c>
      <c r="I35" t="str">
        <f t="shared" si="4"/>
        <v>011</v>
      </c>
      <c r="J35" t="str">
        <f t="shared" si="5"/>
        <v>01199</v>
      </c>
      <c r="K35" t="str">
        <f t="shared" si="1"/>
        <v>0119999</v>
      </c>
    </row>
    <row r="36" spans="3:11" x14ac:dyDescent="0.25">
      <c r="C36" t="s">
        <v>1898</v>
      </c>
      <c r="D36" t="s">
        <v>1864</v>
      </c>
      <c r="E36" t="s">
        <v>1864</v>
      </c>
      <c r="F36" t="s">
        <v>37</v>
      </c>
      <c r="G36" t="str">
        <f t="shared" si="2"/>
        <v>A</v>
      </c>
      <c r="H36" t="str">
        <f t="shared" si="3"/>
        <v>01</v>
      </c>
      <c r="I36" t="str">
        <f t="shared" si="4"/>
        <v>012</v>
      </c>
      <c r="J36" t="str">
        <f t="shared" si="5"/>
        <v>01199</v>
      </c>
      <c r="K36" t="str">
        <f t="shared" si="1"/>
        <v/>
      </c>
    </row>
    <row r="37" spans="3:11" x14ac:dyDescent="0.25">
      <c r="C37" t="s">
        <v>1864</v>
      </c>
      <c r="D37" t="s">
        <v>1899</v>
      </c>
      <c r="E37" t="s">
        <v>1864</v>
      </c>
      <c r="F37" t="s">
        <v>38</v>
      </c>
      <c r="G37" t="str">
        <f t="shared" si="2"/>
        <v>A</v>
      </c>
      <c r="H37" t="str">
        <f t="shared" si="3"/>
        <v>01</v>
      </c>
      <c r="I37" t="str">
        <f t="shared" si="4"/>
        <v>012</v>
      </c>
      <c r="J37" t="str">
        <f t="shared" si="5"/>
        <v>01211</v>
      </c>
      <c r="K37" t="str">
        <f t="shared" si="1"/>
        <v/>
      </c>
    </row>
    <row r="38" spans="3:11" x14ac:dyDescent="0.25">
      <c r="C38" t="s">
        <v>1864</v>
      </c>
      <c r="D38" t="s">
        <v>1864</v>
      </c>
      <c r="E38" t="s">
        <v>1900</v>
      </c>
      <c r="F38" t="s">
        <v>39</v>
      </c>
      <c r="G38" t="str">
        <f t="shared" si="2"/>
        <v>A</v>
      </c>
      <c r="H38" t="str">
        <f t="shared" si="3"/>
        <v>01</v>
      </c>
      <c r="I38" t="str">
        <f t="shared" si="4"/>
        <v>012</v>
      </c>
      <c r="J38" t="str">
        <f t="shared" si="5"/>
        <v>01211</v>
      </c>
      <c r="K38" t="str">
        <f t="shared" si="1"/>
        <v>0121101</v>
      </c>
    </row>
    <row r="39" spans="3:11" x14ac:dyDescent="0.25">
      <c r="C39" t="s">
        <v>1864</v>
      </c>
      <c r="D39" t="s">
        <v>1864</v>
      </c>
      <c r="E39" t="s">
        <v>1901</v>
      </c>
      <c r="F39" t="s">
        <v>40</v>
      </c>
      <c r="G39" t="str">
        <f t="shared" si="2"/>
        <v>A</v>
      </c>
      <c r="H39" t="str">
        <f t="shared" si="3"/>
        <v>01</v>
      </c>
      <c r="I39" t="str">
        <f t="shared" si="4"/>
        <v>012</v>
      </c>
      <c r="J39" t="str">
        <f t="shared" si="5"/>
        <v>01211</v>
      </c>
      <c r="K39" t="str">
        <f t="shared" si="1"/>
        <v>0121102</v>
      </c>
    </row>
    <row r="40" spans="3:11" x14ac:dyDescent="0.25">
      <c r="C40" t="s">
        <v>1864</v>
      </c>
      <c r="D40" t="s">
        <v>1902</v>
      </c>
      <c r="E40" t="s">
        <v>1864</v>
      </c>
      <c r="F40" t="s">
        <v>41</v>
      </c>
      <c r="G40" t="str">
        <f t="shared" si="2"/>
        <v>A</v>
      </c>
      <c r="H40" t="str">
        <f t="shared" si="3"/>
        <v>01</v>
      </c>
      <c r="I40" t="str">
        <f t="shared" si="4"/>
        <v>012</v>
      </c>
      <c r="J40" t="str">
        <f t="shared" si="5"/>
        <v>01229</v>
      </c>
      <c r="K40" t="str">
        <f t="shared" si="1"/>
        <v/>
      </c>
    </row>
    <row r="41" spans="3:11" x14ac:dyDescent="0.25">
      <c r="C41" t="s">
        <v>1864</v>
      </c>
      <c r="D41" t="s">
        <v>1864</v>
      </c>
      <c r="E41" t="s">
        <v>1903</v>
      </c>
      <c r="F41" t="s">
        <v>41</v>
      </c>
      <c r="G41" t="str">
        <f t="shared" si="2"/>
        <v>A</v>
      </c>
      <c r="H41" t="str">
        <f t="shared" si="3"/>
        <v>01</v>
      </c>
      <c r="I41" t="str">
        <f t="shared" si="4"/>
        <v>012</v>
      </c>
      <c r="J41" t="str">
        <f t="shared" si="5"/>
        <v>01229</v>
      </c>
      <c r="K41" t="str">
        <f t="shared" si="1"/>
        <v>0122900</v>
      </c>
    </row>
    <row r="42" spans="3:11" x14ac:dyDescent="0.25">
      <c r="C42" t="s">
        <v>1904</v>
      </c>
      <c r="D42" t="s">
        <v>1864</v>
      </c>
      <c r="E42" t="s">
        <v>1864</v>
      </c>
      <c r="F42" t="s">
        <v>42</v>
      </c>
      <c r="G42" t="str">
        <f t="shared" si="2"/>
        <v>A</v>
      </c>
      <c r="H42" t="str">
        <f t="shared" si="3"/>
        <v>01</v>
      </c>
      <c r="I42" t="str">
        <f t="shared" si="4"/>
        <v>013</v>
      </c>
      <c r="J42" t="str">
        <f t="shared" si="5"/>
        <v>01229</v>
      </c>
      <c r="K42" t="str">
        <f t="shared" si="1"/>
        <v/>
      </c>
    </row>
    <row r="43" spans="3:11" x14ac:dyDescent="0.25">
      <c r="C43" t="s">
        <v>1864</v>
      </c>
      <c r="D43" t="s">
        <v>1905</v>
      </c>
      <c r="E43" t="s">
        <v>1864</v>
      </c>
      <c r="F43" t="s">
        <v>43</v>
      </c>
      <c r="G43" t="str">
        <f t="shared" si="2"/>
        <v>A</v>
      </c>
      <c r="H43" t="str">
        <f t="shared" si="3"/>
        <v>01</v>
      </c>
      <c r="I43" t="str">
        <f t="shared" si="4"/>
        <v>013</v>
      </c>
      <c r="J43" t="str">
        <f t="shared" si="5"/>
        <v>01318</v>
      </c>
      <c r="K43" t="str">
        <f t="shared" si="1"/>
        <v/>
      </c>
    </row>
    <row r="44" spans="3:11" x14ac:dyDescent="0.25">
      <c r="C44" t="s">
        <v>1864</v>
      </c>
      <c r="D44" t="s">
        <v>1864</v>
      </c>
      <c r="E44" t="s">
        <v>1906</v>
      </c>
      <c r="F44" t="s">
        <v>43</v>
      </c>
      <c r="G44" t="str">
        <f t="shared" si="2"/>
        <v>A</v>
      </c>
      <c r="H44" t="str">
        <f t="shared" si="3"/>
        <v>01</v>
      </c>
      <c r="I44" t="str">
        <f t="shared" si="4"/>
        <v>013</v>
      </c>
      <c r="J44" t="str">
        <f t="shared" si="5"/>
        <v>01318</v>
      </c>
      <c r="K44" t="str">
        <f t="shared" si="1"/>
        <v>0131800</v>
      </c>
    </row>
    <row r="45" spans="3:11" x14ac:dyDescent="0.25">
      <c r="C45" t="s">
        <v>1864</v>
      </c>
      <c r="D45" t="s">
        <v>1907</v>
      </c>
      <c r="E45" t="s">
        <v>1864</v>
      </c>
      <c r="F45" t="s">
        <v>44</v>
      </c>
      <c r="G45" t="str">
        <f t="shared" si="2"/>
        <v>A</v>
      </c>
      <c r="H45" t="str">
        <f t="shared" si="3"/>
        <v>01</v>
      </c>
      <c r="I45" t="str">
        <f t="shared" si="4"/>
        <v>013</v>
      </c>
      <c r="J45" t="str">
        <f t="shared" si="5"/>
        <v>01326</v>
      </c>
      <c r="K45" t="str">
        <f t="shared" si="1"/>
        <v/>
      </c>
    </row>
    <row r="46" spans="3:11" x14ac:dyDescent="0.25">
      <c r="C46" t="s">
        <v>1864</v>
      </c>
      <c r="D46" t="s">
        <v>1864</v>
      </c>
      <c r="E46" t="s">
        <v>1908</v>
      </c>
      <c r="F46" t="s">
        <v>44</v>
      </c>
      <c r="G46" t="str">
        <f t="shared" si="2"/>
        <v>A</v>
      </c>
      <c r="H46" t="str">
        <f t="shared" si="3"/>
        <v>01</v>
      </c>
      <c r="I46" t="str">
        <f t="shared" si="4"/>
        <v>013</v>
      </c>
      <c r="J46" t="str">
        <f t="shared" si="5"/>
        <v>01326</v>
      </c>
      <c r="K46" t="str">
        <f t="shared" si="1"/>
        <v>0132600</v>
      </c>
    </row>
    <row r="47" spans="3:11" x14ac:dyDescent="0.25">
      <c r="C47" t="s">
        <v>1864</v>
      </c>
      <c r="D47" t="s">
        <v>1909</v>
      </c>
      <c r="E47" t="s">
        <v>1864</v>
      </c>
      <c r="F47" t="s">
        <v>45</v>
      </c>
      <c r="G47" t="str">
        <f t="shared" si="2"/>
        <v>A</v>
      </c>
      <c r="H47" t="str">
        <f t="shared" si="3"/>
        <v>01</v>
      </c>
      <c r="I47" t="str">
        <f t="shared" si="4"/>
        <v>013</v>
      </c>
      <c r="J47" t="str">
        <f t="shared" si="5"/>
        <v>01334</v>
      </c>
      <c r="K47" t="str">
        <f t="shared" si="1"/>
        <v/>
      </c>
    </row>
    <row r="48" spans="3:11" x14ac:dyDescent="0.25">
      <c r="C48" t="s">
        <v>1864</v>
      </c>
      <c r="D48" t="s">
        <v>1864</v>
      </c>
      <c r="E48" t="s">
        <v>1910</v>
      </c>
      <c r="F48" t="s">
        <v>46</v>
      </c>
      <c r="G48" t="str">
        <f t="shared" si="2"/>
        <v>A</v>
      </c>
      <c r="H48" t="str">
        <f t="shared" si="3"/>
        <v>01</v>
      </c>
      <c r="I48" t="str">
        <f t="shared" si="4"/>
        <v>013</v>
      </c>
      <c r="J48" t="str">
        <f t="shared" si="5"/>
        <v>01334</v>
      </c>
      <c r="K48" t="str">
        <f t="shared" si="1"/>
        <v>0133401</v>
      </c>
    </row>
    <row r="49" spans="3:11" x14ac:dyDescent="0.25">
      <c r="C49" t="s">
        <v>1864</v>
      </c>
      <c r="D49" t="s">
        <v>1864</v>
      </c>
      <c r="E49" t="s">
        <v>1911</v>
      </c>
      <c r="F49" t="s">
        <v>47</v>
      </c>
      <c r="G49" t="str">
        <f t="shared" si="2"/>
        <v>A</v>
      </c>
      <c r="H49" t="str">
        <f t="shared" si="3"/>
        <v>01</v>
      </c>
      <c r="I49" t="str">
        <f t="shared" si="4"/>
        <v>013</v>
      </c>
      <c r="J49" t="str">
        <f t="shared" si="5"/>
        <v>01334</v>
      </c>
      <c r="K49" t="str">
        <f t="shared" si="1"/>
        <v>0133402</v>
      </c>
    </row>
    <row r="50" spans="3:11" x14ac:dyDescent="0.25">
      <c r="C50" t="s">
        <v>1864</v>
      </c>
      <c r="D50" t="s">
        <v>1864</v>
      </c>
      <c r="E50" t="s">
        <v>1912</v>
      </c>
      <c r="F50" t="s">
        <v>48</v>
      </c>
      <c r="G50" t="str">
        <f t="shared" si="2"/>
        <v>A</v>
      </c>
      <c r="H50" t="str">
        <f t="shared" si="3"/>
        <v>01</v>
      </c>
      <c r="I50" t="str">
        <f t="shared" si="4"/>
        <v>013</v>
      </c>
      <c r="J50" t="str">
        <f t="shared" si="5"/>
        <v>01334</v>
      </c>
      <c r="K50" t="str">
        <f t="shared" si="1"/>
        <v>0133403</v>
      </c>
    </row>
    <row r="51" spans="3:11" x14ac:dyDescent="0.25">
      <c r="C51" t="s">
        <v>1864</v>
      </c>
      <c r="D51" t="s">
        <v>1864</v>
      </c>
      <c r="E51" t="s">
        <v>1913</v>
      </c>
      <c r="F51" t="s">
        <v>49</v>
      </c>
      <c r="G51" t="str">
        <f t="shared" si="2"/>
        <v>A</v>
      </c>
      <c r="H51" t="str">
        <f t="shared" si="3"/>
        <v>01</v>
      </c>
      <c r="I51" t="str">
        <f t="shared" si="4"/>
        <v>013</v>
      </c>
      <c r="J51" t="str">
        <f t="shared" si="5"/>
        <v>01334</v>
      </c>
      <c r="K51" t="str">
        <f t="shared" si="1"/>
        <v>0133404</v>
      </c>
    </row>
    <row r="52" spans="3:11" x14ac:dyDescent="0.25">
      <c r="C52" t="s">
        <v>1864</v>
      </c>
      <c r="D52" t="s">
        <v>1864</v>
      </c>
      <c r="E52" t="s">
        <v>1914</v>
      </c>
      <c r="F52" t="s">
        <v>50</v>
      </c>
      <c r="G52" t="str">
        <f t="shared" si="2"/>
        <v>A</v>
      </c>
      <c r="H52" t="str">
        <f t="shared" si="3"/>
        <v>01</v>
      </c>
      <c r="I52" t="str">
        <f t="shared" si="4"/>
        <v>013</v>
      </c>
      <c r="J52" t="str">
        <f t="shared" si="5"/>
        <v>01334</v>
      </c>
      <c r="K52" t="str">
        <f t="shared" si="1"/>
        <v>0133405</v>
      </c>
    </row>
    <row r="53" spans="3:11" x14ac:dyDescent="0.25">
      <c r="C53" t="s">
        <v>1864</v>
      </c>
      <c r="D53" t="s">
        <v>1864</v>
      </c>
      <c r="E53" t="s">
        <v>1915</v>
      </c>
      <c r="F53" t="s">
        <v>51</v>
      </c>
      <c r="G53" t="str">
        <f t="shared" si="2"/>
        <v>A</v>
      </c>
      <c r="H53" t="str">
        <f t="shared" si="3"/>
        <v>01</v>
      </c>
      <c r="I53" t="str">
        <f t="shared" si="4"/>
        <v>013</v>
      </c>
      <c r="J53" t="str">
        <f t="shared" si="5"/>
        <v>01334</v>
      </c>
      <c r="K53" t="str">
        <f t="shared" si="1"/>
        <v>0133406</v>
      </c>
    </row>
    <row r="54" spans="3:11" x14ac:dyDescent="0.25">
      <c r="C54" t="s">
        <v>1864</v>
      </c>
      <c r="D54" t="s">
        <v>1864</v>
      </c>
      <c r="E54" t="s">
        <v>1916</v>
      </c>
      <c r="F54" t="s">
        <v>52</v>
      </c>
      <c r="G54" t="str">
        <f t="shared" si="2"/>
        <v>A</v>
      </c>
      <c r="H54" t="str">
        <f t="shared" si="3"/>
        <v>01</v>
      </c>
      <c r="I54" t="str">
        <f t="shared" si="4"/>
        <v>013</v>
      </c>
      <c r="J54" t="str">
        <f t="shared" si="5"/>
        <v>01334</v>
      </c>
      <c r="K54" t="str">
        <f t="shared" si="1"/>
        <v>0133407</v>
      </c>
    </row>
    <row r="55" spans="3:11" x14ac:dyDescent="0.25">
      <c r="C55" t="s">
        <v>1864</v>
      </c>
      <c r="D55" t="s">
        <v>1864</v>
      </c>
      <c r="E55" t="s">
        <v>1917</v>
      </c>
      <c r="F55" t="s">
        <v>53</v>
      </c>
      <c r="G55" t="str">
        <f t="shared" si="2"/>
        <v>A</v>
      </c>
      <c r="H55" t="str">
        <f t="shared" si="3"/>
        <v>01</v>
      </c>
      <c r="I55" t="str">
        <f t="shared" si="4"/>
        <v>013</v>
      </c>
      <c r="J55" t="str">
        <f t="shared" si="5"/>
        <v>01334</v>
      </c>
      <c r="K55" t="str">
        <f t="shared" si="1"/>
        <v>0133408</v>
      </c>
    </row>
    <row r="56" spans="3:11" x14ac:dyDescent="0.25">
      <c r="C56" t="s">
        <v>1864</v>
      </c>
      <c r="D56" t="s">
        <v>1864</v>
      </c>
      <c r="E56" t="s">
        <v>1918</v>
      </c>
      <c r="F56" t="s">
        <v>54</v>
      </c>
      <c r="G56" t="str">
        <f t="shared" si="2"/>
        <v>A</v>
      </c>
      <c r="H56" t="str">
        <f t="shared" si="3"/>
        <v>01</v>
      </c>
      <c r="I56" t="str">
        <f t="shared" si="4"/>
        <v>013</v>
      </c>
      <c r="J56" t="str">
        <f t="shared" si="5"/>
        <v>01334</v>
      </c>
      <c r="K56" t="str">
        <f t="shared" si="1"/>
        <v>0133409</v>
      </c>
    </row>
    <row r="57" spans="3:11" x14ac:dyDescent="0.25">
      <c r="C57" t="s">
        <v>1864</v>
      </c>
      <c r="D57" t="s">
        <v>1864</v>
      </c>
      <c r="E57" t="s">
        <v>1919</v>
      </c>
      <c r="F57" t="s">
        <v>55</v>
      </c>
      <c r="G57" t="str">
        <f t="shared" si="2"/>
        <v>A</v>
      </c>
      <c r="H57" t="str">
        <f t="shared" si="3"/>
        <v>01</v>
      </c>
      <c r="I57" t="str">
        <f t="shared" si="4"/>
        <v>013</v>
      </c>
      <c r="J57" t="str">
        <f t="shared" si="5"/>
        <v>01334</v>
      </c>
      <c r="K57" t="str">
        <f t="shared" si="1"/>
        <v>0133410</v>
      </c>
    </row>
    <row r="58" spans="3:11" x14ac:dyDescent="0.25">
      <c r="C58" t="s">
        <v>1864</v>
      </c>
      <c r="D58" t="s">
        <v>1864</v>
      </c>
      <c r="E58" t="s">
        <v>1920</v>
      </c>
      <c r="F58" t="s">
        <v>56</v>
      </c>
      <c r="G58" t="str">
        <f t="shared" si="2"/>
        <v>A</v>
      </c>
      <c r="H58" t="str">
        <f t="shared" si="3"/>
        <v>01</v>
      </c>
      <c r="I58" t="str">
        <f t="shared" si="4"/>
        <v>013</v>
      </c>
      <c r="J58" t="str">
        <f t="shared" si="5"/>
        <v>01334</v>
      </c>
      <c r="K58" t="str">
        <f t="shared" si="1"/>
        <v>0133411</v>
      </c>
    </row>
    <row r="59" spans="3:11" x14ac:dyDescent="0.25">
      <c r="C59" t="s">
        <v>1864</v>
      </c>
      <c r="D59" t="s">
        <v>1864</v>
      </c>
      <c r="E59" t="s">
        <v>1921</v>
      </c>
      <c r="F59" t="s">
        <v>57</v>
      </c>
      <c r="G59" t="str">
        <f t="shared" si="2"/>
        <v>A</v>
      </c>
      <c r="H59" t="str">
        <f t="shared" si="3"/>
        <v>01</v>
      </c>
      <c r="I59" t="str">
        <f t="shared" si="4"/>
        <v>013</v>
      </c>
      <c r="J59" t="str">
        <f t="shared" si="5"/>
        <v>01334</v>
      </c>
      <c r="K59" t="str">
        <f t="shared" si="1"/>
        <v>0133499</v>
      </c>
    </row>
    <row r="60" spans="3:11" x14ac:dyDescent="0.25">
      <c r="C60" t="s">
        <v>1864</v>
      </c>
      <c r="D60" t="s">
        <v>1922</v>
      </c>
      <c r="E60" t="s">
        <v>1864</v>
      </c>
      <c r="F60" t="s">
        <v>58</v>
      </c>
      <c r="G60" t="str">
        <f t="shared" si="2"/>
        <v>A</v>
      </c>
      <c r="H60" t="str">
        <f t="shared" si="3"/>
        <v>01</v>
      </c>
      <c r="I60" t="str">
        <f t="shared" si="4"/>
        <v>013</v>
      </c>
      <c r="J60" t="str">
        <f t="shared" si="5"/>
        <v>01342</v>
      </c>
      <c r="K60" t="str">
        <f t="shared" si="1"/>
        <v/>
      </c>
    </row>
    <row r="61" spans="3:11" x14ac:dyDescent="0.25">
      <c r="C61" t="s">
        <v>1864</v>
      </c>
      <c r="D61" t="s">
        <v>1864</v>
      </c>
      <c r="E61" t="s">
        <v>1923</v>
      </c>
      <c r="F61" t="s">
        <v>58</v>
      </c>
      <c r="G61" t="str">
        <f t="shared" si="2"/>
        <v>A</v>
      </c>
      <c r="H61" t="str">
        <f t="shared" si="3"/>
        <v>01</v>
      </c>
      <c r="I61" t="str">
        <f t="shared" si="4"/>
        <v>013</v>
      </c>
      <c r="J61" t="str">
        <f t="shared" si="5"/>
        <v>01342</v>
      </c>
      <c r="K61" t="str">
        <f t="shared" si="1"/>
        <v>0134200</v>
      </c>
    </row>
    <row r="62" spans="3:11" x14ac:dyDescent="0.25">
      <c r="C62" t="s">
        <v>1864</v>
      </c>
      <c r="D62" t="s">
        <v>1924</v>
      </c>
      <c r="E62" t="s">
        <v>1864</v>
      </c>
      <c r="F62" t="s">
        <v>59</v>
      </c>
      <c r="G62" t="str">
        <f t="shared" si="2"/>
        <v>A</v>
      </c>
      <c r="H62" t="str">
        <f t="shared" si="3"/>
        <v>01</v>
      </c>
      <c r="I62" t="str">
        <f t="shared" si="4"/>
        <v>013</v>
      </c>
      <c r="J62" t="str">
        <f t="shared" si="5"/>
        <v>01351</v>
      </c>
      <c r="K62" t="str">
        <f t="shared" si="1"/>
        <v/>
      </c>
    </row>
    <row r="63" spans="3:11" x14ac:dyDescent="0.25">
      <c r="C63" t="s">
        <v>1864</v>
      </c>
      <c r="D63" t="s">
        <v>1864</v>
      </c>
      <c r="E63" t="s">
        <v>1925</v>
      </c>
      <c r="F63" t="s">
        <v>59</v>
      </c>
      <c r="G63" t="str">
        <f t="shared" si="2"/>
        <v>A</v>
      </c>
      <c r="H63" t="str">
        <f t="shared" si="3"/>
        <v>01</v>
      </c>
      <c r="I63" t="str">
        <f t="shared" si="4"/>
        <v>013</v>
      </c>
      <c r="J63" t="str">
        <f t="shared" si="5"/>
        <v>01351</v>
      </c>
      <c r="K63" t="str">
        <f t="shared" si="1"/>
        <v>0135100</v>
      </c>
    </row>
    <row r="64" spans="3:11" x14ac:dyDescent="0.25">
      <c r="C64" t="s">
        <v>1864</v>
      </c>
      <c r="D64" t="s">
        <v>1926</v>
      </c>
      <c r="E64" t="s">
        <v>1864</v>
      </c>
      <c r="F64" t="s">
        <v>60</v>
      </c>
      <c r="G64" t="str">
        <f t="shared" si="2"/>
        <v>A</v>
      </c>
      <c r="H64" t="str">
        <f t="shared" si="3"/>
        <v>01</v>
      </c>
      <c r="I64" t="str">
        <f t="shared" si="4"/>
        <v>013</v>
      </c>
      <c r="J64" t="str">
        <f t="shared" si="5"/>
        <v>01393</v>
      </c>
      <c r="K64" t="str">
        <f t="shared" si="1"/>
        <v/>
      </c>
    </row>
    <row r="65" spans="3:11" x14ac:dyDescent="0.25">
      <c r="C65" t="s">
        <v>1864</v>
      </c>
      <c r="D65" t="s">
        <v>1864</v>
      </c>
      <c r="E65" t="s">
        <v>1927</v>
      </c>
      <c r="F65" t="s">
        <v>61</v>
      </c>
      <c r="G65" t="str">
        <f t="shared" si="2"/>
        <v>A</v>
      </c>
      <c r="H65" t="str">
        <f t="shared" si="3"/>
        <v>01</v>
      </c>
      <c r="I65" t="str">
        <f t="shared" si="4"/>
        <v>013</v>
      </c>
      <c r="J65" t="str">
        <f t="shared" si="5"/>
        <v>01393</v>
      </c>
      <c r="K65" t="str">
        <f t="shared" si="1"/>
        <v>0139301</v>
      </c>
    </row>
    <row r="66" spans="3:11" x14ac:dyDescent="0.25">
      <c r="C66" t="s">
        <v>1864</v>
      </c>
      <c r="D66" t="s">
        <v>1864</v>
      </c>
      <c r="E66" t="s">
        <v>1928</v>
      </c>
      <c r="F66" t="s">
        <v>62</v>
      </c>
      <c r="G66" t="str">
        <f t="shared" si="2"/>
        <v>A</v>
      </c>
      <c r="H66" t="str">
        <f t="shared" si="3"/>
        <v>01</v>
      </c>
      <c r="I66" t="str">
        <f t="shared" si="4"/>
        <v>013</v>
      </c>
      <c r="J66" t="str">
        <f t="shared" si="5"/>
        <v>01393</v>
      </c>
      <c r="K66" t="str">
        <f t="shared" si="1"/>
        <v>0139302</v>
      </c>
    </row>
    <row r="67" spans="3:11" x14ac:dyDescent="0.25">
      <c r="C67" t="s">
        <v>1864</v>
      </c>
      <c r="D67" t="s">
        <v>1864</v>
      </c>
      <c r="E67" t="s">
        <v>1929</v>
      </c>
      <c r="F67" t="s">
        <v>63</v>
      </c>
      <c r="G67" t="str">
        <f t="shared" si="2"/>
        <v>A</v>
      </c>
      <c r="H67" t="str">
        <f t="shared" si="3"/>
        <v>01</v>
      </c>
      <c r="I67" t="str">
        <f t="shared" si="4"/>
        <v>013</v>
      </c>
      <c r="J67" t="str">
        <f t="shared" si="5"/>
        <v>01393</v>
      </c>
      <c r="K67" t="str">
        <f t="shared" si="1"/>
        <v>0139303</v>
      </c>
    </row>
    <row r="68" spans="3:11" x14ac:dyDescent="0.25">
      <c r="C68" t="s">
        <v>1864</v>
      </c>
      <c r="D68" t="s">
        <v>1864</v>
      </c>
      <c r="E68" t="s">
        <v>1930</v>
      </c>
      <c r="F68" t="s">
        <v>64</v>
      </c>
      <c r="G68" t="str">
        <f t="shared" si="2"/>
        <v>A</v>
      </c>
      <c r="H68" t="str">
        <f t="shared" si="3"/>
        <v>01</v>
      </c>
      <c r="I68" t="str">
        <f t="shared" si="4"/>
        <v>013</v>
      </c>
      <c r="J68" t="str">
        <f t="shared" si="5"/>
        <v>01393</v>
      </c>
      <c r="K68" t="str">
        <f t="shared" si="1"/>
        <v>0139304</v>
      </c>
    </row>
    <row r="69" spans="3:11" x14ac:dyDescent="0.25">
      <c r="C69" t="s">
        <v>1864</v>
      </c>
      <c r="D69" t="s">
        <v>1864</v>
      </c>
      <c r="E69" t="s">
        <v>1931</v>
      </c>
      <c r="F69" t="s">
        <v>65</v>
      </c>
      <c r="G69" t="str">
        <f t="shared" si="2"/>
        <v>A</v>
      </c>
      <c r="H69" t="str">
        <f t="shared" si="3"/>
        <v>01</v>
      </c>
      <c r="I69" t="str">
        <f t="shared" si="4"/>
        <v>013</v>
      </c>
      <c r="J69" t="str">
        <f t="shared" si="5"/>
        <v>01393</v>
      </c>
      <c r="K69" t="str">
        <f t="shared" si="1"/>
        <v>0139305</v>
      </c>
    </row>
    <row r="70" spans="3:11" x14ac:dyDescent="0.25">
      <c r="C70" t="s">
        <v>1864</v>
      </c>
      <c r="D70" t="s">
        <v>1864</v>
      </c>
      <c r="E70" t="s">
        <v>1932</v>
      </c>
      <c r="F70" t="s">
        <v>66</v>
      </c>
      <c r="G70" t="str">
        <f t="shared" si="2"/>
        <v>A</v>
      </c>
      <c r="H70" t="str">
        <f t="shared" si="3"/>
        <v>01</v>
      </c>
      <c r="I70" t="str">
        <f t="shared" si="4"/>
        <v>013</v>
      </c>
      <c r="J70" t="str">
        <f t="shared" si="5"/>
        <v>01393</v>
      </c>
      <c r="K70" t="str">
        <f t="shared" si="1"/>
        <v>0139306</v>
      </c>
    </row>
    <row r="71" spans="3:11" x14ac:dyDescent="0.25">
      <c r="C71" t="s">
        <v>1864</v>
      </c>
      <c r="D71" t="s">
        <v>1864</v>
      </c>
      <c r="E71" t="s">
        <v>1933</v>
      </c>
      <c r="F71" t="s">
        <v>67</v>
      </c>
      <c r="G71" t="str">
        <f t="shared" si="2"/>
        <v>A</v>
      </c>
      <c r="H71" t="str">
        <f t="shared" si="3"/>
        <v>01</v>
      </c>
      <c r="I71" t="str">
        <f t="shared" si="4"/>
        <v>013</v>
      </c>
      <c r="J71" t="str">
        <f t="shared" si="5"/>
        <v>01393</v>
      </c>
      <c r="K71" t="str">
        <f t="shared" si="1"/>
        <v>0139399</v>
      </c>
    </row>
    <row r="72" spans="3:11" x14ac:dyDescent="0.25">
      <c r="C72" t="s">
        <v>1934</v>
      </c>
      <c r="D72" t="s">
        <v>1864</v>
      </c>
      <c r="E72" t="s">
        <v>1864</v>
      </c>
      <c r="F72" t="s">
        <v>68</v>
      </c>
      <c r="G72" t="str">
        <f t="shared" si="2"/>
        <v>A</v>
      </c>
      <c r="H72" t="str">
        <f t="shared" si="3"/>
        <v>01</v>
      </c>
      <c r="I72" t="str">
        <f t="shared" si="4"/>
        <v>014</v>
      </c>
      <c r="J72" t="str">
        <f t="shared" si="5"/>
        <v>01393</v>
      </c>
      <c r="K72" t="str">
        <f t="shared" ref="K72:K135" si="6">E72</f>
        <v/>
      </c>
    </row>
    <row r="73" spans="3:11" x14ac:dyDescent="0.25">
      <c r="C73" t="s">
        <v>1864</v>
      </c>
      <c r="D73" t="s">
        <v>1935</v>
      </c>
      <c r="E73" t="s">
        <v>1864</v>
      </c>
      <c r="F73" t="s">
        <v>69</v>
      </c>
      <c r="G73" t="str">
        <f t="shared" ref="G73:G136" si="7">IF(A73="",G72,A73)</f>
        <v>A</v>
      </c>
      <c r="H73" t="str">
        <f t="shared" ref="H73:H136" si="8">IF(B73="",H72,B73)</f>
        <v>01</v>
      </c>
      <c r="I73" t="str">
        <f t="shared" ref="I73:I136" si="9">IF(C73="",I72,C73)</f>
        <v>014</v>
      </c>
      <c r="J73" t="str">
        <f t="shared" ref="J73:J136" si="10">IF(D73="",J72,D73)</f>
        <v>01415</v>
      </c>
      <c r="K73" t="str">
        <f t="shared" si="6"/>
        <v/>
      </c>
    </row>
    <row r="74" spans="3:11" x14ac:dyDescent="0.25">
      <c r="C74" t="s">
        <v>1864</v>
      </c>
      <c r="D74" t="s">
        <v>1864</v>
      </c>
      <c r="E74" t="s">
        <v>1936</v>
      </c>
      <c r="F74" t="s">
        <v>70</v>
      </c>
      <c r="G74" t="str">
        <f t="shared" si="7"/>
        <v>A</v>
      </c>
      <c r="H74" t="str">
        <f t="shared" si="8"/>
        <v>01</v>
      </c>
      <c r="I74" t="str">
        <f t="shared" si="9"/>
        <v>014</v>
      </c>
      <c r="J74" t="str">
        <f t="shared" si="10"/>
        <v>01415</v>
      </c>
      <c r="K74" t="str">
        <f t="shared" si="6"/>
        <v>0141501</v>
      </c>
    </row>
    <row r="75" spans="3:11" x14ac:dyDescent="0.25">
      <c r="C75" t="s">
        <v>1864</v>
      </c>
      <c r="D75" t="s">
        <v>1864</v>
      </c>
      <c r="E75" t="s">
        <v>1937</v>
      </c>
      <c r="F75" t="s">
        <v>71</v>
      </c>
      <c r="G75" t="str">
        <f t="shared" si="7"/>
        <v>A</v>
      </c>
      <c r="H75" t="str">
        <f t="shared" si="8"/>
        <v>01</v>
      </c>
      <c r="I75" t="str">
        <f t="shared" si="9"/>
        <v>014</v>
      </c>
      <c r="J75" t="str">
        <f t="shared" si="10"/>
        <v>01415</v>
      </c>
      <c r="K75" t="str">
        <f t="shared" si="6"/>
        <v>0141502</v>
      </c>
    </row>
    <row r="76" spans="3:11" x14ac:dyDescent="0.25">
      <c r="C76" t="s">
        <v>1864</v>
      </c>
      <c r="D76" t="s">
        <v>1938</v>
      </c>
      <c r="E76" t="s">
        <v>1864</v>
      </c>
      <c r="F76" t="s">
        <v>72</v>
      </c>
      <c r="G76" t="str">
        <f t="shared" si="7"/>
        <v>A</v>
      </c>
      <c r="H76" t="str">
        <f t="shared" si="8"/>
        <v>01</v>
      </c>
      <c r="I76" t="str">
        <f t="shared" si="9"/>
        <v>014</v>
      </c>
      <c r="J76" t="str">
        <f t="shared" si="10"/>
        <v>01423</v>
      </c>
      <c r="K76" t="str">
        <f t="shared" si="6"/>
        <v/>
      </c>
    </row>
    <row r="77" spans="3:11" x14ac:dyDescent="0.25">
      <c r="C77" t="s">
        <v>1864</v>
      </c>
      <c r="D77" t="s">
        <v>1864</v>
      </c>
      <c r="E77" t="s">
        <v>1939</v>
      </c>
      <c r="F77" t="s">
        <v>72</v>
      </c>
      <c r="G77" t="str">
        <f t="shared" si="7"/>
        <v>A</v>
      </c>
      <c r="H77" t="str">
        <f t="shared" si="8"/>
        <v>01</v>
      </c>
      <c r="I77" t="str">
        <f t="shared" si="9"/>
        <v>014</v>
      </c>
      <c r="J77" t="str">
        <f t="shared" si="10"/>
        <v>01423</v>
      </c>
      <c r="K77" t="str">
        <f t="shared" si="6"/>
        <v>0142300</v>
      </c>
    </row>
    <row r="78" spans="3:11" x14ac:dyDescent="0.25">
      <c r="C78" t="s">
        <v>1940</v>
      </c>
      <c r="D78" t="s">
        <v>1864</v>
      </c>
      <c r="E78" t="s">
        <v>1864</v>
      </c>
      <c r="F78" t="s">
        <v>73</v>
      </c>
      <c r="G78" t="str">
        <f t="shared" si="7"/>
        <v>A</v>
      </c>
      <c r="H78" t="str">
        <f t="shared" si="8"/>
        <v>01</v>
      </c>
      <c r="I78" t="str">
        <f t="shared" si="9"/>
        <v>015</v>
      </c>
      <c r="J78" t="str">
        <f t="shared" si="10"/>
        <v>01423</v>
      </c>
      <c r="K78" t="str">
        <f t="shared" si="6"/>
        <v/>
      </c>
    </row>
    <row r="79" spans="3:11" x14ac:dyDescent="0.25">
      <c r="C79" t="s">
        <v>1864</v>
      </c>
      <c r="D79" t="s">
        <v>1941</v>
      </c>
      <c r="E79" t="s">
        <v>1864</v>
      </c>
      <c r="F79" t="s">
        <v>74</v>
      </c>
      <c r="G79" t="str">
        <f t="shared" si="7"/>
        <v>A</v>
      </c>
      <c r="H79" t="str">
        <f t="shared" si="8"/>
        <v>01</v>
      </c>
      <c r="I79" t="str">
        <f t="shared" si="9"/>
        <v>015</v>
      </c>
      <c r="J79" t="str">
        <f t="shared" si="10"/>
        <v>01512</v>
      </c>
      <c r="K79" t="str">
        <f t="shared" si="6"/>
        <v/>
      </c>
    </row>
    <row r="80" spans="3:11" x14ac:dyDescent="0.25">
      <c r="C80" t="s">
        <v>1864</v>
      </c>
      <c r="D80" t="s">
        <v>1864</v>
      </c>
      <c r="E80" t="s">
        <v>1942</v>
      </c>
      <c r="F80" t="s">
        <v>75</v>
      </c>
      <c r="G80" t="str">
        <f t="shared" si="7"/>
        <v>A</v>
      </c>
      <c r="H80" t="str">
        <f t="shared" si="8"/>
        <v>01</v>
      </c>
      <c r="I80" t="str">
        <f t="shared" si="9"/>
        <v>015</v>
      </c>
      <c r="J80" t="str">
        <f t="shared" si="10"/>
        <v>01512</v>
      </c>
      <c r="K80" t="str">
        <f t="shared" si="6"/>
        <v>0151201</v>
      </c>
    </row>
    <row r="81" spans="3:11" x14ac:dyDescent="0.25">
      <c r="C81" t="s">
        <v>1864</v>
      </c>
      <c r="D81" t="s">
        <v>1864</v>
      </c>
      <c r="E81" t="s">
        <v>1943</v>
      </c>
      <c r="F81" t="s">
        <v>76</v>
      </c>
      <c r="G81" t="str">
        <f t="shared" si="7"/>
        <v>A</v>
      </c>
      <c r="H81" t="str">
        <f t="shared" si="8"/>
        <v>01</v>
      </c>
      <c r="I81" t="str">
        <f t="shared" si="9"/>
        <v>015</v>
      </c>
      <c r="J81" t="str">
        <f t="shared" si="10"/>
        <v>01512</v>
      </c>
      <c r="K81" t="str">
        <f t="shared" si="6"/>
        <v>0151202</v>
      </c>
    </row>
    <row r="82" spans="3:11" x14ac:dyDescent="0.25">
      <c r="C82" t="s">
        <v>1864</v>
      </c>
      <c r="D82" t="s">
        <v>1864</v>
      </c>
      <c r="E82" t="s">
        <v>1944</v>
      </c>
      <c r="F82" t="s">
        <v>77</v>
      </c>
      <c r="G82" t="str">
        <f t="shared" si="7"/>
        <v>A</v>
      </c>
      <c r="H82" t="str">
        <f t="shared" si="8"/>
        <v>01</v>
      </c>
      <c r="I82" t="str">
        <f t="shared" si="9"/>
        <v>015</v>
      </c>
      <c r="J82" t="str">
        <f t="shared" si="10"/>
        <v>01512</v>
      </c>
      <c r="K82" t="str">
        <f t="shared" si="6"/>
        <v>0151203</v>
      </c>
    </row>
    <row r="83" spans="3:11" x14ac:dyDescent="0.25">
      <c r="C83" t="s">
        <v>1864</v>
      </c>
      <c r="D83" t="s">
        <v>1945</v>
      </c>
      <c r="E83" t="s">
        <v>1864</v>
      </c>
      <c r="F83" t="s">
        <v>78</v>
      </c>
      <c r="G83" t="str">
        <f t="shared" si="7"/>
        <v>A</v>
      </c>
      <c r="H83" t="str">
        <f t="shared" si="8"/>
        <v>01</v>
      </c>
      <c r="I83" t="str">
        <f t="shared" si="9"/>
        <v>015</v>
      </c>
      <c r="J83" t="str">
        <f t="shared" si="10"/>
        <v>01521</v>
      </c>
      <c r="K83" t="str">
        <f t="shared" si="6"/>
        <v/>
      </c>
    </row>
    <row r="84" spans="3:11" x14ac:dyDescent="0.25">
      <c r="C84" t="s">
        <v>1864</v>
      </c>
      <c r="D84" t="s">
        <v>1864</v>
      </c>
      <c r="E84" t="s">
        <v>1946</v>
      </c>
      <c r="F84" t="s">
        <v>79</v>
      </c>
      <c r="G84" t="str">
        <f t="shared" si="7"/>
        <v>A</v>
      </c>
      <c r="H84" t="str">
        <f t="shared" si="8"/>
        <v>01</v>
      </c>
      <c r="I84" t="str">
        <f t="shared" si="9"/>
        <v>015</v>
      </c>
      <c r="J84" t="str">
        <f t="shared" si="10"/>
        <v>01521</v>
      </c>
      <c r="K84" t="str">
        <f t="shared" si="6"/>
        <v>0152101</v>
      </c>
    </row>
    <row r="85" spans="3:11" x14ac:dyDescent="0.25">
      <c r="C85" t="s">
        <v>1864</v>
      </c>
      <c r="D85" t="s">
        <v>1864</v>
      </c>
      <c r="E85" t="s">
        <v>1947</v>
      </c>
      <c r="F85" t="s">
        <v>80</v>
      </c>
      <c r="G85" t="str">
        <f t="shared" si="7"/>
        <v>A</v>
      </c>
      <c r="H85" t="str">
        <f t="shared" si="8"/>
        <v>01</v>
      </c>
      <c r="I85" t="str">
        <f t="shared" si="9"/>
        <v>015</v>
      </c>
      <c r="J85" t="str">
        <f t="shared" si="10"/>
        <v>01521</v>
      </c>
      <c r="K85" t="str">
        <f t="shared" si="6"/>
        <v>0152102</v>
      </c>
    </row>
    <row r="86" spans="3:11" x14ac:dyDescent="0.25">
      <c r="C86" t="s">
        <v>1864</v>
      </c>
      <c r="D86" t="s">
        <v>1864</v>
      </c>
      <c r="E86" t="s">
        <v>1948</v>
      </c>
      <c r="F86" t="s">
        <v>81</v>
      </c>
      <c r="G86" t="str">
        <f t="shared" si="7"/>
        <v>A</v>
      </c>
      <c r="H86" t="str">
        <f t="shared" si="8"/>
        <v>01</v>
      </c>
      <c r="I86" t="str">
        <f t="shared" si="9"/>
        <v>015</v>
      </c>
      <c r="J86" t="str">
        <f t="shared" si="10"/>
        <v>01521</v>
      </c>
      <c r="K86" t="str">
        <f t="shared" si="6"/>
        <v>0152103</v>
      </c>
    </row>
    <row r="87" spans="3:11" x14ac:dyDescent="0.25">
      <c r="C87" t="s">
        <v>1864</v>
      </c>
      <c r="D87" t="s">
        <v>1949</v>
      </c>
      <c r="E87" t="s">
        <v>1864</v>
      </c>
      <c r="F87" t="s">
        <v>82</v>
      </c>
      <c r="G87" t="str">
        <f t="shared" si="7"/>
        <v>A</v>
      </c>
      <c r="H87" t="str">
        <f t="shared" si="8"/>
        <v>01</v>
      </c>
      <c r="I87" t="str">
        <f t="shared" si="9"/>
        <v>015</v>
      </c>
      <c r="J87" t="str">
        <f t="shared" si="10"/>
        <v>01539</v>
      </c>
      <c r="K87" t="str">
        <f t="shared" si="6"/>
        <v/>
      </c>
    </row>
    <row r="88" spans="3:11" x14ac:dyDescent="0.25">
      <c r="C88" t="s">
        <v>1864</v>
      </c>
      <c r="D88" t="s">
        <v>1864</v>
      </c>
      <c r="E88" t="s">
        <v>1950</v>
      </c>
      <c r="F88" t="s">
        <v>83</v>
      </c>
      <c r="G88" t="str">
        <f t="shared" si="7"/>
        <v>A</v>
      </c>
      <c r="H88" t="str">
        <f t="shared" si="8"/>
        <v>01</v>
      </c>
      <c r="I88" t="str">
        <f t="shared" si="9"/>
        <v>015</v>
      </c>
      <c r="J88" t="str">
        <f t="shared" si="10"/>
        <v>01539</v>
      </c>
      <c r="K88" t="str">
        <f t="shared" si="6"/>
        <v>0153901</v>
      </c>
    </row>
    <row r="89" spans="3:11" x14ac:dyDescent="0.25">
      <c r="C89" t="s">
        <v>1864</v>
      </c>
      <c r="D89" t="s">
        <v>1864</v>
      </c>
      <c r="E89" t="s">
        <v>1951</v>
      </c>
      <c r="F89" t="s">
        <v>84</v>
      </c>
      <c r="G89" t="str">
        <f t="shared" si="7"/>
        <v>A</v>
      </c>
      <c r="H89" t="str">
        <f t="shared" si="8"/>
        <v>01</v>
      </c>
      <c r="I89" t="str">
        <f t="shared" si="9"/>
        <v>015</v>
      </c>
      <c r="J89" t="str">
        <f t="shared" si="10"/>
        <v>01539</v>
      </c>
      <c r="K89" t="str">
        <f t="shared" si="6"/>
        <v>0153902</v>
      </c>
    </row>
    <row r="90" spans="3:11" x14ac:dyDescent="0.25">
      <c r="C90" t="s">
        <v>1864</v>
      </c>
      <c r="D90" t="s">
        <v>1952</v>
      </c>
      <c r="E90" t="s">
        <v>1864</v>
      </c>
      <c r="F90" t="s">
        <v>85</v>
      </c>
      <c r="G90" t="str">
        <f t="shared" si="7"/>
        <v>A</v>
      </c>
      <c r="H90" t="str">
        <f t="shared" si="8"/>
        <v>01</v>
      </c>
      <c r="I90" t="str">
        <f t="shared" si="9"/>
        <v>015</v>
      </c>
      <c r="J90" t="str">
        <f t="shared" si="10"/>
        <v>01547</v>
      </c>
      <c r="K90" t="str">
        <f t="shared" si="6"/>
        <v/>
      </c>
    </row>
    <row r="91" spans="3:11" x14ac:dyDescent="0.25">
      <c r="C91" t="s">
        <v>1864</v>
      </c>
      <c r="D91" t="s">
        <v>1864</v>
      </c>
      <c r="E91" t="s">
        <v>1953</v>
      </c>
      <c r="F91" t="s">
        <v>85</v>
      </c>
      <c r="G91" t="str">
        <f t="shared" si="7"/>
        <v>A</v>
      </c>
      <c r="H91" t="str">
        <f t="shared" si="8"/>
        <v>01</v>
      </c>
      <c r="I91" t="str">
        <f t="shared" si="9"/>
        <v>015</v>
      </c>
      <c r="J91" t="str">
        <f t="shared" si="10"/>
        <v>01547</v>
      </c>
      <c r="K91" t="str">
        <f t="shared" si="6"/>
        <v>0154700</v>
      </c>
    </row>
    <row r="92" spans="3:11" x14ac:dyDescent="0.25">
      <c r="C92" t="s">
        <v>1864</v>
      </c>
      <c r="D92" t="s">
        <v>1954</v>
      </c>
      <c r="E92" t="s">
        <v>1864</v>
      </c>
      <c r="F92" t="s">
        <v>86</v>
      </c>
      <c r="G92" t="str">
        <f t="shared" si="7"/>
        <v>A</v>
      </c>
      <c r="H92" t="str">
        <f t="shared" si="8"/>
        <v>01</v>
      </c>
      <c r="I92" t="str">
        <f t="shared" si="9"/>
        <v>015</v>
      </c>
      <c r="J92" t="str">
        <f t="shared" si="10"/>
        <v>01555</v>
      </c>
      <c r="K92" t="str">
        <f t="shared" si="6"/>
        <v/>
      </c>
    </row>
    <row r="93" spans="3:11" x14ac:dyDescent="0.25">
      <c r="C93" t="s">
        <v>1864</v>
      </c>
      <c r="D93" t="s">
        <v>1864</v>
      </c>
      <c r="E93" t="s">
        <v>1955</v>
      </c>
      <c r="F93" t="s">
        <v>87</v>
      </c>
      <c r="G93" t="str">
        <f t="shared" si="7"/>
        <v>A</v>
      </c>
      <c r="H93" t="str">
        <f t="shared" si="8"/>
        <v>01</v>
      </c>
      <c r="I93" t="str">
        <f t="shared" si="9"/>
        <v>015</v>
      </c>
      <c r="J93" t="str">
        <f t="shared" si="10"/>
        <v>01555</v>
      </c>
      <c r="K93" t="str">
        <f t="shared" si="6"/>
        <v>0155501</v>
      </c>
    </row>
    <row r="94" spans="3:11" x14ac:dyDescent="0.25">
      <c r="C94" t="s">
        <v>1864</v>
      </c>
      <c r="D94" t="s">
        <v>1864</v>
      </c>
      <c r="E94" t="s">
        <v>1956</v>
      </c>
      <c r="F94" t="s">
        <v>88</v>
      </c>
      <c r="G94" t="str">
        <f t="shared" si="7"/>
        <v>A</v>
      </c>
      <c r="H94" t="str">
        <f t="shared" si="8"/>
        <v>01</v>
      </c>
      <c r="I94" t="str">
        <f t="shared" si="9"/>
        <v>015</v>
      </c>
      <c r="J94" t="str">
        <f t="shared" si="10"/>
        <v>01555</v>
      </c>
      <c r="K94" t="str">
        <f t="shared" si="6"/>
        <v>0155502</v>
      </c>
    </row>
    <row r="95" spans="3:11" x14ac:dyDescent="0.25">
      <c r="C95" t="s">
        <v>1864</v>
      </c>
      <c r="D95" t="s">
        <v>1864</v>
      </c>
      <c r="E95" t="s">
        <v>1957</v>
      </c>
      <c r="F95" t="s">
        <v>89</v>
      </c>
      <c r="G95" t="str">
        <f t="shared" si="7"/>
        <v>A</v>
      </c>
      <c r="H95" t="str">
        <f t="shared" si="8"/>
        <v>01</v>
      </c>
      <c r="I95" t="str">
        <f t="shared" si="9"/>
        <v>015</v>
      </c>
      <c r="J95" t="str">
        <f t="shared" si="10"/>
        <v>01555</v>
      </c>
      <c r="K95" t="str">
        <f t="shared" si="6"/>
        <v>0155503</v>
      </c>
    </row>
    <row r="96" spans="3:11" x14ac:dyDescent="0.25">
      <c r="C96" t="s">
        <v>1864</v>
      </c>
      <c r="D96" t="s">
        <v>1864</v>
      </c>
      <c r="E96" t="s">
        <v>1958</v>
      </c>
      <c r="F96" t="s">
        <v>90</v>
      </c>
      <c r="G96" t="str">
        <f t="shared" si="7"/>
        <v>A</v>
      </c>
      <c r="H96" t="str">
        <f t="shared" si="8"/>
        <v>01</v>
      </c>
      <c r="I96" t="str">
        <f t="shared" si="9"/>
        <v>015</v>
      </c>
      <c r="J96" t="str">
        <f t="shared" si="10"/>
        <v>01555</v>
      </c>
      <c r="K96" t="str">
        <f t="shared" si="6"/>
        <v>0155504</v>
      </c>
    </row>
    <row r="97" spans="3:11" x14ac:dyDescent="0.25">
      <c r="C97" t="s">
        <v>1864</v>
      </c>
      <c r="D97" t="s">
        <v>1864</v>
      </c>
      <c r="E97" t="s">
        <v>1959</v>
      </c>
      <c r="F97" t="s">
        <v>91</v>
      </c>
      <c r="G97" t="str">
        <f t="shared" si="7"/>
        <v>A</v>
      </c>
      <c r="H97" t="str">
        <f t="shared" si="8"/>
        <v>01</v>
      </c>
      <c r="I97" t="str">
        <f t="shared" si="9"/>
        <v>015</v>
      </c>
      <c r="J97" t="str">
        <f t="shared" si="10"/>
        <v>01555</v>
      </c>
      <c r="K97" t="str">
        <f t="shared" si="6"/>
        <v>0155505</v>
      </c>
    </row>
    <row r="98" spans="3:11" x14ac:dyDescent="0.25">
      <c r="C98" t="s">
        <v>1864</v>
      </c>
      <c r="D98" t="s">
        <v>1960</v>
      </c>
      <c r="E98" t="s">
        <v>1864</v>
      </c>
      <c r="F98" t="s">
        <v>92</v>
      </c>
      <c r="G98" t="str">
        <f t="shared" si="7"/>
        <v>A</v>
      </c>
      <c r="H98" t="str">
        <f t="shared" si="8"/>
        <v>01</v>
      </c>
      <c r="I98" t="str">
        <f t="shared" si="9"/>
        <v>015</v>
      </c>
      <c r="J98" t="str">
        <f t="shared" si="10"/>
        <v>01598</v>
      </c>
      <c r="K98" t="str">
        <f t="shared" si="6"/>
        <v/>
      </c>
    </row>
    <row r="99" spans="3:11" x14ac:dyDescent="0.25">
      <c r="C99" t="s">
        <v>1864</v>
      </c>
      <c r="D99" t="s">
        <v>1864</v>
      </c>
      <c r="E99" t="s">
        <v>1961</v>
      </c>
      <c r="F99" t="s">
        <v>93</v>
      </c>
      <c r="G99" t="str">
        <f t="shared" si="7"/>
        <v>A</v>
      </c>
      <c r="H99" t="str">
        <f t="shared" si="8"/>
        <v>01</v>
      </c>
      <c r="I99" t="str">
        <f t="shared" si="9"/>
        <v>015</v>
      </c>
      <c r="J99" t="str">
        <f t="shared" si="10"/>
        <v>01598</v>
      </c>
      <c r="K99" t="str">
        <f t="shared" si="6"/>
        <v>0159801</v>
      </c>
    </row>
    <row r="100" spans="3:11" x14ac:dyDescent="0.25">
      <c r="C100" t="s">
        <v>1864</v>
      </c>
      <c r="D100" t="s">
        <v>1864</v>
      </c>
      <c r="E100" t="s">
        <v>1962</v>
      </c>
      <c r="F100" t="s">
        <v>94</v>
      </c>
      <c r="G100" t="str">
        <f t="shared" si="7"/>
        <v>A</v>
      </c>
      <c r="H100" t="str">
        <f t="shared" si="8"/>
        <v>01</v>
      </c>
      <c r="I100" t="str">
        <f t="shared" si="9"/>
        <v>015</v>
      </c>
      <c r="J100" t="str">
        <f t="shared" si="10"/>
        <v>01598</v>
      </c>
      <c r="K100" t="str">
        <f t="shared" si="6"/>
        <v>0159802</v>
      </c>
    </row>
    <row r="101" spans="3:11" x14ac:dyDescent="0.25">
      <c r="C101" t="s">
        <v>1864</v>
      </c>
      <c r="D101" t="s">
        <v>1864</v>
      </c>
      <c r="E101" t="s">
        <v>1963</v>
      </c>
      <c r="F101" t="s">
        <v>95</v>
      </c>
      <c r="G101" t="str">
        <f t="shared" si="7"/>
        <v>A</v>
      </c>
      <c r="H101" t="str">
        <f t="shared" si="8"/>
        <v>01</v>
      </c>
      <c r="I101" t="str">
        <f t="shared" si="9"/>
        <v>015</v>
      </c>
      <c r="J101" t="str">
        <f t="shared" si="10"/>
        <v>01598</v>
      </c>
      <c r="K101" t="str">
        <f t="shared" si="6"/>
        <v>0159803</v>
      </c>
    </row>
    <row r="102" spans="3:11" x14ac:dyDescent="0.25">
      <c r="C102" t="s">
        <v>1864</v>
      </c>
      <c r="D102" t="s">
        <v>1864</v>
      </c>
      <c r="E102" t="s">
        <v>1964</v>
      </c>
      <c r="F102" t="s">
        <v>96</v>
      </c>
      <c r="G102" t="str">
        <f t="shared" si="7"/>
        <v>A</v>
      </c>
      <c r="H102" t="str">
        <f t="shared" si="8"/>
        <v>01</v>
      </c>
      <c r="I102" t="str">
        <f t="shared" si="9"/>
        <v>015</v>
      </c>
      <c r="J102" t="str">
        <f t="shared" si="10"/>
        <v>01598</v>
      </c>
      <c r="K102" t="str">
        <f t="shared" si="6"/>
        <v>0159804</v>
      </c>
    </row>
    <row r="103" spans="3:11" x14ac:dyDescent="0.25">
      <c r="C103" t="s">
        <v>1864</v>
      </c>
      <c r="D103" t="s">
        <v>1864</v>
      </c>
      <c r="E103" t="s">
        <v>1965</v>
      </c>
      <c r="F103" t="s">
        <v>97</v>
      </c>
      <c r="G103" t="str">
        <f t="shared" si="7"/>
        <v>A</v>
      </c>
      <c r="H103" t="str">
        <f t="shared" si="8"/>
        <v>01</v>
      </c>
      <c r="I103" t="str">
        <f t="shared" si="9"/>
        <v>015</v>
      </c>
      <c r="J103" t="str">
        <f t="shared" si="10"/>
        <v>01598</v>
      </c>
      <c r="K103" t="str">
        <f t="shared" si="6"/>
        <v>0159899</v>
      </c>
    </row>
    <row r="104" spans="3:11" x14ac:dyDescent="0.25">
      <c r="C104" t="s">
        <v>1966</v>
      </c>
      <c r="D104" t="s">
        <v>1864</v>
      </c>
      <c r="E104" t="s">
        <v>1864</v>
      </c>
      <c r="F104" t="s">
        <v>98</v>
      </c>
      <c r="G104" t="str">
        <f t="shared" si="7"/>
        <v>A</v>
      </c>
      <c r="H104" t="str">
        <f t="shared" si="8"/>
        <v>01</v>
      </c>
      <c r="I104" t="str">
        <f t="shared" si="9"/>
        <v>016</v>
      </c>
      <c r="J104" t="str">
        <f t="shared" si="10"/>
        <v>01598</v>
      </c>
      <c r="K104" t="str">
        <f t="shared" si="6"/>
        <v/>
      </c>
    </row>
    <row r="105" spans="3:11" x14ac:dyDescent="0.25">
      <c r="C105" t="s">
        <v>1864</v>
      </c>
      <c r="D105" t="s">
        <v>1967</v>
      </c>
      <c r="E105" t="s">
        <v>1864</v>
      </c>
      <c r="F105" t="s">
        <v>99</v>
      </c>
      <c r="G105" t="str">
        <f t="shared" si="7"/>
        <v>A</v>
      </c>
      <c r="H105" t="str">
        <f t="shared" si="8"/>
        <v>01</v>
      </c>
      <c r="I105" t="str">
        <f t="shared" si="9"/>
        <v>016</v>
      </c>
      <c r="J105" t="str">
        <f t="shared" si="10"/>
        <v>01610</v>
      </c>
      <c r="K105" t="str">
        <f t="shared" si="6"/>
        <v/>
      </c>
    </row>
    <row r="106" spans="3:11" x14ac:dyDescent="0.25">
      <c r="C106" t="s">
        <v>1864</v>
      </c>
      <c r="D106" t="s">
        <v>1864</v>
      </c>
      <c r="E106" t="s">
        <v>1968</v>
      </c>
      <c r="F106" t="s">
        <v>100</v>
      </c>
      <c r="G106" t="str">
        <f t="shared" si="7"/>
        <v>A</v>
      </c>
      <c r="H106" t="str">
        <f t="shared" si="8"/>
        <v>01</v>
      </c>
      <c r="I106" t="str">
        <f t="shared" si="9"/>
        <v>016</v>
      </c>
      <c r="J106" t="str">
        <f t="shared" si="10"/>
        <v>01610</v>
      </c>
      <c r="K106" t="str">
        <f t="shared" si="6"/>
        <v>0161001</v>
      </c>
    </row>
    <row r="107" spans="3:11" x14ac:dyDescent="0.25">
      <c r="C107" t="s">
        <v>1864</v>
      </c>
      <c r="D107" t="s">
        <v>1864</v>
      </c>
      <c r="E107" t="s">
        <v>1969</v>
      </c>
      <c r="F107" t="s">
        <v>101</v>
      </c>
      <c r="G107" t="str">
        <f t="shared" si="7"/>
        <v>A</v>
      </c>
      <c r="H107" t="str">
        <f t="shared" si="8"/>
        <v>01</v>
      </c>
      <c r="I107" t="str">
        <f t="shared" si="9"/>
        <v>016</v>
      </c>
      <c r="J107" t="str">
        <f t="shared" si="10"/>
        <v>01610</v>
      </c>
      <c r="K107" t="str">
        <f t="shared" si="6"/>
        <v>0161002</v>
      </c>
    </row>
    <row r="108" spans="3:11" x14ac:dyDescent="0.25">
      <c r="C108" t="s">
        <v>1864</v>
      </c>
      <c r="D108" t="s">
        <v>1864</v>
      </c>
      <c r="E108" t="s">
        <v>1970</v>
      </c>
      <c r="F108" t="s">
        <v>102</v>
      </c>
      <c r="G108" t="str">
        <f t="shared" si="7"/>
        <v>A</v>
      </c>
      <c r="H108" t="str">
        <f t="shared" si="8"/>
        <v>01</v>
      </c>
      <c r="I108" t="str">
        <f t="shared" si="9"/>
        <v>016</v>
      </c>
      <c r="J108" t="str">
        <f t="shared" si="10"/>
        <v>01610</v>
      </c>
      <c r="K108" t="str">
        <f t="shared" si="6"/>
        <v>0161003</v>
      </c>
    </row>
    <row r="109" spans="3:11" x14ac:dyDescent="0.25">
      <c r="C109" t="s">
        <v>1864</v>
      </c>
      <c r="D109" t="s">
        <v>1864</v>
      </c>
      <c r="E109" t="s">
        <v>1971</v>
      </c>
      <c r="F109" t="s">
        <v>103</v>
      </c>
      <c r="G109" t="str">
        <f t="shared" si="7"/>
        <v>A</v>
      </c>
      <c r="H109" t="str">
        <f t="shared" si="8"/>
        <v>01</v>
      </c>
      <c r="I109" t="str">
        <f t="shared" si="9"/>
        <v>016</v>
      </c>
      <c r="J109" t="str">
        <f t="shared" si="10"/>
        <v>01610</v>
      </c>
      <c r="K109" t="str">
        <f t="shared" si="6"/>
        <v>0161099</v>
      </c>
    </row>
    <row r="110" spans="3:11" x14ac:dyDescent="0.25">
      <c r="C110" t="s">
        <v>1864</v>
      </c>
      <c r="D110" t="s">
        <v>1972</v>
      </c>
      <c r="E110" t="s">
        <v>1864</v>
      </c>
      <c r="F110" t="s">
        <v>104</v>
      </c>
      <c r="G110" t="str">
        <f t="shared" si="7"/>
        <v>A</v>
      </c>
      <c r="H110" t="str">
        <f t="shared" si="8"/>
        <v>01</v>
      </c>
      <c r="I110" t="str">
        <f t="shared" si="9"/>
        <v>016</v>
      </c>
      <c r="J110" t="str">
        <f t="shared" si="10"/>
        <v>01628</v>
      </c>
      <c r="K110" t="str">
        <f t="shared" si="6"/>
        <v/>
      </c>
    </row>
    <row r="111" spans="3:11" x14ac:dyDescent="0.25">
      <c r="C111" t="s">
        <v>1864</v>
      </c>
      <c r="D111" t="s">
        <v>1864</v>
      </c>
      <c r="E111" t="s">
        <v>1973</v>
      </c>
      <c r="F111" t="s">
        <v>105</v>
      </c>
      <c r="G111" t="str">
        <f t="shared" si="7"/>
        <v>A</v>
      </c>
      <c r="H111" t="str">
        <f t="shared" si="8"/>
        <v>01</v>
      </c>
      <c r="I111" t="str">
        <f t="shared" si="9"/>
        <v>016</v>
      </c>
      <c r="J111" t="str">
        <f t="shared" si="10"/>
        <v>01628</v>
      </c>
      <c r="K111" t="str">
        <f t="shared" si="6"/>
        <v>0162801</v>
      </c>
    </row>
    <row r="112" spans="3:11" x14ac:dyDescent="0.25">
      <c r="C112" t="s">
        <v>1864</v>
      </c>
      <c r="D112" t="s">
        <v>1864</v>
      </c>
      <c r="E112" t="s">
        <v>1974</v>
      </c>
      <c r="F112" t="s">
        <v>106</v>
      </c>
      <c r="G112" t="str">
        <f t="shared" si="7"/>
        <v>A</v>
      </c>
      <c r="H112" t="str">
        <f t="shared" si="8"/>
        <v>01</v>
      </c>
      <c r="I112" t="str">
        <f t="shared" si="9"/>
        <v>016</v>
      </c>
      <c r="J112" t="str">
        <f t="shared" si="10"/>
        <v>01628</v>
      </c>
      <c r="K112" t="str">
        <f t="shared" si="6"/>
        <v>0162802</v>
      </c>
    </row>
    <row r="113" spans="2:11" x14ac:dyDescent="0.25">
      <c r="C113" t="s">
        <v>1864</v>
      </c>
      <c r="D113" t="s">
        <v>1864</v>
      </c>
      <c r="E113" t="s">
        <v>1975</v>
      </c>
      <c r="F113" t="s">
        <v>107</v>
      </c>
      <c r="G113" t="str">
        <f t="shared" si="7"/>
        <v>A</v>
      </c>
      <c r="H113" t="str">
        <f t="shared" si="8"/>
        <v>01</v>
      </c>
      <c r="I113" t="str">
        <f t="shared" si="9"/>
        <v>016</v>
      </c>
      <c r="J113" t="str">
        <f t="shared" si="10"/>
        <v>01628</v>
      </c>
      <c r="K113" t="str">
        <f t="shared" si="6"/>
        <v>0162803</v>
      </c>
    </row>
    <row r="114" spans="2:11" x14ac:dyDescent="0.25">
      <c r="C114" t="s">
        <v>1864</v>
      </c>
      <c r="D114" t="s">
        <v>1864</v>
      </c>
      <c r="E114" t="s">
        <v>1976</v>
      </c>
      <c r="F114" t="s">
        <v>108</v>
      </c>
      <c r="G114" t="str">
        <f t="shared" si="7"/>
        <v>A</v>
      </c>
      <c r="H114" t="str">
        <f t="shared" si="8"/>
        <v>01</v>
      </c>
      <c r="I114" t="str">
        <f t="shared" si="9"/>
        <v>016</v>
      </c>
      <c r="J114" t="str">
        <f t="shared" si="10"/>
        <v>01628</v>
      </c>
      <c r="K114" t="str">
        <f t="shared" si="6"/>
        <v>0162899</v>
      </c>
    </row>
    <row r="115" spans="2:11" x14ac:dyDescent="0.25">
      <c r="C115" t="s">
        <v>1864</v>
      </c>
      <c r="D115" t="s">
        <v>1977</v>
      </c>
      <c r="E115" t="s">
        <v>1864</v>
      </c>
      <c r="F115" t="s">
        <v>109</v>
      </c>
      <c r="G115" t="str">
        <f t="shared" si="7"/>
        <v>A</v>
      </c>
      <c r="H115" t="str">
        <f t="shared" si="8"/>
        <v>01</v>
      </c>
      <c r="I115" t="str">
        <f t="shared" si="9"/>
        <v>016</v>
      </c>
      <c r="J115" t="str">
        <f t="shared" si="10"/>
        <v>01636</v>
      </c>
      <c r="K115" t="str">
        <f t="shared" si="6"/>
        <v/>
      </c>
    </row>
    <row r="116" spans="2:11" x14ac:dyDescent="0.25">
      <c r="C116" t="s">
        <v>1864</v>
      </c>
      <c r="D116" t="s">
        <v>1864</v>
      </c>
      <c r="E116" t="s">
        <v>1978</v>
      </c>
      <c r="F116" t="s">
        <v>109</v>
      </c>
      <c r="G116" t="str">
        <f t="shared" si="7"/>
        <v>A</v>
      </c>
      <c r="H116" t="str">
        <f t="shared" si="8"/>
        <v>01</v>
      </c>
      <c r="I116" t="str">
        <f t="shared" si="9"/>
        <v>016</v>
      </c>
      <c r="J116" t="str">
        <f t="shared" si="10"/>
        <v>01636</v>
      </c>
      <c r="K116" t="str">
        <f t="shared" si="6"/>
        <v>0163600</v>
      </c>
    </row>
    <row r="117" spans="2:11" x14ac:dyDescent="0.25">
      <c r="C117" t="s">
        <v>1979</v>
      </c>
      <c r="D117" t="s">
        <v>1864</v>
      </c>
      <c r="E117" t="s">
        <v>1864</v>
      </c>
      <c r="F117" t="s">
        <v>110</v>
      </c>
      <c r="G117" t="str">
        <f t="shared" si="7"/>
        <v>A</v>
      </c>
      <c r="H117" t="str">
        <f t="shared" si="8"/>
        <v>01</v>
      </c>
      <c r="I117" t="str">
        <f t="shared" si="9"/>
        <v>017</v>
      </c>
      <c r="J117" t="str">
        <f t="shared" si="10"/>
        <v>01636</v>
      </c>
      <c r="K117" t="str">
        <f t="shared" si="6"/>
        <v/>
      </c>
    </row>
    <row r="118" spans="2:11" x14ac:dyDescent="0.25">
      <c r="C118" t="s">
        <v>1864</v>
      </c>
      <c r="D118" t="s">
        <v>1980</v>
      </c>
      <c r="E118" t="s">
        <v>1864</v>
      </c>
      <c r="F118" t="s">
        <v>110</v>
      </c>
      <c r="G118" t="str">
        <f t="shared" si="7"/>
        <v>A</v>
      </c>
      <c r="H118" t="str">
        <f t="shared" si="8"/>
        <v>01</v>
      </c>
      <c r="I118" t="str">
        <f t="shared" si="9"/>
        <v>017</v>
      </c>
      <c r="J118" t="str">
        <f t="shared" si="10"/>
        <v>01709</v>
      </c>
      <c r="K118" t="str">
        <f t="shared" si="6"/>
        <v/>
      </c>
    </row>
    <row r="119" spans="2:11" x14ac:dyDescent="0.25">
      <c r="C119" t="s">
        <v>1864</v>
      </c>
      <c r="D119" t="s">
        <v>1864</v>
      </c>
      <c r="E119" t="s">
        <v>1981</v>
      </c>
      <c r="F119" t="s">
        <v>110</v>
      </c>
      <c r="G119" t="str">
        <f t="shared" si="7"/>
        <v>A</v>
      </c>
      <c r="H119" t="str">
        <f t="shared" si="8"/>
        <v>01</v>
      </c>
      <c r="I119" t="str">
        <f t="shared" si="9"/>
        <v>017</v>
      </c>
      <c r="J119" t="str">
        <f t="shared" si="10"/>
        <v>01709</v>
      </c>
      <c r="K119" t="str">
        <f t="shared" si="6"/>
        <v>0170900</v>
      </c>
    </row>
    <row r="120" spans="2:11" x14ac:dyDescent="0.25">
      <c r="B120" t="s">
        <v>1982</v>
      </c>
      <c r="C120" t="s">
        <v>1864</v>
      </c>
      <c r="D120" t="s">
        <v>1864</v>
      </c>
      <c r="E120" t="s">
        <v>1864</v>
      </c>
      <c r="F120" t="s">
        <v>111</v>
      </c>
      <c r="G120" t="str">
        <f t="shared" si="7"/>
        <v>A</v>
      </c>
      <c r="H120" t="str">
        <f t="shared" si="8"/>
        <v>02</v>
      </c>
      <c r="I120" t="str">
        <f t="shared" si="9"/>
        <v>017</v>
      </c>
      <c r="J120" t="str">
        <f t="shared" si="10"/>
        <v>01709</v>
      </c>
      <c r="K120" t="str">
        <f t="shared" si="6"/>
        <v/>
      </c>
    </row>
    <row r="121" spans="2:11" x14ac:dyDescent="0.25">
      <c r="C121" t="s">
        <v>1983</v>
      </c>
      <c r="D121" t="s">
        <v>1864</v>
      </c>
      <c r="E121" t="s">
        <v>1864</v>
      </c>
      <c r="F121" t="s">
        <v>112</v>
      </c>
      <c r="G121" t="str">
        <f t="shared" si="7"/>
        <v>A</v>
      </c>
      <c r="H121" t="str">
        <f t="shared" si="8"/>
        <v>02</v>
      </c>
      <c r="I121" t="str">
        <f t="shared" si="9"/>
        <v>021</v>
      </c>
      <c r="J121" t="str">
        <f t="shared" si="10"/>
        <v>01709</v>
      </c>
      <c r="K121" t="str">
        <f t="shared" si="6"/>
        <v/>
      </c>
    </row>
    <row r="122" spans="2:11" x14ac:dyDescent="0.25">
      <c r="C122" t="s">
        <v>1864</v>
      </c>
      <c r="D122" t="s">
        <v>1984</v>
      </c>
      <c r="E122" t="s">
        <v>1864</v>
      </c>
      <c r="F122" t="s">
        <v>112</v>
      </c>
      <c r="G122" t="str">
        <f t="shared" si="7"/>
        <v>A</v>
      </c>
      <c r="H122" t="str">
        <f t="shared" si="8"/>
        <v>02</v>
      </c>
      <c r="I122" t="str">
        <f t="shared" si="9"/>
        <v>021</v>
      </c>
      <c r="J122" t="str">
        <f t="shared" si="10"/>
        <v>02101</v>
      </c>
      <c r="K122" t="str">
        <f t="shared" si="6"/>
        <v/>
      </c>
    </row>
    <row r="123" spans="2:11" x14ac:dyDescent="0.25">
      <c r="C123" t="s">
        <v>1864</v>
      </c>
      <c r="D123" t="s">
        <v>1864</v>
      </c>
      <c r="E123" t="s">
        <v>1985</v>
      </c>
      <c r="F123" t="s">
        <v>113</v>
      </c>
      <c r="G123" t="str">
        <f t="shared" si="7"/>
        <v>A</v>
      </c>
      <c r="H123" t="str">
        <f t="shared" si="8"/>
        <v>02</v>
      </c>
      <c r="I123" t="str">
        <f t="shared" si="9"/>
        <v>021</v>
      </c>
      <c r="J123" t="str">
        <f t="shared" si="10"/>
        <v>02101</v>
      </c>
      <c r="K123" t="str">
        <f t="shared" si="6"/>
        <v>0210101</v>
      </c>
    </row>
    <row r="124" spans="2:11" x14ac:dyDescent="0.25">
      <c r="C124" t="s">
        <v>1864</v>
      </c>
      <c r="D124" t="s">
        <v>1864</v>
      </c>
      <c r="E124" t="s">
        <v>1986</v>
      </c>
      <c r="F124" t="s">
        <v>114</v>
      </c>
      <c r="G124" t="str">
        <f t="shared" si="7"/>
        <v>A</v>
      </c>
      <c r="H124" t="str">
        <f t="shared" si="8"/>
        <v>02</v>
      </c>
      <c r="I124" t="str">
        <f t="shared" si="9"/>
        <v>021</v>
      </c>
      <c r="J124" t="str">
        <f t="shared" si="10"/>
        <v>02101</v>
      </c>
      <c r="K124" t="str">
        <f t="shared" si="6"/>
        <v>0210102</v>
      </c>
    </row>
    <row r="125" spans="2:11" x14ac:dyDescent="0.25">
      <c r="C125" t="s">
        <v>1864</v>
      </c>
      <c r="D125" t="s">
        <v>1864</v>
      </c>
      <c r="E125" t="s">
        <v>1987</v>
      </c>
      <c r="F125" t="s">
        <v>115</v>
      </c>
      <c r="G125" t="str">
        <f t="shared" si="7"/>
        <v>A</v>
      </c>
      <c r="H125" t="str">
        <f t="shared" si="8"/>
        <v>02</v>
      </c>
      <c r="I125" t="str">
        <f t="shared" si="9"/>
        <v>021</v>
      </c>
      <c r="J125" t="str">
        <f t="shared" si="10"/>
        <v>02101</v>
      </c>
      <c r="K125" t="str">
        <f t="shared" si="6"/>
        <v>0210103</v>
      </c>
    </row>
    <row r="126" spans="2:11" x14ac:dyDescent="0.25">
      <c r="C126" t="s">
        <v>1864</v>
      </c>
      <c r="D126" t="s">
        <v>1864</v>
      </c>
      <c r="E126" t="s">
        <v>1988</v>
      </c>
      <c r="F126" t="s">
        <v>116</v>
      </c>
      <c r="G126" t="str">
        <f t="shared" si="7"/>
        <v>A</v>
      </c>
      <c r="H126" t="str">
        <f t="shared" si="8"/>
        <v>02</v>
      </c>
      <c r="I126" t="str">
        <f t="shared" si="9"/>
        <v>021</v>
      </c>
      <c r="J126" t="str">
        <f t="shared" si="10"/>
        <v>02101</v>
      </c>
      <c r="K126" t="str">
        <f t="shared" si="6"/>
        <v>0210104</v>
      </c>
    </row>
    <row r="127" spans="2:11" x14ac:dyDescent="0.25">
      <c r="C127" t="s">
        <v>1864</v>
      </c>
      <c r="D127" t="s">
        <v>1864</v>
      </c>
      <c r="E127" t="s">
        <v>1989</v>
      </c>
      <c r="F127" t="s">
        <v>117</v>
      </c>
      <c r="G127" t="str">
        <f t="shared" si="7"/>
        <v>A</v>
      </c>
      <c r="H127" t="str">
        <f t="shared" si="8"/>
        <v>02</v>
      </c>
      <c r="I127" t="str">
        <f t="shared" si="9"/>
        <v>021</v>
      </c>
      <c r="J127" t="str">
        <f t="shared" si="10"/>
        <v>02101</v>
      </c>
      <c r="K127" t="str">
        <f t="shared" si="6"/>
        <v>0210105</v>
      </c>
    </row>
    <row r="128" spans="2:11" x14ac:dyDescent="0.25">
      <c r="C128" t="s">
        <v>1864</v>
      </c>
      <c r="D128" t="s">
        <v>1864</v>
      </c>
      <c r="E128" t="s">
        <v>1990</v>
      </c>
      <c r="F128" t="s">
        <v>118</v>
      </c>
      <c r="G128" t="str">
        <f t="shared" si="7"/>
        <v>A</v>
      </c>
      <c r="H128" t="str">
        <f t="shared" si="8"/>
        <v>02</v>
      </c>
      <c r="I128" t="str">
        <f t="shared" si="9"/>
        <v>021</v>
      </c>
      <c r="J128" t="str">
        <f t="shared" si="10"/>
        <v>02101</v>
      </c>
      <c r="K128" t="str">
        <f t="shared" si="6"/>
        <v>0210106</v>
      </c>
    </row>
    <row r="129" spans="3:11" x14ac:dyDescent="0.25">
      <c r="C129" t="s">
        <v>1864</v>
      </c>
      <c r="D129" t="s">
        <v>1864</v>
      </c>
      <c r="E129" t="s">
        <v>1991</v>
      </c>
      <c r="F129" t="s">
        <v>119</v>
      </c>
      <c r="G129" t="str">
        <f t="shared" si="7"/>
        <v>A</v>
      </c>
      <c r="H129" t="str">
        <f t="shared" si="8"/>
        <v>02</v>
      </c>
      <c r="I129" t="str">
        <f t="shared" si="9"/>
        <v>021</v>
      </c>
      <c r="J129" t="str">
        <f t="shared" si="10"/>
        <v>02101</v>
      </c>
      <c r="K129" t="str">
        <f t="shared" si="6"/>
        <v>0210107</v>
      </c>
    </row>
    <row r="130" spans="3:11" x14ac:dyDescent="0.25">
      <c r="C130" t="s">
        <v>1864</v>
      </c>
      <c r="D130" t="s">
        <v>1864</v>
      </c>
      <c r="E130" t="s">
        <v>1992</v>
      </c>
      <c r="F130" t="s">
        <v>120</v>
      </c>
      <c r="G130" t="str">
        <f t="shared" si="7"/>
        <v>A</v>
      </c>
      <c r="H130" t="str">
        <f t="shared" si="8"/>
        <v>02</v>
      </c>
      <c r="I130" t="str">
        <f t="shared" si="9"/>
        <v>021</v>
      </c>
      <c r="J130" t="str">
        <f t="shared" si="10"/>
        <v>02101</v>
      </c>
      <c r="K130" t="str">
        <f t="shared" si="6"/>
        <v>0210108</v>
      </c>
    </row>
    <row r="131" spans="3:11" x14ac:dyDescent="0.25">
      <c r="C131" t="s">
        <v>1864</v>
      </c>
      <c r="D131" t="s">
        <v>1864</v>
      </c>
      <c r="E131" t="s">
        <v>1993</v>
      </c>
      <c r="F131" t="s">
        <v>121</v>
      </c>
      <c r="G131" t="str">
        <f t="shared" si="7"/>
        <v>A</v>
      </c>
      <c r="H131" t="str">
        <f t="shared" si="8"/>
        <v>02</v>
      </c>
      <c r="I131" t="str">
        <f t="shared" si="9"/>
        <v>021</v>
      </c>
      <c r="J131" t="str">
        <f t="shared" si="10"/>
        <v>02101</v>
      </c>
      <c r="K131" t="str">
        <f t="shared" si="6"/>
        <v>0210109</v>
      </c>
    </row>
    <row r="132" spans="3:11" x14ac:dyDescent="0.25">
      <c r="C132" t="s">
        <v>1864</v>
      </c>
      <c r="D132" t="s">
        <v>1864</v>
      </c>
      <c r="E132" t="s">
        <v>1994</v>
      </c>
      <c r="F132" t="s">
        <v>122</v>
      </c>
      <c r="G132" t="str">
        <f t="shared" si="7"/>
        <v>A</v>
      </c>
      <c r="H132" t="str">
        <f t="shared" si="8"/>
        <v>02</v>
      </c>
      <c r="I132" t="str">
        <f t="shared" si="9"/>
        <v>021</v>
      </c>
      <c r="J132" t="str">
        <f t="shared" si="10"/>
        <v>02101</v>
      </c>
      <c r="K132" t="str">
        <f t="shared" si="6"/>
        <v>0210199</v>
      </c>
    </row>
    <row r="133" spans="3:11" x14ac:dyDescent="0.25">
      <c r="C133" t="s">
        <v>1995</v>
      </c>
      <c r="D133" t="s">
        <v>1864</v>
      </c>
      <c r="E133" t="s">
        <v>1864</v>
      </c>
      <c r="F133" t="s">
        <v>123</v>
      </c>
      <c r="G133" t="str">
        <f t="shared" si="7"/>
        <v>A</v>
      </c>
      <c r="H133" t="str">
        <f t="shared" si="8"/>
        <v>02</v>
      </c>
      <c r="I133" t="str">
        <f t="shared" si="9"/>
        <v>022</v>
      </c>
      <c r="J133" t="str">
        <f t="shared" si="10"/>
        <v>02101</v>
      </c>
      <c r="K133" t="str">
        <f t="shared" si="6"/>
        <v/>
      </c>
    </row>
    <row r="134" spans="3:11" x14ac:dyDescent="0.25">
      <c r="C134" t="s">
        <v>1864</v>
      </c>
      <c r="D134" t="s">
        <v>1996</v>
      </c>
      <c r="E134" t="s">
        <v>1864</v>
      </c>
      <c r="F134" t="s">
        <v>123</v>
      </c>
      <c r="G134" t="str">
        <f t="shared" si="7"/>
        <v>A</v>
      </c>
      <c r="H134" t="str">
        <f t="shared" si="8"/>
        <v>02</v>
      </c>
      <c r="I134" t="str">
        <f t="shared" si="9"/>
        <v>022</v>
      </c>
      <c r="J134" t="str">
        <f t="shared" si="10"/>
        <v>02209</v>
      </c>
      <c r="K134" t="str">
        <f t="shared" si="6"/>
        <v/>
      </c>
    </row>
    <row r="135" spans="3:11" x14ac:dyDescent="0.25">
      <c r="C135" t="s">
        <v>1864</v>
      </c>
      <c r="D135" t="s">
        <v>1864</v>
      </c>
      <c r="E135" t="s">
        <v>1997</v>
      </c>
      <c r="F135" t="s">
        <v>124</v>
      </c>
      <c r="G135" t="str">
        <f t="shared" si="7"/>
        <v>A</v>
      </c>
      <c r="H135" t="str">
        <f t="shared" si="8"/>
        <v>02</v>
      </c>
      <c r="I135" t="str">
        <f t="shared" si="9"/>
        <v>022</v>
      </c>
      <c r="J135" t="str">
        <f t="shared" si="10"/>
        <v>02209</v>
      </c>
      <c r="K135" t="str">
        <f t="shared" si="6"/>
        <v>0220901</v>
      </c>
    </row>
    <row r="136" spans="3:11" x14ac:dyDescent="0.25">
      <c r="C136" t="s">
        <v>1864</v>
      </c>
      <c r="D136" t="s">
        <v>1864</v>
      </c>
      <c r="E136" t="s">
        <v>1998</v>
      </c>
      <c r="F136" t="s">
        <v>125</v>
      </c>
      <c r="G136" t="str">
        <f t="shared" si="7"/>
        <v>A</v>
      </c>
      <c r="H136" t="str">
        <f t="shared" si="8"/>
        <v>02</v>
      </c>
      <c r="I136" t="str">
        <f t="shared" si="9"/>
        <v>022</v>
      </c>
      <c r="J136" t="str">
        <f t="shared" si="10"/>
        <v>02209</v>
      </c>
      <c r="K136" t="str">
        <f t="shared" ref="K136:K199" si="11">E136</f>
        <v>0220902</v>
      </c>
    </row>
    <row r="137" spans="3:11" x14ac:dyDescent="0.25">
      <c r="C137" t="s">
        <v>1864</v>
      </c>
      <c r="D137" t="s">
        <v>1864</v>
      </c>
      <c r="E137" t="s">
        <v>1999</v>
      </c>
      <c r="F137" t="s">
        <v>126</v>
      </c>
      <c r="G137" t="str">
        <f t="shared" ref="G137:G200" si="12">IF(A137="",G136,A137)</f>
        <v>A</v>
      </c>
      <c r="H137" t="str">
        <f t="shared" ref="H137:H200" si="13">IF(B137="",H136,B137)</f>
        <v>02</v>
      </c>
      <c r="I137" t="str">
        <f t="shared" ref="I137:I200" si="14">IF(C137="",I136,C137)</f>
        <v>022</v>
      </c>
      <c r="J137" t="str">
        <f t="shared" ref="J137:J200" si="15">IF(D137="",J136,D137)</f>
        <v>02209</v>
      </c>
      <c r="K137" t="str">
        <f t="shared" si="11"/>
        <v>0220903</v>
      </c>
    </row>
    <row r="138" spans="3:11" x14ac:dyDescent="0.25">
      <c r="C138" t="s">
        <v>1864</v>
      </c>
      <c r="D138" t="s">
        <v>1864</v>
      </c>
      <c r="E138" t="s">
        <v>2000</v>
      </c>
      <c r="F138" t="s">
        <v>127</v>
      </c>
      <c r="G138" t="str">
        <f t="shared" si="12"/>
        <v>A</v>
      </c>
      <c r="H138" t="str">
        <f t="shared" si="13"/>
        <v>02</v>
      </c>
      <c r="I138" t="str">
        <f t="shared" si="14"/>
        <v>022</v>
      </c>
      <c r="J138" t="str">
        <f t="shared" si="15"/>
        <v>02209</v>
      </c>
      <c r="K138" t="str">
        <f t="shared" si="11"/>
        <v>0220904</v>
      </c>
    </row>
    <row r="139" spans="3:11" x14ac:dyDescent="0.25">
      <c r="C139" t="s">
        <v>1864</v>
      </c>
      <c r="D139" t="s">
        <v>1864</v>
      </c>
      <c r="E139" t="s">
        <v>2001</v>
      </c>
      <c r="F139" t="s">
        <v>128</v>
      </c>
      <c r="G139" t="str">
        <f t="shared" si="12"/>
        <v>A</v>
      </c>
      <c r="H139" t="str">
        <f t="shared" si="13"/>
        <v>02</v>
      </c>
      <c r="I139" t="str">
        <f t="shared" si="14"/>
        <v>022</v>
      </c>
      <c r="J139" t="str">
        <f t="shared" si="15"/>
        <v>02209</v>
      </c>
      <c r="K139" t="str">
        <f t="shared" si="11"/>
        <v>0220905</v>
      </c>
    </row>
    <row r="140" spans="3:11" x14ac:dyDescent="0.25">
      <c r="C140" t="s">
        <v>1864</v>
      </c>
      <c r="D140" t="s">
        <v>1864</v>
      </c>
      <c r="E140" t="s">
        <v>2002</v>
      </c>
      <c r="F140" t="s">
        <v>129</v>
      </c>
      <c r="G140" t="str">
        <f t="shared" si="12"/>
        <v>A</v>
      </c>
      <c r="H140" t="str">
        <f t="shared" si="13"/>
        <v>02</v>
      </c>
      <c r="I140" t="str">
        <f t="shared" si="14"/>
        <v>022</v>
      </c>
      <c r="J140" t="str">
        <f t="shared" si="15"/>
        <v>02209</v>
      </c>
      <c r="K140" t="str">
        <f t="shared" si="11"/>
        <v>0220906</v>
      </c>
    </row>
    <row r="141" spans="3:11" x14ac:dyDescent="0.25">
      <c r="C141" t="s">
        <v>1864</v>
      </c>
      <c r="D141" t="s">
        <v>1864</v>
      </c>
      <c r="E141" t="s">
        <v>2003</v>
      </c>
      <c r="F141" t="s">
        <v>130</v>
      </c>
      <c r="G141" t="str">
        <f t="shared" si="12"/>
        <v>A</v>
      </c>
      <c r="H141" t="str">
        <f t="shared" si="13"/>
        <v>02</v>
      </c>
      <c r="I141" t="str">
        <f t="shared" si="14"/>
        <v>022</v>
      </c>
      <c r="J141" t="str">
        <f t="shared" si="15"/>
        <v>02209</v>
      </c>
      <c r="K141" t="str">
        <f t="shared" si="11"/>
        <v>0220999</v>
      </c>
    </row>
    <row r="142" spans="3:11" x14ac:dyDescent="0.25">
      <c r="C142" t="s">
        <v>2004</v>
      </c>
      <c r="D142" t="s">
        <v>1864</v>
      </c>
      <c r="E142" t="s">
        <v>1864</v>
      </c>
      <c r="F142" t="s">
        <v>131</v>
      </c>
      <c r="G142" t="str">
        <f t="shared" si="12"/>
        <v>A</v>
      </c>
      <c r="H142" t="str">
        <f t="shared" si="13"/>
        <v>02</v>
      </c>
      <c r="I142" t="str">
        <f t="shared" si="14"/>
        <v>023</v>
      </c>
      <c r="J142" t="str">
        <f t="shared" si="15"/>
        <v>02209</v>
      </c>
      <c r="K142" t="str">
        <f t="shared" si="11"/>
        <v/>
      </c>
    </row>
    <row r="143" spans="3:11" x14ac:dyDescent="0.25">
      <c r="C143" t="s">
        <v>1864</v>
      </c>
      <c r="D143" t="s">
        <v>2005</v>
      </c>
      <c r="E143" t="s">
        <v>1864</v>
      </c>
      <c r="F143" t="s">
        <v>131</v>
      </c>
      <c r="G143" t="str">
        <f t="shared" si="12"/>
        <v>A</v>
      </c>
      <c r="H143" t="str">
        <f t="shared" si="13"/>
        <v>02</v>
      </c>
      <c r="I143" t="str">
        <f t="shared" si="14"/>
        <v>023</v>
      </c>
      <c r="J143" t="str">
        <f t="shared" si="15"/>
        <v>02306</v>
      </c>
      <c r="K143" t="str">
        <f t="shared" si="11"/>
        <v/>
      </c>
    </row>
    <row r="144" spans="3:11" x14ac:dyDescent="0.25">
      <c r="C144" t="s">
        <v>1864</v>
      </c>
      <c r="D144" t="s">
        <v>1864</v>
      </c>
      <c r="E144" t="s">
        <v>2006</v>
      </c>
      <c r="F144" t="s">
        <v>131</v>
      </c>
      <c r="G144" t="str">
        <f t="shared" si="12"/>
        <v>A</v>
      </c>
      <c r="H144" t="str">
        <f t="shared" si="13"/>
        <v>02</v>
      </c>
      <c r="I144" t="str">
        <f t="shared" si="14"/>
        <v>023</v>
      </c>
      <c r="J144" t="str">
        <f t="shared" si="15"/>
        <v>02306</v>
      </c>
      <c r="K144" t="str">
        <f t="shared" si="11"/>
        <v>0230600</v>
      </c>
    </row>
    <row r="145" spans="2:11" x14ac:dyDescent="0.25">
      <c r="B145" t="s">
        <v>2007</v>
      </c>
      <c r="C145" t="s">
        <v>1864</v>
      </c>
      <c r="D145" t="s">
        <v>1864</v>
      </c>
      <c r="E145" t="s">
        <v>1864</v>
      </c>
      <c r="F145" t="s">
        <v>132</v>
      </c>
      <c r="G145" t="str">
        <f t="shared" si="12"/>
        <v>A</v>
      </c>
      <c r="H145" t="str">
        <f t="shared" si="13"/>
        <v>03</v>
      </c>
      <c r="I145" t="str">
        <f t="shared" si="14"/>
        <v>023</v>
      </c>
      <c r="J145" t="str">
        <f t="shared" si="15"/>
        <v>02306</v>
      </c>
      <c r="K145" t="str">
        <f t="shared" si="11"/>
        <v/>
      </c>
    </row>
    <row r="146" spans="2:11" x14ac:dyDescent="0.25">
      <c r="C146" t="s">
        <v>2008</v>
      </c>
      <c r="D146" t="s">
        <v>1864</v>
      </c>
      <c r="E146" t="s">
        <v>1864</v>
      </c>
      <c r="F146" t="s">
        <v>133</v>
      </c>
      <c r="G146" t="str">
        <f t="shared" si="12"/>
        <v>A</v>
      </c>
      <c r="H146" t="str">
        <f t="shared" si="13"/>
        <v>03</v>
      </c>
      <c r="I146" t="str">
        <f t="shared" si="14"/>
        <v>031</v>
      </c>
      <c r="J146" t="str">
        <f t="shared" si="15"/>
        <v>02306</v>
      </c>
      <c r="K146" t="str">
        <f t="shared" si="11"/>
        <v/>
      </c>
    </row>
    <row r="147" spans="2:11" x14ac:dyDescent="0.25">
      <c r="C147" t="s">
        <v>1864</v>
      </c>
      <c r="D147" t="s">
        <v>2009</v>
      </c>
      <c r="E147" t="s">
        <v>1864</v>
      </c>
      <c r="F147" t="s">
        <v>134</v>
      </c>
      <c r="G147" t="str">
        <f t="shared" si="12"/>
        <v>A</v>
      </c>
      <c r="H147" t="str">
        <f t="shared" si="13"/>
        <v>03</v>
      </c>
      <c r="I147" t="str">
        <f t="shared" si="14"/>
        <v>031</v>
      </c>
      <c r="J147" t="str">
        <f t="shared" si="15"/>
        <v>03116</v>
      </c>
      <c r="K147" t="str">
        <f t="shared" si="11"/>
        <v/>
      </c>
    </row>
    <row r="148" spans="2:11" x14ac:dyDescent="0.25">
      <c r="C148" t="s">
        <v>1864</v>
      </c>
      <c r="D148" t="s">
        <v>1864</v>
      </c>
      <c r="E148" t="s">
        <v>2010</v>
      </c>
      <c r="F148" t="s">
        <v>135</v>
      </c>
      <c r="G148" t="str">
        <f t="shared" si="12"/>
        <v>A</v>
      </c>
      <c r="H148" t="str">
        <f t="shared" si="13"/>
        <v>03</v>
      </c>
      <c r="I148" t="str">
        <f t="shared" si="14"/>
        <v>031</v>
      </c>
      <c r="J148" t="str">
        <f t="shared" si="15"/>
        <v>03116</v>
      </c>
      <c r="K148" t="str">
        <f t="shared" si="11"/>
        <v>0311601</v>
      </c>
    </row>
    <row r="149" spans="2:11" x14ac:dyDescent="0.25">
      <c r="C149" t="s">
        <v>1864</v>
      </c>
      <c r="D149" t="s">
        <v>1864</v>
      </c>
      <c r="E149" t="s">
        <v>2011</v>
      </c>
      <c r="F149" t="s">
        <v>136</v>
      </c>
      <c r="G149" t="str">
        <f t="shared" si="12"/>
        <v>A</v>
      </c>
      <c r="H149" t="str">
        <f t="shared" si="13"/>
        <v>03</v>
      </c>
      <c r="I149" t="str">
        <f t="shared" si="14"/>
        <v>031</v>
      </c>
      <c r="J149" t="str">
        <f t="shared" si="15"/>
        <v>03116</v>
      </c>
      <c r="K149" t="str">
        <f t="shared" si="11"/>
        <v>0311602</v>
      </c>
    </row>
    <row r="150" spans="2:11" x14ac:dyDescent="0.25">
      <c r="C150" t="s">
        <v>1864</v>
      </c>
      <c r="D150" t="s">
        <v>1864</v>
      </c>
      <c r="E150" t="s">
        <v>2012</v>
      </c>
      <c r="F150" t="s">
        <v>137</v>
      </c>
      <c r="G150" t="str">
        <f t="shared" si="12"/>
        <v>A</v>
      </c>
      <c r="H150" t="str">
        <f t="shared" si="13"/>
        <v>03</v>
      </c>
      <c r="I150" t="str">
        <f t="shared" si="14"/>
        <v>031</v>
      </c>
      <c r="J150" t="str">
        <f t="shared" si="15"/>
        <v>03116</v>
      </c>
      <c r="K150" t="str">
        <f t="shared" si="11"/>
        <v>0311603</v>
      </c>
    </row>
    <row r="151" spans="2:11" x14ac:dyDescent="0.25">
      <c r="C151" t="s">
        <v>1864</v>
      </c>
      <c r="D151" t="s">
        <v>1864</v>
      </c>
      <c r="E151" t="s">
        <v>2013</v>
      </c>
      <c r="F151" t="s">
        <v>138</v>
      </c>
      <c r="G151" t="str">
        <f t="shared" si="12"/>
        <v>A</v>
      </c>
      <c r="H151" t="str">
        <f t="shared" si="13"/>
        <v>03</v>
      </c>
      <c r="I151" t="str">
        <f t="shared" si="14"/>
        <v>031</v>
      </c>
      <c r="J151" t="str">
        <f t="shared" si="15"/>
        <v>03116</v>
      </c>
      <c r="K151" t="str">
        <f t="shared" si="11"/>
        <v>0311604</v>
      </c>
    </row>
    <row r="152" spans="2:11" x14ac:dyDescent="0.25">
      <c r="C152" t="s">
        <v>1864</v>
      </c>
      <c r="D152" t="s">
        <v>2014</v>
      </c>
      <c r="E152" t="s">
        <v>1864</v>
      </c>
      <c r="F152" t="s">
        <v>139</v>
      </c>
      <c r="G152" t="str">
        <f t="shared" si="12"/>
        <v>A</v>
      </c>
      <c r="H152" t="str">
        <f t="shared" si="13"/>
        <v>03</v>
      </c>
      <c r="I152" t="str">
        <f t="shared" si="14"/>
        <v>031</v>
      </c>
      <c r="J152" t="str">
        <f t="shared" si="15"/>
        <v>03124</v>
      </c>
      <c r="K152" t="str">
        <f t="shared" si="11"/>
        <v/>
      </c>
    </row>
    <row r="153" spans="2:11" x14ac:dyDescent="0.25">
      <c r="C153" t="s">
        <v>1864</v>
      </c>
      <c r="D153" t="s">
        <v>1864</v>
      </c>
      <c r="E153" t="s">
        <v>2015</v>
      </c>
      <c r="F153" t="s">
        <v>140</v>
      </c>
      <c r="G153" t="str">
        <f t="shared" si="12"/>
        <v>A</v>
      </c>
      <c r="H153" t="str">
        <f t="shared" si="13"/>
        <v>03</v>
      </c>
      <c r="I153" t="str">
        <f t="shared" si="14"/>
        <v>031</v>
      </c>
      <c r="J153" t="str">
        <f t="shared" si="15"/>
        <v>03124</v>
      </c>
      <c r="K153" t="str">
        <f t="shared" si="11"/>
        <v>0312401</v>
      </c>
    </row>
    <row r="154" spans="2:11" x14ac:dyDescent="0.25">
      <c r="C154" t="s">
        <v>1864</v>
      </c>
      <c r="D154" t="s">
        <v>1864</v>
      </c>
      <c r="E154" t="s">
        <v>2016</v>
      </c>
      <c r="F154" t="s">
        <v>141</v>
      </c>
      <c r="G154" t="str">
        <f t="shared" si="12"/>
        <v>A</v>
      </c>
      <c r="H154" t="str">
        <f t="shared" si="13"/>
        <v>03</v>
      </c>
      <c r="I154" t="str">
        <f t="shared" si="14"/>
        <v>031</v>
      </c>
      <c r="J154" t="str">
        <f t="shared" si="15"/>
        <v>03124</v>
      </c>
      <c r="K154" t="str">
        <f t="shared" si="11"/>
        <v>0312402</v>
      </c>
    </row>
    <row r="155" spans="2:11" x14ac:dyDescent="0.25">
      <c r="C155" t="s">
        <v>1864</v>
      </c>
      <c r="D155" t="s">
        <v>1864</v>
      </c>
      <c r="E155" t="s">
        <v>2017</v>
      </c>
      <c r="F155" t="s">
        <v>142</v>
      </c>
      <c r="G155" t="str">
        <f t="shared" si="12"/>
        <v>A</v>
      </c>
      <c r="H155" t="str">
        <f t="shared" si="13"/>
        <v>03</v>
      </c>
      <c r="I155" t="str">
        <f t="shared" si="14"/>
        <v>031</v>
      </c>
      <c r="J155" t="str">
        <f t="shared" si="15"/>
        <v>03124</v>
      </c>
      <c r="K155" t="str">
        <f t="shared" si="11"/>
        <v>0312403</v>
      </c>
    </row>
    <row r="156" spans="2:11" x14ac:dyDescent="0.25">
      <c r="C156" t="s">
        <v>1864</v>
      </c>
      <c r="D156" t="s">
        <v>1864</v>
      </c>
      <c r="E156" t="s">
        <v>2018</v>
      </c>
      <c r="F156" t="s">
        <v>143</v>
      </c>
      <c r="G156" t="str">
        <f t="shared" si="12"/>
        <v>A</v>
      </c>
      <c r="H156" t="str">
        <f t="shared" si="13"/>
        <v>03</v>
      </c>
      <c r="I156" t="str">
        <f t="shared" si="14"/>
        <v>031</v>
      </c>
      <c r="J156" t="str">
        <f t="shared" si="15"/>
        <v>03124</v>
      </c>
      <c r="K156" t="str">
        <f t="shared" si="11"/>
        <v>0312404</v>
      </c>
    </row>
    <row r="157" spans="2:11" x14ac:dyDescent="0.25">
      <c r="C157" t="s">
        <v>2019</v>
      </c>
      <c r="D157" t="s">
        <v>1864</v>
      </c>
      <c r="E157" t="s">
        <v>1864</v>
      </c>
      <c r="F157" t="s">
        <v>144</v>
      </c>
      <c r="G157" t="str">
        <f t="shared" si="12"/>
        <v>A</v>
      </c>
      <c r="H157" t="str">
        <f t="shared" si="13"/>
        <v>03</v>
      </c>
      <c r="I157" t="str">
        <f t="shared" si="14"/>
        <v>032</v>
      </c>
      <c r="J157" t="str">
        <f t="shared" si="15"/>
        <v>03124</v>
      </c>
      <c r="K157" t="str">
        <f t="shared" si="11"/>
        <v/>
      </c>
    </row>
    <row r="158" spans="2:11" x14ac:dyDescent="0.25">
      <c r="C158" t="s">
        <v>1864</v>
      </c>
      <c r="D158" t="s">
        <v>2020</v>
      </c>
      <c r="E158" t="s">
        <v>1864</v>
      </c>
      <c r="F158" t="s">
        <v>145</v>
      </c>
      <c r="G158" t="str">
        <f t="shared" si="12"/>
        <v>A</v>
      </c>
      <c r="H158" t="str">
        <f t="shared" si="13"/>
        <v>03</v>
      </c>
      <c r="I158" t="str">
        <f t="shared" si="14"/>
        <v>032</v>
      </c>
      <c r="J158" t="str">
        <f t="shared" si="15"/>
        <v>03213</v>
      </c>
      <c r="K158" t="str">
        <f t="shared" si="11"/>
        <v/>
      </c>
    </row>
    <row r="159" spans="2:11" x14ac:dyDescent="0.25">
      <c r="C159" t="s">
        <v>1864</v>
      </c>
      <c r="D159" t="s">
        <v>1864</v>
      </c>
      <c r="E159" t="s">
        <v>2021</v>
      </c>
      <c r="F159" t="s">
        <v>146</v>
      </c>
      <c r="G159" t="str">
        <f t="shared" si="12"/>
        <v>A</v>
      </c>
      <c r="H159" t="str">
        <f t="shared" si="13"/>
        <v>03</v>
      </c>
      <c r="I159" t="str">
        <f t="shared" si="14"/>
        <v>032</v>
      </c>
      <c r="J159" t="str">
        <f t="shared" si="15"/>
        <v>03213</v>
      </c>
      <c r="K159" t="str">
        <f t="shared" si="11"/>
        <v>0321301</v>
      </c>
    </row>
    <row r="160" spans="2:11" x14ac:dyDescent="0.25">
      <c r="C160" t="s">
        <v>1864</v>
      </c>
      <c r="D160" t="s">
        <v>1864</v>
      </c>
      <c r="E160" t="s">
        <v>2022</v>
      </c>
      <c r="F160" t="s">
        <v>147</v>
      </c>
      <c r="G160" t="str">
        <f t="shared" si="12"/>
        <v>A</v>
      </c>
      <c r="H160" t="str">
        <f t="shared" si="13"/>
        <v>03</v>
      </c>
      <c r="I160" t="str">
        <f t="shared" si="14"/>
        <v>032</v>
      </c>
      <c r="J160" t="str">
        <f t="shared" si="15"/>
        <v>03213</v>
      </c>
      <c r="K160" t="str">
        <f t="shared" si="11"/>
        <v>0321302</v>
      </c>
    </row>
    <row r="161" spans="1:11" x14ac:dyDescent="0.25">
      <c r="C161" t="s">
        <v>1864</v>
      </c>
      <c r="D161" t="s">
        <v>1864</v>
      </c>
      <c r="E161" t="s">
        <v>2023</v>
      </c>
      <c r="F161" t="s">
        <v>148</v>
      </c>
      <c r="G161" t="str">
        <f t="shared" si="12"/>
        <v>A</v>
      </c>
      <c r="H161" t="str">
        <f t="shared" si="13"/>
        <v>03</v>
      </c>
      <c r="I161" t="str">
        <f t="shared" si="14"/>
        <v>032</v>
      </c>
      <c r="J161" t="str">
        <f t="shared" si="15"/>
        <v>03213</v>
      </c>
      <c r="K161" t="str">
        <f t="shared" si="11"/>
        <v>0321303</v>
      </c>
    </row>
    <row r="162" spans="1:11" x14ac:dyDescent="0.25">
      <c r="C162" t="s">
        <v>1864</v>
      </c>
      <c r="D162" t="s">
        <v>1864</v>
      </c>
      <c r="E162" t="s">
        <v>2024</v>
      </c>
      <c r="F162" t="s">
        <v>149</v>
      </c>
      <c r="G162" t="str">
        <f t="shared" si="12"/>
        <v>A</v>
      </c>
      <c r="H162" t="str">
        <f t="shared" si="13"/>
        <v>03</v>
      </c>
      <c r="I162" t="str">
        <f t="shared" si="14"/>
        <v>032</v>
      </c>
      <c r="J162" t="str">
        <f t="shared" si="15"/>
        <v>03213</v>
      </c>
      <c r="K162" t="str">
        <f t="shared" si="11"/>
        <v>0321304</v>
      </c>
    </row>
    <row r="163" spans="1:11" x14ac:dyDescent="0.25">
      <c r="C163" t="s">
        <v>1864</v>
      </c>
      <c r="D163" t="s">
        <v>1864</v>
      </c>
      <c r="E163" t="s">
        <v>2025</v>
      </c>
      <c r="F163" t="s">
        <v>150</v>
      </c>
      <c r="G163" t="str">
        <f t="shared" si="12"/>
        <v>A</v>
      </c>
      <c r="H163" t="str">
        <f t="shared" si="13"/>
        <v>03</v>
      </c>
      <c r="I163" t="str">
        <f t="shared" si="14"/>
        <v>032</v>
      </c>
      <c r="J163" t="str">
        <f t="shared" si="15"/>
        <v>03213</v>
      </c>
      <c r="K163" t="str">
        <f t="shared" si="11"/>
        <v>0321305</v>
      </c>
    </row>
    <row r="164" spans="1:11" x14ac:dyDescent="0.25">
      <c r="C164" t="s">
        <v>1864</v>
      </c>
      <c r="D164" t="s">
        <v>1864</v>
      </c>
      <c r="E164" t="s">
        <v>2026</v>
      </c>
      <c r="F164" t="s">
        <v>151</v>
      </c>
      <c r="G164" t="str">
        <f t="shared" si="12"/>
        <v>A</v>
      </c>
      <c r="H164" t="str">
        <f t="shared" si="13"/>
        <v>03</v>
      </c>
      <c r="I164" t="str">
        <f t="shared" si="14"/>
        <v>032</v>
      </c>
      <c r="J164" t="str">
        <f t="shared" si="15"/>
        <v>03213</v>
      </c>
      <c r="K164" t="str">
        <f t="shared" si="11"/>
        <v>0321399</v>
      </c>
    </row>
    <row r="165" spans="1:11" x14ac:dyDescent="0.25">
      <c r="C165" t="s">
        <v>1864</v>
      </c>
      <c r="D165" t="s">
        <v>2027</v>
      </c>
      <c r="E165" t="s">
        <v>1864</v>
      </c>
      <c r="F165" t="s">
        <v>152</v>
      </c>
      <c r="G165" t="str">
        <f t="shared" si="12"/>
        <v>A</v>
      </c>
      <c r="H165" t="str">
        <f t="shared" si="13"/>
        <v>03</v>
      </c>
      <c r="I165" t="str">
        <f t="shared" si="14"/>
        <v>032</v>
      </c>
      <c r="J165" t="str">
        <f t="shared" si="15"/>
        <v>03221</v>
      </c>
      <c r="K165" t="str">
        <f t="shared" si="11"/>
        <v/>
      </c>
    </row>
    <row r="166" spans="1:11" x14ac:dyDescent="0.25">
      <c r="C166" t="s">
        <v>1864</v>
      </c>
      <c r="D166" t="s">
        <v>1864</v>
      </c>
      <c r="E166" t="s">
        <v>2028</v>
      </c>
      <c r="F166" t="s">
        <v>153</v>
      </c>
      <c r="G166" t="str">
        <f t="shared" si="12"/>
        <v>A</v>
      </c>
      <c r="H166" t="str">
        <f t="shared" si="13"/>
        <v>03</v>
      </c>
      <c r="I166" t="str">
        <f t="shared" si="14"/>
        <v>032</v>
      </c>
      <c r="J166" t="str">
        <f t="shared" si="15"/>
        <v>03221</v>
      </c>
      <c r="K166" t="str">
        <f t="shared" si="11"/>
        <v>0322101</v>
      </c>
    </row>
    <row r="167" spans="1:11" x14ac:dyDescent="0.25">
      <c r="C167" t="s">
        <v>1864</v>
      </c>
      <c r="D167" t="s">
        <v>1864</v>
      </c>
      <c r="E167" t="s">
        <v>2029</v>
      </c>
      <c r="F167" t="s">
        <v>154</v>
      </c>
      <c r="G167" t="str">
        <f t="shared" si="12"/>
        <v>A</v>
      </c>
      <c r="H167" t="str">
        <f t="shared" si="13"/>
        <v>03</v>
      </c>
      <c r="I167" t="str">
        <f t="shared" si="14"/>
        <v>032</v>
      </c>
      <c r="J167" t="str">
        <f t="shared" si="15"/>
        <v>03221</v>
      </c>
      <c r="K167" t="str">
        <f t="shared" si="11"/>
        <v>0322102</v>
      </c>
    </row>
    <row r="168" spans="1:11" x14ac:dyDescent="0.25">
      <c r="C168" t="s">
        <v>1864</v>
      </c>
      <c r="D168" t="s">
        <v>1864</v>
      </c>
      <c r="E168" t="s">
        <v>2030</v>
      </c>
      <c r="F168" t="s">
        <v>155</v>
      </c>
      <c r="G168" t="str">
        <f t="shared" si="12"/>
        <v>A</v>
      </c>
      <c r="H168" t="str">
        <f t="shared" si="13"/>
        <v>03</v>
      </c>
      <c r="I168" t="str">
        <f t="shared" si="14"/>
        <v>032</v>
      </c>
      <c r="J168" t="str">
        <f t="shared" si="15"/>
        <v>03221</v>
      </c>
      <c r="K168" t="str">
        <f t="shared" si="11"/>
        <v>0322103</v>
      </c>
    </row>
    <row r="169" spans="1:11" x14ac:dyDescent="0.25">
      <c r="C169" t="s">
        <v>1864</v>
      </c>
      <c r="D169" t="s">
        <v>1864</v>
      </c>
      <c r="E169" t="s">
        <v>2031</v>
      </c>
      <c r="F169" t="s">
        <v>156</v>
      </c>
      <c r="G169" t="str">
        <f t="shared" si="12"/>
        <v>A</v>
      </c>
      <c r="H169" t="str">
        <f t="shared" si="13"/>
        <v>03</v>
      </c>
      <c r="I169" t="str">
        <f t="shared" si="14"/>
        <v>032</v>
      </c>
      <c r="J169" t="str">
        <f t="shared" si="15"/>
        <v>03221</v>
      </c>
      <c r="K169" t="str">
        <f t="shared" si="11"/>
        <v>0322104</v>
      </c>
    </row>
    <row r="170" spans="1:11" x14ac:dyDescent="0.25">
      <c r="C170" t="s">
        <v>1864</v>
      </c>
      <c r="D170" t="s">
        <v>1864</v>
      </c>
      <c r="E170" t="s">
        <v>2032</v>
      </c>
      <c r="F170" t="s">
        <v>157</v>
      </c>
      <c r="G170" t="str">
        <f t="shared" si="12"/>
        <v>A</v>
      </c>
      <c r="H170" t="str">
        <f t="shared" si="13"/>
        <v>03</v>
      </c>
      <c r="I170" t="str">
        <f t="shared" si="14"/>
        <v>032</v>
      </c>
      <c r="J170" t="str">
        <f t="shared" si="15"/>
        <v>03221</v>
      </c>
      <c r="K170" t="str">
        <f t="shared" si="11"/>
        <v>0322105</v>
      </c>
    </row>
    <row r="171" spans="1:11" x14ac:dyDescent="0.25">
      <c r="C171" t="s">
        <v>1864</v>
      </c>
      <c r="D171" t="s">
        <v>1864</v>
      </c>
      <c r="E171" t="s">
        <v>2033</v>
      </c>
      <c r="F171" t="s">
        <v>158</v>
      </c>
      <c r="G171" t="str">
        <f t="shared" si="12"/>
        <v>A</v>
      </c>
      <c r="H171" t="str">
        <f t="shared" si="13"/>
        <v>03</v>
      </c>
      <c r="I171" t="str">
        <f t="shared" si="14"/>
        <v>032</v>
      </c>
      <c r="J171" t="str">
        <f t="shared" si="15"/>
        <v>03221</v>
      </c>
      <c r="K171" t="str">
        <f t="shared" si="11"/>
        <v>0322106</v>
      </c>
    </row>
    <row r="172" spans="1:11" x14ac:dyDescent="0.25">
      <c r="C172" t="s">
        <v>1864</v>
      </c>
      <c r="D172" t="s">
        <v>1864</v>
      </c>
      <c r="E172" t="s">
        <v>2034</v>
      </c>
      <c r="F172" t="s">
        <v>159</v>
      </c>
      <c r="G172" t="str">
        <f t="shared" si="12"/>
        <v>A</v>
      </c>
      <c r="H172" t="str">
        <f t="shared" si="13"/>
        <v>03</v>
      </c>
      <c r="I172" t="str">
        <f t="shared" si="14"/>
        <v>032</v>
      </c>
      <c r="J172" t="str">
        <f t="shared" si="15"/>
        <v>03221</v>
      </c>
      <c r="K172" t="str">
        <f t="shared" si="11"/>
        <v>0322107</v>
      </c>
    </row>
    <row r="173" spans="1:11" x14ac:dyDescent="0.25">
      <c r="C173" t="s">
        <v>1864</v>
      </c>
      <c r="D173" t="s">
        <v>1864</v>
      </c>
      <c r="E173" t="s">
        <v>2035</v>
      </c>
      <c r="F173" t="s">
        <v>160</v>
      </c>
      <c r="G173" t="str">
        <f t="shared" si="12"/>
        <v>A</v>
      </c>
      <c r="H173" t="str">
        <f t="shared" si="13"/>
        <v>03</v>
      </c>
      <c r="I173" t="str">
        <f t="shared" si="14"/>
        <v>032</v>
      </c>
      <c r="J173" t="str">
        <f t="shared" si="15"/>
        <v>03221</v>
      </c>
      <c r="K173" t="str">
        <f t="shared" si="11"/>
        <v>0322199</v>
      </c>
    </row>
    <row r="174" spans="1:11" x14ac:dyDescent="0.25">
      <c r="A174" t="s">
        <v>2036</v>
      </c>
      <c r="C174" t="s">
        <v>1864</v>
      </c>
      <c r="D174" t="s">
        <v>1864</v>
      </c>
      <c r="E174" t="s">
        <v>1864</v>
      </c>
      <c r="F174" t="s">
        <v>161</v>
      </c>
      <c r="G174" t="str">
        <f t="shared" si="12"/>
        <v>B</v>
      </c>
      <c r="H174" t="str">
        <f t="shared" si="13"/>
        <v>03</v>
      </c>
      <c r="I174" t="str">
        <f t="shared" si="14"/>
        <v>032</v>
      </c>
      <c r="J174" t="str">
        <f t="shared" si="15"/>
        <v>03221</v>
      </c>
      <c r="K174" t="str">
        <f t="shared" si="11"/>
        <v/>
      </c>
    </row>
    <row r="175" spans="1:11" x14ac:dyDescent="0.25">
      <c r="B175" t="s">
        <v>2037</v>
      </c>
      <c r="C175" t="s">
        <v>1864</v>
      </c>
      <c r="D175" t="s">
        <v>1864</v>
      </c>
      <c r="E175" t="s">
        <v>1864</v>
      </c>
      <c r="F175" t="s">
        <v>162</v>
      </c>
      <c r="G175" t="str">
        <f t="shared" si="12"/>
        <v>B</v>
      </c>
      <c r="H175" t="str">
        <f t="shared" si="13"/>
        <v>05</v>
      </c>
      <c r="I175" t="str">
        <f t="shared" si="14"/>
        <v>032</v>
      </c>
      <c r="J175" t="str">
        <f t="shared" si="15"/>
        <v>03221</v>
      </c>
      <c r="K175" t="str">
        <f t="shared" si="11"/>
        <v/>
      </c>
    </row>
    <row r="176" spans="1:11" x14ac:dyDescent="0.25">
      <c r="C176" t="s">
        <v>2038</v>
      </c>
      <c r="D176" t="s">
        <v>1864</v>
      </c>
      <c r="E176" t="s">
        <v>1864</v>
      </c>
      <c r="F176" t="s">
        <v>163</v>
      </c>
      <c r="G176" t="str">
        <f t="shared" si="12"/>
        <v>B</v>
      </c>
      <c r="H176" t="str">
        <f t="shared" si="13"/>
        <v>05</v>
      </c>
      <c r="I176" t="str">
        <f t="shared" si="14"/>
        <v>050</v>
      </c>
      <c r="J176" t="str">
        <f t="shared" si="15"/>
        <v>03221</v>
      </c>
      <c r="K176" t="str">
        <f t="shared" si="11"/>
        <v/>
      </c>
    </row>
    <row r="177" spans="2:11" x14ac:dyDescent="0.25">
      <c r="C177" t="s">
        <v>1864</v>
      </c>
      <c r="D177" t="s">
        <v>2039</v>
      </c>
      <c r="E177" t="s">
        <v>1864</v>
      </c>
      <c r="F177" t="s">
        <v>163</v>
      </c>
      <c r="G177" t="str">
        <f t="shared" si="12"/>
        <v>B</v>
      </c>
      <c r="H177" t="str">
        <f t="shared" si="13"/>
        <v>05</v>
      </c>
      <c r="I177" t="str">
        <f t="shared" si="14"/>
        <v>050</v>
      </c>
      <c r="J177" t="str">
        <f t="shared" si="15"/>
        <v>05003</v>
      </c>
      <c r="K177" t="str">
        <f t="shared" si="11"/>
        <v/>
      </c>
    </row>
    <row r="178" spans="2:11" x14ac:dyDescent="0.25">
      <c r="C178" t="s">
        <v>1864</v>
      </c>
      <c r="D178" t="s">
        <v>1864</v>
      </c>
      <c r="E178" t="s">
        <v>2040</v>
      </c>
      <c r="F178" t="s">
        <v>163</v>
      </c>
      <c r="G178" t="str">
        <f t="shared" si="12"/>
        <v>B</v>
      </c>
      <c r="H178" t="str">
        <f t="shared" si="13"/>
        <v>05</v>
      </c>
      <c r="I178" t="str">
        <f t="shared" si="14"/>
        <v>050</v>
      </c>
      <c r="J178" t="str">
        <f t="shared" si="15"/>
        <v>05003</v>
      </c>
      <c r="K178" t="str">
        <f t="shared" si="11"/>
        <v>0500301</v>
      </c>
    </row>
    <row r="179" spans="2:11" x14ac:dyDescent="0.25">
      <c r="C179" t="s">
        <v>1864</v>
      </c>
      <c r="D179" t="s">
        <v>1864</v>
      </c>
      <c r="E179" t="s">
        <v>2041</v>
      </c>
      <c r="F179" t="s">
        <v>164</v>
      </c>
      <c r="G179" t="str">
        <f t="shared" si="12"/>
        <v>B</v>
      </c>
      <c r="H179" t="str">
        <f t="shared" si="13"/>
        <v>05</v>
      </c>
      <c r="I179" t="str">
        <f t="shared" si="14"/>
        <v>050</v>
      </c>
      <c r="J179" t="str">
        <f t="shared" si="15"/>
        <v>05003</v>
      </c>
      <c r="K179" t="str">
        <f t="shared" si="11"/>
        <v>0500302</v>
      </c>
    </row>
    <row r="180" spans="2:11" x14ac:dyDescent="0.25">
      <c r="B180" t="s">
        <v>2042</v>
      </c>
      <c r="C180" t="s">
        <v>1864</v>
      </c>
      <c r="D180" t="s">
        <v>1864</v>
      </c>
      <c r="E180" t="s">
        <v>1864</v>
      </c>
      <c r="F180" t="s">
        <v>165</v>
      </c>
      <c r="G180" t="str">
        <f t="shared" si="12"/>
        <v>B</v>
      </c>
      <c r="H180" t="str">
        <f t="shared" si="13"/>
        <v>06</v>
      </c>
      <c r="I180" t="str">
        <f t="shared" si="14"/>
        <v>050</v>
      </c>
      <c r="J180" t="str">
        <f t="shared" si="15"/>
        <v>05003</v>
      </c>
      <c r="K180" t="str">
        <f t="shared" si="11"/>
        <v/>
      </c>
    </row>
    <row r="181" spans="2:11" x14ac:dyDescent="0.25">
      <c r="C181" t="s">
        <v>2043</v>
      </c>
      <c r="D181" t="s">
        <v>1864</v>
      </c>
      <c r="E181" t="s">
        <v>1864</v>
      </c>
      <c r="F181" t="s">
        <v>166</v>
      </c>
      <c r="G181" t="str">
        <f t="shared" si="12"/>
        <v>B</v>
      </c>
      <c r="H181" t="str">
        <f t="shared" si="13"/>
        <v>06</v>
      </c>
      <c r="I181" t="str">
        <f t="shared" si="14"/>
        <v>060</v>
      </c>
      <c r="J181" t="str">
        <f t="shared" si="15"/>
        <v>05003</v>
      </c>
      <c r="K181" t="str">
        <f t="shared" si="11"/>
        <v/>
      </c>
    </row>
    <row r="182" spans="2:11" x14ac:dyDescent="0.25">
      <c r="C182" t="s">
        <v>1864</v>
      </c>
      <c r="D182" t="s">
        <v>2044</v>
      </c>
      <c r="E182" t="s">
        <v>1864</v>
      </c>
      <c r="F182" t="s">
        <v>166</v>
      </c>
      <c r="G182" t="str">
        <f t="shared" si="12"/>
        <v>B</v>
      </c>
      <c r="H182" t="str">
        <f t="shared" si="13"/>
        <v>06</v>
      </c>
      <c r="I182" t="str">
        <f t="shared" si="14"/>
        <v>060</v>
      </c>
      <c r="J182" t="str">
        <f t="shared" si="15"/>
        <v>06000</v>
      </c>
      <c r="K182" t="str">
        <f t="shared" si="11"/>
        <v/>
      </c>
    </row>
    <row r="183" spans="2:11" x14ac:dyDescent="0.25">
      <c r="C183" t="s">
        <v>1864</v>
      </c>
      <c r="D183" t="s">
        <v>1864</v>
      </c>
      <c r="E183" t="s">
        <v>2045</v>
      </c>
      <c r="F183" t="s">
        <v>166</v>
      </c>
      <c r="G183" t="str">
        <f t="shared" si="12"/>
        <v>B</v>
      </c>
      <c r="H183" t="str">
        <f t="shared" si="13"/>
        <v>06</v>
      </c>
      <c r="I183" t="str">
        <f t="shared" si="14"/>
        <v>060</v>
      </c>
      <c r="J183" t="str">
        <f t="shared" si="15"/>
        <v>06000</v>
      </c>
      <c r="K183" t="str">
        <f t="shared" si="11"/>
        <v>0600001</v>
      </c>
    </row>
    <row r="184" spans="2:11" x14ac:dyDescent="0.25">
      <c r="C184" t="s">
        <v>1864</v>
      </c>
      <c r="D184" t="s">
        <v>1864</v>
      </c>
      <c r="E184" t="s">
        <v>2046</v>
      </c>
      <c r="F184" t="s">
        <v>167</v>
      </c>
      <c r="G184" t="str">
        <f t="shared" si="12"/>
        <v>B</v>
      </c>
      <c r="H184" t="str">
        <f t="shared" si="13"/>
        <v>06</v>
      </c>
      <c r="I184" t="str">
        <f t="shared" si="14"/>
        <v>060</v>
      </c>
      <c r="J184" t="str">
        <f t="shared" si="15"/>
        <v>06000</v>
      </c>
      <c r="K184" t="str">
        <f t="shared" si="11"/>
        <v>0600002</v>
      </c>
    </row>
    <row r="185" spans="2:11" x14ac:dyDescent="0.25">
      <c r="C185" t="s">
        <v>1864</v>
      </c>
      <c r="D185" t="s">
        <v>1864</v>
      </c>
      <c r="E185" t="s">
        <v>2047</v>
      </c>
      <c r="F185" t="s">
        <v>168</v>
      </c>
      <c r="G185" t="str">
        <f t="shared" si="12"/>
        <v>B</v>
      </c>
      <c r="H185" t="str">
        <f t="shared" si="13"/>
        <v>06</v>
      </c>
      <c r="I185" t="str">
        <f t="shared" si="14"/>
        <v>060</v>
      </c>
      <c r="J185" t="str">
        <f t="shared" si="15"/>
        <v>06000</v>
      </c>
      <c r="K185" t="str">
        <f t="shared" si="11"/>
        <v>0600003</v>
      </c>
    </row>
    <row r="186" spans="2:11" x14ac:dyDescent="0.25">
      <c r="B186" t="s">
        <v>2048</v>
      </c>
      <c r="C186" t="s">
        <v>1864</v>
      </c>
      <c r="D186" t="s">
        <v>1864</v>
      </c>
      <c r="E186" t="s">
        <v>1864</v>
      </c>
      <c r="F186" t="s">
        <v>169</v>
      </c>
      <c r="G186" t="str">
        <f t="shared" si="12"/>
        <v>B</v>
      </c>
      <c r="H186" t="str">
        <f t="shared" si="13"/>
        <v>07</v>
      </c>
      <c r="I186" t="str">
        <f t="shared" si="14"/>
        <v>060</v>
      </c>
      <c r="J186" t="str">
        <f t="shared" si="15"/>
        <v>06000</v>
      </c>
      <c r="K186" t="str">
        <f t="shared" si="11"/>
        <v/>
      </c>
    </row>
    <row r="187" spans="2:11" x14ac:dyDescent="0.25">
      <c r="C187" t="s">
        <v>2049</v>
      </c>
      <c r="D187" t="s">
        <v>1864</v>
      </c>
      <c r="E187" t="s">
        <v>1864</v>
      </c>
      <c r="F187" t="s">
        <v>170</v>
      </c>
      <c r="G187" t="str">
        <f t="shared" si="12"/>
        <v>B</v>
      </c>
      <c r="H187" t="str">
        <f t="shared" si="13"/>
        <v>07</v>
      </c>
      <c r="I187" t="str">
        <f t="shared" si="14"/>
        <v>071</v>
      </c>
      <c r="J187" t="str">
        <f t="shared" si="15"/>
        <v>06000</v>
      </c>
      <c r="K187" t="str">
        <f t="shared" si="11"/>
        <v/>
      </c>
    </row>
    <row r="188" spans="2:11" x14ac:dyDescent="0.25">
      <c r="C188" t="s">
        <v>1864</v>
      </c>
      <c r="D188" t="s">
        <v>2050</v>
      </c>
      <c r="E188" t="s">
        <v>1864</v>
      </c>
      <c r="F188" t="s">
        <v>170</v>
      </c>
      <c r="G188" t="str">
        <f t="shared" si="12"/>
        <v>B</v>
      </c>
      <c r="H188" t="str">
        <f t="shared" si="13"/>
        <v>07</v>
      </c>
      <c r="I188" t="str">
        <f t="shared" si="14"/>
        <v>071</v>
      </c>
      <c r="J188" t="str">
        <f t="shared" si="15"/>
        <v>07103</v>
      </c>
      <c r="K188" t="str">
        <f t="shared" si="11"/>
        <v/>
      </c>
    </row>
    <row r="189" spans="2:11" x14ac:dyDescent="0.25">
      <c r="C189" t="s">
        <v>1864</v>
      </c>
      <c r="D189" t="s">
        <v>1864</v>
      </c>
      <c r="E189" t="s">
        <v>2051</v>
      </c>
      <c r="F189" t="s">
        <v>170</v>
      </c>
      <c r="G189" t="str">
        <f t="shared" si="12"/>
        <v>B</v>
      </c>
      <c r="H189" t="str">
        <f t="shared" si="13"/>
        <v>07</v>
      </c>
      <c r="I189" t="str">
        <f t="shared" si="14"/>
        <v>071</v>
      </c>
      <c r="J189" t="str">
        <f t="shared" si="15"/>
        <v>07103</v>
      </c>
      <c r="K189" t="str">
        <f t="shared" si="11"/>
        <v>0710301</v>
      </c>
    </row>
    <row r="190" spans="2:11" x14ac:dyDescent="0.25">
      <c r="C190" t="s">
        <v>1864</v>
      </c>
      <c r="D190" t="s">
        <v>1864</v>
      </c>
      <c r="E190" t="s">
        <v>2052</v>
      </c>
      <c r="F190" t="s">
        <v>171</v>
      </c>
      <c r="G190" t="str">
        <f t="shared" si="12"/>
        <v>B</v>
      </c>
      <c r="H190" t="str">
        <f t="shared" si="13"/>
        <v>07</v>
      </c>
      <c r="I190" t="str">
        <f t="shared" si="14"/>
        <v>071</v>
      </c>
      <c r="J190" t="str">
        <f t="shared" si="15"/>
        <v>07103</v>
      </c>
      <c r="K190" t="str">
        <f t="shared" si="11"/>
        <v>0710302</v>
      </c>
    </row>
    <row r="191" spans="2:11" x14ac:dyDescent="0.25">
      <c r="C191" t="s">
        <v>2053</v>
      </c>
      <c r="D191" t="s">
        <v>1864</v>
      </c>
      <c r="E191" t="s">
        <v>1864</v>
      </c>
      <c r="F191" t="s">
        <v>172</v>
      </c>
      <c r="G191" t="str">
        <f t="shared" si="12"/>
        <v>B</v>
      </c>
      <c r="H191" t="str">
        <f t="shared" si="13"/>
        <v>07</v>
      </c>
      <c r="I191" t="str">
        <f t="shared" si="14"/>
        <v>072</v>
      </c>
      <c r="J191" t="str">
        <f t="shared" si="15"/>
        <v>07103</v>
      </c>
      <c r="K191" t="str">
        <f t="shared" si="11"/>
        <v/>
      </c>
    </row>
    <row r="192" spans="2:11" x14ac:dyDescent="0.25">
      <c r="C192" t="s">
        <v>1864</v>
      </c>
      <c r="D192" t="s">
        <v>2054</v>
      </c>
      <c r="E192" t="s">
        <v>1864</v>
      </c>
      <c r="F192" t="s">
        <v>173</v>
      </c>
      <c r="G192" t="str">
        <f t="shared" si="12"/>
        <v>B</v>
      </c>
      <c r="H192" t="str">
        <f t="shared" si="13"/>
        <v>07</v>
      </c>
      <c r="I192" t="str">
        <f t="shared" si="14"/>
        <v>072</v>
      </c>
      <c r="J192" t="str">
        <f t="shared" si="15"/>
        <v>07219</v>
      </c>
      <c r="K192" t="str">
        <f t="shared" si="11"/>
        <v/>
      </c>
    </row>
    <row r="193" spans="3:11" x14ac:dyDescent="0.25">
      <c r="C193" t="s">
        <v>1864</v>
      </c>
      <c r="D193" t="s">
        <v>1864</v>
      </c>
      <c r="E193" t="s">
        <v>2055</v>
      </c>
      <c r="F193" t="s">
        <v>173</v>
      </c>
      <c r="G193" t="str">
        <f t="shared" si="12"/>
        <v>B</v>
      </c>
      <c r="H193" t="str">
        <f t="shared" si="13"/>
        <v>07</v>
      </c>
      <c r="I193" t="str">
        <f t="shared" si="14"/>
        <v>072</v>
      </c>
      <c r="J193" t="str">
        <f t="shared" si="15"/>
        <v>07219</v>
      </c>
      <c r="K193" t="str">
        <f t="shared" si="11"/>
        <v>0721901</v>
      </c>
    </row>
    <row r="194" spans="3:11" x14ac:dyDescent="0.25">
      <c r="C194" t="s">
        <v>1864</v>
      </c>
      <c r="D194" t="s">
        <v>1864</v>
      </c>
      <c r="E194" t="s">
        <v>2056</v>
      </c>
      <c r="F194" t="s">
        <v>174</v>
      </c>
      <c r="G194" t="str">
        <f t="shared" si="12"/>
        <v>B</v>
      </c>
      <c r="H194" t="str">
        <f t="shared" si="13"/>
        <v>07</v>
      </c>
      <c r="I194" t="str">
        <f t="shared" si="14"/>
        <v>072</v>
      </c>
      <c r="J194" t="str">
        <f t="shared" si="15"/>
        <v>07219</v>
      </c>
      <c r="K194" t="str">
        <f t="shared" si="11"/>
        <v>0721902</v>
      </c>
    </row>
    <row r="195" spans="3:11" x14ac:dyDescent="0.25">
      <c r="C195" t="s">
        <v>1864</v>
      </c>
      <c r="D195" t="s">
        <v>2057</v>
      </c>
      <c r="E195" t="s">
        <v>1864</v>
      </c>
      <c r="F195" t="s">
        <v>175</v>
      </c>
      <c r="G195" t="str">
        <f t="shared" si="12"/>
        <v>B</v>
      </c>
      <c r="H195" t="str">
        <f t="shared" si="13"/>
        <v>07</v>
      </c>
      <c r="I195" t="str">
        <f t="shared" si="14"/>
        <v>072</v>
      </c>
      <c r="J195" t="str">
        <f t="shared" si="15"/>
        <v>07227</v>
      </c>
      <c r="K195" t="str">
        <f t="shared" si="11"/>
        <v/>
      </c>
    </row>
    <row r="196" spans="3:11" x14ac:dyDescent="0.25">
      <c r="C196" t="s">
        <v>1864</v>
      </c>
      <c r="D196" t="s">
        <v>1864</v>
      </c>
      <c r="E196" t="s">
        <v>2058</v>
      </c>
      <c r="F196" t="s">
        <v>175</v>
      </c>
      <c r="G196" t="str">
        <f t="shared" si="12"/>
        <v>B</v>
      </c>
      <c r="H196" t="str">
        <f t="shared" si="13"/>
        <v>07</v>
      </c>
      <c r="I196" t="str">
        <f t="shared" si="14"/>
        <v>072</v>
      </c>
      <c r="J196" t="str">
        <f t="shared" si="15"/>
        <v>07227</v>
      </c>
      <c r="K196" t="str">
        <f t="shared" si="11"/>
        <v>0722701</v>
      </c>
    </row>
    <row r="197" spans="3:11" x14ac:dyDescent="0.25">
      <c r="C197" t="s">
        <v>1864</v>
      </c>
      <c r="D197" t="s">
        <v>1864</v>
      </c>
      <c r="E197" t="s">
        <v>2059</v>
      </c>
      <c r="F197" t="s">
        <v>176</v>
      </c>
      <c r="G197" t="str">
        <f t="shared" si="12"/>
        <v>B</v>
      </c>
      <c r="H197" t="str">
        <f t="shared" si="13"/>
        <v>07</v>
      </c>
      <c r="I197" t="str">
        <f t="shared" si="14"/>
        <v>072</v>
      </c>
      <c r="J197" t="str">
        <f t="shared" si="15"/>
        <v>07227</v>
      </c>
      <c r="K197" t="str">
        <f t="shared" si="11"/>
        <v>0722702</v>
      </c>
    </row>
    <row r="198" spans="3:11" x14ac:dyDescent="0.25">
      <c r="C198" t="s">
        <v>1864</v>
      </c>
      <c r="D198" t="s">
        <v>2060</v>
      </c>
      <c r="E198" t="s">
        <v>1864</v>
      </c>
      <c r="F198" t="s">
        <v>177</v>
      </c>
      <c r="G198" t="str">
        <f t="shared" si="12"/>
        <v>B</v>
      </c>
      <c r="H198" t="str">
        <f t="shared" si="13"/>
        <v>07</v>
      </c>
      <c r="I198" t="str">
        <f t="shared" si="14"/>
        <v>072</v>
      </c>
      <c r="J198" t="str">
        <f t="shared" si="15"/>
        <v>07235</v>
      </c>
      <c r="K198" t="str">
        <f t="shared" si="11"/>
        <v/>
      </c>
    </row>
    <row r="199" spans="3:11" x14ac:dyDescent="0.25">
      <c r="C199" t="s">
        <v>1864</v>
      </c>
      <c r="D199" t="s">
        <v>1864</v>
      </c>
      <c r="E199" t="s">
        <v>2061</v>
      </c>
      <c r="F199" t="s">
        <v>177</v>
      </c>
      <c r="G199" t="str">
        <f t="shared" si="12"/>
        <v>B</v>
      </c>
      <c r="H199" t="str">
        <f t="shared" si="13"/>
        <v>07</v>
      </c>
      <c r="I199" t="str">
        <f t="shared" si="14"/>
        <v>072</v>
      </c>
      <c r="J199" t="str">
        <f t="shared" si="15"/>
        <v>07235</v>
      </c>
      <c r="K199" t="str">
        <f t="shared" si="11"/>
        <v>0723501</v>
      </c>
    </row>
    <row r="200" spans="3:11" x14ac:dyDescent="0.25">
      <c r="C200" t="s">
        <v>1864</v>
      </c>
      <c r="D200" t="s">
        <v>1864</v>
      </c>
      <c r="E200" t="s">
        <v>2062</v>
      </c>
      <c r="F200" t="s">
        <v>178</v>
      </c>
      <c r="G200" t="str">
        <f t="shared" si="12"/>
        <v>B</v>
      </c>
      <c r="H200" t="str">
        <f t="shared" si="13"/>
        <v>07</v>
      </c>
      <c r="I200" t="str">
        <f t="shared" si="14"/>
        <v>072</v>
      </c>
      <c r="J200" t="str">
        <f t="shared" si="15"/>
        <v>07235</v>
      </c>
      <c r="K200" t="str">
        <f t="shared" ref="K200:K263" si="16">E200</f>
        <v>0723502</v>
      </c>
    </row>
    <row r="201" spans="3:11" x14ac:dyDescent="0.25">
      <c r="C201" t="s">
        <v>1864</v>
      </c>
      <c r="D201" t="s">
        <v>2063</v>
      </c>
      <c r="E201" t="s">
        <v>1864</v>
      </c>
      <c r="F201" t="s">
        <v>179</v>
      </c>
      <c r="G201" t="str">
        <f t="shared" ref="G201:G264" si="17">IF(A201="",G200,A201)</f>
        <v>B</v>
      </c>
      <c r="H201" t="str">
        <f t="shared" ref="H201:H264" si="18">IF(B201="",H200,B201)</f>
        <v>07</v>
      </c>
      <c r="I201" t="str">
        <f t="shared" ref="I201:I264" si="19">IF(C201="",I200,C201)</f>
        <v>072</v>
      </c>
      <c r="J201" t="str">
        <f t="shared" ref="J201:J264" si="20">IF(D201="",J200,D201)</f>
        <v>07243</v>
      </c>
      <c r="K201" t="str">
        <f t="shared" si="16"/>
        <v/>
      </c>
    </row>
    <row r="202" spans="3:11" x14ac:dyDescent="0.25">
      <c r="C202" t="s">
        <v>1864</v>
      </c>
      <c r="D202" t="s">
        <v>1864</v>
      </c>
      <c r="E202" t="s">
        <v>2064</v>
      </c>
      <c r="F202" t="s">
        <v>179</v>
      </c>
      <c r="G202" t="str">
        <f t="shared" si="17"/>
        <v>B</v>
      </c>
      <c r="H202" t="str">
        <f t="shared" si="18"/>
        <v>07</v>
      </c>
      <c r="I202" t="str">
        <f t="shared" si="19"/>
        <v>072</v>
      </c>
      <c r="J202" t="str">
        <f t="shared" si="20"/>
        <v>07243</v>
      </c>
      <c r="K202" t="str">
        <f t="shared" si="16"/>
        <v>0724301</v>
      </c>
    </row>
    <row r="203" spans="3:11" x14ac:dyDescent="0.25">
      <c r="C203" t="s">
        <v>1864</v>
      </c>
      <c r="D203" t="s">
        <v>1864</v>
      </c>
      <c r="E203" t="s">
        <v>2065</v>
      </c>
      <c r="F203" t="s">
        <v>180</v>
      </c>
      <c r="G203" t="str">
        <f t="shared" si="17"/>
        <v>B</v>
      </c>
      <c r="H203" t="str">
        <f t="shared" si="18"/>
        <v>07</v>
      </c>
      <c r="I203" t="str">
        <f t="shared" si="19"/>
        <v>072</v>
      </c>
      <c r="J203" t="str">
        <f t="shared" si="20"/>
        <v>07243</v>
      </c>
      <c r="K203" t="str">
        <f t="shared" si="16"/>
        <v>0724302</v>
      </c>
    </row>
    <row r="204" spans="3:11" x14ac:dyDescent="0.25">
      <c r="C204" t="s">
        <v>1864</v>
      </c>
      <c r="D204" t="s">
        <v>2066</v>
      </c>
      <c r="E204" t="s">
        <v>1864</v>
      </c>
      <c r="F204" t="s">
        <v>181</v>
      </c>
      <c r="G204" t="str">
        <f t="shared" si="17"/>
        <v>B</v>
      </c>
      <c r="H204" t="str">
        <f t="shared" si="18"/>
        <v>07</v>
      </c>
      <c r="I204" t="str">
        <f t="shared" si="19"/>
        <v>072</v>
      </c>
      <c r="J204" t="str">
        <f t="shared" si="20"/>
        <v>07251</v>
      </c>
      <c r="K204" t="str">
        <f t="shared" si="16"/>
        <v/>
      </c>
    </row>
    <row r="205" spans="3:11" x14ac:dyDescent="0.25">
      <c r="C205" t="s">
        <v>1864</v>
      </c>
      <c r="D205" t="s">
        <v>1864</v>
      </c>
      <c r="E205" t="s">
        <v>2067</v>
      </c>
      <c r="F205" t="s">
        <v>181</v>
      </c>
      <c r="G205" t="str">
        <f t="shared" si="17"/>
        <v>B</v>
      </c>
      <c r="H205" t="str">
        <f t="shared" si="18"/>
        <v>07</v>
      </c>
      <c r="I205" t="str">
        <f t="shared" si="19"/>
        <v>072</v>
      </c>
      <c r="J205" t="str">
        <f t="shared" si="20"/>
        <v>07251</v>
      </c>
      <c r="K205" t="str">
        <f t="shared" si="16"/>
        <v>0725100</v>
      </c>
    </row>
    <row r="206" spans="3:11" x14ac:dyDescent="0.25">
      <c r="C206" t="s">
        <v>1864</v>
      </c>
      <c r="D206" t="s">
        <v>2068</v>
      </c>
      <c r="E206" t="s">
        <v>1864</v>
      </c>
      <c r="F206" t="s">
        <v>182</v>
      </c>
      <c r="G206" t="str">
        <f t="shared" si="17"/>
        <v>B</v>
      </c>
      <c r="H206" t="str">
        <f t="shared" si="18"/>
        <v>07</v>
      </c>
      <c r="I206" t="str">
        <f t="shared" si="19"/>
        <v>072</v>
      </c>
      <c r="J206" t="str">
        <f t="shared" si="20"/>
        <v>07294</v>
      </c>
      <c r="K206" t="str">
        <f t="shared" si="16"/>
        <v/>
      </c>
    </row>
    <row r="207" spans="3:11" x14ac:dyDescent="0.25">
      <c r="C207" t="s">
        <v>1864</v>
      </c>
      <c r="D207" t="s">
        <v>1864</v>
      </c>
      <c r="E207" t="s">
        <v>2069</v>
      </c>
      <c r="F207" t="s">
        <v>183</v>
      </c>
      <c r="G207" t="str">
        <f t="shared" si="17"/>
        <v>B</v>
      </c>
      <c r="H207" t="str">
        <f t="shared" si="18"/>
        <v>07</v>
      </c>
      <c r="I207" t="str">
        <f t="shared" si="19"/>
        <v>072</v>
      </c>
      <c r="J207" t="str">
        <f t="shared" si="20"/>
        <v>07294</v>
      </c>
      <c r="K207" t="str">
        <f t="shared" si="16"/>
        <v>0729401</v>
      </c>
    </row>
    <row r="208" spans="3:11" x14ac:dyDescent="0.25">
      <c r="C208" t="s">
        <v>1864</v>
      </c>
      <c r="D208" t="s">
        <v>1864</v>
      </c>
      <c r="E208" t="s">
        <v>2070</v>
      </c>
      <c r="F208" t="s">
        <v>184</v>
      </c>
      <c r="G208" t="str">
        <f t="shared" si="17"/>
        <v>B</v>
      </c>
      <c r="H208" t="str">
        <f t="shared" si="18"/>
        <v>07</v>
      </c>
      <c r="I208" t="str">
        <f t="shared" si="19"/>
        <v>072</v>
      </c>
      <c r="J208" t="str">
        <f t="shared" si="20"/>
        <v>07294</v>
      </c>
      <c r="K208" t="str">
        <f t="shared" si="16"/>
        <v>0729402</v>
      </c>
    </row>
    <row r="209" spans="2:11" x14ac:dyDescent="0.25">
      <c r="C209" t="s">
        <v>1864</v>
      </c>
      <c r="D209" t="s">
        <v>1864</v>
      </c>
      <c r="E209" t="s">
        <v>2071</v>
      </c>
      <c r="F209" t="s">
        <v>185</v>
      </c>
      <c r="G209" t="str">
        <f t="shared" si="17"/>
        <v>B</v>
      </c>
      <c r="H209" t="str">
        <f t="shared" si="18"/>
        <v>07</v>
      </c>
      <c r="I209" t="str">
        <f t="shared" si="19"/>
        <v>072</v>
      </c>
      <c r="J209" t="str">
        <f t="shared" si="20"/>
        <v>07294</v>
      </c>
      <c r="K209" t="str">
        <f t="shared" si="16"/>
        <v>0729403</v>
      </c>
    </row>
    <row r="210" spans="2:11" x14ac:dyDescent="0.25">
      <c r="C210" t="s">
        <v>1864</v>
      </c>
      <c r="D210" t="s">
        <v>1864</v>
      </c>
      <c r="E210" t="s">
        <v>2072</v>
      </c>
      <c r="F210" t="s">
        <v>186</v>
      </c>
      <c r="G210" t="str">
        <f t="shared" si="17"/>
        <v>B</v>
      </c>
      <c r="H210" t="str">
        <f t="shared" si="18"/>
        <v>07</v>
      </c>
      <c r="I210" t="str">
        <f t="shared" si="19"/>
        <v>072</v>
      </c>
      <c r="J210" t="str">
        <f t="shared" si="20"/>
        <v>07294</v>
      </c>
      <c r="K210" t="str">
        <f t="shared" si="16"/>
        <v>0729404</v>
      </c>
    </row>
    <row r="211" spans="2:11" x14ac:dyDescent="0.25">
      <c r="C211" t="s">
        <v>1864</v>
      </c>
      <c r="D211" t="s">
        <v>1864</v>
      </c>
      <c r="E211" t="s">
        <v>2073</v>
      </c>
      <c r="F211" t="s">
        <v>187</v>
      </c>
      <c r="G211" t="str">
        <f t="shared" si="17"/>
        <v>B</v>
      </c>
      <c r="H211" t="str">
        <f t="shared" si="18"/>
        <v>07</v>
      </c>
      <c r="I211" t="str">
        <f t="shared" si="19"/>
        <v>072</v>
      </c>
      <c r="J211" t="str">
        <f t="shared" si="20"/>
        <v>07294</v>
      </c>
      <c r="K211" t="str">
        <f t="shared" si="16"/>
        <v>0729405</v>
      </c>
    </row>
    <row r="212" spans="2:11" x14ac:dyDescent="0.25">
      <c r="B212" t="s">
        <v>2074</v>
      </c>
      <c r="C212" t="s">
        <v>1864</v>
      </c>
      <c r="D212" t="s">
        <v>1864</v>
      </c>
      <c r="E212" t="s">
        <v>1864</v>
      </c>
      <c r="F212" t="s">
        <v>188</v>
      </c>
      <c r="G212" t="str">
        <f t="shared" si="17"/>
        <v>B</v>
      </c>
      <c r="H212" t="str">
        <f t="shared" si="18"/>
        <v>08</v>
      </c>
      <c r="I212" t="str">
        <f t="shared" si="19"/>
        <v>072</v>
      </c>
      <c r="J212" t="str">
        <f t="shared" si="20"/>
        <v>07294</v>
      </c>
      <c r="K212" t="str">
        <f t="shared" si="16"/>
        <v/>
      </c>
    </row>
    <row r="213" spans="2:11" x14ac:dyDescent="0.25">
      <c r="C213" t="s">
        <v>2075</v>
      </c>
      <c r="D213" t="s">
        <v>1864</v>
      </c>
      <c r="E213" t="s">
        <v>1864</v>
      </c>
      <c r="F213" t="s">
        <v>189</v>
      </c>
      <c r="G213" t="str">
        <f t="shared" si="17"/>
        <v>B</v>
      </c>
      <c r="H213" t="str">
        <f t="shared" si="18"/>
        <v>08</v>
      </c>
      <c r="I213" t="str">
        <f t="shared" si="19"/>
        <v>081</v>
      </c>
      <c r="J213" t="str">
        <f t="shared" si="20"/>
        <v>07294</v>
      </c>
      <c r="K213" t="str">
        <f t="shared" si="16"/>
        <v/>
      </c>
    </row>
    <row r="214" spans="2:11" x14ac:dyDescent="0.25">
      <c r="C214" t="s">
        <v>1864</v>
      </c>
      <c r="D214" t="s">
        <v>2076</v>
      </c>
      <c r="E214" t="s">
        <v>1864</v>
      </c>
      <c r="F214" t="s">
        <v>189</v>
      </c>
      <c r="G214" t="str">
        <f t="shared" si="17"/>
        <v>B</v>
      </c>
      <c r="H214" t="str">
        <f t="shared" si="18"/>
        <v>08</v>
      </c>
      <c r="I214" t="str">
        <f t="shared" si="19"/>
        <v>081</v>
      </c>
      <c r="J214" t="str">
        <f t="shared" si="20"/>
        <v>08100</v>
      </c>
      <c r="K214" t="str">
        <f t="shared" si="16"/>
        <v/>
      </c>
    </row>
    <row r="215" spans="2:11" x14ac:dyDescent="0.25">
      <c r="C215" t="s">
        <v>1864</v>
      </c>
      <c r="D215" t="s">
        <v>1864</v>
      </c>
      <c r="E215" t="s">
        <v>2077</v>
      </c>
      <c r="F215" t="s">
        <v>190</v>
      </c>
      <c r="G215" t="str">
        <f t="shared" si="17"/>
        <v>B</v>
      </c>
      <c r="H215" t="str">
        <f t="shared" si="18"/>
        <v>08</v>
      </c>
      <c r="I215" t="str">
        <f t="shared" si="19"/>
        <v>081</v>
      </c>
      <c r="J215" t="str">
        <f t="shared" si="20"/>
        <v>08100</v>
      </c>
      <c r="K215" t="str">
        <f t="shared" si="16"/>
        <v>0810001</v>
      </c>
    </row>
    <row r="216" spans="2:11" x14ac:dyDescent="0.25">
      <c r="C216" t="s">
        <v>1864</v>
      </c>
      <c r="D216" t="s">
        <v>1864</v>
      </c>
      <c r="E216" t="s">
        <v>2078</v>
      </c>
      <c r="F216" t="s">
        <v>191</v>
      </c>
      <c r="G216" t="str">
        <f t="shared" si="17"/>
        <v>B</v>
      </c>
      <c r="H216" t="str">
        <f t="shared" si="18"/>
        <v>08</v>
      </c>
      <c r="I216" t="str">
        <f t="shared" si="19"/>
        <v>081</v>
      </c>
      <c r="J216" t="str">
        <f t="shared" si="20"/>
        <v>08100</v>
      </c>
      <c r="K216" t="str">
        <f t="shared" si="16"/>
        <v>0810002</v>
      </c>
    </row>
    <row r="217" spans="2:11" x14ac:dyDescent="0.25">
      <c r="C217" t="s">
        <v>1864</v>
      </c>
      <c r="D217" t="s">
        <v>1864</v>
      </c>
      <c r="E217" t="s">
        <v>2079</v>
      </c>
      <c r="F217" t="s">
        <v>192</v>
      </c>
      <c r="G217" t="str">
        <f t="shared" si="17"/>
        <v>B</v>
      </c>
      <c r="H217" t="str">
        <f t="shared" si="18"/>
        <v>08</v>
      </c>
      <c r="I217" t="str">
        <f t="shared" si="19"/>
        <v>081</v>
      </c>
      <c r="J217" t="str">
        <f t="shared" si="20"/>
        <v>08100</v>
      </c>
      <c r="K217" t="str">
        <f t="shared" si="16"/>
        <v>0810003</v>
      </c>
    </row>
    <row r="218" spans="2:11" x14ac:dyDescent="0.25">
      <c r="C218" t="s">
        <v>1864</v>
      </c>
      <c r="D218" t="s">
        <v>1864</v>
      </c>
      <c r="E218" t="s">
        <v>2080</v>
      </c>
      <c r="F218" t="s">
        <v>193</v>
      </c>
      <c r="G218" t="str">
        <f t="shared" si="17"/>
        <v>B</v>
      </c>
      <c r="H218" t="str">
        <f t="shared" si="18"/>
        <v>08</v>
      </c>
      <c r="I218" t="str">
        <f t="shared" si="19"/>
        <v>081</v>
      </c>
      <c r="J218" t="str">
        <f t="shared" si="20"/>
        <v>08100</v>
      </c>
      <c r="K218" t="str">
        <f t="shared" si="16"/>
        <v>0810004</v>
      </c>
    </row>
    <row r="219" spans="2:11" x14ac:dyDescent="0.25">
      <c r="C219" t="s">
        <v>1864</v>
      </c>
      <c r="D219" t="s">
        <v>1864</v>
      </c>
      <c r="E219" t="s">
        <v>2081</v>
      </c>
      <c r="F219" t="s">
        <v>194</v>
      </c>
      <c r="G219" t="str">
        <f t="shared" si="17"/>
        <v>B</v>
      </c>
      <c r="H219" t="str">
        <f t="shared" si="18"/>
        <v>08</v>
      </c>
      <c r="I219" t="str">
        <f t="shared" si="19"/>
        <v>081</v>
      </c>
      <c r="J219" t="str">
        <f t="shared" si="20"/>
        <v>08100</v>
      </c>
      <c r="K219" t="str">
        <f t="shared" si="16"/>
        <v>0810005</v>
      </c>
    </row>
    <row r="220" spans="2:11" x14ac:dyDescent="0.25">
      <c r="C220" t="s">
        <v>1864</v>
      </c>
      <c r="D220" t="s">
        <v>1864</v>
      </c>
      <c r="E220" t="s">
        <v>2082</v>
      </c>
      <c r="F220" t="s">
        <v>195</v>
      </c>
      <c r="G220" t="str">
        <f t="shared" si="17"/>
        <v>B</v>
      </c>
      <c r="H220" t="str">
        <f t="shared" si="18"/>
        <v>08</v>
      </c>
      <c r="I220" t="str">
        <f t="shared" si="19"/>
        <v>081</v>
      </c>
      <c r="J220" t="str">
        <f t="shared" si="20"/>
        <v>08100</v>
      </c>
      <c r="K220" t="str">
        <f t="shared" si="16"/>
        <v>0810006</v>
      </c>
    </row>
    <row r="221" spans="2:11" x14ac:dyDescent="0.25">
      <c r="C221" t="s">
        <v>1864</v>
      </c>
      <c r="D221" t="s">
        <v>1864</v>
      </c>
      <c r="E221" t="s">
        <v>2083</v>
      </c>
      <c r="F221" t="s">
        <v>196</v>
      </c>
      <c r="G221" t="str">
        <f t="shared" si="17"/>
        <v>B</v>
      </c>
      <c r="H221" t="str">
        <f t="shared" si="18"/>
        <v>08</v>
      </c>
      <c r="I221" t="str">
        <f t="shared" si="19"/>
        <v>081</v>
      </c>
      <c r="J221" t="str">
        <f t="shared" si="20"/>
        <v>08100</v>
      </c>
      <c r="K221" t="str">
        <f t="shared" si="16"/>
        <v>0810007</v>
      </c>
    </row>
    <row r="222" spans="2:11" x14ac:dyDescent="0.25">
      <c r="C222" t="s">
        <v>1864</v>
      </c>
      <c r="D222" t="s">
        <v>1864</v>
      </c>
      <c r="E222" t="s">
        <v>2084</v>
      </c>
      <c r="F222" t="s">
        <v>197</v>
      </c>
      <c r="G222" t="str">
        <f t="shared" si="17"/>
        <v>B</v>
      </c>
      <c r="H222" t="str">
        <f t="shared" si="18"/>
        <v>08</v>
      </c>
      <c r="I222" t="str">
        <f t="shared" si="19"/>
        <v>081</v>
      </c>
      <c r="J222" t="str">
        <f t="shared" si="20"/>
        <v>08100</v>
      </c>
      <c r="K222" t="str">
        <f t="shared" si="16"/>
        <v>0810008</v>
      </c>
    </row>
    <row r="223" spans="2:11" x14ac:dyDescent="0.25">
      <c r="C223" t="s">
        <v>1864</v>
      </c>
      <c r="D223" t="s">
        <v>1864</v>
      </c>
      <c r="E223" t="s">
        <v>2085</v>
      </c>
      <c r="F223" t="s">
        <v>198</v>
      </c>
      <c r="G223" t="str">
        <f t="shared" si="17"/>
        <v>B</v>
      </c>
      <c r="H223" t="str">
        <f t="shared" si="18"/>
        <v>08</v>
      </c>
      <c r="I223" t="str">
        <f t="shared" si="19"/>
        <v>081</v>
      </c>
      <c r="J223" t="str">
        <f t="shared" si="20"/>
        <v>08100</v>
      </c>
      <c r="K223" t="str">
        <f t="shared" si="16"/>
        <v>0810009</v>
      </c>
    </row>
    <row r="224" spans="2:11" x14ac:dyDescent="0.25">
      <c r="C224" t="s">
        <v>1864</v>
      </c>
      <c r="D224" t="s">
        <v>1864</v>
      </c>
      <c r="E224" t="s">
        <v>2086</v>
      </c>
      <c r="F224" t="s">
        <v>199</v>
      </c>
      <c r="G224" t="str">
        <f t="shared" si="17"/>
        <v>B</v>
      </c>
      <c r="H224" t="str">
        <f t="shared" si="18"/>
        <v>08</v>
      </c>
      <c r="I224" t="str">
        <f t="shared" si="19"/>
        <v>081</v>
      </c>
      <c r="J224" t="str">
        <f t="shared" si="20"/>
        <v>08100</v>
      </c>
      <c r="K224" t="str">
        <f t="shared" si="16"/>
        <v>0810010</v>
      </c>
    </row>
    <row r="225" spans="2:11" x14ac:dyDescent="0.25">
      <c r="C225" t="s">
        <v>1864</v>
      </c>
      <c r="D225" t="s">
        <v>1864</v>
      </c>
      <c r="E225" t="s">
        <v>2087</v>
      </c>
      <c r="F225" t="s">
        <v>200</v>
      </c>
      <c r="G225" t="str">
        <f t="shared" si="17"/>
        <v>B</v>
      </c>
      <c r="H225" t="str">
        <f t="shared" si="18"/>
        <v>08</v>
      </c>
      <c r="I225" t="str">
        <f t="shared" si="19"/>
        <v>081</v>
      </c>
      <c r="J225" t="str">
        <f t="shared" si="20"/>
        <v>08100</v>
      </c>
      <c r="K225" t="str">
        <f t="shared" si="16"/>
        <v>0810099</v>
      </c>
    </row>
    <row r="226" spans="2:11" x14ac:dyDescent="0.25">
      <c r="C226" t="s">
        <v>2088</v>
      </c>
      <c r="D226" t="s">
        <v>1864</v>
      </c>
      <c r="E226" t="s">
        <v>1864</v>
      </c>
      <c r="F226" t="s">
        <v>201</v>
      </c>
      <c r="G226" t="str">
        <f t="shared" si="17"/>
        <v>B</v>
      </c>
      <c r="H226" t="str">
        <f t="shared" si="18"/>
        <v>08</v>
      </c>
      <c r="I226" t="str">
        <f t="shared" si="19"/>
        <v>089</v>
      </c>
      <c r="J226" t="str">
        <f t="shared" si="20"/>
        <v>08100</v>
      </c>
      <c r="K226" t="str">
        <f t="shared" si="16"/>
        <v/>
      </c>
    </row>
    <row r="227" spans="2:11" x14ac:dyDescent="0.25">
      <c r="C227" t="s">
        <v>1864</v>
      </c>
      <c r="D227" t="s">
        <v>2089</v>
      </c>
      <c r="E227" t="s">
        <v>1864</v>
      </c>
      <c r="F227" t="s">
        <v>202</v>
      </c>
      <c r="G227" t="str">
        <f t="shared" si="17"/>
        <v>B</v>
      </c>
      <c r="H227" t="str">
        <f t="shared" si="18"/>
        <v>08</v>
      </c>
      <c r="I227" t="str">
        <f t="shared" si="19"/>
        <v>089</v>
      </c>
      <c r="J227" t="str">
        <f t="shared" si="20"/>
        <v>08916</v>
      </c>
      <c r="K227" t="str">
        <f t="shared" si="16"/>
        <v/>
      </c>
    </row>
    <row r="228" spans="2:11" x14ac:dyDescent="0.25">
      <c r="C228" t="s">
        <v>1864</v>
      </c>
      <c r="D228" t="s">
        <v>1864</v>
      </c>
      <c r="E228" t="s">
        <v>2090</v>
      </c>
      <c r="F228" t="s">
        <v>202</v>
      </c>
      <c r="G228" t="str">
        <f t="shared" si="17"/>
        <v>B</v>
      </c>
      <c r="H228" t="str">
        <f t="shared" si="18"/>
        <v>08</v>
      </c>
      <c r="I228" t="str">
        <f t="shared" si="19"/>
        <v>089</v>
      </c>
      <c r="J228" t="str">
        <f t="shared" si="20"/>
        <v>08916</v>
      </c>
      <c r="K228" t="str">
        <f t="shared" si="16"/>
        <v>0891600</v>
      </c>
    </row>
    <row r="229" spans="2:11" x14ac:dyDescent="0.25">
      <c r="C229" t="s">
        <v>1864</v>
      </c>
      <c r="D229" t="s">
        <v>2091</v>
      </c>
      <c r="E229" t="s">
        <v>1864</v>
      </c>
      <c r="F229" t="s">
        <v>203</v>
      </c>
      <c r="G229" t="str">
        <f t="shared" si="17"/>
        <v>B</v>
      </c>
      <c r="H229" t="str">
        <f t="shared" si="18"/>
        <v>08</v>
      </c>
      <c r="I229" t="str">
        <f t="shared" si="19"/>
        <v>089</v>
      </c>
      <c r="J229" t="str">
        <f t="shared" si="20"/>
        <v>08924</v>
      </c>
      <c r="K229" t="str">
        <f t="shared" si="16"/>
        <v/>
      </c>
    </row>
    <row r="230" spans="2:11" x14ac:dyDescent="0.25">
      <c r="C230" t="s">
        <v>1864</v>
      </c>
      <c r="D230" t="s">
        <v>1864</v>
      </c>
      <c r="E230" t="s">
        <v>2092</v>
      </c>
      <c r="F230" t="s">
        <v>204</v>
      </c>
      <c r="G230" t="str">
        <f t="shared" si="17"/>
        <v>B</v>
      </c>
      <c r="H230" t="str">
        <f t="shared" si="18"/>
        <v>08</v>
      </c>
      <c r="I230" t="str">
        <f t="shared" si="19"/>
        <v>089</v>
      </c>
      <c r="J230" t="str">
        <f t="shared" si="20"/>
        <v>08924</v>
      </c>
      <c r="K230" t="str">
        <f t="shared" si="16"/>
        <v>0892401</v>
      </c>
    </row>
    <row r="231" spans="2:11" x14ac:dyDescent="0.25">
      <c r="C231" t="s">
        <v>1864</v>
      </c>
      <c r="D231" t="s">
        <v>1864</v>
      </c>
      <c r="E231" t="s">
        <v>2093</v>
      </c>
      <c r="F231" t="s">
        <v>205</v>
      </c>
      <c r="G231" t="str">
        <f t="shared" si="17"/>
        <v>B</v>
      </c>
      <c r="H231" t="str">
        <f t="shared" si="18"/>
        <v>08</v>
      </c>
      <c r="I231" t="str">
        <f t="shared" si="19"/>
        <v>089</v>
      </c>
      <c r="J231" t="str">
        <f t="shared" si="20"/>
        <v>08924</v>
      </c>
      <c r="K231" t="str">
        <f t="shared" si="16"/>
        <v>0892402</v>
      </c>
    </row>
    <row r="232" spans="2:11" x14ac:dyDescent="0.25">
      <c r="C232" t="s">
        <v>1864</v>
      </c>
      <c r="D232" t="s">
        <v>1864</v>
      </c>
      <c r="E232" t="s">
        <v>2094</v>
      </c>
      <c r="F232" t="s">
        <v>206</v>
      </c>
      <c r="G232" t="str">
        <f t="shared" si="17"/>
        <v>B</v>
      </c>
      <c r="H232" t="str">
        <f t="shared" si="18"/>
        <v>08</v>
      </c>
      <c r="I232" t="str">
        <f t="shared" si="19"/>
        <v>089</v>
      </c>
      <c r="J232" t="str">
        <f t="shared" si="20"/>
        <v>08924</v>
      </c>
      <c r="K232" t="str">
        <f t="shared" si="16"/>
        <v>0892403</v>
      </c>
    </row>
    <row r="233" spans="2:11" x14ac:dyDescent="0.25">
      <c r="C233" t="s">
        <v>1864</v>
      </c>
      <c r="D233" t="s">
        <v>2095</v>
      </c>
      <c r="E233" t="s">
        <v>1864</v>
      </c>
      <c r="F233" t="s">
        <v>207</v>
      </c>
      <c r="G233" t="str">
        <f t="shared" si="17"/>
        <v>B</v>
      </c>
      <c r="H233" t="str">
        <f t="shared" si="18"/>
        <v>08</v>
      </c>
      <c r="I233" t="str">
        <f t="shared" si="19"/>
        <v>089</v>
      </c>
      <c r="J233" t="str">
        <f t="shared" si="20"/>
        <v>08932</v>
      </c>
      <c r="K233" t="str">
        <f t="shared" si="16"/>
        <v/>
      </c>
    </row>
    <row r="234" spans="2:11" x14ac:dyDescent="0.25">
      <c r="C234" t="s">
        <v>1864</v>
      </c>
      <c r="D234" t="s">
        <v>1864</v>
      </c>
      <c r="E234" t="s">
        <v>2096</v>
      </c>
      <c r="F234" t="s">
        <v>207</v>
      </c>
      <c r="G234" t="str">
        <f t="shared" si="17"/>
        <v>B</v>
      </c>
      <c r="H234" t="str">
        <f t="shared" si="18"/>
        <v>08</v>
      </c>
      <c r="I234" t="str">
        <f t="shared" si="19"/>
        <v>089</v>
      </c>
      <c r="J234" t="str">
        <f t="shared" si="20"/>
        <v>08932</v>
      </c>
      <c r="K234" t="str">
        <f t="shared" si="16"/>
        <v>0893200</v>
      </c>
    </row>
    <row r="235" spans="2:11" x14ac:dyDescent="0.25">
      <c r="C235" t="s">
        <v>1864</v>
      </c>
      <c r="D235" t="s">
        <v>2097</v>
      </c>
      <c r="E235" t="s">
        <v>1864</v>
      </c>
      <c r="F235" t="s">
        <v>208</v>
      </c>
      <c r="G235" t="str">
        <f t="shared" si="17"/>
        <v>B</v>
      </c>
      <c r="H235" t="str">
        <f t="shared" si="18"/>
        <v>08</v>
      </c>
      <c r="I235" t="str">
        <f t="shared" si="19"/>
        <v>089</v>
      </c>
      <c r="J235" t="str">
        <f t="shared" si="20"/>
        <v>08991</v>
      </c>
      <c r="K235" t="str">
        <f t="shared" si="16"/>
        <v/>
      </c>
    </row>
    <row r="236" spans="2:11" x14ac:dyDescent="0.25">
      <c r="C236" t="s">
        <v>1864</v>
      </c>
      <c r="D236" t="s">
        <v>1864</v>
      </c>
      <c r="E236" t="s">
        <v>2098</v>
      </c>
      <c r="F236" t="s">
        <v>209</v>
      </c>
      <c r="G236" t="str">
        <f t="shared" si="17"/>
        <v>B</v>
      </c>
      <c r="H236" t="str">
        <f t="shared" si="18"/>
        <v>08</v>
      </c>
      <c r="I236" t="str">
        <f t="shared" si="19"/>
        <v>089</v>
      </c>
      <c r="J236" t="str">
        <f t="shared" si="20"/>
        <v>08991</v>
      </c>
      <c r="K236" t="str">
        <f t="shared" si="16"/>
        <v>0899101</v>
      </c>
    </row>
    <row r="237" spans="2:11" x14ac:dyDescent="0.25">
      <c r="C237" t="s">
        <v>1864</v>
      </c>
      <c r="D237" t="s">
        <v>1864</v>
      </c>
      <c r="E237" t="s">
        <v>2099</v>
      </c>
      <c r="F237" t="s">
        <v>210</v>
      </c>
      <c r="G237" t="str">
        <f t="shared" si="17"/>
        <v>B</v>
      </c>
      <c r="H237" t="str">
        <f t="shared" si="18"/>
        <v>08</v>
      </c>
      <c r="I237" t="str">
        <f t="shared" si="19"/>
        <v>089</v>
      </c>
      <c r="J237" t="str">
        <f t="shared" si="20"/>
        <v>08991</v>
      </c>
      <c r="K237" t="str">
        <f t="shared" si="16"/>
        <v>0899102</v>
      </c>
    </row>
    <row r="238" spans="2:11" x14ac:dyDescent="0.25">
      <c r="C238" t="s">
        <v>1864</v>
      </c>
      <c r="D238" t="s">
        <v>1864</v>
      </c>
      <c r="E238" t="s">
        <v>2100</v>
      </c>
      <c r="F238" t="s">
        <v>211</v>
      </c>
      <c r="G238" t="str">
        <f t="shared" si="17"/>
        <v>B</v>
      </c>
      <c r="H238" t="str">
        <f t="shared" si="18"/>
        <v>08</v>
      </c>
      <c r="I238" t="str">
        <f t="shared" si="19"/>
        <v>089</v>
      </c>
      <c r="J238" t="str">
        <f t="shared" si="20"/>
        <v>08991</v>
      </c>
      <c r="K238" t="str">
        <f t="shared" si="16"/>
        <v>0899103</v>
      </c>
    </row>
    <row r="239" spans="2:11" x14ac:dyDescent="0.25">
      <c r="C239" t="s">
        <v>1864</v>
      </c>
      <c r="D239" t="s">
        <v>1864</v>
      </c>
      <c r="E239" t="s">
        <v>2101</v>
      </c>
      <c r="F239" t="s">
        <v>212</v>
      </c>
      <c r="G239" t="str">
        <f t="shared" si="17"/>
        <v>B</v>
      </c>
      <c r="H239" t="str">
        <f t="shared" si="18"/>
        <v>08</v>
      </c>
      <c r="I239" t="str">
        <f t="shared" si="19"/>
        <v>089</v>
      </c>
      <c r="J239" t="str">
        <f t="shared" si="20"/>
        <v>08991</v>
      </c>
      <c r="K239" t="str">
        <f t="shared" si="16"/>
        <v>0899199</v>
      </c>
    </row>
    <row r="240" spans="2:11" x14ac:dyDescent="0.25">
      <c r="B240" t="s">
        <v>2102</v>
      </c>
      <c r="C240" t="s">
        <v>1864</v>
      </c>
      <c r="D240" t="s">
        <v>1864</v>
      </c>
      <c r="E240" t="s">
        <v>1864</v>
      </c>
      <c r="F240" t="s">
        <v>213</v>
      </c>
      <c r="G240" t="str">
        <f t="shared" si="17"/>
        <v>B</v>
      </c>
      <c r="H240" t="str">
        <f t="shared" si="18"/>
        <v>09</v>
      </c>
      <c r="I240" t="str">
        <f t="shared" si="19"/>
        <v>089</v>
      </c>
      <c r="J240" t="str">
        <f t="shared" si="20"/>
        <v>08991</v>
      </c>
      <c r="K240" t="str">
        <f t="shared" si="16"/>
        <v/>
      </c>
    </row>
    <row r="241" spans="1:11" x14ac:dyDescent="0.25">
      <c r="C241" t="s">
        <v>2103</v>
      </c>
      <c r="D241" t="s">
        <v>1864</v>
      </c>
      <c r="E241" t="s">
        <v>1864</v>
      </c>
      <c r="F241" t="s">
        <v>214</v>
      </c>
      <c r="G241" t="str">
        <f t="shared" si="17"/>
        <v>B</v>
      </c>
      <c r="H241" t="str">
        <f t="shared" si="18"/>
        <v>09</v>
      </c>
      <c r="I241" t="str">
        <f t="shared" si="19"/>
        <v>091</v>
      </c>
      <c r="J241" t="str">
        <f t="shared" si="20"/>
        <v>08991</v>
      </c>
      <c r="K241" t="str">
        <f t="shared" si="16"/>
        <v/>
      </c>
    </row>
    <row r="242" spans="1:11" x14ac:dyDescent="0.25">
      <c r="C242" t="s">
        <v>1864</v>
      </c>
      <c r="D242" t="s">
        <v>2104</v>
      </c>
      <c r="E242" t="s">
        <v>1864</v>
      </c>
      <c r="F242" t="s">
        <v>214</v>
      </c>
      <c r="G242" t="str">
        <f t="shared" si="17"/>
        <v>B</v>
      </c>
      <c r="H242" t="str">
        <f t="shared" si="18"/>
        <v>09</v>
      </c>
      <c r="I242" t="str">
        <f t="shared" si="19"/>
        <v>091</v>
      </c>
      <c r="J242" t="str">
        <f t="shared" si="20"/>
        <v>09106</v>
      </c>
      <c r="K242" t="str">
        <f t="shared" si="16"/>
        <v/>
      </c>
    </row>
    <row r="243" spans="1:11" x14ac:dyDescent="0.25">
      <c r="C243" t="s">
        <v>1864</v>
      </c>
      <c r="D243" t="s">
        <v>1864</v>
      </c>
      <c r="E243" t="s">
        <v>2105</v>
      </c>
      <c r="F243" t="s">
        <v>214</v>
      </c>
      <c r="G243" t="str">
        <f t="shared" si="17"/>
        <v>B</v>
      </c>
      <c r="H243" t="str">
        <f t="shared" si="18"/>
        <v>09</v>
      </c>
      <c r="I243" t="str">
        <f t="shared" si="19"/>
        <v>091</v>
      </c>
      <c r="J243" t="str">
        <f t="shared" si="20"/>
        <v>09106</v>
      </c>
      <c r="K243" t="str">
        <f t="shared" si="16"/>
        <v>0910600</v>
      </c>
    </row>
    <row r="244" spans="1:11" x14ac:dyDescent="0.25">
      <c r="C244" t="s">
        <v>2106</v>
      </c>
      <c r="D244" t="s">
        <v>1864</v>
      </c>
      <c r="E244" t="s">
        <v>1864</v>
      </c>
      <c r="F244" t="s">
        <v>215</v>
      </c>
      <c r="G244" t="str">
        <f t="shared" si="17"/>
        <v>B</v>
      </c>
      <c r="H244" t="str">
        <f t="shared" si="18"/>
        <v>09</v>
      </c>
      <c r="I244" t="str">
        <f t="shared" si="19"/>
        <v>099</v>
      </c>
      <c r="J244" t="str">
        <f t="shared" si="20"/>
        <v>09106</v>
      </c>
      <c r="K244" t="str">
        <f t="shared" si="16"/>
        <v/>
      </c>
    </row>
    <row r="245" spans="1:11" x14ac:dyDescent="0.25">
      <c r="C245" t="s">
        <v>1864</v>
      </c>
      <c r="D245" t="s">
        <v>2107</v>
      </c>
      <c r="E245" t="s">
        <v>1864</v>
      </c>
      <c r="F245" t="s">
        <v>215</v>
      </c>
      <c r="G245" t="str">
        <f t="shared" si="17"/>
        <v>B</v>
      </c>
      <c r="H245" t="str">
        <f t="shared" si="18"/>
        <v>09</v>
      </c>
      <c r="I245" t="str">
        <f t="shared" si="19"/>
        <v>099</v>
      </c>
      <c r="J245" t="str">
        <f t="shared" si="20"/>
        <v>09904</v>
      </c>
      <c r="K245" t="str">
        <f t="shared" si="16"/>
        <v/>
      </c>
    </row>
    <row r="246" spans="1:11" x14ac:dyDescent="0.25">
      <c r="C246" t="s">
        <v>1864</v>
      </c>
      <c r="D246" t="s">
        <v>1864</v>
      </c>
      <c r="E246" t="s">
        <v>2108</v>
      </c>
      <c r="F246" t="s">
        <v>216</v>
      </c>
      <c r="G246" t="str">
        <f t="shared" si="17"/>
        <v>B</v>
      </c>
      <c r="H246" t="str">
        <f t="shared" si="18"/>
        <v>09</v>
      </c>
      <c r="I246" t="str">
        <f t="shared" si="19"/>
        <v>099</v>
      </c>
      <c r="J246" t="str">
        <f t="shared" si="20"/>
        <v>09904</v>
      </c>
      <c r="K246" t="str">
        <f t="shared" si="16"/>
        <v>0990401</v>
      </c>
    </row>
    <row r="247" spans="1:11" x14ac:dyDescent="0.25">
      <c r="C247" t="s">
        <v>1864</v>
      </c>
      <c r="D247" t="s">
        <v>1864</v>
      </c>
      <c r="E247" t="s">
        <v>2109</v>
      </c>
      <c r="F247" t="s">
        <v>217</v>
      </c>
      <c r="G247" t="str">
        <f t="shared" si="17"/>
        <v>B</v>
      </c>
      <c r="H247" t="str">
        <f t="shared" si="18"/>
        <v>09</v>
      </c>
      <c r="I247" t="str">
        <f t="shared" si="19"/>
        <v>099</v>
      </c>
      <c r="J247" t="str">
        <f t="shared" si="20"/>
        <v>09904</v>
      </c>
      <c r="K247" t="str">
        <f t="shared" si="16"/>
        <v>0990402</v>
      </c>
    </row>
    <row r="248" spans="1:11" x14ac:dyDescent="0.25">
      <c r="C248" t="s">
        <v>1864</v>
      </c>
      <c r="D248" t="s">
        <v>1864</v>
      </c>
      <c r="E248" t="s">
        <v>2110</v>
      </c>
      <c r="F248" t="s">
        <v>218</v>
      </c>
      <c r="G248" t="str">
        <f t="shared" si="17"/>
        <v>B</v>
      </c>
      <c r="H248" t="str">
        <f t="shared" si="18"/>
        <v>09</v>
      </c>
      <c r="I248" t="str">
        <f t="shared" si="19"/>
        <v>099</v>
      </c>
      <c r="J248" t="str">
        <f t="shared" si="20"/>
        <v>09904</v>
      </c>
      <c r="K248" t="str">
        <f t="shared" si="16"/>
        <v>0990403</v>
      </c>
    </row>
    <row r="249" spans="1:11" x14ac:dyDescent="0.25">
      <c r="A249" t="s">
        <v>2111</v>
      </c>
      <c r="C249" t="s">
        <v>1864</v>
      </c>
      <c r="D249" t="s">
        <v>1864</v>
      </c>
      <c r="E249" t="s">
        <v>1864</v>
      </c>
      <c r="F249" t="s">
        <v>219</v>
      </c>
      <c r="G249" t="str">
        <f t="shared" si="17"/>
        <v>C</v>
      </c>
      <c r="H249" t="str">
        <f t="shared" si="18"/>
        <v>09</v>
      </c>
      <c r="I249" t="str">
        <f t="shared" si="19"/>
        <v>099</v>
      </c>
      <c r="J249" t="str">
        <f t="shared" si="20"/>
        <v>09904</v>
      </c>
      <c r="K249" t="str">
        <f t="shared" si="16"/>
        <v/>
      </c>
    </row>
    <row r="250" spans="1:11" x14ac:dyDescent="0.25">
      <c r="B250" t="s">
        <v>2112</v>
      </c>
      <c r="C250" t="s">
        <v>1864</v>
      </c>
      <c r="D250" t="s">
        <v>1864</v>
      </c>
      <c r="E250" t="s">
        <v>1864</v>
      </c>
      <c r="F250" t="s">
        <v>220</v>
      </c>
      <c r="G250" t="str">
        <f t="shared" si="17"/>
        <v>C</v>
      </c>
      <c r="H250" t="str">
        <f t="shared" si="18"/>
        <v>10</v>
      </c>
      <c r="I250" t="str">
        <f t="shared" si="19"/>
        <v>099</v>
      </c>
      <c r="J250" t="str">
        <f t="shared" si="20"/>
        <v>09904</v>
      </c>
      <c r="K250" t="str">
        <f t="shared" si="16"/>
        <v/>
      </c>
    </row>
    <row r="251" spans="1:11" x14ac:dyDescent="0.25">
      <c r="C251" t="s">
        <v>2113</v>
      </c>
      <c r="D251" t="s">
        <v>1864</v>
      </c>
      <c r="E251" t="s">
        <v>1864</v>
      </c>
      <c r="F251" t="s">
        <v>221</v>
      </c>
      <c r="G251" t="str">
        <f t="shared" si="17"/>
        <v>C</v>
      </c>
      <c r="H251" t="str">
        <f t="shared" si="18"/>
        <v>10</v>
      </c>
      <c r="I251" t="str">
        <f t="shared" si="19"/>
        <v>101</v>
      </c>
      <c r="J251" t="str">
        <f t="shared" si="20"/>
        <v>09904</v>
      </c>
      <c r="K251" t="str">
        <f t="shared" si="16"/>
        <v/>
      </c>
    </row>
    <row r="252" spans="1:11" x14ac:dyDescent="0.25">
      <c r="C252" t="s">
        <v>1864</v>
      </c>
      <c r="D252" t="s">
        <v>2114</v>
      </c>
      <c r="E252" t="s">
        <v>1864</v>
      </c>
      <c r="F252" t="s">
        <v>222</v>
      </c>
      <c r="G252" t="str">
        <f t="shared" si="17"/>
        <v>C</v>
      </c>
      <c r="H252" t="str">
        <f t="shared" si="18"/>
        <v>10</v>
      </c>
      <c r="I252" t="str">
        <f t="shared" si="19"/>
        <v>101</v>
      </c>
      <c r="J252" t="str">
        <f t="shared" si="20"/>
        <v>10112</v>
      </c>
      <c r="K252" t="str">
        <f t="shared" si="16"/>
        <v/>
      </c>
    </row>
    <row r="253" spans="1:11" x14ac:dyDescent="0.25">
      <c r="C253" t="s">
        <v>1864</v>
      </c>
      <c r="D253" t="s">
        <v>1864</v>
      </c>
      <c r="E253" t="s">
        <v>2115</v>
      </c>
      <c r="F253" t="s">
        <v>223</v>
      </c>
      <c r="G253" t="str">
        <f t="shared" si="17"/>
        <v>C</v>
      </c>
      <c r="H253" t="str">
        <f t="shared" si="18"/>
        <v>10</v>
      </c>
      <c r="I253" t="str">
        <f t="shared" si="19"/>
        <v>101</v>
      </c>
      <c r="J253" t="str">
        <f t="shared" si="20"/>
        <v>10112</v>
      </c>
      <c r="K253" t="str">
        <f t="shared" si="16"/>
        <v>1011201</v>
      </c>
    </row>
    <row r="254" spans="1:11" x14ac:dyDescent="0.25">
      <c r="C254" t="s">
        <v>1864</v>
      </c>
      <c r="D254" t="s">
        <v>1864</v>
      </c>
      <c r="E254" t="s">
        <v>2116</v>
      </c>
      <c r="F254" t="s">
        <v>224</v>
      </c>
      <c r="G254" t="str">
        <f t="shared" si="17"/>
        <v>C</v>
      </c>
      <c r="H254" t="str">
        <f t="shared" si="18"/>
        <v>10</v>
      </c>
      <c r="I254" t="str">
        <f t="shared" si="19"/>
        <v>101</v>
      </c>
      <c r="J254" t="str">
        <f t="shared" si="20"/>
        <v>10112</v>
      </c>
      <c r="K254" t="str">
        <f t="shared" si="16"/>
        <v>1011202</v>
      </c>
    </row>
    <row r="255" spans="1:11" x14ac:dyDescent="0.25">
      <c r="C255" t="s">
        <v>1864</v>
      </c>
      <c r="D255" t="s">
        <v>1864</v>
      </c>
      <c r="E255" t="s">
        <v>2117</v>
      </c>
      <c r="F255" t="s">
        <v>225</v>
      </c>
      <c r="G255" t="str">
        <f t="shared" si="17"/>
        <v>C</v>
      </c>
      <c r="H255" t="str">
        <f t="shared" si="18"/>
        <v>10</v>
      </c>
      <c r="I255" t="str">
        <f t="shared" si="19"/>
        <v>101</v>
      </c>
      <c r="J255" t="str">
        <f t="shared" si="20"/>
        <v>10112</v>
      </c>
      <c r="K255" t="str">
        <f t="shared" si="16"/>
        <v>1011203</v>
      </c>
    </row>
    <row r="256" spans="1:11" x14ac:dyDescent="0.25">
      <c r="C256" t="s">
        <v>1864</v>
      </c>
      <c r="D256" t="s">
        <v>1864</v>
      </c>
      <c r="E256" t="s">
        <v>2118</v>
      </c>
      <c r="F256" t="s">
        <v>226</v>
      </c>
      <c r="G256" t="str">
        <f t="shared" si="17"/>
        <v>C</v>
      </c>
      <c r="H256" t="str">
        <f t="shared" si="18"/>
        <v>10</v>
      </c>
      <c r="I256" t="str">
        <f t="shared" si="19"/>
        <v>101</v>
      </c>
      <c r="J256" t="str">
        <f t="shared" si="20"/>
        <v>10112</v>
      </c>
      <c r="K256" t="str">
        <f t="shared" si="16"/>
        <v>1011204</v>
      </c>
    </row>
    <row r="257" spans="3:11" x14ac:dyDescent="0.25">
      <c r="C257" t="s">
        <v>1864</v>
      </c>
      <c r="D257" t="s">
        <v>1864</v>
      </c>
      <c r="E257" t="s">
        <v>2119</v>
      </c>
      <c r="F257" t="s">
        <v>227</v>
      </c>
      <c r="G257" t="str">
        <f t="shared" si="17"/>
        <v>C</v>
      </c>
      <c r="H257" t="str">
        <f t="shared" si="18"/>
        <v>10</v>
      </c>
      <c r="I257" t="str">
        <f t="shared" si="19"/>
        <v>101</v>
      </c>
      <c r="J257" t="str">
        <f t="shared" si="20"/>
        <v>10112</v>
      </c>
      <c r="K257" t="str">
        <f t="shared" si="16"/>
        <v>1011205</v>
      </c>
    </row>
    <row r="258" spans="3:11" x14ac:dyDescent="0.25">
      <c r="C258" t="s">
        <v>1864</v>
      </c>
      <c r="D258" t="s">
        <v>2120</v>
      </c>
      <c r="E258" t="s">
        <v>1864</v>
      </c>
      <c r="F258" t="s">
        <v>228</v>
      </c>
      <c r="G258" t="str">
        <f t="shared" si="17"/>
        <v>C</v>
      </c>
      <c r="H258" t="str">
        <f t="shared" si="18"/>
        <v>10</v>
      </c>
      <c r="I258" t="str">
        <f t="shared" si="19"/>
        <v>101</v>
      </c>
      <c r="J258" t="str">
        <f t="shared" si="20"/>
        <v>10121</v>
      </c>
      <c r="K258" t="str">
        <f t="shared" si="16"/>
        <v/>
      </c>
    </row>
    <row r="259" spans="3:11" x14ac:dyDescent="0.25">
      <c r="C259" t="s">
        <v>1864</v>
      </c>
      <c r="D259" t="s">
        <v>1864</v>
      </c>
      <c r="E259" t="s">
        <v>2121</v>
      </c>
      <c r="F259" t="s">
        <v>229</v>
      </c>
      <c r="G259" t="str">
        <f t="shared" si="17"/>
        <v>C</v>
      </c>
      <c r="H259" t="str">
        <f t="shared" si="18"/>
        <v>10</v>
      </c>
      <c r="I259" t="str">
        <f t="shared" si="19"/>
        <v>101</v>
      </c>
      <c r="J259" t="str">
        <f t="shared" si="20"/>
        <v>10121</v>
      </c>
      <c r="K259" t="str">
        <f t="shared" si="16"/>
        <v>1012101</v>
      </c>
    </row>
    <row r="260" spans="3:11" x14ac:dyDescent="0.25">
      <c r="C260" t="s">
        <v>1864</v>
      </c>
      <c r="D260" t="s">
        <v>1864</v>
      </c>
      <c r="E260" t="s">
        <v>2122</v>
      </c>
      <c r="F260" t="s">
        <v>230</v>
      </c>
      <c r="G260" t="str">
        <f t="shared" si="17"/>
        <v>C</v>
      </c>
      <c r="H260" t="str">
        <f t="shared" si="18"/>
        <v>10</v>
      </c>
      <c r="I260" t="str">
        <f t="shared" si="19"/>
        <v>101</v>
      </c>
      <c r="J260" t="str">
        <f t="shared" si="20"/>
        <v>10121</v>
      </c>
      <c r="K260" t="str">
        <f t="shared" si="16"/>
        <v>1012102</v>
      </c>
    </row>
    <row r="261" spans="3:11" x14ac:dyDescent="0.25">
      <c r="C261" t="s">
        <v>1864</v>
      </c>
      <c r="D261" t="s">
        <v>1864</v>
      </c>
      <c r="E261" t="s">
        <v>2123</v>
      </c>
      <c r="F261" t="s">
        <v>231</v>
      </c>
      <c r="G261" t="str">
        <f t="shared" si="17"/>
        <v>C</v>
      </c>
      <c r="H261" t="str">
        <f t="shared" si="18"/>
        <v>10</v>
      </c>
      <c r="I261" t="str">
        <f t="shared" si="19"/>
        <v>101</v>
      </c>
      <c r="J261" t="str">
        <f t="shared" si="20"/>
        <v>10121</v>
      </c>
      <c r="K261" t="str">
        <f t="shared" si="16"/>
        <v>1012103</v>
      </c>
    </row>
    <row r="262" spans="3:11" x14ac:dyDescent="0.25">
      <c r="C262" t="s">
        <v>1864</v>
      </c>
      <c r="D262" t="s">
        <v>1864</v>
      </c>
      <c r="E262" t="s">
        <v>2124</v>
      </c>
      <c r="F262" t="s">
        <v>232</v>
      </c>
      <c r="G262" t="str">
        <f t="shared" si="17"/>
        <v>C</v>
      </c>
      <c r="H262" t="str">
        <f t="shared" si="18"/>
        <v>10</v>
      </c>
      <c r="I262" t="str">
        <f t="shared" si="19"/>
        <v>101</v>
      </c>
      <c r="J262" t="str">
        <f t="shared" si="20"/>
        <v>10121</v>
      </c>
      <c r="K262" t="str">
        <f t="shared" si="16"/>
        <v>1012104</v>
      </c>
    </row>
    <row r="263" spans="3:11" x14ac:dyDescent="0.25">
      <c r="C263" t="s">
        <v>1864</v>
      </c>
      <c r="D263" t="s">
        <v>2125</v>
      </c>
      <c r="E263" t="s">
        <v>1864</v>
      </c>
      <c r="F263" t="s">
        <v>233</v>
      </c>
      <c r="G263" t="str">
        <f t="shared" si="17"/>
        <v>C</v>
      </c>
      <c r="H263" t="str">
        <f t="shared" si="18"/>
        <v>10</v>
      </c>
      <c r="I263" t="str">
        <f t="shared" si="19"/>
        <v>101</v>
      </c>
      <c r="J263" t="str">
        <f t="shared" si="20"/>
        <v>10139</v>
      </c>
      <c r="K263" t="str">
        <f t="shared" si="16"/>
        <v/>
      </c>
    </row>
    <row r="264" spans="3:11" x14ac:dyDescent="0.25">
      <c r="C264" t="s">
        <v>1864</v>
      </c>
      <c r="D264" t="s">
        <v>1864</v>
      </c>
      <c r="E264" t="s">
        <v>2126</v>
      </c>
      <c r="F264" t="s">
        <v>233</v>
      </c>
      <c r="G264" t="str">
        <f t="shared" si="17"/>
        <v>C</v>
      </c>
      <c r="H264" t="str">
        <f t="shared" si="18"/>
        <v>10</v>
      </c>
      <c r="I264" t="str">
        <f t="shared" si="19"/>
        <v>101</v>
      </c>
      <c r="J264" t="str">
        <f t="shared" si="20"/>
        <v>10139</v>
      </c>
      <c r="K264" t="str">
        <f t="shared" ref="K264:K327" si="21">E264</f>
        <v>1013901</v>
      </c>
    </row>
    <row r="265" spans="3:11" x14ac:dyDescent="0.25">
      <c r="C265" t="s">
        <v>1864</v>
      </c>
      <c r="D265" t="s">
        <v>1864</v>
      </c>
      <c r="E265" t="s">
        <v>2127</v>
      </c>
      <c r="F265" t="s">
        <v>234</v>
      </c>
      <c r="G265" t="str">
        <f t="shared" ref="G265:G328" si="22">IF(A265="",G264,A265)</f>
        <v>C</v>
      </c>
      <c r="H265" t="str">
        <f t="shared" ref="H265:H328" si="23">IF(B265="",H264,B265)</f>
        <v>10</v>
      </c>
      <c r="I265" t="str">
        <f t="shared" ref="I265:I328" si="24">IF(C265="",I264,C265)</f>
        <v>101</v>
      </c>
      <c r="J265" t="str">
        <f t="shared" ref="J265:J328" si="25">IF(D265="",J264,D265)</f>
        <v>10139</v>
      </c>
      <c r="K265" t="str">
        <f t="shared" si="21"/>
        <v>1013902</v>
      </c>
    </row>
    <row r="266" spans="3:11" x14ac:dyDescent="0.25">
      <c r="C266" t="s">
        <v>2128</v>
      </c>
      <c r="D266" t="s">
        <v>1864</v>
      </c>
      <c r="E266" t="s">
        <v>1864</v>
      </c>
      <c r="F266" t="s">
        <v>235</v>
      </c>
      <c r="G266" t="str">
        <f t="shared" si="22"/>
        <v>C</v>
      </c>
      <c r="H266" t="str">
        <f t="shared" si="23"/>
        <v>10</v>
      </c>
      <c r="I266" t="str">
        <f t="shared" si="24"/>
        <v>102</v>
      </c>
      <c r="J266" t="str">
        <f t="shared" si="25"/>
        <v>10139</v>
      </c>
      <c r="K266" t="str">
        <f t="shared" si="21"/>
        <v/>
      </c>
    </row>
    <row r="267" spans="3:11" x14ac:dyDescent="0.25">
      <c r="C267" t="s">
        <v>1864</v>
      </c>
      <c r="D267" t="s">
        <v>2129</v>
      </c>
      <c r="E267" t="s">
        <v>1864</v>
      </c>
      <c r="F267" t="s">
        <v>235</v>
      </c>
      <c r="G267" t="str">
        <f t="shared" si="22"/>
        <v>C</v>
      </c>
      <c r="H267" t="str">
        <f t="shared" si="23"/>
        <v>10</v>
      </c>
      <c r="I267" t="str">
        <f t="shared" si="24"/>
        <v>102</v>
      </c>
      <c r="J267" t="str">
        <f t="shared" si="25"/>
        <v>10201</v>
      </c>
      <c r="K267" t="str">
        <f t="shared" si="21"/>
        <v/>
      </c>
    </row>
    <row r="268" spans="3:11" x14ac:dyDescent="0.25">
      <c r="C268" t="s">
        <v>1864</v>
      </c>
      <c r="D268" t="s">
        <v>1864</v>
      </c>
      <c r="E268" t="s">
        <v>2130</v>
      </c>
      <c r="F268" t="s">
        <v>236</v>
      </c>
      <c r="G268" t="str">
        <f t="shared" si="22"/>
        <v>C</v>
      </c>
      <c r="H268" t="str">
        <f t="shared" si="23"/>
        <v>10</v>
      </c>
      <c r="I268" t="str">
        <f t="shared" si="24"/>
        <v>102</v>
      </c>
      <c r="J268" t="str">
        <f t="shared" si="25"/>
        <v>10201</v>
      </c>
      <c r="K268" t="str">
        <f t="shared" si="21"/>
        <v>1020101</v>
      </c>
    </row>
    <row r="269" spans="3:11" x14ac:dyDescent="0.25">
      <c r="C269" t="s">
        <v>1864</v>
      </c>
      <c r="D269" t="s">
        <v>1864</v>
      </c>
      <c r="E269" t="s">
        <v>2131</v>
      </c>
      <c r="F269" t="s">
        <v>237</v>
      </c>
      <c r="G269" t="str">
        <f t="shared" si="22"/>
        <v>C</v>
      </c>
      <c r="H269" t="str">
        <f t="shared" si="23"/>
        <v>10</v>
      </c>
      <c r="I269" t="str">
        <f t="shared" si="24"/>
        <v>102</v>
      </c>
      <c r="J269" t="str">
        <f t="shared" si="25"/>
        <v>10201</v>
      </c>
      <c r="K269" t="str">
        <f t="shared" si="21"/>
        <v>1020102</v>
      </c>
    </row>
    <row r="270" spans="3:11" x14ac:dyDescent="0.25">
      <c r="C270" t="s">
        <v>2132</v>
      </c>
      <c r="D270" t="s">
        <v>1864</v>
      </c>
      <c r="E270" t="s">
        <v>1864</v>
      </c>
      <c r="F270" t="s">
        <v>238</v>
      </c>
      <c r="G270" t="str">
        <f t="shared" si="22"/>
        <v>C</v>
      </c>
      <c r="H270" t="str">
        <f t="shared" si="23"/>
        <v>10</v>
      </c>
      <c r="I270" t="str">
        <f t="shared" si="24"/>
        <v>103</v>
      </c>
      <c r="J270" t="str">
        <f t="shared" si="25"/>
        <v>10201</v>
      </c>
      <c r="K270" t="str">
        <f t="shared" si="21"/>
        <v/>
      </c>
    </row>
    <row r="271" spans="3:11" x14ac:dyDescent="0.25">
      <c r="C271" t="s">
        <v>1864</v>
      </c>
      <c r="D271" t="s">
        <v>2133</v>
      </c>
      <c r="E271" t="s">
        <v>1864</v>
      </c>
      <c r="F271" t="s">
        <v>239</v>
      </c>
      <c r="G271" t="str">
        <f t="shared" si="22"/>
        <v>C</v>
      </c>
      <c r="H271" t="str">
        <f t="shared" si="23"/>
        <v>10</v>
      </c>
      <c r="I271" t="str">
        <f t="shared" si="24"/>
        <v>103</v>
      </c>
      <c r="J271" t="str">
        <f t="shared" si="25"/>
        <v>10317</v>
      </c>
      <c r="K271" t="str">
        <f t="shared" si="21"/>
        <v/>
      </c>
    </row>
    <row r="272" spans="3:11" x14ac:dyDescent="0.25">
      <c r="C272" t="s">
        <v>1864</v>
      </c>
      <c r="D272" t="s">
        <v>1864</v>
      </c>
      <c r="E272" t="s">
        <v>2134</v>
      </c>
      <c r="F272" t="s">
        <v>239</v>
      </c>
      <c r="G272" t="str">
        <f t="shared" si="22"/>
        <v>C</v>
      </c>
      <c r="H272" t="str">
        <f t="shared" si="23"/>
        <v>10</v>
      </c>
      <c r="I272" t="str">
        <f t="shared" si="24"/>
        <v>103</v>
      </c>
      <c r="J272" t="str">
        <f t="shared" si="25"/>
        <v>10317</v>
      </c>
      <c r="K272" t="str">
        <f t="shared" si="21"/>
        <v>1031700</v>
      </c>
    </row>
    <row r="273" spans="3:11" x14ac:dyDescent="0.25">
      <c r="C273" t="s">
        <v>1864</v>
      </c>
      <c r="D273" t="s">
        <v>2135</v>
      </c>
      <c r="E273" t="s">
        <v>1864</v>
      </c>
      <c r="F273" t="s">
        <v>240</v>
      </c>
      <c r="G273" t="str">
        <f t="shared" si="22"/>
        <v>C</v>
      </c>
      <c r="H273" t="str">
        <f t="shared" si="23"/>
        <v>10</v>
      </c>
      <c r="I273" t="str">
        <f t="shared" si="24"/>
        <v>103</v>
      </c>
      <c r="J273" t="str">
        <f t="shared" si="25"/>
        <v>10325</v>
      </c>
      <c r="K273" t="str">
        <f t="shared" si="21"/>
        <v/>
      </c>
    </row>
    <row r="274" spans="3:11" x14ac:dyDescent="0.25">
      <c r="C274" t="s">
        <v>1864</v>
      </c>
      <c r="D274" t="s">
        <v>1864</v>
      </c>
      <c r="E274" t="s">
        <v>2136</v>
      </c>
      <c r="F274" t="s">
        <v>241</v>
      </c>
      <c r="G274" t="str">
        <f t="shared" si="22"/>
        <v>C</v>
      </c>
      <c r="H274" t="str">
        <f t="shared" si="23"/>
        <v>10</v>
      </c>
      <c r="I274" t="str">
        <f t="shared" si="24"/>
        <v>103</v>
      </c>
      <c r="J274" t="str">
        <f t="shared" si="25"/>
        <v>10325</v>
      </c>
      <c r="K274" t="str">
        <f t="shared" si="21"/>
        <v>1032501</v>
      </c>
    </row>
    <row r="275" spans="3:11" x14ac:dyDescent="0.25">
      <c r="C275" t="s">
        <v>1864</v>
      </c>
      <c r="D275" t="s">
        <v>1864</v>
      </c>
      <c r="E275" t="s">
        <v>2137</v>
      </c>
      <c r="F275" t="s">
        <v>242</v>
      </c>
      <c r="G275" t="str">
        <f t="shared" si="22"/>
        <v>C</v>
      </c>
      <c r="H275" t="str">
        <f t="shared" si="23"/>
        <v>10</v>
      </c>
      <c r="I275" t="str">
        <f t="shared" si="24"/>
        <v>103</v>
      </c>
      <c r="J275" t="str">
        <f t="shared" si="25"/>
        <v>10325</v>
      </c>
      <c r="K275" t="str">
        <f t="shared" si="21"/>
        <v>1032599</v>
      </c>
    </row>
    <row r="276" spans="3:11" x14ac:dyDescent="0.25">
      <c r="C276" t="s">
        <v>1864</v>
      </c>
      <c r="D276" t="s">
        <v>2138</v>
      </c>
      <c r="E276" t="s">
        <v>1864</v>
      </c>
      <c r="F276" t="s">
        <v>243</v>
      </c>
      <c r="G276" t="str">
        <f t="shared" si="22"/>
        <v>C</v>
      </c>
      <c r="H276" t="str">
        <f t="shared" si="23"/>
        <v>10</v>
      </c>
      <c r="I276" t="str">
        <f t="shared" si="24"/>
        <v>103</v>
      </c>
      <c r="J276" t="str">
        <f t="shared" si="25"/>
        <v>10333</v>
      </c>
      <c r="K276" t="str">
        <f t="shared" si="21"/>
        <v/>
      </c>
    </row>
    <row r="277" spans="3:11" x14ac:dyDescent="0.25">
      <c r="C277" t="s">
        <v>1864</v>
      </c>
      <c r="D277" t="s">
        <v>1864</v>
      </c>
      <c r="E277" t="s">
        <v>2139</v>
      </c>
      <c r="F277" t="s">
        <v>244</v>
      </c>
      <c r="G277" t="str">
        <f t="shared" si="22"/>
        <v>C</v>
      </c>
      <c r="H277" t="str">
        <f t="shared" si="23"/>
        <v>10</v>
      </c>
      <c r="I277" t="str">
        <f t="shared" si="24"/>
        <v>103</v>
      </c>
      <c r="J277" t="str">
        <f t="shared" si="25"/>
        <v>10333</v>
      </c>
      <c r="K277" t="str">
        <f t="shared" si="21"/>
        <v>1033301</v>
      </c>
    </row>
    <row r="278" spans="3:11" x14ac:dyDescent="0.25">
      <c r="C278" t="s">
        <v>1864</v>
      </c>
      <c r="D278" t="s">
        <v>1864</v>
      </c>
      <c r="E278" t="s">
        <v>2140</v>
      </c>
      <c r="F278" t="s">
        <v>245</v>
      </c>
      <c r="G278" t="str">
        <f t="shared" si="22"/>
        <v>C</v>
      </c>
      <c r="H278" t="str">
        <f t="shared" si="23"/>
        <v>10</v>
      </c>
      <c r="I278" t="str">
        <f t="shared" si="24"/>
        <v>103</v>
      </c>
      <c r="J278" t="str">
        <f t="shared" si="25"/>
        <v>10333</v>
      </c>
      <c r="K278" t="str">
        <f t="shared" si="21"/>
        <v>1033302</v>
      </c>
    </row>
    <row r="279" spans="3:11" x14ac:dyDescent="0.25">
      <c r="C279" t="s">
        <v>2141</v>
      </c>
      <c r="D279" t="s">
        <v>1864</v>
      </c>
      <c r="E279" t="s">
        <v>1864</v>
      </c>
      <c r="F279" t="s">
        <v>246</v>
      </c>
      <c r="G279" t="str">
        <f t="shared" si="22"/>
        <v>C</v>
      </c>
      <c r="H279" t="str">
        <f t="shared" si="23"/>
        <v>10</v>
      </c>
      <c r="I279" t="str">
        <f t="shared" si="24"/>
        <v>104</v>
      </c>
      <c r="J279" t="str">
        <f t="shared" si="25"/>
        <v>10333</v>
      </c>
      <c r="K279" t="str">
        <f t="shared" si="21"/>
        <v/>
      </c>
    </row>
    <row r="280" spans="3:11" x14ac:dyDescent="0.25">
      <c r="C280" t="s">
        <v>1864</v>
      </c>
      <c r="D280" t="s">
        <v>2142</v>
      </c>
      <c r="E280" t="s">
        <v>1864</v>
      </c>
      <c r="F280" t="s">
        <v>247</v>
      </c>
      <c r="G280" t="str">
        <f t="shared" si="22"/>
        <v>C</v>
      </c>
      <c r="H280" t="str">
        <f t="shared" si="23"/>
        <v>10</v>
      </c>
      <c r="I280" t="str">
        <f t="shared" si="24"/>
        <v>104</v>
      </c>
      <c r="J280" t="str">
        <f t="shared" si="25"/>
        <v>10414</v>
      </c>
      <c r="K280" t="str">
        <f t="shared" si="21"/>
        <v/>
      </c>
    </row>
    <row r="281" spans="3:11" x14ac:dyDescent="0.25">
      <c r="C281" t="s">
        <v>1864</v>
      </c>
      <c r="D281" t="s">
        <v>1864</v>
      </c>
      <c r="E281" t="s">
        <v>2143</v>
      </c>
      <c r="F281" t="s">
        <v>247</v>
      </c>
      <c r="G281" t="str">
        <f t="shared" si="22"/>
        <v>C</v>
      </c>
      <c r="H281" t="str">
        <f t="shared" si="23"/>
        <v>10</v>
      </c>
      <c r="I281" t="str">
        <f t="shared" si="24"/>
        <v>104</v>
      </c>
      <c r="J281" t="str">
        <f t="shared" si="25"/>
        <v>10414</v>
      </c>
      <c r="K281" t="str">
        <f t="shared" si="21"/>
        <v>1041400</v>
      </c>
    </row>
    <row r="282" spans="3:11" x14ac:dyDescent="0.25">
      <c r="C282" t="s">
        <v>1864</v>
      </c>
      <c r="D282" t="s">
        <v>2144</v>
      </c>
      <c r="E282" t="s">
        <v>1864</v>
      </c>
      <c r="F282" t="s">
        <v>248</v>
      </c>
      <c r="G282" t="str">
        <f t="shared" si="22"/>
        <v>C</v>
      </c>
      <c r="H282" t="str">
        <f t="shared" si="23"/>
        <v>10</v>
      </c>
      <c r="I282" t="str">
        <f t="shared" si="24"/>
        <v>104</v>
      </c>
      <c r="J282" t="str">
        <f t="shared" si="25"/>
        <v>10422</v>
      </c>
      <c r="K282" t="str">
        <f t="shared" si="21"/>
        <v/>
      </c>
    </row>
    <row r="283" spans="3:11" x14ac:dyDescent="0.25">
      <c r="C283" t="s">
        <v>1864</v>
      </c>
      <c r="D283" t="s">
        <v>1864</v>
      </c>
      <c r="E283" t="s">
        <v>2145</v>
      </c>
      <c r="F283" t="s">
        <v>248</v>
      </c>
      <c r="G283" t="str">
        <f t="shared" si="22"/>
        <v>C</v>
      </c>
      <c r="H283" t="str">
        <f t="shared" si="23"/>
        <v>10</v>
      </c>
      <c r="I283" t="str">
        <f t="shared" si="24"/>
        <v>104</v>
      </c>
      <c r="J283" t="str">
        <f t="shared" si="25"/>
        <v>10422</v>
      </c>
      <c r="K283" t="str">
        <f t="shared" si="21"/>
        <v>1042200</v>
      </c>
    </row>
    <row r="284" spans="3:11" x14ac:dyDescent="0.25">
      <c r="C284" t="s">
        <v>1864</v>
      </c>
      <c r="D284" t="s">
        <v>2146</v>
      </c>
      <c r="E284" t="s">
        <v>1864</v>
      </c>
      <c r="F284" t="s">
        <v>249</v>
      </c>
      <c r="G284" t="str">
        <f t="shared" si="22"/>
        <v>C</v>
      </c>
      <c r="H284" t="str">
        <f t="shared" si="23"/>
        <v>10</v>
      </c>
      <c r="I284" t="str">
        <f t="shared" si="24"/>
        <v>104</v>
      </c>
      <c r="J284" t="str">
        <f t="shared" si="25"/>
        <v>10431</v>
      </c>
      <c r="K284" t="str">
        <f t="shared" si="21"/>
        <v/>
      </c>
    </row>
    <row r="285" spans="3:11" x14ac:dyDescent="0.25">
      <c r="C285" t="s">
        <v>1864</v>
      </c>
      <c r="D285" t="s">
        <v>1864</v>
      </c>
      <c r="E285" t="s">
        <v>2147</v>
      </c>
      <c r="F285" t="s">
        <v>249</v>
      </c>
      <c r="G285" t="str">
        <f t="shared" si="22"/>
        <v>C</v>
      </c>
      <c r="H285" t="str">
        <f t="shared" si="23"/>
        <v>10</v>
      </c>
      <c r="I285" t="str">
        <f t="shared" si="24"/>
        <v>104</v>
      </c>
      <c r="J285" t="str">
        <f t="shared" si="25"/>
        <v>10431</v>
      </c>
      <c r="K285" t="str">
        <f t="shared" si="21"/>
        <v>1043100</v>
      </c>
    </row>
    <row r="286" spans="3:11" x14ac:dyDescent="0.25">
      <c r="C286" t="s">
        <v>2148</v>
      </c>
      <c r="D286" t="s">
        <v>1864</v>
      </c>
      <c r="E286" t="s">
        <v>1864</v>
      </c>
      <c r="F286" t="s">
        <v>250</v>
      </c>
      <c r="G286" t="str">
        <f t="shared" si="22"/>
        <v>C</v>
      </c>
      <c r="H286" t="str">
        <f t="shared" si="23"/>
        <v>10</v>
      </c>
      <c r="I286" t="str">
        <f t="shared" si="24"/>
        <v>105</v>
      </c>
      <c r="J286" t="str">
        <f t="shared" si="25"/>
        <v>10431</v>
      </c>
      <c r="K286" t="str">
        <f t="shared" si="21"/>
        <v/>
      </c>
    </row>
    <row r="287" spans="3:11" x14ac:dyDescent="0.25">
      <c r="C287" t="s">
        <v>1864</v>
      </c>
      <c r="D287" t="s">
        <v>2149</v>
      </c>
      <c r="E287" t="s">
        <v>1864</v>
      </c>
      <c r="F287" t="s">
        <v>251</v>
      </c>
      <c r="G287" t="str">
        <f t="shared" si="22"/>
        <v>C</v>
      </c>
      <c r="H287" t="str">
        <f t="shared" si="23"/>
        <v>10</v>
      </c>
      <c r="I287" t="str">
        <f t="shared" si="24"/>
        <v>105</v>
      </c>
      <c r="J287" t="str">
        <f t="shared" si="25"/>
        <v>10511</v>
      </c>
      <c r="K287" t="str">
        <f t="shared" si="21"/>
        <v/>
      </c>
    </row>
    <row r="288" spans="3:11" x14ac:dyDescent="0.25">
      <c r="C288" t="s">
        <v>1864</v>
      </c>
      <c r="D288" t="s">
        <v>1864</v>
      </c>
      <c r="E288" t="s">
        <v>2150</v>
      </c>
      <c r="F288" t="s">
        <v>251</v>
      </c>
      <c r="G288" t="str">
        <f t="shared" si="22"/>
        <v>C</v>
      </c>
      <c r="H288" t="str">
        <f t="shared" si="23"/>
        <v>10</v>
      </c>
      <c r="I288" t="str">
        <f t="shared" si="24"/>
        <v>105</v>
      </c>
      <c r="J288" t="str">
        <f t="shared" si="25"/>
        <v>10511</v>
      </c>
      <c r="K288" t="str">
        <f t="shared" si="21"/>
        <v>1051100</v>
      </c>
    </row>
    <row r="289" spans="3:11" x14ac:dyDescent="0.25">
      <c r="C289" t="s">
        <v>1864</v>
      </c>
      <c r="D289" t="s">
        <v>2151</v>
      </c>
      <c r="E289" t="s">
        <v>1864</v>
      </c>
      <c r="F289" t="s">
        <v>252</v>
      </c>
      <c r="G289" t="str">
        <f t="shared" si="22"/>
        <v>C</v>
      </c>
      <c r="H289" t="str">
        <f t="shared" si="23"/>
        <v>10</v>
      </c>
      <c r="I289" t="str">
        <f t="shared" si="24"/>
        <v>105</v>
      </c>
      <c r="J289" t="str">
        <f t="shared" si="25"/>
        <v>10520</v>
      </c>
      <c r="K289" t="str">
        <f t="shared" si="21"/>
        <v/>
      </c>
    </row>
    <row r="290" spans="3:11" x14ac:dyDescent="0.25">
      <c r="C290" t="s">
        <v>1864</v>
      </c>
      <c r="D290" t="s">
        <v>1864</v>
      </c>
      <c r="E290" t="s">
        <v>2152</v>
      </c>
      <c r="F290" t="s">
        <v>252</v>
      </c>
      <c r="G290" t="str">
        <f t="shared" si="22"/>
        <v>C</v>
      </c>
      <c r="H290" t="str">
        <f t="shared" si="23"/>
        <v>10</v>
      </c>
      <c r="I290" t="str">
        <f t="shared" si="24"/>
        <v>105</v>
      </c>
      <c r="J290" t="str">
        <f t="shared" si="25"/>
        <v>10520</v>
      </c>
      <c r="K290" t="str">
        <f t="shared" si="21"/>
        <v>1052000</v>
      </c>
    </row>
    <row r="291" spans="3:11" x14ac:dyDescent="0.25">
      <c r="C291" t="s">
        <v>1864</v>
      </c>
      <c r="D291" t="s">
        <v>2153</v>
      </c>
      <c r="E291" t="s">
        <v>1864</v>
      </c>
      <c r="F291" t="s">
        <v>253</v>
      </c>
      <c r="G291" t="str">
        <f t="shared" si="22"/>
        <v>C</v>
      </c>
      <c r="H291" t="str">
        <f t="shared" si="23"/>
        <v>10</v>
      </c>
      <c r="I291" t="str">
        <f t="shared" si="24"/>
        <v>105</v>
      </c>
      <c r="J291" t="str">
        <f t="shared" si="25"/>
        <v>10538</v>
      </c>
      <c r="K291" t="str">
        <f t="shared" si="21"/>
        <v/>
      </c>
    </row>
    <row r="292" spans="3:11" x14ac:dyDescent="0.25">
      <c r="C292" t="s">
        <v>1864</v>
      </c>
      <c r="D292" t="s">
        <v>1864</v>
      </c>
      <c r="E292" t="s">
        <v>2154</v>
      </c>
      <c r="F292" t="s">
        <v>253</v>
      </c>
      <c r="G292" t="str">
        <f t="shared" si="22"/>
        <v>C</v>
      </c>
      <c r="H292" t="str">
        <f t="shared" si="23"/>
        <v>10</v>
      </c>
      <c r="I292" t="str">
        <f t="shared" si="24"/>
        <v>105</v>
      </c>
      <c r="J292" t="str">
        <f t="shared" si="25"/>
        <v>10538</v>
      </c>
      <c r="K292" t="str">
        <f t="shared" si="21"/>
        <v>1053800</v>
      </c>
    </row>
    <row r="293" spans="3:11" x14ac:dyDescent="0.25">
      <c r="C293" t="s">
        <v>2155</v>
      </c>
      <c r="D293" t="s">
        <v>1864</v>
      </c>
      <c r="E293" t="s">
        <v>1864</v>
      </c>
      <c r="F293" t="s">
        <v>254</v>
      </c>
      <c r="G293" t="str">
        <f t="shared" si="22"/>
        <v>C</v>
      </c>
      <c r="H293" t="str">
        <f t="shared" si="23"/>
        <v>10</v>
      </c>
      <c r="I293" t="str">
        <f t="shared" si="24"/>
        <v>106</v>
      </c>
      <c r="J293" t="str">
        <f t="shared" si="25"/>
        <v>10538</v>
      </c>
      <c r="K293" t="str">
        <f t="shared" si="21"/>
        <v/>
      </c>
    </row>
    <row r="294" spans="3:11" x14ac:dyDescent="0.25">
      <c r="C294" t="s">
        <v>1864</v>
      </c>
      <c r="D294" t="s">
        <v>2156</v>
      </c>
      <c r="E294" t="s">
        <v>1864</v>
      </c>
      <c r="F294" t="s">
        <v>255</v>
      </c>
      <c r="G294" t="str">
        <f t="shared" si="22"/>
        <v>C</v>
      </c>
      <c r="H294" t="str">
        <f t="shared" si="23"/>
        <v>10</v>
      </c>
      <c r="I294" t="str">
        <f t="shared" si="24"/>
        <v>106</v>
      </c>
      <c r="J294" t="str">
        <f t="shared" si="25"/>
        <v>10619</v>
      </c>
      <c r="K294" t="str">
        <f t="shared" si="21"/>
        <v/>
      </c>
    </row>
    <row r="295" spans="3:11" x14ac:dyDescent="0.25">
      <c r="C295" t="s">
        <v>1864</v>
      </c>
      <c r="D295" t="s">
        <v>1864</v>
      </c>
      <c r="E295" t="s">
        <v>2157</v>
      </c>
      <c r="F295" t="s">
        <v>256</v>
      </c>
      <c r="G295" t="str">
        <f t="shared" si="22"/>
        <v>C</v>
      </c>
      <c r="H295" t="str">
        <f t="shared" si="23"/>
        <v>10</v>
      </c>
      <c r="I295" t="str">
        <f t="shared" si="24"/>
        <v>106</v>
      </c>
      <c r="J295" t="str">
        <f t="shared" si="25"/>
        <v>10619</v>
      </c>
      <c r="K295" t="str">
        <f t="shared" si="21"/>
        <v>1061901</v>
      </c>
    </row>
    <row r="296" spans="3:11" x14ac:dyDescent="0.25">
      <c r="C296" t="s">
        <v>1864</v>
      </c>
      <c r="D296" t="s">
        <v>1864</v>
      </c>
      <c r="E296" t="s">
        <v>2158</v>
      </c>
      <c r="F296" t="s">
        <v>257</v>
      </c>
      <c r="G296" t="str">
        <f t="shared" si="22"/>
        <v>C</v>
      </c>
      <c r="H296" t="str">
        <f t="shared" si="23"/>
        <v>10</v>
      </c>
      <c r="I296" t="str">
        <f t="shared" si="24"/>
        <v>106</v>
      </c>
      <c r="J296" t="str">
        <f t="shared" si="25"/>
        <v>10619</v>
      </c>
      <c r="K296" t="str">
        <f t="shared" si="21"/>
        <v>1061902</v>
      </c>
    </row>
    <row r="297" spans="3:11" x14ac:dyDescent="0.25">
      <c r="C297" t="s">
        <v>1864</v>
      </c>
      <c r="D297" t="s">
        <v>2159</v>
      </c>
      <c r="E297" t="s">
        <v>1864</v>
      </c>
      <c r="F297" t="s">
        <v>258</v>
      </c>
      <c r="G297" t="str">
        <f t="shared" si="22"/>
        <v>C</v>
      </c>
      <c r="H297" t="str">
        <f t="shared" si="23"/>
        <v>10</v>
      </c>
      <c r="I297" t="str">
        <f t="shared" si="24"/>
        <v>106</v>
      </c>
      <c r="J297" t="str">
        <f t="shared" si="25"/>
        <v>10627</v>
      </c>
      <c r="K297" t="str">
        <f t="shared" si="21"/>
        <v/>
      </c>
    </row>
    <row r="298" spans="3:11" x14ac:dyDescent="0.25">
      <c r="C298" t="s">
        <v>1864</v>
      </c>
      <c r="D298" t="s">
        <v>1864</v>
      </c>
      <c r="E298" t="s">
        <v>2160</v>
      </c>
      <c r="F298" t="s">
        <v>258</v>
      </c>
      <c r="G298" t="str">
        <f t="shared" si="22"/>
        <v>C</v>
      </c>
      <c r="H298" t="str">
        <f t="shared" si="23"/>
        <v>10</v>
      </c>
      <c r="I298" t="str">
        <f t="shared" si="24"/>
        <v>106</v>
      </c>
      <c r="J298" t="str">
        <f t="shared" si="25"/>
        <v>10627</v>
      </c>
      <c r="K298" t="str">
        <f t="shared" si="21"/>
        <v>1062700</v>
      </c>
    </row>
    <row r="299" spans="3:11" x14ac:dyDescent="0.25">
      <c r="C299" t="s">
        <v>1864</v>
      </c>
      <c r="D299" t="s">
        <v>2161</v>
      </c>
      <c r="E299" t="s">
        <v>1864</v>
      </c>
      <c r="F299" t="s">
        <v>259</v>
      </c>
      <c r="G299" t="str">
        <f t="shared" si="22"/>
        <v>C</v>
      </c>
      <c r="H299" t="str">
        <f t="shared" si="23"/>
        <v>10</v>
      </c>
      <c r="I299" t="str">
        <f t="shared" si="24"/>
        <v>106</v>
      </c>
      <c r="J299" t="str">
        <f t="shared" si="25"/>
        <v>10635</v>
      </c>
      <c r="K299" t="str">
        <f t="shared" si="21"/>
        <v/>
      </c>
    </row>
    <row r="300" spans="3:11" x14ac:dyDescent="0.25">
      <c r="C300" t="s">
        <v>1864</v>
      </c>
      <c r="D300" t="s">
        <v>1864</v>
      </c>
      <c r="E300" t="s">
        <v>2162</v>
      </c>
      <c r="F300" t="s">
        <v>259</v>
      </c>
      <c r="G300" t="str">
        <f t="shared" si="22"/>
        <v>C</v>
      </c>
      <c r="H300" t="str">
        <f t="shared" si="23"/>
        <v>10</v>
      </c>
      <c r="I300" t="str">
        <f t="shared" si="24"/>
        <v>106</v>
      </c>
      <c r="J300" t="str">
        <f t="shared" si="25"/>
        <v>10635</v>
      </c>
      <c r="K300" t="str">
        <f t="shared" si="21"/>
        <v>1063500</v>
      </c>
    </row>
    <row r="301" spans="3:11" x14ac:dyDescent="0.25">
      <c r="C301" t="s">
        <v>1864</v>
      </c>
      <c r="D301" t="s">
        <v>2163</v>
      </c>
      <c r="E301" t="s">
        <v>1864</v>
      </c>
      <c r="F301" t="s">
        <v>260</v>
      </c>
      <c r="G301" t="str">
        <f t="shared" si="22"/>
        <v>C</v>
      </c>
      <c r="H301" t="str">
        <f t="shared" si="23"/>
        <v>10</v>
      </c>
      <c r="I301" t="str">
        <f t="shared" si="24"/>
        <v>106</v>
      </c>
      <c r="J301" t="str">
        <f t="shared" si="25"/>
        <v>10643</v>
      </c>
      <c r="K301" t="str">
        <f t="shared" si="21"/>
        <v/>
      </c>
    </row>
    <row r="302" spans="3:11" x14ac:dyDescent="0.25">
      <c r="C302" t="s">
        <v>1864</v>
      </c>
      <c r="D302" t="s">
        <v>1864</v>
      </c>
      <c r="E302" t="s">
        <v>2164</v>
      </c>
      <c r="F302" t="s">
        <v>260</v>
      </c>
      <c r="G302" t="str">
        <f t="shared" si="22"/>
        <v>C</v>
      </c>
      <c r="H302" t="str">
        <f t="shared" si="23"/>
        <v>10</v>
      </c>
      <c r="I302" t="str">
        <f t="shared" si="24"/>
        <v>106</v>
      </c>
      <c r="J302" t="str">
        <f t="shared" si="25"/>
        <v>10643</v>
      </c>
      <c r="K302" t="str">
        <f t="shared" si="21"/>
        <v>1064300</v>
      </c>
    </row>
    <row r="303" spans="3:11" x14ac:dyDescent="0.25">
      <c r="C303" t="s">
        <v>1864</v>
      </c>
      <c r="D303" t="s">
        <v>2165</v>
      </c>
      <c r="E303" t="s">
        <v>1864</v>
      </c>
      <c r="F303" t="s">
        <v>261</v>
      </c>
      <c r="G303" t="str">
        <f t="shared" si="22"/>
        <v>C</v>
      </c>
      <c r="H303" t="str">
        <f t="shared" si="23"/>
        <v>10</v>
      </c>
      <c r="I303" t="str">
        <f t="shared" si="24"/>
        <v>106</v>
      </c>
      <c r="J303" t="str">
        <f t="shared" si="25"/>
        <v>10651</v>
      </c>
      <c r="K303" t="str">
        <f t="shared" si="21"/>
        <v/>
      </c>
    </row>
    <row r="304" spans="3:11" x14ac:dyDescent="0.25">
      <c r="C304" t="s">
        <v>1864</v>
      </c>
      <c r="D304" t="s">
        <v>1864</v>
      </c>
      <c r="E304" t="s">
        <v>2166</v>
      </c>
      <c r="F304" t="s">
        <v>262</v>
      </c>
      <c r="G304" t="str">
        <f t="shared" si="22"/>
        <v>C</v>
      </c>
      <c r="H304" t="str">
        <f t="shared" si="23"/>
        <v>10</v>
      </c>
      <c r="I304" t="str">
        <f t="shared" si="24"/>
        <v>106</v>
      </c>
      <c r="J304" t="str">
        <f t="shared" si="25"/>
        <v>10651</v>
      </c>
      <c r="K304" t="str">
        <f t="shared" si="21"/>
        <v>1065101</v>
      </c>
    </row>
    <row r="305" spans="3:11" x14ac:dyDescent="0.25">
      <c r="C305" t="s">
        <v>1864</v>
      </c>
      <c r="D305" t="s">
        <v>1864</v>
      </c>
      <c r="E305" t="s">
        <v>2167</v>
      </c>
      <c r="F305" t="s">
        <v>263</v>
      </c>
      <c r="G305" t="str">
        <f t="shared" si="22"/>
        <v>C</v>
      </c>
      <c r="H305" t="str">
        <f t="shared" si="23"/>
        <v>10</v>
      </c>
      <c r="I305" t="str">
        <f t="shared" si="24"/>
        <v>106</v>
      </c>
      <c r="J305" t="str">
        <f t="shared" si="25"/>
        <v>10651</v>
      </c>
      <c r="K305" t="str">
        <f t="shared" si="21"/>
        <v>1065102</v>
      </c>
    </row>
    <row r="306" spans="3:11" x14ac:dyDescent="0.25">
      <c r="C306" t="s">
        <v>1864</v>
      </c>
      <c r="D306" t="s">
        <v>1864</v>
      </c>
      <c r="E306" t="s">
        <v>2168</v>
      </c>
      <c r="F306" t="s">
        <v>264</v>
      </c>
      <c r="G306" t="str">
        <f t="shared" si="22"/>
        <v>C</v>
      </c>
      <c r="H306" t="str">
        <f t="shared" si="23"/>
        <v>10</v>
      </c>
      <c r="I306" t="str">
        <f t="shared" si="24"/>
        <v>106</v>
      </c>
      <c r="J306" t="str">
        <f t="shared" si="25"/>
        <v>10651</v>
      </c>
      <c r="K306" t="str">
        <f t="shared" si="21"/>
        <v>1065103</v>
      </c>
    </row>
    <row r="307" spans="3:11" x14ac:dyDescent="0.25">
      <c r="C307" t="s">
        <v>1864</v>
      </c>
      <c r="D307" t="s">
        <v>2169</v>
      </c>
      <c r="E307" t="s">
        <v>1864</v>
      </c>
      <c r="F307" t="s">
        <v>265</v>
      </c>
      <c r="G307" t="str">
        <f t="shared" si="22"/>
        <v>C</v>
      </c>
      <c r="H307" t="str">
        <f t="shared" si="23"/>
        <v>10</v>
      </c>
      <c r="I307" t="str">
        <f t="shared" si="24"/>
        <v>106</v>
      </c>
      <c r="J307" t="str">
        <f t="shared" si="25"/>
        <v>10660</v>
      </c>
      <c r="K307" t="str">
        <f t="shared" si="21"/>
        <v/>
      </c>
    </row>
    <row r="308" spans="3:11" x14ac:dyDescent="0.25">
      <c r="C308" t="s">
        <v>1864</v>
      </c>
      <c r="D308" t="s">
        <v>1864</v>
      </c>
      <c r="E308" t="s">
        <v>2170</v>
      </c>
      <c r="F308" t="s">
        <v>265</v>
      </c>
      <c r="G308" t="str">
        <f t="shared" si="22"/>
        <v>C</v>
      </c>
      <c r="H308" t="str">
        <f t="shared" si="23"/>
        <v>10</v>
      </c>
      <c r="I308" t="str">
        <f t="shared" si="24"/>
        <v>106</v>
      </c>
      <c r="J308" t="str">
        <f t="shared" si="25"/>
        <v>10660</v>
      </c>
      <c r="K308" t="str">
        <f t="shared" si="21"/>
        <v>1066000</v>
      </c>
    </row>
    <row r="309" spans="3:11" x14ac:dyDescent="0.25">
      <c r="C309" t="s">
        <v>1864</v>
      </c>
      <c r="D309" t="s">
        <v>2171</v>
      </c>
      <c r="E309" t="s">
        <v>1864</v>
      </c>
      <c r="F309" t="s">
        <v>266</v>
      </c>
      <c r="G309" t="str">
        <f t="shared" si="22"/>
        <v>C</v>
      </c>
      <c r="H309" t="str">
        <f t="shared" si="23"/>
        <v>10</v>
      </c>
      <c r="I309" t="str">
        <f t="shared" si="24"/>
        <v>106</v>
      </c>
      <c r="J309" t="str">
        <f t="shared" si="25"/>
        <v>10694</v>
      </c>
      <c r="K309" t="str">
        <f t="shared" si="21"/>
        <v/>
      </c>
    </row>
    <row r="310" spans="3:11" x14ac:dyDescent="0.25">
      <c r="C310" t="s">
        <v>1864</v>
      </c>
      <c r="D310" t="s">
        <v>1864</v>
      </c>
      <c r="E310" t="s">
        <v>2172</v>
      </c>
      <c r="F310" t="s">
        <v>266</v>
      </c>
      <c r="G310" t="str">
        <f t="shared" si="22"/>
        <v>C</v>
      </c>
      <c r="H310" t="str">
        <f t="shared" si="23"/>
        <v>10</v>
      </c>
      <c r="I310" t="str">
        <f t="shared" si="24"/>
        <v>106</v>
      </c>
      <c r="J310" t="str">
        <f t="shared" si="25"/>
        <v>10694</v>
      </c>
      <c r="K310" t="str">
        <f t="shared" si="21"/>
        <v>1069400</v>
      </c>
    </row>
    <row r="311" spans="3:11" x14ac:dyDescent="0.25">
      <c r="C311" t="s">
        <v>2173</v>
      </c>
      <c r="D311" t="s">
        <v>1864</v>
      </c>
      <c r="E311" t="s">
        <v>1864</v>
      </c>
      <c r="F311" t="s">
        <v>267</v>
      </c>
      <c r="G311" t="str">
        <f t="shared" si="22"/>
        <v>C</v>
      </c>
      <c r="H311" t="str">
        <f t="shared" si="23"/>
        <v>10</v>
      </c>
      <c r="I311" t="str">
        <f t="shared" si="24"/>
        <v>107</v>
      </c>
      <c r="J311" t="str">
        <f t="shared" si="25"/>
        <v>10694</v>
      </c>
      <c r="K311" t="str">
        <f t="shared" si="21"/>
        <v/>
      </c>
    </row>
    <row r="312" spans="3:11" x14ac:dyDescent="0.25">
      <c r="C312" t="s">
        <v>1864</v>
      </c>
      <c r="D312" t="s">
        <v>2174</v>
      </c>
      <c r="E312" t="s">
        <v>1864</v>
      </c>
      <c r="F312" t="s">
        <v>268</v>
      </c>
      <c r="G312" t="str">
        <f t="shared" si="22"/>
        <v>C</v>
      </c>
      <c r="H312" t="str">
        <f t="shared" si="23"/>
        <v>10</v>
      </c>
      <c r="I312" t="str">
        <f t="shared" si="24"/>
        <v>107</v>
      </c>
      <c r="J312" t="str">
        <f t="shared" si="25"/>
        <v>10716</v>
      </c>
      <c r="K312" t="str">
        <f t="shared" si="21"/>
        <v/>
      </c>
    </row>
    <row r="313" spans="3:11" x14ac:dyDescent="0.25">
      <c r="C313" t="s">
        <v>1864</v>
      </c>
      <c r="D313" t="s">
        <v>1864</v>
      </c>
      <c r="E313" t="s">
        <v>2175</v>
      </c>
      <c r="F313" t="s">
        <v>268</v>
      </c>
      <c r="G313" t="str">
        <f t="shared" si="22"/>
        <v>C</v>
      </c>
      <c r="H313" t="str">
        <f t="shared" si="23"/>
        <v>10</v>
      </c>
      <c r="I313" t="str">
        <f t="shared" si="24"/>
        <v>107</v>
      </c>
      <c r="J313" t="str">
        <f t="shared" si="25"/>
        <v>10716</v>
      </c>
      <c r="K313" t="str">
        <f t="shared" si="21"/>
        <v>1071600</v>
      </c>
    </row>
    <row r="314" spans="3:11" x14ac:dyDescent="0.25">
      <c r="C314" t="s">
        <v>1864</v>
      </c>
      <c r="D314" t="s">
        <v>2176</v>
      </c>
      <c r="E314" t="s">
        <v>1864</v>
      </c>
      <c r="F314" t="s">
        <v>269</v>
      </c>
      <c r="G314" t="str">
        <f t="shared" si="22"/>
        <v>C</v>
      </c>
      <c r="H314" t="str">
        <f t="shared" si="23"/>
        <v>10</v>
      </c>
      <c r="I314" t="str">
        <f t="shared" si="24"/>
        <v>107</v>
      </c>
      <c r="J314" t="str">
        <f t="shared" si="25"/>
        <v>10724</v>
      </c>
      <c r="K314" t="str">
        <f t="shared" si="21"/>
        <v/>
      </c>
    </row>
    <row r="315" spans="3:11" x14ac:dyDescent="0.25">
      <c r="C315" t="s">
        <v>1864</v>
      </c>
      <c r="D315" t="s">
        <v>1864</v>
      </c>
      <c r="E315" t="s">
        <v>2177</v>
      </c>
      <c r="F315" t="s">
        <v>270</v>
      </c>
      <c r="G315" t="str">
        <f t="shared" si="22"/>
        <v>C</v>
      </c>
      <c r="H315" t="str">
        <f t="shared" si="23"/>
        <v>10</v>
      </c>
      <c r="I315" t="str">
        <f t="shared" si="24"/>
        <v>107</v>
      </c>
      <c r="J315" t="str">
        <f t="shared" si="25"/>
        <v>10724</v>
      </c>
      <c r="K315" t="str">
        <f t="shared" si="21"/>
        <v>1072401</v>
      </c>
    </row>
    <row r="316" spans="3:11" x14ac:dyDescent="0.25">
      <c r="C316" t="s">
        <v>1864</v>
      </c>
      <c r="D316" t="s">
        <v>1864</v>
      </c>
      <c r="E316" t="s">
        <v>2178</v>
      </c>
      <c r="F316" t="s">
        <v>271</v>
      </c>
      <c r="G316" t="str">
        <f t="shared" si="22"/>
        <v>C</v>
      </c>
      <c r="H316" t="str">
        <f t="shared" si="23"/>
        <v>10</v>
      </c>
      <c r="I316" t="str">
        <f t="shared" si="24"/>
        <v>107</v>
      </c>
      <c r="J316" t="str">
        <f t="shared" si="25"/>
        <v>10724</v>
      </c>
      <c r="K316" t="str">
        <f t="shared" si="21"/>
        <v>1072402</v>
      </c>
    </row>
    <row r="317" spans="3:11" x14ac:dyDescent="0.25">
      <c r="C317" t="s">
        <v>2179</v>
      </c>
      <c r="D317" t="s">
        <v>1864</v>
      </c>
      <c r="E317" t="s">
        <v>1864</v>
      </c>
      <c r="F317" t="s">
        <v>272</v>
      </c>
      <c r="G317" t="str">
        <f t="shared" si="22"/>
        <v>C</v>
      </c>
      <c r="H317" t="str">
        <f t="shared" si="23"/>
        <v>10</v>
      </c>
      <c r="I317" t="str">
        <f t="shared" si="24"/>
        <v>108</v>
      </c>
      <c r="J317" t="str">
        <f t="shared" si="25"/>
        <v>10724</v>
      </c>
      <c r="K317" t="str">
        <f t="shared" si="21"/>
        <v/>
      </c>
    </row>
    <row r="318" spans="3:11" x14ac:dyDescent="0.25">
      <c r="C318" t="s">
        <v>1864</v>
      </c>
      <c r="D318" t="s">
        <v>2180</v>
      </c>
      <c r="E318" t="s">
        <v>1864</v>
      </c>
      <c r="F318" t="s">
        <v>272</v>
      </c>
      <c r="G318" t="str">
        <f t="shared" si="22"/>
        <v>C</v>
      </c>
      <c r="H318" t="str">
        <f t="shared" si="23"/>
        <v>10</v>
      </c>
      <c r="I318" t="str">
        <f t="shared" si="24"/>
        <v>108</v>
      </c>
      <c r="J318" t="str">
        <f t="shared" si="25"/>
        <v>10813</v>
      </c>
      <c r="K318" t="str">
        <f t="shared" si="21"/>
        <v/>
      </c>
    </row>
    <row r="319" spans="3:11" x14ac:dyDescent="0.25">
      <c r="C319" t="s">
        <v>1864</v>
      </c>
      <c r="D319" t="s">
        <v>1864</v>
      </c>
      <c r="E319" t="s">
        <v>2181</v>
      </c>
      <c r="F319" t="s">
        <v>273</v>
      </c>
      <c r="G319" t="str">
        <f t="shared" si="22"/>
        <v>C</v>
      </c>
      <c r="H319" t="str">
        <f t="shared" si="23"/>
        <v>10</v>
      </c>
      <c r="I319" t="str">
        <f t="shared" si="24"/>
        <v>108</v>
      </c>
      <c r="J319" t="str">
        <f t="shared" si="25"/>
        <v>10813</v>
      </c>
      <c r="K319" t="str">
        <f t="shared" si="21"/>
        <v>1081301</v>
      </c>
    </row>
    <row r="320" spans="3:11" x14ac:dyDescent="0.25">
      <c r="C320" t="s">
        <v>1864</v>
      </c>
      <c r="D320" t="s">
        <v>1864</v>
      </c>
      <c r="E320" t="s">
        <v>2182</v>
      </c>
      <c r="F320" t="s">
        <v>272</v>
      </c>
      <c r="G320" t="str">
        <f t="shared" si="22"/>
        <v>C</v>
      </c>
      <c r="H320" t="str">
        <f t="shared" si="23"/>
        <v>10</v>
      </c>
      <c r="I320" t="str">
        <f t="shared" si="24"/>
        <v>108</v>
      </c>
      <c r="J320" t="str">
        <f t="shared" si="25"/>
        <v>10813</v>
      </c>
      <c r="K320" t="str">
        <f t="shared" si="21"/>
        <v>1081302</v>
      </c>
    </row>
    <row r="321" spans="3:11" x14ac:dyDescent="0.25">
      <c r="C321" t="s">
        <v>1864</v>
      </c>
      <c r="D321" t="s">
        <v>2183</v>
      </c>
      <c r="E321" t="s">
        <v>1864</v>
      </c>
      <c r="F321" t="s">
        <v>274</v>
      </c>
      <c r="G321" t="str">
        <f t="shared" si="22"/>
        <v>C</v>
      </c>
      <c r="H321" t="str">
        <f t="shared" si="23"/>
        <v>10</v>
      </c>
      <c r="I321" t="str">
        <f t="shared" si="24"/>
        <v>108</v>
      </c>
      <c r="J321" t="str">
        <f t="shared" si="25"/>
        <v>10821</v>
      </c>
      <c r="K321" t="str">
        <f t="shared" si="21"/>
        <v/>
      </c>
    </row>
    <row r="322" spans="3:11" x14ac:dyDescent="0.25">
      <c r="C322" t="s">
        <v>1864</v>
      </c>
      <c r="D322" t="s">
        <v>1864</v>
      </c>
      <c r="E322" t="s">
        <v>2184</v>
      </c>
      <c r="F322" t="s">
        <v>274</v>
      </c>
      <c r="G322" t="str">
        <f t="shared" si="22"/>
        <v>C</v>
      </c>
      <c r="H322" t="str">
        <f t="shared" si="23"/>
        <v>10</v>
      </c>
      <c r="I322" t="str">
        <f t="shared" si="24"/>
        <v>108</v>
      </c>
      <c r="J322" t="str">
        <f t="shared" si="25"/>
        <v>10821</v>
      </c>
      <c r="K322" t="str">
        <f t="shared" si="21"/>
        <v>1082100</v>
      </c>
    </row>
    <row r="323" spans="3:11" x14ac:dyDescent="0.25">
      <c r="C323" t="s">
        <v>2185</v>
      </c>
      <c r="D323" t="s">
        <v>1864</v>
      </c>
      <c r="E323" t="s">
        <v>1864</v>
      </c>
      <c r="F323" t="s">
        <v>275</v>
      </c>
      <c r="G323" t="str">
        <f t="shared" si="22"/>
        <v>C</v>
      </c>
      <c r="H323" t="str">
        <f t="shared" si="23"/>
        <v>10</v>
      </c>
      <c r="I323" t="str">
        <f t="shared" si="24"/>
        <v>109</v>
      </c>
      <c r="J323" t="str">
        <f t="shared" si="25"/>
        <v>10821</v>
      </c>
      <c r="K323" t="str">
        <f t="shared" si="21"/>
        <v/>
      </c>
    </row>
    <row r="324" spans="3:11" x14ac:dyDescent="0.25">
      <c r="C324" t="s">
        <v>1864</v>
      </c>
      <c r="D324" t="s">
        <v>2186</v>
      </c>
      <c r="E324" t="s">
        <v>1864</v>
      </c>
      <c r="F324" t="s">
        <v>276</v>
      </c>
      <c r="G324" t="str">
        <f t="shared" si="22"/>
        <v>C</v>
      </c>
      <c r="H324" t="str">
        <f t="shared" si="23"/>
        <v>10</v>
      </c>
      <c r="I324" t="str">
        <f t="shared" si="24"/>
        <v>109</v>
      </c>
      <c r="J324" t="str">
        <f t="shared" si="25"/>
        <v>10911</v>
      </c>
      <c r="K324" t="str">
        <f t="shared" si="21"/>
        <v/>
      </c>
    </row>
    <row r="325" spans="3:11" x14ac:dyDescent="0.25">
      <c r="C325" t="s">
        <v>1864</v>
      </c>
      <c r="D325" t="s">
        <v>1864</v>
      </c>
      <c r="E325" t="s">
        <v>2187</v>
      </c>
      <c r="F325" t="s">
        <v>277</v>
      </c>
      <c r="G325" t="str">
        <f t="shared" si="22"/>
        <v>C</v>
      </c>
      <c r="H325" t="str">
        <f t="shared" si="23"/>
        <v>10</v>
      </c>
      <c r="I325" t="str">
        <f t="shared" si="24"/>
        <v>109</v>
      </c>
      <c r="J325" t="str">
        <f t="shared" si="25"/>
        <v>10911</v>
      </c>
      <c r="K325" t="str">
        <f t="shared" si="21"/>
        <v>1091101</v>
      </c>
    </row>
    <row r="326" spans="3:11" x14ac:dyDescent="0.25">
      <c r="C326" t="s">
        <v>1864</v>
      </c>
      <c r="D326" t="s">
        <v>1864</v>
      </c>
      <c r="E326" t="s">
        <v>2188</v>
      </c>
      <c r="F326" t="s">
        <v>278</v>
      </c>
      <c r="G326" t="str">
        <f t="shared" si="22"/>
        <v>C</v>
      </c>
      <c r="H326" t="str">
        <f t="shared" si="23"/>
        <v>10</v>
      </c>
      <c r="I326" t="str">
        <f t="shared" si="24"/>
        <v>109</v>
      </c>
      <c r="J326" t="str">
        <f t="shared" si="25"/>
        <v>10911</v>
      </c>
      <c r="K326" t="str">
        <f t="shared" si="21"/>
        <v>1091102</v>
      </c>
    </row>
    <row r="327" spans="3:11" x14ac:dyDescent="0.25">
      <c r="C327" t="s">
        <v>1864</v>
      </c>
      <c r="D327" t="s">
        <v>2189</v>
      </c>
      <c r="E327" t="s">
        <v>1864</v>
      </c>
      <c r="F327" t="s">
        <v>279</v>
      </c>
      <c r="G327" t="str">
        <f t="shared" si="22"/>
        <v>C</v>
      </c>
      <c r="H327" t="str">
        <f t="shared" si="23"/>
        <v>10</v>
      </c>
      <c r="I327" t="str">
        <f t="shared" si="24"/>
        <v>109</v>
      </c>
      <c r="J327" t="str">
        <f t="shared" si="25"/>
        <v>10929</v>
      </c>
      <c r="K327" t="str">
        <f t="shared" si="21"/>
        <v/>
      </c>
    </row>
    <row r="328" spans="3:11" x14ac:dyDescent="0.25">
      <c r="C328" t="s">
        <v>1864</v>
      </c>
      <c r="D328" t="s">
        <v>1864</v>
      </c>
      <c r="E328" t="s">
        <v>2190</v>
      </c>
      <c r="F328" t="s">
        <v>279</v>
      </c>
      <c r="G328" t="str">
        <f t="shared" si="22"/>
        <v>C</v>
      </c>
      <c r="H328" t="str">
        <f t="shared" si="23"/>
        <v>10</v>
      </c>
      <c r="I328" t="str">
        <f t="shared" si="24"/>
        <v>109</v>
      </c>
      <c r="J328" t="str">
        <f t="shared" si="25"/>
        <v>10929</v>
      </c>
      <c r="K328" t="str">
        <f t="shared" ref="K328:K391" si="26">E328</f>
        <v>1092900</v>
      </c>
    </row>
    <row r="329" spans="3:11" x14ac:dyDescent="0.25">
      <c r="C329" t="s">
        <v>1864</v>
      </c>
      <c r="D329" t="s">
        <v>2191</v>
      </c>
      <c r="E329" t="s">
        <v>1864</v>
      </c>
      <c r="F329" t="s">
        <v>280</v>
      </c>
      <c r="G329" t="str">
        <f t="shared" ref="G329:G392" si="27">IF(A329="",G328,A329)</f>
        <v>C</v>
      </c>
      <c r="H329" t="str">
        <f t="shared" ref="H329:H392" si="28">IF(B329="",H328,B329)</f>
        <v>10</v>
      </c>
      <c r="I329" t="str">
        <f t="shared" ref="I329:I392" si="29">IF(C329="",I328,C329)</f>
        <v>109</v>
      </c>
      <c r="J329" t="str">
        <f t="shared" ref="J329:J392" si="30">IF(D329="",J328,D329)</f>
        <v>10937</v>
      </c>
      <c r="K329" t="str">
        <f t="shared" si="26"/>
        <v/>
      </c>
    </row>
    <row r="330" spans="3:11" x14ac:dyDescent="0.25">
      <c r="C330" t="s">
        <v>1864</v>
      </c>
      <c r="D330" t="s">
        <v>1864</v>
      </c>
      <c r="E330" t="s">
        <v>2192</v>
      </c>
      <c r="F330" t="s">
        <v>281</v>
      </c>
      <c r="G330" t="str">
        <f t="shared" si="27"/>
        <v>C</v>
      </c>
      <c r="H330" t="str">
        <f t="shared" si="28"/>
        <v>10</v>
      </c>
      <c r="I330" t="str">
        <f t="shared" si="29"/>
        <v>109</v>
      </c>
      <c r="J330" t="str">
        <f t="shared" si="30"/>
        <v>10937</v>
      </c>
      <c r="K330" t="str">
        <f t="shared" si="26"/>
        <v>1093701</v>
      </c>
    </row>
    <row r="331" spans="3:11" x14ac:dyDescent="0.25">
      <c r="C331" t="s">
        <v>1864</v>
      </c>
      <c r="D331" t="s">
        <v>1864</v>
      </c>
      <c r="E331" t="s">
        <v>2193</v>
      </c>
      <c r="F331" t="s">
        <v>282</v>
      </c>
      <c r="G331" t="str">
        <f t="shared" si="27"/>
        <v>C</v>
      </c>
      <c r="H331" t="str">
        <f t="shared" si="28"/>
        <v>10</v>
      </c>
      <c r="I331" t="str">
        <f t="shared" si="29"/>
        <v>109</v>
      </c>
      <c r="J331" t="str">
        <f t="shared" si="30"/>
        <v>10937</v>
      </c>
      <c r="K331" t="str">
        <f t="shared" si="26"/>
        <v>1093702</v>
      </c>
    </row>
    <row r="332" spans="3:11" x14ac:dyDescent="0.25">
      <c r="C332" t="s">
        <v>1864</v>
      </c>
      <c r="D332" t="s">
        <v>2194</v>
      </c>
      <c r="E332" t="s">
        <v>1864</v>
      </c>
      <c r="F332" t="s">
        <v>283</v>
      </c>
      <c r="G332" t="str">
        <f t="shared" si="27"/>
        <v>C</v>
      </c>
      <c r="H332" t="str">
        <f t="shared" si="28"/>
        <v>10</v>
      </c>
      <c r="I332" t="str">
        <f t="shared" si="29"/>
        <v>109</v>
      </c>
      <c r="J332" t="str">
        <f t="shared" si="30"/>
        <v>10945</v>
      </c>
      <c r="K332" t="str">
        <f t="shared" si="26"/>
        <v/>
      </c>
    </row>
    <row r="333" spans="3:11" x14ac:dyDescent="0.25">
      <c r="C333" t="s">
        <v>1864</v>
      </c>
      <c r="D333" t="s">
        <v>1864</v>
      </c>
      <c r="E333" t="s">
        <v>2195</v>
      </c>
      <c r="F333" t="s">
        <v>283</v>
      </c>
      <c r="G333" t="str">
        <f t="shared" si="27"/>
        <v>C</v>
      </c>
      <c r="H333" t="str">
        <f t="shared" si="28"/>
        <v>10</v>
      </c>
      <c r="I333" t="str">
        <f t="shared" si="29"/>
        <v>109</v>
      </c>
      <c r="J333" t="str">
        <f t="shared" si="30"/>
        <v>10945</v>
      </c>
      <c r="K333" t="str">
        <f t="shared" si="26"/>
        <v>1094500</v>
      </c>
    </row>
    <row r="334" spans="3:11" x14ac:dyDescent="0.25">
      <c r="C334" t="s">
        <v>1864</v>
      </c>
      <c r="D334" t="s">
        <v>2196</v>
      </c>
      <c r="E334" t="s">
        <v>1864</v>
      </c>
      <c r="F334" t="s">
        <v>284</v>
      </c>
      <c r="G334" t="str">
        <f t="shared" si="27"/>
        <v>C</v>
      </c>
      <c r="H334" t="str">
        <f t="shared" si="28"/>
        <v>10</v>
      </c>
      <c r="I334" t="str">
        <f t="shared" si="29"/>
        <v>109</v>
      </c>
      <c r="J334" t="str">
        <f t="shared" si="30"/>
        <v>10953</v>
      </c>
      <c r="K334" t="str">
        <f t="shared" si="26"/>
        <v/>
      </c>
    </row>
    <row r="335" spans="3:11" x14ac:dyDescent="0.25">
      <c r="C335" t="s">
        <v>1864</v>
      </c>
      <c r="D335" t="s">
        <v>1864</v>
      </c>
      <c r="E335" t="s">
        <v>2197</v>
      </c>
      <c r="F335" t="s">
        <v>284</v>
      </c>
      <c r="G335" t="str">
        <f t="shared" si="27"/>
        <v>C</v>
      </c>
      <c r="H335" t="str">
        <f t="shared" si="28"/>
        <v>10</v>
      </c>
      <c r="I335" t="str">
        <f t="shared" si="29"/>
        <v>109</v>
      </c>
      <c r="J335" t="str">
        <f t="shared" si="30"/>
        <v>10953</v>
      </c>
      <c r="K335" t="str">
        <f t="shared" si="26"/>
        <v>1095300</v>
      </c>
    </row>
    <row r="336" spans="3:11" x14ac:dyDescent="0.25">
      <c r="C336" t="s">
        <v>1864</v>
      </c>
      <c r="D336" t="s">
        <v>2198</v>
      </c>
      <c r="E336" t="s">
        <v>1864</v>
      </c>
      <c r="F336" t="s">
        <v>285</v>
      </c>
      <c r="G336" t="str">
        <f t="shared" si="27"/>
        <v>C</v>
      </c>
      <c r="H336" t="str">
        <f t="shared" si="28"/>
        <v>10</v>
      </c>
      <c r="I336" t="str">
        <f t="shared" si="29"/>
        <v>109</v>
      </c>
      <c r="J336" t="str">
        <f t="shared" si="30"/>
        <v>10961</v>
      </c>
      <c r="K336" t="str">
        <f t="shared" si="26"/>
        <v/>
      </c>
    </row>
    <row r="337" spans="2:11" x14ac:dyDescent="0.25">
      <c r="C337" t="s">
        <v>1864</v>
      </c>
      <c r="D337" t="s">
        <v>1864</v>
      </c>
      <c r="E337" t="s">
        <v>2199</v>
      </c>
      <c r="F337" t="s">
        <v>285</v>
      </c>
      <c r="G337" t="str">
        <f t="shared" si="27"/>
        <v>C</v>
      </c>
      <c r="H337" t="str">
        <f t="shared" si="28"/>
        <v>10</v>
      </c>
      <c r="I337" t="str">
        <f t="shared" si="29"/>
        <v>109</v>
      </c>
      <c r="J337" t="str">
        <f t="shared" si="30"/>
        <v>10961</v>
      </c>
      <c r="K337" t="str">
        <f t="shared" si="26"/>
        <v>1096100</v>
      </c>
    </row>
    <row r="338" spans="2:11" x14ac:dyDescent="0.25">
      <c r="C338" t="s">
        <v>1864</v>
      </c>
      <c r="D338" t="s">
        <v>2200</v>
      </c>
      <c r="E338" t="s">
        <v>1864</v>
      </c>
      <c r="F338" t="s">
        <v>286</v>
      </c>
      <c r="G338" t="str">
        <f t="shared" si="27"/>
        <v>C</v>
      </c>
      <c r="H338" t="str">
        <f t="shared" si="28"/>
        <v>10</v>
      </c>
      <c r="I338" t="str">
        <f t="shared" si="29"/>
        <v>109</v>
      </c>
      <c r="J338" t="str">
        <f t="shared" si="30"/>
        <v>10996</v>
      </c>
      <c r="K338" t="str">
        <f t="shared" si="26"/>
        <v/>
      </c>
    </row>
    <row r="339" spans="2:11" x14ac:dyDescent="0.25">
      <c r="C339" t="s">
        <v>1864</v>
      </c>
      <c r="D339" t="s">
        <v>1864</v>
      </c>
      <c r="E339" t="s">
        <v>2201</v>
      </c>
      <c r="F339" t="s">
        <v>287</v>
      </c>
      <c r="G339" t="str">
        <f t="shared" si="27"/>
        <v>C</v>
      </c>
      <c r="H339" t="str">
        <f t="shared" si="28"/>
        <v>10</v>
      </c>
      <c r="I339" t="str">
        <f t="shared" si="29"/>
        <v>109</v>
      </c>
      <c r="J339" t="str">
        <f t="shared" si="30"/>
        <v>10996</v>
      </c>
      <c r="K339" t="str">
        <f t="shared" si="26"/>
        <v>1099601</v>
      </c>
    </row>
    <row r="340" spans="2:11" x14ac:dyDescent="0.25">
      <c r="C340" t="s">
        <v>1864</v>
      </c>
      <c r="D340" t="s">
        <v>1864</v>
      </c>
      <c r="E340" t="s">
        <v>2202</v>
      </c>
      <c r="F340" t="s">
        <v>288</v>
      </c>
      <c r="G340" t="str">
        <f t="shared" si="27"/>
        <v>C</v>
      </c>
      <c r="H340" t="str">
        <f t="shared" si="28"/>
        <v>10</v>
      </c>
      <c r="I340" t="str">
        <f t="shared" si="29"/>
        <v>109</v>
      </c>
      <c r="J340" t="str">
        <f t="shared" si="30"/>
        <v>10996</v>
      </c>
      <c r="K340" t="str">
        <f t="shared" si="26"/>
        <v>1099602</v>
      </c>
    </row>
    <row r="341" spans="2:11" x14ac:dyDescent="0.25">
      <c r="C341" t="s">
        <v>1864</v>
      </c>
      <c r="D341" t="s">
        <v>1864</v>
      </c>
      <c r="E341" t="s">
        <v>2203</v>
      </c>
      <c r="F341" t="s">
        <v>289</v>
      </c>
      <c r="G341" t="str">
        <f t="shared" si="27"/>
        <v>C</v>
      </c>
      <c r="H341" t="str">
        <f t="shared" si="28"/>
        <v>10</v>
      </c>
      <c r="I341" t="str">
        <f t="shared" si="29"/>
        <v>109</v>
      </c>
      <c r="J341" t="str">
        <f t="shared" si="30"/>
        <v>10996</v>
      </c>
      <c r="K341" t="str">
        <f t="shared" si="26"/>
        <v>1099603</v>
      </c>
    </row>
    <row r="342" spans="2:11" x14ac:dyDescent="0.25">
      <c r="C342" t="s">
        <v>1864</v>
      </c>
      <c r="D342" t="s">
        <v>1864</v>
      </c>
      <c r="E342" t="s">
        <v>2204</v>
      </c>
      <c r="F342" t="s">
        <v>290</v>
      </c>
      <c r="G342" t="str">
        <f t="shared" si="27"/>
        <v>C</v>
      </c>
      <c r="H342" t="str">
        <f t="shared" si="28"/>
        <v>10</v>
      </c>
      <c r="I342" t="str">
        <f t="shared" si="29"/>
        <v>109</v>
      </c>
      <c r="J342" t="str">
        <f t="shared" si="30"/>
        <v>10996</v>
      </c>
      <c r="K342" t="str">
        <f t="shared" si="26"/>
        <v>1099604</v>
      </c>
    </row>
    <row r="343" spans="2:11" x14ac:dyDescent="0.25">
      <c r="C343" t="s">
        <v>1864</v>
      </c>
      <c r="D343" t="s">
        <v>1864</v>
      </c>
      <c r="E343" t="s">
        <v>2205</v>
      </c>
      <c r="F343" t="s">
        <v>291</v>
      </c>
      <c r="G343" t="str">
        <f t="shared" si="27"/>
        <v>C</v>
      </c>
      <c r="H343" t="str">
        <f t="shared" si="28"/>
        <v>10</v>
      </c>
      <c r="I343" t="str">
        <f t="shared" si="29"/>
        <v>109</v>
      </c>
      <c r="J343" t="str">
        <f t="shared" si="30"/>
        <v>10996</v>
      </c>
      <c r="K343" t="str">
        <f t="shared" si="26"/>
        <v>1099605</v>
      </c>
    </row>
    <row r="344" spans="2:11" x14ac:dyDescent="0.25">
      <c r="C344" t="s">
        <v>1864</v>
      </c>
      <c r="D344" t="s">
        <v>1864</v>
      </c>
      <c r="E344" t="s">
        <v>2206</v>
      </c>
      <c r="F344" t="s">
        <v>292</v>
      </c>
      <c r="G344" t="str">
        <f t="shared" si="27"/>
        <v>C</v>
      </c>
      <c r="H344" t="str">
        <f t="shared" si="28"/>
        <v>10</v>
      </c>
      <c r="I344" t="str">
        <f t="shared" si="29"/>
        <v>109</v>
      </c>
      <c r="J344" t="str">
        <f t="shared" si="30"/>
        <v>10996</v>
      </c>
      <c r="K344" t="str">
        <f t="shared" si="26"/>
        <v>1099606</v>
      </c>
    </row>
    <row r="345" spans="2:11" x14ac:dyDescent="0.25">
      <c r="C345" t="s">
        <v>1864</v>
      </c>
      <c r="D345" t="s">
        <v>1864</v>
      </c>
      <c r="E345" t="s">
        <v>2207</v>
      </c>
      <c r="F345" t="s">
        <v>293</v>
      </c>
      <c r="G345" t="str">
        <f t="shared" si="27"/>
        <v>C</v>
      </c>
      <c r="H345" t="str">
        <f t="shared" si="28"/>
        <v>10</v>
      </c>
      <c r="I345" t="str">
        <f t="shared" si="29"/>
        <v>109</v>
      </c>
      <c r="J345" t="str">
        <f t="shared" si="30"/>
        <v>10996</v>
      </c>
      <c r="K345" t="str">
        <f t="shared" si="26"/>
        <v>1099607</v>
      </c>
    </row>
    <row r="346" spans="2:11" x14ac:dyDescent="0.25">
      <c r="C346" t="s">
        <v>1864</v>
      </c>
      <c r="D346" t="s">
        <v>1864</v>
      </c>
      <c r="E346" t="s">
        <v>2208</v>
      </c>
      <c r="F346" t="s">
        <v>294</v>
      </c>
      <c r="G346" t="str">
        <f t="shared" si="27"/>
        <v>C</v>
      </c>
      <c r="H346" t="str">
        <f t="shared" si="28"/>
        <v>10</v>
      </c>
      <c r="I346" t="str">
        <f t="shared" si="29"/>
        <v>109</v>
      </c>
      <c r="J346" t="str">
        <f t="shared" si="30"/>
        <v>10996</v>
      </c>
      <c r="K346" t="str">
        <f t="shared" si="26"/>
        <v>1099699</v>
      </c>
    </row>
    <row r="347" spans="2:11" x14ac:dyDescent="0.25">
      <c r="B347" t="s">
        <v>2209</v>
      </c>
      <c r="C347" t="s">
        <v>1864</v>
      </c>
      <c r="D347" t="s">
        <v>1864</v>
      </c>
      <c r="E347" t="s">
        <v>1864</v>
      </c>
      <c r="F347" t="s">
        <v>295</v>
      </c>
      <c r="G347" t="str">
        <f t="shared" si="27"/>
        <v>C</v>
      </c>
      <c r="H347" t="str">
        <f t="shared" si="28"/>
        <v>11</v>
      </c>
      <c r="I347" t="str">
        <f t="shared" si="29"/>
        <v>109</v>
      </c>
      <c r="J347" t="str">
        <f t="shared" si="30"/>
        <v>10996</v>
      </c>
      <c r="K347" t="str">
        <f t="shared" si="26"/>
        <v/>
      </c>
    </row>
    <row r="348" spans="2:11" x14ac:dyDescent="0.25">
      <c r="C348" t="s">
        <v>2210</v>
      </c>
      <c r="D348" t="s">
        <v>1864</v>
      </c>
      <c r="E348" t="s">
        <v>1864</v>
      </c>
      <c r="F348" t="s">
        <v>296</v>
      </c>
      <c r="G348" t="str">
        <f t="shared" si="27"/>
        <v>C</v>
      </c>
      <c r="H348" t="str">
        <f t="shared" si="28"/>
        <v>11</v>
      </c>
      <c r="I348" t="str">
        <f t="shared" si="29"/>
        <v>111</v>
      </c>
      <c r="J348" t="str">
        <f t="shared" si="30"/>
        <v>10996</v>
      </c>
      <c r="K348" t="str">
        <f t="shared" si="26"/>
        <v/>
      </c>
    </row>
    <row r="349" spans="2:11" x14ac:dyDescent="0.25">
      <c r="C349" t="s">
        <v>1864</v>
      </c>
      <c r="D349" t="s">
        <v>2211</v>
      </c>
      <c r="E349" t="s">
        <v>1864</v>
      </c>
      <c r="F349" t="s">
        <v>297</v>
      </c>
      <c r="G349" t="str">
        <f t="shared" si="27"/>
        <v>C</v>
      </c>
      <c r="H349" t="str">
        <f t="shared" si="28"/>
        <v>11</v>
      </c>
      <c r="I349" t="str">
        <f t="shared" si="29"/>
        <v>111</v>
      </c>
      <c r="J349" t="str">
        <f t="shared" si="30"/>
        <v>11119</v>
      </c>
      <c r="K349" t="str">
        <f t="shared" si="26"/>
        <v/>
      </c>
    </row>
    <row r="350" spans="2:11" x14ac:dyDescent="0.25">
      <c r="C350" t="s">
        <v>1864</v>
      </c>
      <c r="D350" t="s">
        <v>1864</v>
      </c>
      <c r="E350" t="s">
        <v>2212</v>
      </c>
      <c r="F350" t="s">
        <v>298</v>
      </c>
      <c r="G350" t="str">
        <f t="shared" si="27"/>
        <v>C</v>
      </c>
      <c r="H350" t="str">
        <f t="shared" si="28"/>
        <v>11</v>
      </c>
      <c r="I350" t="str">
        <f t="shared" si="29"/>
        <v>111</v>
      </c>
      <c r="J350" t="str">
        <f t="shared" si="30"/>
        <v>11119</v>
      </c>
      <c r="K350" t="str">
        <f t="shared" si="26"/>
        <v>1111901</v>
      </c>
    </row>
    <row r="351" spans="2:11" x14ac:dyDescent="0.25">
      <c r="C351" t="s">
        <v>1864</v>
      </c>
      <c r="D351" t="s">
        <v>1864</v>
      </c>
      <c r="E351" t="s">
        <v>2213</v>
      </c>
      <c r="F351" t="s">
        <v>299</v>
      </c>
      <c r="G351" t="str">
        <f t="shared" si="27"/>
        <v>C</v>
      </c>
      <c r="H351" t="str">
        <f t="shared" si="28"/>
        <v>11</v>
      </c>
      <c r="I351" t="str">
        <f t="shared" si="29"/>
        <v>111</v>
      </c>
      <c r="J351" t="str">
        <f t="shared" si="30"/>
        <v>11119</v>
      </c>
      <c r="K351" t="str">
        <f t="shared" si="26"/>
        <v>1111902</v>
      </c>
    </row>
    <row r="352" spans="2:11" x14ac:dyDescent="0.25">
      <c r="C352" t="s">
        <v>1864</v>
      </c>
      <c r="D352" t="s">
        <v>2214</v>
      </c>
      <c r="E352" t="s">
        <v>1864</v>
      </c>
      <c r="F352" t="s">
        <v>300</v>
      </c>
      <c r="G352" t="str">
        <f t="shared" si="27"/>
        <v>C</v>
      </c>
      <c r="H352" t="str">
        <f t="shared" si="28"/>
        <v>11</v>
      </c>
      <c r="I352" t="str">
        <f t="shared" si="29"/>
        <v>111</v>
      </c>
      <c r="J352" t="str">
        <f t="shared" si="30"/>
        <v>11127</v>
      </c>
      <c r="K352" t="str">
        <f t="shared" si="26"/>
        <v/>
      </c>
    </row>
    <row r="353" spans="2:11" x14ac:dyDescent="0.25">
      <c r="C353" t="s">
        <v>1864</v>
      </c>
      <c r="D353" t="s">
        <v>1864</v>
      </c>
      <c r="E353" t="s">
        <v>2215</v>
      </c>
      <c r="F353" t="s">
        <v>300</v>
      </c>
      <c r="G353" t="str">
        <f t="shared" si="27"/>
        <v>C</v>
      </c>
      <c r="H353" t="str">
        <f t="shared" si="28"/>
        <v>11</v>
      </c>
      <c r="I353" t="str">
        <f t="shared" si="29"/>
        <v>111</v>
      </c>
      <c r="J353" t="str">
        <f t="shared" si="30"/>
        <v>11127</v>
      </c>
      <c r="K353" t="str">
        <f t="shared" si="26"/>
        <v>1112700</v>
      </c>
    </row>
    <row r="354" spans="2:11" x14ac:dyDescent="0.25">
      <c r="C354" t="s">
        <v>1864</v>
      </c>
      <c r="D354" t="s">
        <v>2216</v>
      </c>
      <c r="E354" t="s">
        <v>1864</v>
      </c>
      <c r="F354" t="s">
        <v>301</v>
      </c>
      <c r="G354" t="str">
        <f t="shared" si="27"/>
        <v>C</v>
      </c>
      <c r="H354" t="str">
        <f t="shared" si="28"/>
        <v>11</v>
      </c>
      <c r="I354" t="str">
        <f t="shared" si="29"/>
        <v>111</v>
      </c>
      <c r="J354" t="str">
        <f t="shared" si="30"/>
        <v>11135</v>
      </c>
      <c r="K354" t="str">
        <f t="shared" si="26"/>
        <v/>
      </c>
    </row>
    <row r="355" spans="2:11" x14ac:dyDescent="0.25">
      <c r="C355" t="s">
        <v>1864</v>
      </c>
      <c r="D355" t="s">
        <v>1864</v>
      </c>
      <c r="E355" t="s">
        <v>2217</v>
      </c>
      <c r="F355" t="s">
        <v>302</v>
      </c>
      <c r="G355" t="str">
        <f t="shared" si="27"/>
        <v>C</v>
      </c>
      <c r="H355" t="str">
        <f t="shared" si="28"/>
        <v>11</v>
      </c>
      <c r="I355" t="str">
        <f t="shared" si="29"/>
        <v>111</v>
      </c>
      <c r="J355" t="str">
        <f t="shared" si="30"/>
        <v>11135</v>
      </c>
      <c r="K355" t="str">
        <f t="shared" si="26"/>
        <v>1113501</v>
      </c>
    </row>
    <row r="356" spans="2:11" x14ac:dyDescent="0.25">
      <c r="C356" t="s">
        <v>1864</v>
      </c>
      <c r="D356" t="s">
        <v>1864</v>
      </c>
      <c r="E356" t="s">
        <v>2218</v>
      </c>
      <c r="F356" t="s">
        <v>303</v>
      </c>
      <c r="G356" t="str">
        <f t="shared" si="27"/>
        <v>C</v>
      </c>
      <c r="H356" t="str">
        <f t="shared" si="28"/>
        <v>11</v>
      </c>
      <c r="I356" t="str">
        <f t="shared" si="29"/>
        <v>111</v>
      </c>
      <c r="J356" t="str">
        <f t="shared" si="30"/>
        <v>11135</v>
      </c>
      <c r="K356" t="str">
        <f t="shared" si="26"/>
        <v>1113502</v>
      </c>
    </row>
    <row r="357" spans="2:11" x14ac:dyDescent="0.25">
      <c r="C357" t="s">
        <v>2219</v>
      </c>
      <c r="D357" t="s">
        <v>1864</v>
      </c>
      <c r="E357" t="s">
        <v>1864</v>
      </c>
      <c r="F357" t="s">
        <v>304</v>
      </c>
      <c r="G357" t="str">
        <f t="shared" si="27"/>
        <v>C</v>
      </c>
      <c r="H357" t="str">
        <f t="shared" si="28"/>
        <v>11</v>
      </c>
      <c r="I357" t="str">
        <f t="shared" si="29"/>
        <v>112</v>
      </c>
      <c r="J357" t="str">
        <f t="shared" si="30"/>
        <v>11135</v>
      </c>
      <c r="K357" t="str">
        <f t="shared" si="26"/>
        <v/>
      </c>
    </row>
    <row r="358" spans="2:11" x14ac:dyDescent="0.25">
      <c r="C358" t="s">
        <v>1864</v>
      </c>
      <c r="D358" t="s">
        <v>2220</v>
      </c>
      <c r="E358" t="s">
        <v>1864</v>
      </c>
      <c r="F358" t="s">
        <v>305</v>
      </c>
      <c r="G358" t="str">
        <f t="shared" si="27"/>
        <v>C</v>
      </c>
      <c r="H358" t="str">
        <f t="shared" si="28"/>
        <v>11</v>
      </c>
      <c r="I358" t="str">
        <f t="shared" si="29"/>
        <v>112</v>
      </c>
      <c r="J358" t="str">
        <f t="shared" si="30"/>
        <v>11216</v>
      </c>
      <c r="K358" t="str">
        <f t="shared" si="26"/>
        <v/>
      </c>
    </row>
    <row r="359" spans="2:11" x14ac:dyDescent="0.25">
      <c r="C359" t="s">
        <v>1864</v>
      </c>
      <c r="D359" t="s">
        <v>1864</v>
      </c>
      <c r="E359" t="s">
        <v>2221</v>
      </c>
      <c r="F359" t="s">
        <v>305</v>
      </c>
      <c r="G359" t="str">
        <f t="shared" si="27"/>
        <v>C</v>
      </c>
      <c r="H359" t="str">
        <f t="shared" si="28"/>
        <v>11</v>
      </c>
      <c r="I359" t="str">
        <f t="shared" si="29"/>
        <v>112</v>
      </c>
      <c r="J359" t="str">
        <f t="shared" si="30"/>
        <v>11216</v>
      </c>
      <c r="K359" t="str">
        <f t="shared" si="26"/>
        <v>1121600</v>
      </c>
    </row>
    <row r="360" spans="2:11" x14ac:dyDescent="0.25">
      <c r="C360" t="s">
        <v>1864</v>
      </c>
      <c r="D360" t="s">
        <v>2222</v>
      </c>
      <c r="E360" t="s">
        <v>1864</v>
      </c>
      <c r="F360" t="s">
        <v>306</v>
      </c>
      <c r="G360" t="str">
        <f t="shared" si="27"/>
        <v>C</v>
      </c>
      <c r="H360" t="str">
        <f t="shared" si="28"/>
        <v>11</v>
      </c>
      <c r="I360" t="str">
        <f t="shared" si="29"/>
        <v>112</v>
      </c>
      <c r="J360" t="str">
        <f t="shared" si="30"/>
        <v>11224</v>
      </c>
      <c r="K360" t="str">
        <f t="shared" si="26"/>
        <v/>
      </c>
    </row>
    <row r="361" spans="2:11" x14ac:dyDescent="0.25">
      <c r="C361" t="s">
        <v>1864</v>
      </c>
      <c r="D361" t="s">
        <v>1864</v>
      </c>
      <c r="E361" t="s">
        <v>2223</v>
      </c>
      <c r="F361" t="s">
        <v>307</v>
      </c>
      <c r="G361" t="str">
        <f t="shared" si="27"/>
        <v>C</v>
      </c>
      <c r="H361" t="str">
        <f t="shared" si="28"/>
        <v>11</v>
      </c>
      <c r="I361" t="str">
        <f t="shared" si="29"/>
        <v>112</v>
      </c>
      <c r="J361" t="str">
        <f t="shared" si="30"/>
        <v>11224</v>
      </c>
      <c r="K361" t="str">
        <f t="shared" si="26"/>
        <v>1122401</v>
      </c>
    </row>
    <row r="362" spans="2:11" x14ac:dyDescent="0.25">
      <c r="C362" t="s">
        <v>1864</v>
      </c>
      <c r="D362" t="s">
        <v>1864</v>
      </c>
      <c r="E362" t="s">
        <v>2224</v>
      </c>
      <c r="F362" t="s">
        <v>308</v>
      </c>
      <c r="G362" t="str">
        <f t="shared" si="27"/>
        <v>C</v>
      </c>
      <c r="H362" t="str">
        <f t="shared" si="28"/>
        <v>11</v>
      </c>
      <c r="I362" t="str">
        <f t="shared" si="29"/>
        <v>112</v>
      </c>
      <c r="J362" t="str">
        <f t="shared" si="30"/>
        <v>11224</v>
      </c>
      <c r="K362" t="str">
        <f t="shared" si="26"/>
        <v>1122402</v>
      </c>
    </row>
    <row r="363" spans="2:11" x14ac:dyDescent="0.25">
      <c r="C363" t="s">
        <v>1864</v>
      </c>
      <c r="D363" t="s">
        <v>1864</v>
      </c>
      <c r="E363" t="s">
        <v>2225</v>
      </c>
      <c r="F363" t="s">
        <v>309</v>
      </c>
      <c r="G363" t="str">
        <f t="shared" si="27"/>
        <v>C</v>
      </c>
      <c r="H363" t="str">
        <f t="shared" si="28"/>
        <v>11</v>
      </c>
      <c r="I363" t="str">
        <f t="shared" si="29"/>
        <v>112</v>
      </c>
      <c r="J363" t="str">
        <f t="shared" si="30"/>
        <v>11224</v>
      </c>
      <c r="K363" t="str">
        <f t="shared" si="26"/>
        <v>1122403</v>
      </c>
    </row>
    <row r="364" spans="2:11" x14ac:dyDescent="0.25">
      <c r="C364" t="s">
        <v>1864</v>
      </c>
      <c r="D364" t="s">
        <v>1864</v>
      </c>
      <c r="E364" t="s">
        <v>2226</v>
      </c>
      <c r="F364" t="s">
        <v>310</v>
      </c>
      <c r="G364" t="str">
        <f t="shared" si="27"/>
        <v>C</v>
      </c>
      <c r="H364" t="str">
        <f t="shared" si="28"/>
        <v>11</v>
      </c>
      <c r="I364" t="str">
        <f t="shared" si="29"/>
        <v>112</v>
      </c>
      <c r="J364" t="str">
        <f t="shared" si="30"/>
        <v>11224</v>
      </c>
      <c r="K364" t="str">
        <f t="shared" si="26"/>
        <v>1122404</v>
      </c>
    </row>
    <row r="365" spans="2:11" x14ac:dyDescent="0.25">
      <c r="C365" t="s">
        <v>1864</v>
      </c>
      <c r="D365" t="s">
        <v>1864</v>
      </c>
      <c r="E365" t="s">
        <v>2227</v>
      </c>
      <c r="F365" t="s">
        <v>311</v>
      </c>
      <c r="G365" t="str">
        <f t="shared" si="27"/>
        <v>C</v>
      </c>
      <c r="H365" t="str">
        <f t="shared" si="28"/>
        <v>11</v>
      </c>
      <c r="I365" t="str">
        <f t="shared" si="29"/>
        <v>112</v>
      </c>
      <c r="J365" t="str">
        <f t="shared" si="30"/>
        <v>11224</v>
      </c>
      <c r="K365" t="str">
        <f t="shared" si="26"/>
        <v>1122499</v>
      </c>
    </row>
    <row r="366" spans="2:11" x14ac:dyDescent="0.25">
      <c r="B366" t="s">
        <v>2228</v>
      </c>
      <c r="C366" t="s">
        <v>1864</v>
      </c>
      <c r="D366" t="s">
        <v>1864</v>
      </c>
      <c r="E366" t="s">
        <v>1864</v>
      </c>
      <c r="F366" t="s">
        <v>312</v>
      </c>
      <c r="G366" t="str">
        <f t="shared" si="27"/>
        <v>C</v>
      </c>
      <c r="H366" t="str">
        <f t="shared" si="28"/>
        <v>12</v>
      </c>
      <c r="I366" t="str">
        <f t="shared" si="29"/>
        <v>112</v>
      </c>
      <c r="J366" t="str">
        <f t="shared" si="30"/>
        <v>11224</v>
      </c>
      <c r="K366" t="str">
        <f t="shared" si="26"/>
        <v/>
      </c>
    </row>
    <row r="367" spans="2:11" x14ac:dyDescent="0.25">
      <c r="C367" t="s">
        <v>2229</v>
      </c>
      <c r="D367" t="s">
        <v>1864</v>
      </c>
      <c r="E367" t="s">
        <v>1864</v>
      </c>
      <c r="F367" t="s">
        <v>313</v>
      </c>
      <c r="G367" t="str">
        <f t="shared" si="27"/>
        <v>C</v>
      </c>
      <c r="H367" t="str">
        <f t="shared" si="28"/>
        <v>12</v>
      </c>
      <c r="I367" t="str">
        <f t="shared" si="29"/>
        <v>121</v>
      </c>
      <c r="J367" t="str">
        <f t="shared" si="30"/>
        <v>11224</v>
      </c>
      <c r="K367" t="str">
        <f t="shared" si="26"/>
        <v/>
      </c>
    </row>
    <row r="368" spans="2:11" x14ac:dyDescent="0.25">
      <c r="C368" t="s">
        <v>1864</v>
      </c>
      <c r="D368" t="s">
        <v>2230</v>
      </c>
      <c r="E368" t="s">
        <v>1864</v>
      </c>
      <c r="F368" t="s">
        <v>313</v>
      </c>
      <c r="G368" t="str">
        <f t="shared" si="27"/>
        <v>C</v>
      </c>
      <c r="H368" t="str">
        <f t="shared" si="28"/>
        <v>12</v>
      </c>
      <c r="I368" t="str">
        <f t="shared" si="29"/>
        <v>121</v>
      </c>
      <c r="J368" t="str">
        <f t="shared" si="30"/>
        <v>12107</v>
      </c>
      <c r="K368" t="str">
        <f t="shared" si="26"/>
        <v/>
      </c>
    </row>
    <row r="369" spans="2:11" x14ac:dyDescent="0.25">
      <c r="C369" t="s">
        <v>1864</v>
      </c>
      <c r="D369" t="s">
        <v>1864</v>
      </c>
      <c r="E369" t="s">
        <v>2231</v>
      </c>
      <c r="F369" t="s">
        <v>313</v>
      </c>
      <c r="G369" t="str">
        <f t="shared" si="27"/>
        <v>C</v>
      </c>
      <c r="H369" t="str">
        <f t="shared" si="28"/>
        <v>12</v>
      </c>
      <c r="I369" t="str">
        <f t="shared" si="29"/>
        <v>121</v>
      </c>
      <c r="J369" t="str">
        <f t="shared" si="30"/>
        <v>12107</v>
      </c>
      <c r="K369" t="str">
        <f t="shared" si="26"/>
        <v>1210700</v>
      </c>
    </row>
    <row r="370" spans="2:11" x14ac:dyDescent="0.25">
      <c r="C370" t="s">
        <v>2232</v>
      </c>
      <c r="D370" t="s">
        <v>1864</v>
      </c>
      <c r="E370" t="s">
        <v>1864</v>
      </c>
      <c r="F370" t="s">
        <v>314</v>
      </c>
      <c r="G370" t="str">
        <f t="shared" si="27"/>
        <v>C</v>
      </c>
      <c r="H370" t="str">
        <f t="shared" si="28"/>
        <v>12</v>
      </c>
      <c r="I370" t="str">
        <f t="shared" si="29"/>
        <v>122</v>
      </c>
      <c r="J370" t="str">
        <f t="shared" si="30"/>
        <v>12107</v>
      </c>
      <c r="K370" t="str">
        <f t="shared" si="26"/>
        <v/>
      </c>
    </row>
    <row r="371" spans="2:11" x14ac:dyDescent="0.25">
      <c r="C371" t="s">
        <v>1864</v>
      </c>
      <c r="D371" t="s">
        <v>2233</v>
      </c>
      <c r="E371" t="s">
        <v>1864</v>
      </c>
      <c r="F371" t="s">
        <v>314</v>
      </c>
      <c r="G371" t="str">
        <f t="shared" si="27"/>
        <v>C</v>
      </c>
      <c r="H371" t="str">
        <f t="shared" si="28"/>
        <v>12</v>
      </c>
      <c r="I371" t="str">
        <f t="shared" si="29"/>
        <v>122</v>
      </c>
      <c r="J371" t="str">
        <f t="shared" si="30"/>
        <v>12204</v>
      </c>
      <c r="K371" t="str">
        <f t="shared" si="26"/>
        <v/>
      </c>
    </row>
    <row r="372" spans="2:11" x14ac:dyDescent="0.25">
      <c r="C372" t="s">
        <v>1864</v>
      </c>
      <c r="D372" t="s">
        <v>1864</v>
      </c>
      <c r="E372" t="s">
        <v>2234</v>
      </c>
      <c r="F372" t="s">
        <v>315</v>
      </c>
      <c r="G372" t="str">
        <f t="shared" si="27"/>
        <v>C</v>
      </c>
      <c r="H372" t="str">
        <f t="shared" si="28"/>
        <v>12</v>
      </c>
      <c r="I372" t="str">
        <f t="shared" si="29"/>
        <v>122</v>
      </c>
      <c r="J372" t="str">
        <f t="shared" si="30"/>
        <v>12204</v>
      </c>
      <c r="K372" t="str">
        <f t="shared" si="26"/>
        <v>1220401</v>
      </c>
    </row>
    <row r="373" spans="2:11" x14ac:dyDescent="0.25">
      <c r="C373" t="s">
        <v>1864</v>
      </c>
      <c r="D373" t="s">
        <v>1864</v>
      </c>
      <c r="E373" t="s">
        <v>2235</v>
      </c>
      <c r="F373" t="s">
        <v>316</v>
      </c>
      <c r="G373" t="str">
        <f t="shared" si="27"/>
        <v>C</v>
      </c>
      <c r="H373" t="str">
        <f t="shared" si="28"/>
        <v>12</v>
      </c>
      <c r="I373" t="str">
        <f t="shared" si="29"/>
        <v>122</v>
      </c>
      <c r="J373" t="str">
        <f t="shared" si="30"/>
        <v>12204</v>
      </c>
      <c r="K373" t="str">
        <f t="shared" si="26"/>
        <v>1220402</v>
      </c>
    </row>
    <row r="374" spans="2:11" x14ac:dyDescent="0.25">
      <c r="C374" t="s">
        <v>1864</v>
      </c>
      <c r="D374" t="s">
        <v>1864</v>
      </c>
      <c r="E374" t="s">
        <v>2236</v>
      </c>
      <c r="F374" t="s">
        <v>317</v>
      </c>
      <c r="G374" t="str">
        <f t="shared" si="27"/>
        <v>C</v>
      </c>
      <c r="H374" t="str">
        <f t="shared" si="28"/>
        <v>12</v>
      </c>
      <c r="I374" t="str">
        <f t="shared" si="29"/>
        <v>122</v>
      </c>
      <c r="J374" t="str">
        <f t="shared" si="30"/>
        <v>12204</v>
      </c>
      <c r="K374" t="str">
        <f t="shared" si="26"/>
        <v>1220403</v>
      </c>
    </row>
    <row r="375" spans="2:11" x14ac:dyDescent="0.25">
      <c r="C375" t="s">
        <v>1864</v>
      </c>
      <c r="D375" t="s">
        <v>1864</v>
      </c>
      <c r="E375" t="s">
        <v>2237</v>
      </c>
      <c r="F375" t="s">
        <v>318</v>
      </c>
      <c r="G375" t="str">
        <f t="shared" si="27"/>
        <v>C</v>
      </c>
      <c r="H375" t="str">
        <f t="shared" si="28"/>
        <v>12</v>
      </c>
      <c r="I375" t="str">
        <f t="shared" si="29"/>
        <v>122</v>
      </c>
      <c r="J375" t="str">
        <f t="shared" si="30"/>
        <v>12204</v>
      </c>
      <c r="K375" t="str">
        <f t="shared" si="26"/>
        <v>1220499</v>
      </c>
    </row>
    <row r="376" spans="2:11" x14ac:dyDescent="0.25">
      <c r="B376" t="s">
        <v>2238</v>
      </c>
      <c r="C376" t="s">
        <v>1864</v>
      </c>
      <c r="D376" t="s">
        <v>1864</v>
      </c>
      <c r="E376" t="s">
        <v>1864</v>
      </c>
      <c r="F376" t="s">
        <v>319</v>
      </c>
      <c r="G376" t="str">
        <f t="shared" si="27"/>
        <v>C</v>
      </c>
      <c r="H376" t="str">
        <f t="shared" si="28"/>
        <v>13</v>
      </c>
      <c r="I376" t="str">
        <f t="shared" si="29"/>
        <v>122</v>
      </c>
      <c r="J376" t="str">
        <f t="shared" si="30"/>
        <v>12204</v>
      </c>
      <c r="K376" t="str">
        <f t="shared" si="26"/>
        <v/>
      </c>
    </row>
    <row r="377" spans="2:11" x14ac:dyDescent="0.25">
      <c r="C377" t="s">
        <v>2239</v>
      </c>
      <c r="D377" t="s">
        <v>1864</v>
      </c>
      <c r="E377" t="s">
        <v>1864</v>
      </c>
      <c r="F377" t="s">
        <v>320</v>
      </c>
      <c r="G377" t="str">
        <f t="shared" si="27"/>
        <v>C</v>
      </c>
      <c r="H377" t="str">
        <f t="shared" si="28"/>
        <v>13</v>
      </c>
      <c r="I377" t="str">
        <f t="shared" si="29"/>
        <v>131</v>
      </c>
      <c r="J377" t="str">
        <f t="shared" si="30"/>
        <v>12204</v>
      </c>
      <c r="K377" t="str">
        <f t="shared" si="26"/>
        <v/>
      </c>
    </row>
    <row r="378" spans="2:11" x14ac:dyDescent="0.25">
      <c r="C378" t="s">
        <v>1864</v>
      </c>
      <c r="D378" t="s">
        <v>2240</v>
      </c>
      <c r="E378" t="s">
        <v>1864</v>
      </c>
      <c r="F378" t="s">
        <v>321</v>
      </c>
      <c r="G378" t="str">
        <f t="shared" si="27"/>
        <v>C</v>
      </c>
      <c r="H378" t="str">
        <f t="shared" si="28"/>
        <v>13</v>
      </c>
      <c r="I378" t="str">
        <f t="shared" si="29"/>
        <v>131</v>
      </c>
      <c r="J378" t="str">
        <f t="shared" si="30"/>
        <v>13111</v>
      </c>
      <c r="K378" t="str">
        <f t="shared" si="26"/>
        <v/>
      </c>
    </row>
    <row r="379" spans="2:11" x14ac:dyDescent="0.25">
      <c r="C379" t="s">
        <v>1864</v>
      </c>
      <c r="D379" t="s">
        <v>1864</v>
      </c>
      <c r="E379" t="s">
        <v>2241</v>
      </c>
      <c r="F379" t="s">
        <v>321</v>
      </c>
      <c r="G379" t="str">
        <f t="shared" si="27"/>
        <v>C</v>
      </c>
      <c r="H379" t="str">
        <f t="shared" si="28"/>
        <v>13</v>
      </c>
      <c r="I379" t="str">
        <f t="shared" si="29"/>
        <v>131</v>
      </c>
      <c r="J379" t="str">
        <f t="shared" si="30"/>
        <v>13111</v>
      </c>
      <c r="K379" t="str">
        <f t="shared" si="26"/>
        <v>1311100</v>
      </c>
    </row>
    <row r="380" spans="2:11" x14ac:dyDescent="0.25">
      <c r="C380" t="s">
        <v>1864</v>
      </c>
      <c r="D380" t="s">
        <v>2242</v>
      </c>
      <c r="E380" t="s">
        <v>1864</v>
      </c>
      <c r="F380" t="s">
        <v>322</v>
      </c>
      <c r="G380" t="str">
        <f t="shared" si="27"/>
        <v>C</v>
      </c>
      <c r="H380" t="str">
        <f t="shared" si="28"/>
        <v>13</v>
      </c>
      <c r="I380" t="str">
        <f t="shared" si="29"/>
        <v>131</v>
      </c>
      <c r="J380" t="str">
        <f t="shared" si="30"/>
        <v>13120</v>
      </c>
      <c r="K380" t="str">
        <f t="shared" si="26"/>
        <v/>
      </c>
    </row>
    <row r="381" spans="2:11" x14ac:dyDescent="0.25">
      <c r="C381" t="s">
        <v>1864</v>
      </c>
      <c r="D381" t="s">
        <v>1864</v>
      </c>
      <c r="E381" t="s">
        <v>2243</v>
      </c>
      <c r="F381" t="s">
        <v>322</v>
      </c>
      <c r="G381" t="str">
        <f t="shared" si="27"/>
        <v>C</v>
      </c>
      <c r="H381" t="str">
        <f t="shared" si="28"/>
        <v>13</v>
      </c>
      <c r="I381" t="str">
        <f t="shared" si="29"/>
        <v>131</v>
      </c>
      <c r="J381" t="str">
        <f t="shared" si="30"/>
        <v>13120</v>
      </c>
      <c r="K381" t="str">
        <f t="shared" si="26"/>
        <v>1312000</v>
      </c>
    </row>
    <row r="382" spans="2:11" x14ac:dyDescent="0.25">
      <c r="C382" t="s">
        <v>1864</v>
      </c>
      <c r="D382" t="s">
        <v>2244</v>
      </c>
      <c r="E382" t="s">
        <v>1864</v>
      </c>
      <c r="F382" t="s">
        <v>323</v>
      </c>
      <c r="G382" t="str">
        <f t="shared" si="27"/>
        <v>C</v>
      </c>
      <c r="H382" t="str">
        <f t="shared" si="28"/>
        <v>13</v>
      </c>
      <c r="I382" t="str">
        <f t="shared" si="29"/>
        <v>131</v>
      </c>
      <c r="J382" t="str">
        <f t="shared" si="30"/>
        <v>13138</v>
      </c>
      <c r="K382" t="str">
        <f t="shared" si="26"/>
        <v/>
      </c>
    </row>
    <row r="383" spans="2:11" x14ac:dyDescent="0.25">
      <c r="C383" t="s">
        <v>1864</v>
      </c>
      <c r="D383" t="s">
        <v>1864</v>
      </c>
      <c r="E383" t="s">
        <v>2245</v>
      </c>
      <c r="F383" t="s">
        <v>323</v>
      </c>
      <c r="G383" t="str">
        <f t="shared" si="27"/>
        <v>C</v>
      </c>
      <c r="H383" t="str">
        <f t="shared" si="28"/>
        <v>13</v>
      </c>
      <c r="I383" t="str">
        <f t="shared" si="29"/>
        <v>131</v>
      </c>
      <c r="J383" t="str">
        <f t="shared" si="30"/>
        <v>13138</v>
      </c>
      <c r="K383" t="str">
        <f t="shared" si="26"/>
        <v>1313800</v>
      </c>
    </row>
    <row r="384" spans="2:11" x14ac:dyDescent="0.25">
      <c r="C384" t="s">
        <v>1864</v>
      </c>
      <c r="D384" t="s">
        <v>2246</v>
      </c>
      <c r="E384" t="s">
        <v>1864</v>
      </c>
      <c r="F384" t="s">
        <v>324</v>
      </c>
      <c r="G384" t="str">
        <f t="shared" si="27"/>
        <v>C</v>
      </c>
      <c r="H384" t="str">
        <f t="shared" si="28"/>
        <v>13</v>
      </c>
      <c r="I384" t="str">
        <f t="shared" si="29"/>
        <v>131</v>
      </c>
      <c r="J384" t="str">
        <f t="shared" si="30"/>
        <v>13146</v>
      </c>
      <c r="K384" t="str">
        <f t="shared" si="26"/>
        <v/>
      </c>
    </row>
    <row r="385" spans="3:11" x14ac:dyDescent="0.25">
      <c r="C385" t="s">
        <v>1864</v>
      </c>
      <c r="D385" t="s">
        <v>1864</v>
      </c>
      <c r="E385" t="s">
        <v>2247</v>
      </c>
      <c r="F385" t="s">
        <v>324</v>
      </c>
      <c r="G385" t="str">
        <f t="shared" si="27"/>
        <v>C</v>
      </c>
      <c r="H385" t="str">
        <f t="shared" si="28"/>
        <v>13</v>
      </c>
      <c r="I385" t="str">
        <f t="shared" si="29"/>
        <v>131</v>
      </c>
      <c r="J385" t="str">
        <f t="shared" si="30"/>
        <v>13146</v>
      </c>
      <c r="K385" t="str">
        <f t="shared" si="26"/>
        <v>1314600</v>
      </c>
    </row>
    <row r="386" spans="3:11" x14ac:dyDescent="0.25">
      <c r="C386" t="s">
        <v>2248</v>
      </c>
      <c r="D386" t="s">
        <v>1864</v>
      </c>
      <c r="E386" t="s">
        <v>1864</v>
      </c>
      <c r="F386" t="s">
        <v>325</v>
      </c>
      <c r="G386" t="str">
        <f t="shared" si="27"/>
        <v>C</v>
      </c>
      <c r="H386" t="str">
        <f t="shared" si="28"/>
        <v>13</v>
      </c>
      <c r="I386" t="str">
        <f t="shared" si="29"/>
        <v>132</v>
      </c>
      <c r="J386" t="str">
        <f t="shared" si="30"/>
        <v>13146</v>
      </c>
      <c r="K386" t="str">
        <f t="shared" si="26"/>
        <v/>
      </c>
    </row>
    <row r="387" spans="3:11" x14ac:dyDescent="0.25">
      <c r="C387" t="s">
        <v>1864</v>
      </c>
      <c r="D387" t="s">
        <v>2249</v>
      </c>
      <c r="E387" t="s">
        <v>1864</v>
      </c>
      <c r="F387" t="s">
        <v>326</v>
      </c>
      <c r="G387" t="str">
        <f t="shared" si="27"/>
        <v>C</v>
      </c>
      <c r="H387" t="str">
        <f t="shared" si="28"/>
        <v>13</v>
      </c>
      <c r="I387" t="str">
        <f t="shared" si="29"/>
        <v>132</v>
      </c>
      <c r="J387" t="str">
        <f t="shared" si="30"/>
        <v>13219</v>
      </c>
      <c r="K387" t="str">
        <f t="shared" si="26"/>
        <v/>
      </c>
    </row>
    <row r="388" spans="3:11" x14ac:dyDescent="0.25">
      <c r="C388" t="s">
        <v>1864</v>
      </c>
      <c r="D388" t="s">
        <v>1864</v>
      </c>
      <c r="E388" t="s">
        <v>2250</v>
      </c>
      <c r="F388" t="s">
        <v>326</v>
      </c>
      <c r="G388" t="str">
        <f t="shared" si="27"/>
        <v>C</v>
      </c>
      <c r="H388" t="str">
        <f t="shared" si="28"/>
        <v>13</v>
      </c>
      <c r="I388" t="str">
        <f t="shared" si="29"/>
        <v>132</v>
      </c>
      <c r="J388" t="str">
        <f t="shared" si="30"/>
        <v>13219</v>
      </c>
      <c r="K388" t="str">
        <f t="shared" si="26"/>
        <v>1321900</v>
      </c>
    </row>
    <row r="389" spans="3:11" x14ac:dyDescent="0.25">
      <c r="C389" t="s">
        <v>1864</v>
      </c>
      <c r="D389" t="s">
        <v>2251</v>
      </c>
      <c r="E389" t="s">
        <v>1864</v>
      </c>
      <c r="F389" t="s">
        <v>327</v>
      </c>
      <c r="G389" t="str">
        <f t="shared" si="27"/>
        <v>C</v>
      </c>
      <c r="H389" t="str">
        <f t="shared" si="28"/>
        <v>13</v>
      </c>
      <c r="I389" t="str">
        <f t="shared" si="29"/>
        <v>132</v>
      </c>
      <c r="J389" t="str">
        <f t="shared" si="30"/>
        <v>13227</v>
      </c>
      <c r="K389" t="str">
        <f t="shared" si="26"/>
        <v/>
      </c>
    </row>
    <row r="390" spans="3:11" x14ac:dyDescent="0.25">
      <c r="C390" t="s">
        <v>1864</v>
      </c>
      <c r="D390" t="s">
        <v>1864</v>
      </c>
      <c r="E390" t="s">
        <v>2252</v>
      </c>
      <c r="F390" t="s">
        <v>327</v>
      </c>
      <c r="G390" t="str">
        <f t="shared" si="27"/>
        <v>C</v>
      </c>
      <c r="H390" t="str">
        <f t="shared" si="28"/>
        <v>13</v>
      </c>
      <c r="I390" t="str">
        <f t="shared" si="29"/>
        <v>132</v>
      </c>
      <c r="J390" t="str">
        <f t="shared" si="30"/>
        <v>13227</v>
      </c>
      <c r="K390" t="str">
        <f t="shared" si="26"/>
        <v>1322700</v>
      </c>
    </row>
    <row r="391" spans="3:11" x14ac:dyDescent="0.25">
      <c r="C391" t="s">
        <v>1864</v>
      </c>
      <c r="D391" t="s">
        <v>2253</v>
      </c>
      <c r="E391" t="s">
        <v>1864</v>
      </c>
      <c r="F391" t="s">
        <v>328</v>
      </c>
      <c r="G391" t="str">
        <f t="shared" si="27"/>
        <v>C</v>
      </c>
      <c r="H391" t="str">
        <f t="shared" si="28"/>
        <v>13</v>
      </c>
      <c r="I391" t="str">
        <f t="shared" si="29"/>
        <v>132</v>
      </c>
      <c r="J391" t="str">
        <f t="shared" si="30"/>
        <v>13235</v>
      </c>
      <c r="K391" t="str">
        <f t="shared" si="26"/>
        <v/>
      </c>
    </row>
    <row r="392" spans="3:11" x14ac:dyDescent="0.25">
      <c r="C392" t="s">
        <v>1864</v>
      </c>
      <c r="D392" t="s">
        <v>1864</v>
      </c>
      <c r="E392" t="s">
        <v>2254</v>
      </c>
      <c r="F392" t="s">
        <v>328</v>
      </c>
      <c r="G392" t="str">
        <f t="shared" si="27"/>
        <v>C</v>
      </c>
      <c r="H392" t="str">
        <f t="shared" si="28"/>
        <v>13</v>
      </c>
      <c r="I392" t="str">
        <f t="shared" si="29"/>
        <v>132</v>
      </c>
      <c r="J392" t="str">
        <f t="shared" si="30"/>
        <v>13235</v>
      </c>
      <c r="K392" t="str">
        <f t="shared" ref="K392:K455" si="31">E392</f>
        <v>1323500</v>
      </c>
    </row>
    <row r="393" spans="3:11" x14ac:dyDescent="0.25">
      <c r="C393" t="s">
        <v>2255</v>
      </c>
      <c r="D393" t="s">
        <v>1864</v>
      </c>
      <c r="E393" t="s">
        <v>1864</v>
      </c>
      <c r="F393" t="s">
        <v>329</v>
      </c>
      <c r="G393" t="str">
        <f t="shared" ref="G393:G456" si="32">IF(A393="",G392,A393)</f>
        <v>C</v>
      </c>
      <c r="H393" t="str">
        <f t="shared" ref="H393:H456" si="33">IF(B393="",H392,B393)</f>
        <v>13</v>
      </c>
      <c r="I393" t="str">
        <f t="shared" ref="I393:I456" si="34">IF(C393="",I392,C393)</f>
        <v>133</v>
      </c>
      <c r="J393" t="str">
        <f t="shared" ref="J393:J456" si="35">IF(D393="",J392,D393)</f>
        <v>13235</v>
      </c>
      <c r="K393" t="str">
        <f t="shared" si="31"/>
        <v/>
      </c>
    </row>
    <row r="394" spans="3:11" x14ac:dyDescent="0.25">
      <c r="C394" t="s">
        <v>1864</v>
      </c>
      <c r="D394" t="s">
        <v>2256</v>
      </c>
      <c r="E394" t="s">
        <v>1864</v>
      </c>
      <c r="F394" t="s">
        <v>329</v>
      </c>
      <c r="G394" t="str">
        <f t="shared" si="32"/>
        <v>C</v>
      </c>
      <c r="H394" t="str">
        <f t="shared" si="33"/>
        <v>13</v>
      </c>
      <c r="I394" t="str">
        <f t="shared" si="34"/>
        <v>133</v>
      </c>
      <c r="J394" t="str">
        <f t="shared" si="35"/>
        <v>13308</v>
      </c>
      <c r="K394" t="str">
        <f t="shared" si="31"/>
        <v/>
      </c>
    </row>
    <row r="395" spans="3:11" x14ac:dyDescent="0.25">
      <c r="C395" t="s">
        <v>1864</v>
      </c>
      <c r="D395" t="s">
        <v>1864</v>
      </c>
      <c r="E395" t="s">
        <v>2257</v>
      </c>
      <c r="F395" t="s">
        <v>329</v>
      </c>
      <c r="G395" t="str">
        <f t="shared" si="32"/>
        <v>C</v>
      </c>
      <c r="H395" t="str">
        <f t="shared" si="33"/>
        <v>13</v>
      </c>
      <c r="I395" t="str">
        <f t="shared" si="34"/>
        <v>133</v>
      </c>
      <c r="J395" t="str">
        <f t="shared" si="35"/>
        <v>13308</v>
      </c>
      <c r="K395" t="str">
        <f t="shared" si="31"/>
        <v>1330800</v>
      </c>
    </row>
    <row r="396" spans="3:11" x14ac:dyDescent="0.25">
      <c r="C396" t="s">
        <v>2258</v>
      </c>
      <c r="D396" t="s">
        <v>1864</v>
      </c>
      <c r="E396" t="s">
        <v>1864</v>
      </c>
      <c r="F396" t="s">
        <v>330</v>
      </c>
      <c r="G396" t="str">
        <f t="shared" si="32"/>
        <v>C</v>
      </c>
      <c r="H396" t="str">
        <f t="shared" si="33"/>
        <v>13</v>
      </c>
      <c r="I396" t="str">
        <f t="shared" si="34"/>
        <v>134</v>
      </c>
      <c r="J396" t="str">
        <f t="shared" si="35"/>
        <v>13308</v>
      </c>
      <c r="K396" t="str">
        <f t="shared" si="31"/>
        <v/>
      </c>
    </row>
    <row r="397" spans="3:11" x14ac:dyDescent="0.25">
      <c r="C397" t="s">
        <v>1864</v>
      </c>
      <c r="D397" t="s">
        <v>2259</v>
      </c>
      <c r="E397" t="s">
        <v>1864</v>
      </c>
      <c r="F397" t="s">
        <v>330</v>
      </c>
      <c r="G397" t="str">
        <f t="shared" si="32"/>
        <v>C</v>
      </c>
      <c r="H397" t="str">
        <f t="shared" si="33"/>
        <v>13</v>
      </c>
      <c r="I397" t="str">
        <f t="shared" si="34"/>
        <v>134</v>
      </c>
      <c r="J397" t="str">
        <f t="shared" si="35"/>
        <v>13405</v>
      </c>
      <c r="K397" t="str">
        <f t="shared" si="31"/>
        <v/>
      </c>
    </row>
    <row r="398" spans="3:11" x14ac:dyDescent="0.25">
      <c r="C398" t="s">
        <v>1864</v>
      </c>
      <c r="D398" t="s">
        <v>1864</v>
      </c>
      <c r="E398" t="s">
        <v>2260</v>
      </c>
      <c r="F398" t="s">
        <v>331</v>
      </c>
      <c r="G398" t="str">
        <f t="shared" si="32"/>
        <v>C</v>
      </c>
      <c r="H398" t="str">
        <f t="shared" si="33"/>
        <v>13</v>
      </c>
      <c r="I398" t="str">
        <f t="shared" si="34"/>
        <v>134</v>
      </c>
      <c r="J398" t="str">
        <f t="shared" si="35"/>
        <v>13405</v>
      </c>
      <c r="K398" t="str">
        <f t="shared" si="31"/>
        <v>1340501</v>
      </c>
    </row>
    <row r="399" spans="3:11" x14ac:dyDescent="0.25">
      <c r="C399" t="s">
        <v>1864</v>
      </c>
      <c r="D399" t="s">
        <v>1864</v>
      </c>
      <c r="E399" t="s">
        <v>2261</v>
      </c>
      <c r="F399" t="s">
        <v>332</v>
      </c>
      <c r="G399" t="str">
        <f t="shared" si="32"/>
        <v>C</v>
      </c>
      <c r="H399" t="str">
        <f t="shared" si="33"/>
        <v>13</v>
      </c>
      <c r="I399" t="str">
        <f t="shared" si="34"/>
        <v>134</v>
      </c>
      <c r="J399" t="str">
        <f t="shared" si="35"/>
        <v>13405</v>
      </c>
      <c r="K399" t="str">
        <f t="shared" si="31"/>
        <v>1340502</v>
      </c>
    </row>
    <row r="400" spans="3:11" x14ac:dyDescent="0.25">
      <c r="C400" t="s">
        <v>1864</v>
      </c>
      <c r="D400" t="s">
        <v>1864</v>
      </c>
      <c r="E400" t="s">
        <v>2262</v>
      </c>
      <c r="F400" t="s">
        <v>333</v>
      </c>
      <c r="G400" t="str">
        <f t="shared" si="32"/>
        <v>C</v>
      </c>
      <c r="H400" t="str">
        <f t="shared" si="33"/>
        <v>13</v>
      </c>
      <c r="I400" t="str">
        <f t="shared" si="34"/>
        <v>134</v>
      </c>
      <c r="J400" t="str">
        <f t="shared" si="35"/>
        <v>13405</v>
      </c>
      <c r="K400" t="str">
        <f t="shared" si="31"/>
        <v>1340599</v>
      </c>
    </row>
    <row r="401" spans="2:11" x14ac:dyDescent="0.25">
      <c r="C401" t="s">
        <v>2263</v>
      </c>
      <c r="D401" t="s">
        <v>1864</v>
      </c>
      <c r="E401" t="s">
        <v>1864</v>
      </c>
      <c r="F401" t="s">
        <v>334</v>
      </c>
      <c r="G401" t="str">
        <f t="shared" si="32"/>
        <v>C</v>
      </c>
      <c r="H401" t="str">
        <f t="shared" si="33"/>
        <v>13</v>
      </c>
      <c r="I401" t="str">
        <f t="shared" si="34"/>
        <v>135</v>
      </c>
      <c r="J401" t="str">
        <f t="shared" si="35"/>
        <v>13405</v>
      </c>
      <c r="K401" t="str">
        <f t="shared" si="31"/>
        <v/>
      </c>
    </row>
    <row r="402" spans="2:11" x14ac:dyDescent="0.25">
      <c r="C402" t="s">
        <v>1864</v>
      </c>
      <c r="D402" t="s">
        <v>2264</v>
      </c>
      <c r="E402" t="s">
        <v>1864</v>
      </c>
      <c r="F402" t="s">
        <v>335</v>
      </c>
      <c r="G402" t="str">
        <f t="shared" si="32"/>
        <v>C</v>
      </c>
      <c r="H402" t="str">
        <f t="shared" si="33"/>
        <v>13</v>
      </c>
      <c r="I402" t="str">
        <f t="shared" si="34"/>
        <v>135</v>
      </c>
      <c r="J402" t="str">
        <f t="shared" si="35"/>
        <v>13511</v>
      </c>
      <c r="K402" t="str">
        <f t="shared" si="31"/>
        <v/>
      </c>
    </row>
    <row r="403" spans="2:11" x14ac:dyDescent="0.25">
      <c r="C403" t="s">
        <v>1864</v>
      </c>
      <c r="D403" t="s">
        <v>1864</v>
      </c>
      <c r="E403" t="s">
        <v>2265</v>
      </c>
      <c r="F403" t="s">
        <v>335</v>
      </c>
      <c r="G403" t="str">
        <f t="shared" si="32"/>
        <v>C</v>
      </c>
      <c r="H403" t="str">
        <f t="shared" si="33"/>
        <v>13</v>
      </c>
      <c r="I403" t="str">
        <f t="shared" si="34"/>
        <v>135</v>
      </c>
      <c r="J403" t="str">
        <f t="shared" si="35"/>
        <v>13511</v>
      </c>
      <c r="K403" t="str">
        <f t="shared" si="31"/>
        <v>1351100</v>
      </c>
    </row>
    <row r="404" spans="2:11" x14ac:dyDescent="0.25">
      <c r="C404" t="s">
        <v>1864</v>
      </c>
      <c r="D404" t="s">
        <v>2266</v>
      </c>
      <c r="E404" t="s">
        <v>1864</v>
      </c>
      <c r="F404" t="s">
        <v>336</v>
      </c>
      <c r="G404" t="str">
        <f t="shared" si="32"/>
        <v>C</v>
      </c>
      <c r="H404" t="str">
        <f t="shared" si="33"/>
        <v>13</v>
      </c>
      <c r="I404" t="str">
        <f t="shared" si="34"/>
        <v>135</v>
      </c>
      <c r="J404" t="str">
        <f t="shared" si="35"/>
        <v>13529</v>
      </c>
      <c r="K404" t="str">
        <f t="shared" si="31"/>
        <v/>
      </c>
    </row>
    <row r="405" spans="2:11" x14ac:dyDescent="0.25">
      <c r="C405" t="s">
        <v>1864</v>
      </c>
      <c r="D405" t="s">
        <v>1864</v>
      </c>
      <c r="E405" t="s">
        <v>2267</v>
      </c>
      <c r="F405" t="s">
        <v>336</v>
      </c>
      <c r="G405" t="str">
        <f t="shared" si="32"/>
        <v>C</v>
      </c>
      <c r="H405" t="str">
        <f t="shared" si="33"/>
        <v>13</v>
      </c>
      <c r="I405" t="str">
        <f t="shared" si="34"/>
        <v>135</v>
      </c>
      <c r="J405" t="str">
        <f t="shared" si="35"/>
        <v>13529</v>
      </c>
      <c r="K405" t="str">
        <f t="shared" si="31"/>
        <v>1352900</v>
      </c>
    </row>
    <row r="406" spans="2:11" x14ac:dyDescent="0.25">
      <c r="C406" t="s">
        <v>1864</v>
      </c>
      <c r="D406" t="s">
        <v>2268</v>
      </c>
      <c r="E406" t="s">
        <v>1864</v>
      </c>
      <c r="F406" t="s">
        <v>337</v>
      </c>
      <c r="G406" t="str">
        <f t="shared" si="32"/>
        <v>C</v>
      </c>
      <c r="H406" t="str">
        <f t="shared" si="33"/>
        <v>13</v>
      </c>
      <c r="I406" t="str">
        <f t="shared" si="34"/>
        <v>135</v>
      </c>
      <c r="J406" t="str">
        <f t="shared" si="35"/>
        <v>13537</v>
      </c>
      <c r="K406" t="str">
        <f t="shared" si="31"/>
        <v/>
      </c>
    </row>
    <row r="407" spans="2:11" x14ac:dyDescent="0.25">
      <c r="C407" t="s">
        <v>1864</v>
      </c>
      <c r="D407" t="s">
        <v>1864</v>
      </c>
      <c r="E407" t="s">
        <v>2269</v>
      </c>
      <c r="F407" t="s">
        <v>337</v>
      </c>
      <c r="G407" t="str">
        <f t="shared" si="32"/>
        <v>C</v>
      </c>
      <c r="H407" t="str">
        <f t="shared" si="33"/>
        <v>13</v>
      </c>
      <c r="I407" t="str">
        <f t="shared" si="34"/>
        <v>135</v>
      </c>
      <c r="J407" t="str">
        <f t="shared" si="35"/>
        <v>13537</v>
      </c>
      <c r="K407" t="str">
        <f t="shared" si="31"/>
        <v>1353700</v>
      </c>
    </row>
    <row r="408" spans="2:11" x14ac:dyDescent="0.25">
      <c r="C408" t="s">
        <v>1864</v>
      </c>
      <c r="D408" t="s">
        <v>2270</v>
      </c>
      <c r="E408" t="s">
        <v>1864</v>
      </c>
      <c r="F408" t="s">
        <v>338</v>
      </c>
      <c r="G408" t="str">
        <f t="shared" si="32"/>
        <v>C</v>
      </c>
      <c r="H408" t="str">
        <f t="shared" si="33"/>
        <v>13</v>
      </c>
      <c r="I408" t="str">
        <f t="shared" si="34"/>
        <v>135</v>
      </c>
      <c r="J408" t="str">
        <f t="shared" si="35"/>
        <v>13545</v>
      </c>
      <c r="K408" t="str">
        <f t="shared" si="31"/>
        <v/>
      </c>
    </row>
    <row r="409" spans="2:11" x14ac:dyDescent="0.25">
      <c r="C409" t="s">
        <v>1864</v>
      </c>
      <c r="D409" t="s">
        <v>1864</v>
      </c>
      <c r="E409" t="s">
        <v>2271</v>
      </c>
      <c r="F409" t="s">
        <v>338</v>
      </c>
      <c r="G409" t="str">
        <f t="shared" si="32"/>
        <v>C</v>
      </c>
      <c r="H409" t="str">
        <f t="shared" si="33"/>
        <v>13</v>
      </c>
      <c r="I409" t="str">
        <f t="shared" si="34"/>
        <v>135</v>
      </c>
      <c r="J409" t="str">
        <f t="shared" si="35"/>
        <v>13545</v>
      </c>
      <c r="K409" t="str">
        <f t="shared" si="31"/>
        <v>1354500</v>
      </c>
    </row>
    <row r="410" spans="2:11" x14ac:dyDescent="0.25">
      <c r="C410" t="s">
        <v>1864</v>
      </c>
      <c r="D410" t="s">
        <v>2272</v>
      </c>
      <c r="E410" t="s">
        <v>1864</v>
      </c>
      <c r="F410" t="s">
        <v>339</v>
      </c>
      <c r="G410" t="str">
        <f t="shared" si="32"/>
        <v>C</v>
      </c>
      <c r="H410" t="str">
        <f t="shared" si="33"/>
        <v>13</v>
      </c>
      <c r="I410" t="str">
        <f t="shared" si="34"/>
        <v>135</v>
      </c>
      <c r="J410" t="str">
        <f t="shared" si="35"/>
        <v>13596</v>
      </c>
      <c r="K410" t="str">
        <f t="shared" si="31"/>
        <v/>
      </c>
    </row>
    <row r="411" spans="2:11" x14ac:dyDescent="0.25">
      <c r="C411" t="s">
        <v>1864</v>
      </c>
      <c r="D411" t="s">
        <v>1864</v>
      </c>
      <c r="E411" t="s">
        <v>2273</v>
      </c>
      <c r="F411" t="s">
        <v>339</v>
      </c>
      <c r="G411" t="str">
        <f t="shared" si="32"/>
        <v>C</v>
      </c>
      <c r="H411" t="str">
        <f t="shared" si="33"/>
        <v>13</v>
      </c>
      <c r="I411" t="str">
        <f t="shared" si="34"/>
        <v>135</v>
      </c>
      <c r="J411" t="str">
        <f t="shared" si="35"/>
        <v>13596</v>
      </c>
      <c r="K411" t="str">
        <f t="shared" si="31"/>
        <v>1359600</v>
      </c>
    </row>
    <row r="412" spans="2:11" x14ac:dyDescent="0.25">
      <c r="B412" t="s">
        <v>2274</v>
      </c>
      <c r="C412" t="s">
        <v>1864</v>
      </c>
      <c r="D412" t="s">
        <v>1864</v>
      </c>
      <c r="E412" t="s">
        <v>1864</v>
      </c>
      <c r="F412" t="s">
        <v>340</v>
      </c>
      <c r="G412" t="str">
        <f t="shared" si="32"/>
        <v>C</v>
      </c>
      <c r="H412" t="str">
        <f t="shared" si="33"/>
        <v>14</v>
      </c>
      <c r="I412" t="str">
        <f t="shared" si="34"/>
        <v>135</v>
      </c>
      <c r="J412" t="str">
        <f t="shared" si="35"/>
        <v>13596</v>
      </c>
      <c r="K412" t="str">
        <f t="shared" si="31"/>
        <v/>
      </c>
    </row>
    <row r="413" spans="2:11" x14ac:dyDescent="0.25">
      <c r="C413" t="s">
        <v>2275</v>
      </c>
      <c r="D413" t="s">
        <v>1864</v>
      </c>
      <c r="E413" t="s">
        <v>1864</v>
      </c>
      <c r="F413" t="s">
        <v>341</v>
      </c>
      <c r="G413" t="str">
        <f t="shared" si="32"/>
        <v>C</v>
      </c>
      <c r="H413" t="str">
        <f t="shared" si="33"/>
        <v>14</v>
      </c>
      <c r="I413" t="str">
        <f t="shared" si="34"/>
        <v>141</v>
      </c>
      <c r="J413" t="str">
        <f t="shared" si="35"/>
        <v>13596</v>
      </c>
      <c r="K413" t="str">
        <f t="shared" si="31"/>
        <v/>
      </c>
    </row>
    <row r="414" spans="2:11" x14ac:dyDescent="0.25">
      <c r="C414" t="s">
        <v>1864</v>
      </c>
      <c r="D414" t="s">
        <v>2276</v>
      </c>
      <c r="E414" t="s">
        <v>1864</v>
      </c>
      <c r="F414" t="s">
        <v>342</v>
      </c>
      <c r="G414" t="str">
        <f t="shared" si="32"/>
        <v>C</v>
      </c>
      <c r="H414" t="str">
        <f t="shared" si="33"/>
        <v>14</v>
      </c>
      <c r="I414" t="str">
        <f t="shared" si="34"/>
        <v>141</v>
      </c>
      <c r="J414" t="str">
        <f t="shared" si="35"/>
        <v>14118</v>
      </c>
      <c r="K414" t="str">
        <f t="shared" si="31"/>
        <v/>
      </c>
    </row>
    <row r="415" spans="2:11" x14ac:dyDescent="0.25">
      <c r="C415" t="s">
        <v>1864</v>
      </c>
      <c r="D415" t="s">
        <v>1864</v>
      </c>
      <c r="E415" t="s">
        <v>2277</v>
      </c>
      <c r="F415" t="s">
        <v>342</v>
      </c>
      <c r="G415" t="str">
        <f t="shared" si="32"/>
        <v>C</v>
      </c>
      <c r="H415" t="str">
        <f t="shared" si="33"/>
        <v>14</v>
      </c>
      <c r="I415" t="str">
        <f t="shared" si="34"/>
        <v>141</v>
      </c>
      <c r="J415" t="str">
        <f t="shared" si="35"/>
        <v>14118</v>
      </c>
      <c r="K415" t="str">
        <f t="shared" si="31"/>
        <v>1411801</v>
      </c>
    </row>
    <row r="416" spans="2:11" x14ac:dyDescent="0.25">
      <c r="C416" t="s">
        <v>1864</v>
      </c>
      <c r="D416" t="s">
        <v>1864</v>
      </c>
      <c r="E416" t="s">
        <v>2278</v>
      </c>
      <c r="F416" t="s">
        <v>343</v>
      </c>
      <c r="G416" t="str">
        <f t="shared" si="32"/>
        <v>C</v>
      </c>
      <c r="H416" t="str">
        <f t="shared" si="33"/>
        <v>14</v>
      </c>
      <c r="I416" t="str">
        <f t="shared" si="34"/>
        <v>141</v>
      </c>
      <c r="J416" t="str">
        <f t="shared" si="35"/>
        <v>14118</v>
      </c>
      <c r="K416" t="str">
        <f t="shared" si="31"/>
        <v>1411802</v>
      </c>
    </row>
    <row r="417" spans="2:11" x14ac:dyDescent="0.25">
      <c r="C417" t="s">
        <v>1864</v>
      </c>
      <c r="D417" t="s">
        <v>2279</v>
      </c>
      <c r="E417" t="s">
        <v>1864</v>
      </c>
      <c r="F417" t="s">
        <v>344</v>
      </c>
      <c r="G417" t="str">
        <f t="shared" si="32"/>
        <v>C</v>
      </c>
      <c r="H417" t="str">
        <f t="shared" si="33"/>
        <v>14</v>
      </c>
      <c r="I417" t="str">
        <f t="shared" si="34"/>
        <v>141</v>
      </c>
      <c r="J417" t="str">
        <f t="shared" si="35"/>
        <v>14126</v>
      </c>
      <c r="K417" t="str">
        <f t="shared" si="31"/>
        <v/>
      </c>
    </row>
    <row r="418" spans="2:11" x14ac:dyDescent="0.25">
      <c r="C418" t="s">
        <v>1864</v>
      </c>
      <c r="D418" t="s">
        <v>1864</v>
      </c>
      <c r="E418" t="s">
        <v>2280</v>
      </c>
      <c r="F418" t="s">
        <v>345</v>
      </c>
      <c r="G418" t="str">
        <f t="shared" si="32"/>
        <v>C</v>
      </c>
      <c r="H418" t="str">
        <f t="shared" si="33"/>
        <v>14</v>
      </c>
      <c r="I418" t="str">
        <f t="shared" si="34"/>
        <v>141</v>
      </c>
      <c r="J418" t="str">
        <f t="shared" si="35"/>
        <v>14126</v>
      </c>
      <c r="K418" t="str">
        <f t="shared" si="31"/>
        <v>1412601</v>
      </c>
    </row>
    <row r="419" spans="2:11" x14ac:dyDescent="0.25">
      <c r="C419" t="s">
        <v>1864</v>
      </c>
      <c r="D419" t="s">
        <v>1864</v>
      </c>
      <c r="E419" t="s">
        <v>2281</v>
      </c>
      <c r="F419" t="s">
        <v>346</v>
      </c>
      <c r="G419" t="str">
        <f t="shared" si="32"/>
        <v>C</v>
      </c>
      <c r="H419" t="str">
        <f t="shared" si="33"/>
        <v>14</v>
      </c>
      <c r="I419" t="str">
        <f t="shared" si="34"/>
        <v>141</v>
      </c>
      <c r="J419" t="str">
        <f t="shared" si="35"/>
        <v>14126</v>
      </c>
      <c r="K419" t="str">
        <f t="shared" si="31"/>
        <v>1412602</v>
      </c>
    </row>
    <row r="420" spans="2:11" x14ac:dyDescent="0.25">
      <c r="C420" t="s">
        <v>1864</v>
      </c>
      <c r="D420" t="s">
        <v>1864</v>
      </c>
      <c r="E420" t="s">
        <v>2282</v>
      </c>
      <c r="F420" t="s">
        <v>347</v>
      </c>
      <c r="G420" t="str">
        <f t="shared" si="32"/>
        <v>C</v>
      </c>
      <c r="H420" t="str">
        <f t="shared" si="33"/>
        <v>14</v>
      </c>
      <c r="I420" t="str">
        <f t="shared" si="34"/>
        <v>141</v>
      </c>
      <c r="J420" t="str">
        <f t="shared" si="35"/>
        <v>14126</v>
      </c>
      <c r="K420" t="str">
        <f t="shared" si="31"/>
        <v>1412603</v>
      </c>
    </row>
    <row r="421" spans="2:11" x14ac:dyDescent="0.25">
      <c r="C421" t="s">
        <v>1864</v>
      </c>
      <c r="D421" t="s">
        <v>2283</v>
      </c>
      <c r="E421" t="s">
        <v>1864</v>
      </c>
      <c r="F421" t="s">
        <v>348</v>
      </c>
      <c r="G421" t="str">
        <f t="shared" si="32"/>
        <v>C</v>
      </c>
      <c r="H421" t="str">
        <f t="shared" si="33"/>
        <v>14</v>
      </c>
      <c r="I421" t="str">
        <f t="shared" si="34"/>
        <v>141</v>
      </c>
      <c r="J421" t="str">
        <f t="shared" si="35"/>
        <v>14134</v>
      </c>
      <c r="K421" t="str">
        <f t="shared" si="31"/>
        <v/>
      </c>
    </row>
    <row r="422" spans="2:11" x14ac:dyDescent="0.25">
      <c r="C422" t="s">
        <v>1864</v>
      </c>
      <c r="D422" t="s">
        <v>1864</v>
      </c>
      <c r="E422" t="s">
        <v>2284</v>
      </c>
      <c r="F422" t="s">
        <v>349</v>
      </c>
      <c r="G422" t="str">
        <f t="shared" si="32"/>
        <v>C</v>
      </c>
      <c r="H422" t="str">
        <f t="shared" si="33"/>
        <v>14</v>
      </c>
      <c r="I422" t="str">
        <f t="shared" si="34"/>
        <v>141</v>
      </c>
      <c r="J422" t="str">
        <f t="shared" si="35"/>
        <v>14134</v>
      </c>
      <c r="K422" t="str">
        <f t="shared" si="31"/>
        <v>1413401</v>
      </c>
    </row>
    <row r="423" spans="2:11" x14ac:dyDescent="0.25">
      <c r="C423" t="s">
        <v>1864</v>
      </c>
      <c r="D423" t="s">
        <v>1864</v>
      </c>
      <c r="E423" t="s">
        <v>2285</v>
      </c>
      <c r="F423" t="s">
        <v>350</v>
      </c>
      <c r="G423" t="str">
        <f t="shared" si="32"/>
        <v>C</v>
      </c>
      <c r="H423" t="str">
        <f t="shared" si="33"/>
        <v>14</v>
      </c>
      <c r="I423" t="str">
        <f t="shared" si="34"/>
        <v>141</v>
      </c>
      <c r="J423" t="str">
        <f t="shared" si="35"/>
        <v>14134</v>
      </c>
      <c r="K423" t="str">
        <f t="shared" si="31"/>
        <v>1413402</v>
      </c>
    </row>
    <row r="424" spans="2:11" x14ac:dyDescent="0.25">
      <c r="C424" t="s">
        <v>1864</v>
      </c>
      <c r="D424" t="s">
        <v>1864</v>
      </c>
      <c r="E424" t="s">
        <v>2286</v>
      </c>
      <c r="F424" t="s">
        <v>351</v>
      </c>
      <c r="G424" t="str">
        <f t="shared" si="32"/>
        <v>C</v>
      </c>
      <c r="H424" t="str">
        <f t="shared" si="33"/>
        <v>14</v>
      </c>
      <c r="I424" t="str">
        <f t="shared" si="34"/>
        <v>141</v>
      </c>
      <c r="J424" t="str">
        <f t="shared" si="35"/>
        <v>14134</v>
      </c>
      <c r="K424" t="str">
        <f t="shared" si="31"/>
        <v>1413403</v>
      </c>
    </row>
    <row r="425" spans="2:11" x14ac:dyDescent="0.25">
      <c r="C425" t="s">
        <v>1864</v>
      </c>
      <c r="D425" t="s">
        <v>2287</v>
      </c>
      <c r="E425" t="s">
        <v>1864</v>
      </c>
      <c r="F425" t="s">
        <v>352</v>
      </c>
      <c r="G425" t="str">
        <f t="shared" si="32"/>
        <v>C</v>
      </c>
      <c r="H425" t="str">
        <f t="shared" si="33"/>
        <v>14</v>
      </c>
      <c r="I425" t="str">
        <f t="shared" si="34"/>
        <v>141</v>
      </c>
      <c r="J425" t="str">
        <f t="shared" si="35"/>
        <v>14142</v>
      </c>
      <c r="K425" t="str">
        <f t="shared" si="31"/>
        <v/>
      </c>
    </row>
    <row r="426" spans="2:11" x14ac:dyDescent="0.25">
      <c r="C426" t="s">
        <v>1864</v>
      </c>
      <c r="D426" t="s">
        <v>1864</v>
      </c>
      <c r="E426" t="s">
        <v>2288</v>
      </c>
      <c r="F426" t="s">
        <v>352</v>
      </c>
      <c r="G426" t="str">
        <f t="shared" si="32"/>
        <v>C</v>
      </c>
      <c r="H426" t="str">
        <f t="shared" si="33"/>
        <v>14</v>
      </c>
      <c r="I426" t="str">
        <f t="shared" si="34"/>
        <v>141</v>
      </c>
      <c r="J426" t="str">
        <f t="shared" si="35"/>
        <v>14142</v>
      </c>
      <c r="K426" t="str">
        <f t="shared" si="31"/>
        <v>1414200</v>
      </c>
    </row>
    <row r="427" spans="2:11" x14ac:dyDescent="0.25">
      <c r="C427" t="s">
        <v>2289</v>
      </c>
      <c r="D427" t="s">
        <v>1864</v>
      </c>
      <c r="E427" t="s">
        <v>1864</v>
      </c>
      <c r="F427" t="s">
        <v>353</v>
      </c>
      <c r="G427" t="str">
        <f t="shared" si="32"/>
        <v>C</v>
      </c>
      <c r="H427" t="str">
        <f t="shared" si="33"/>
        <v>14</v>
      </c>
      <c r="I427" t="str">
        <f t="shared" si="34"/>
        <v>142</v>
      </c>
      <c r="J427" t="str">
        <f t="shared" si="35"/>
        <v>14142</v>
      </c>
      <c r="K427" t="str">
        <f t="shared" si="31"/>
        <v/>
      </c>
    </row>
    <row r="428" spans="2:11" x14ac:dyDescent="0.25">
      <c r="C428" t="s">
        <v>1864</v>
      </c>
      <c r="D428" t="s">
        <v>2290</v>
      </c>
      <c r="E428" t="s">
        <v>1864</v>
      </c>
      <c r="F428" t="s">
        <v>354</v>
      </c>
      <c r="G428" t="str">
        <f t="shared" si="32"/>
        <v>C</v>
      </c>
      <c r="H428" t="str">
        <f t="shared" si="33"/>
        <v>14</v>
      </c>
      <c r="I428" t="str">
        <f t="shared" si="34"/>
        <v>142</v>
      </c>
      <c r="J428" t="str">
        <f t="shared" si="35"/>
        <v>14215</v>
      </c>
      <c r="K428" t="str">
        <f t="shared" si="31"/>
        <v/>
      </c>
    </row>
    <row r="429" spans="2:11" x14ac:dyDescent="0.25">
      <c r="C429" t="s">
        <v>1864</v>
      </c>
      <c r="D429" t="s">
        <v>1864</v>
      </c>
      <c r="E429" t="s">
        <v>2291</v>
      </c>
      <c r="F429" t="s">
        <v>354</v>
      </c>
      <c r="G429" t="str">
        <f t="shared" si="32"/>
        <v>C</v>
      </c>
      <c r="H429" t="str">
        <f t="shared" si="33"/>
        <v>14</v>
      </c>
      <c r="I429" t="str">
        <f t="shared" si="34"/>
        <v>142</v>
      </c>
      <c r="J429" t="str">
        <f t="shared" si="35"/>
        <v>14215</v>
      </c>
      <c r="K429" t="str">
        <f t="shared" si="31"/>
        <v>1421500</v>
      </c>
    </row>
    <row r="430" spans="2:11" x14ac:dyDescent="0.25">
      <c r="C430" t="s">
        <v>1864</v>
      </c>
      <c r="D430" t="s">
        <v>2292</v>
      </c>
      <c r="E430" t="s">
        <v>1864</v>
      </c>
      <c r="F430" t="s">
        <v>355</v>
      </c>
      <c r="G430" t="str">
        <f t="shared" si="32"/>
        <v>C</v>
      </c>
      <c r="H430" t="str">
        <f t="shared" si="33"/>
        <v>14</v>
      </c>
      <c r="I430" t="str">
        <f t="shared" si="34"/>
        <v>142</v>
      </c>
      <c r="J430" t="str">
        <f t="shared" si="35"/>
        <v>14223</v>
      </c>
      <c r="K430" t="str">
        <f t="shared" si="31"/>
        <v/>
      </c>
    </row>
    <row r="431" spans="2:11" x14ac:dyDescent="0.25">
      <c r="C431" t="s">
        <v>1864</v>
      </c>
      <c r="D431" t="s">
        <v>1864</v>
      </c>
      <c r="E431" t="s">
        <v>2293</v>
      </c>
      <c r="F431" t="s">
        <v>355</v>
      </c>
      <c r="G431" t="str">
        <f t="shared" si="32"/>
        <v>C</v>
      </c>
      <c r="H431" t="str">
        <f t="shared" si="33"/>
        <v>14</v>
      </c>
      <c r="I431" t="str">
        <f t="shared" si="34"/>
        <v>142</v>
      </c>
      <c r="J431" t="str">
        <f t="shared" si="35"/>
        <v>14223</v>
      </c>
      <c r="K431" t="str">
        <f t="shared" si="31"/>
        <v>1422300</v>
      </c>
    </row>
    <row r="432" spans="2:11" x14ac:dyDescent="0.25">
      <c r="B432" t="s">
        <v>2294</v>
      </c>
      <c r="C432" t="s">
        <v>1864</v>
      </c>
      <c r="D432" t="s">
        <v>1864</v>
      </c>
      <c r="E432" t="s">
        <v>1864</v>
      </c>
      <c r="F432" t="s">
        <v>356</v>
      </c>
      <c r="G432" t="str">
        <f t="shared" si="32"/>
        <v>C</v>
      </c>
      <c r="H432" t="str">
        <f t="shared" si="33"/>
        <v>15</v>
      </c>
      <c r="I432" t="str">
        <f t="shared" si="34"/>
        <v>142</v>
      </c>
      <c r="J432" t="str">
        <f t="shared" si="35"/>
        <v>14223</v>
      </c>
      <c r="K432" t="str">
        <f t="shared" si="31"/>
        <v/>
      </c>
    </row>
    <row r="433" spans="3:11" x14ac:dyDescent="0.25">
      <c r="C433" t="s">
        <v>2295</v>
      </c>
      <c r="D433" t="s">
        <v>1864</v>
      </c>
      <c r="E433" t="s">
        <v>1864</v>
      </c>
      <c r="F433" t="s">
        <v>357</v>
      </c>
      <c r="G433" t="str">
        <f t="shared" si="32"/>
        <v>C</v>
      </c>
      <c r="H433" t="str">
        <f t="shared" si="33"/>
        <v>15</v>
      </c>
      <c r="I433" t="str">
        <f t="shared" si="34"/>
        <v>151</v>
      </c>
      <c r="J433" t="str">
        <f t="shared" si="35"/>
        <v>14223</v>
      </c>
      <c r="K433" t="str">
        <f t="shared" si="31"/>
        <v/>
      </c>
    </row>
    <row r="434" spans="3:11" x14ac:dyDescent="0.25">
      <c r="C434" t="s">
        <v>1864</v>
      </c>
      <c r="D434" t="s">
        <v>2296</v>
      </c>
      <c r="E434" t="s">
        <v>1864</v>
      </c>
      <c r="F434" t="s">
        <v>357</v>
      </c>
      <c r="G434" t="str">
        <f t="shared" si="32"/>
        <v>C</v>
      </c>
      <c r="H434" t="str">
        <f t="shared" si="33"/>
        <v>15</v>
      </c>
      <c r="I434" t="str">
        <f t="shared" si="34"/>
        <v>151</v>
      </c>
      <c r="J434" t="str">
        <f t="shared" si="35"/>
        <v>15106</v>
      </c>
      <c r="K434" t="str">
        <f t="shared" si="31"/>
        <v/>
      </c>
    </row>
    <row r="435" spans="3:11" x14ac:dyDescent="0.25">
      <c r="C435" t="s">
        <v>1864</v>
      </c>
      <c r="D435" t="s">
        <v>1864</v>
      </c>
      <c r="E435" t="s">
        <v>2297</v>
      </c>
      <c r="F435" t="s">
        <v>357</v>
      </c>
      <c r="G435" t="str">
        <f t="shared" si="32"/>
        <v>C</v>
      </c>
      <c r="H435" t="str">
        <f t="shared" si="33"/>
        <v>15</v>
      </c>
      <c r="I435" t="str">
        <f t="shared" si="34"/>
        <v>151</v>
      </c>
      <c r="J435" t="str">
        <f t="shared" si="35"/>
        <v>15106</v>
      </c>
      <c r="K435" t="str">
        <f t="shared" si="31"/>
        <v>1510600</v>
      </c>
    </row>
    <row r="436" spans="3:11" x14ac:dyDescent="0.25">
      <c r="C436" t="s">
        <v>2298</v>
      </c>
      <c r="D436" t="s">
        <v>1864</v>
      </c>
      <c r="E436" t="s">
        <v>1864</v>
      </c>
      <c r="F436" t="s">
        <v>358</v>
      </c>
      <c r="G436" t="str">
        <f t="shared" si="32"/>
        <v>C</v>
      </c>
      <c r="H436" t="str">
        <f t="shared" si="33"/>
        <v>15</v>
      </c>
      <c r="I436" t="str">
        <f t="shared" si="34"/>
        <v>152</v>
      </c>
      <c r="J436" t="str">
        <f t="shared" si="35"/>
        <v>15106</v>
      </c>
      <c r="K436" t="str">
        <f t="shared" si="31"/>
        <v/>
      </c>
    </row>
    <row r="437" spans="3:11" x14ac:dyDescent="0.25">
      <c r="C437" t="s">
        <v>1864</v>
      </c>
      <c r="D437" t="s">
        <v>2299</v>
      </c>
      <c r="E437" t="s">
        <v>1864</v>
      </c>
      <c r="F437" t="s">
        <v>359</v>
      </c>
      <c r="G437" t="str">
        <f t="shared" si="32"/>
        <v>C</v>
      </c>
      <c r="H437" t="str">
        <f t="shared" si="33"/>
        <v>15</v>
      </c>
      <c r="I437" t="str">
        <f t="shared" si="34"/>
        <v>152</v>
      </c>
      <c r="J437" t="str">
        <f t="shared" si="35"/>
        <v>15211</v>
      </c>
      <c r="K437" t="str">
        <f t="shared" si="31"/>
        <v/>
      </c>
    </row>
    <row r="438" spans="3:11" x14ac:dyDescent="0.25">
      <c r="C438" t="s">
        <v>1864</v>
      </c>
      <c r="D438" t="s">
        <v>1864</v>
      </c>
      <c r="E438" t="s">
        <v>2300</v>
      </c>
      <c r="F438" t="s">
        <v>359</v>
      </c>
      <c r="G438" t="str">
        <f t="shared" si="32"/>
        <v>C</v>
      </c>
      <c r="H438" t="str">
        <f t="shared" si="33"/>
        <v>15</v>
      </c>
      <c r="I438" t="str">
        <f t="shared" si="34"/>
        <v>152</v>
      </c>
      <c r="J438" t="str">
        <f t="shared" si="35"/>
        <v>15211</v>
      </c>
      <c r="K438" t="str">
        <f t="shared" si="31"/>
        <v>1521100</v>
      </c>
    </row>
    <row r="439" spans="3:11" x14ac:dyDescent="0.25">
      <c r="C439" t="s">
        <v>1864</v>
      </c>
      <c r="D439" t="s">
        <v>2301</v>
      </c>
      <c r="E439" t="s">
        <v>1864</v>
      </c>
      <c r="F439" t="s">
        <v>360</v>
      </c>
      <c r="G439" t="str">
        <f t="shared" si="32"/>
        <v>C</v>
      </c>
      <c r="H439" t="str">
        <f t="shared" si="33"/>
        <v>15</v>
      </c>
      <c r="I439" t="str">
        <f t="shared" si="34"/>
        <v>152</v>
      </c>
      <c r="J439" t="str">
        <f t="shared" si="35"/>
        <v>15297</v>
      </c>
      <c r="K439" t="str">
        <f t="shared" si="31"/>
        <v/>
      </c>
    </row>
    <row r="440" spans="3:11" x14ac:dyDescent="0.25">
      <c r="C440" t="s">
        <v>1864</v>
      </c>
      <c r="D440" t="s">
        <v>1864</v>
      </c>
      <c r="E440" t="s">
        <v>2302</v>
      </c>
      <c r="F440" t="s">
        <v>360</v>
      </c>
      <c r="G440" t="str">
        <f t="shared" si="32"/>
        <v>C</v>
      </c>
      <c r="H440" t="str">
        <f t="shared" si="33"/>
        <v>15</v>
      </c>
      <c r="I440" t="str">
        <f t="shared" si="34"/>
        <v>152</v>
      </c>
      <c r="J440" t="str">
        <f t="shared" si="35"/>
        <v>15297</v>
      </c>
      <c r="K440" t="str">
        <f t="shared" si="31"/>
        <v>1529700</v>
      </c>
    </row>
    <row r="441" spans="3:11" x14ac:dyDescent="0.25">
      <c r="C441" t="s">
        <v>2303</v>
      </c>
      <c r="D441" t="s">
        <v>1864</v>
      </c>
      <c r="E441" t="s">
        <v>1864</v>
      </c>
      <c r="F441" t="s">
        <v>361</v>
      </c>
      <c r="G441" t="str">
        <f t="shared" si="32"/>
        <v>C</v>
      </c>
      <c r="H441" t="str">
        <f t="shared" si="33"/>
        <v>15</v>
      </c>
      <c r="I441" t="str">
        <f t="shared" si="34"/>
        <v>153</v>
      </c>
      <c r="J441" t="str">
        <f t="shared" si="35"/>
        <v>15297</v>
      </c>
      <c r="K441" t="str">
        <f t="shared" si="31"/>
        <v/>
      </c>
    </row>
    <row r="442" spans="3:11" x14ac:dyDescent="0.25">
      <c r="C442" t="s">
        <v>1864</v>
      </c>
      <c r="D442" t="s">
        <v>2304</v>
      </c>
      <c r="E442" t="s">
        <v>1864</v>
      </c>
      <c r="F442" t="s">
        <v>362</v>
      </c>
      <c r="G442" t="str">
        <f t="shared" si="32"/>
        <v>C</v>
      </c>
      <c r="H442" t="str">
        <f t="shared" si="33"/>
        <v>15</v>
      </c>
      <c r="I442" t="str">
        <f t="shared" si="34"/>
        <v>153</v>
      </c>
      <c r="J442" t="str">
        <f t="shared" si="35"/>
        <v>15319</v>
      </c>
      <c r="K442" t="str">
        <f t="shared" si="31"/>
        <v/>
      </c>
    </row>
    <row r="443" spans="3:11" x14ac:dyDescent="0.25">
      <c r="C443" t="s">
        <v>1864</v>
      </c>
      <c r="D443" t="s">
        <v>1864</v>
      </c>
      <c r="E443" t="s">
        <v>2305</v>
      </c>
      <c r="F443" t="s">
        <v>362</v>
      </c>
      <c r="G443" t="str">
        <f t="shared" si="32"/>
        <v>C</v>
      </c>
      <c r="H443" t="str">
        <f t="shared" si="33"/>
        <v>15</v>
      </c>
      <c r="I443" t="str">
        <f t="shared" si="34"/>
        <v>153</v>
      </c>
      <c r="J443" t="str">
        <f t="shared" si="35"/>
        <v>15319</v>
      </c>
      <c r="K443" t="str">
        <f t="shared" si="31"/>
        <v>1531901</v>
      </c>
    </row>
    <row r="444" spans="3:11" x14ac:dyDescent="0.25">
      <c r="C444" t="s">
        <v>1864</v>
      </c>
      <c r="D444" t="s">
        <v>1864</v>
      </c>
      <c r="E444" t="s">
        <v>2306</v>
      </c>
      <c r="F444" t="s">
        <v>363</v>
      </c>
      <c r="G444" t="str">
        <f t="shared" si="32"/>
        <v>C</v>
      </c>
      <c r="H444" t="str">
        <f t="shared" si="33"/>
        <v>15</v>
      </c>
      <c r="I444" t="str">
        <f t="shared" si="34"/>
        <v>153</v>
      </c>
      <c r="J444" t="str">
        <f t="shared" si="35"/>
        <v>15319</v>
      </c>
      <c r="K444" t="str">
        <f t="shared" si="31"/>
        <v>1531902</v>
      </c>
    </row>
    <row r="445" spans="3:11" x14ac:dyDescent="0.25">
      <c r="C445" t="s">
        <v>1864</v>
      </c>
      <c r="D445" t="s">
        <v>2307</v>
      </c>
      <c r="E445" t="s">
        <v>1864</v>
      </c>
      <c r="F445" t="s">
        <v>364</v>
      </c>
      <c r="G445" t="str">
        <f t="shared" si="32"/>
        <v>C</v>
      </c>
      <c r="H445" t="str">
        <f t="shared" si="33"/>
        <v>15</v>
      </c>
      <c r="I445" t="str">
        <f t="shared" si="34"/>
        <v>153</v>
      </c>
      <c r="J445" t="str">
        <f t="shared" si="35"/>
        <v>15327</v>
      </c>
      <c r="K445" t="str">
        <f t="shared" si="31"/>
        <v/>
      </c>
    </row>
    <row r="446" spans="3:11" x14ac:dyDescent="0.25">
      <c r="C446" t="s">
        <v>1864</v>
      </c>
      <c r="D446" t="s">
        <v>1864</v>
      </c>
      <c r="E446" t="s">
        <v>2308</v>
      </c>
      <c r="F446" t="s">
        <v>364</v>
      </c>
      <c r="G446" t="str">
        <f t="shared" si="32"/>
        <v>C</v>
      </c>
      <c r="H446" t="str">
        <f t="shared" si="33"/>
        <v>15</v>
      </c>
      <c r="I446" t="str">
        <f t="shared" si="34"/>
        <v>153</v>
      </c>
      <c r="J446" t="str">
        <f t="shared" si="35"/>
        <v>15327</v>
      </c>
      <c r="K446" t="str">
        <f t="shared" si="31"/>
        <v>1532700</v>
      </c>
    </row>
    <row r="447" spans="3:11" x14ac:dyDescent="0.25">
      <c r="C447" t="s">
        <v>1864</v>
      </c>
      <c r="D447" t="s">
        <v>2309</v>
      </c>
      <c r="E447" t="s">
        <v>1864</v>
      </c>
      <c r="F447" t="s">
        <v>365</v>
      </c>
      <c r="G447" t="str">
        <f t="shared" si="32"/>
        <v>C</v>
      </c>
      <c r="H447" t="str">
        <f t="shared" si="33"/>
        <v>15</v>
      </c>
      <c r="I447" t="str">
        <f t="shared" si="34"/>
        <v>153</v>
      </c>
      <c r="J447" t="str">
        <f t="shared" si="35"/>
        <v>15335</v>
      </c>
      <c r="K447" t="str">
        <f t="shared" si="31"/>
        <v/>
      </c>
    </row>
    <row r="448" spans="3:11" x14ac:dyDescent="0.25">
      <c r="C448" t="s">
        <v>1864</v>
      </c>
      <c r="D448" t="s">
        <v>1864</v>
      </c>
      <c r="E448" t="s">
        <v>2310</v>
      </c>
      <c r="F448" t="s">
        <v>365</v>
      </c>
      <c r="G448" t="str">
        <f t="shared" si="32"/>
        <v>C</v>
      </c>
      <c r="H448" t="str">
        <f t="shared" si="33"/>
        <v>15</v>
      </c>
      <c r="I448" t="str">
        <f t="shared" si="34"/>
        <v>153</v>
      </c>
      <c r="J448" t="str">
        <f t="shared" si="35"/>
        <v>15335</v>
      </c>
      <c r="K448" t="str">
        <f t="shared" si="31"/>
        <v>1533500</v>
      </c>
    </row>
    <row r="449" spans="2:11" x14ac:dyDescent="0.25">
      <c r="C449" t="s">
        <v>1864</v>
      </c>
      <c r="D449" t="s">
        <v>2311</v>
      </c>
      <c r="E449" t="s">
        <v>1864</v>
      </c>
      <c r="F449" t="s">
        <v>366</v>
      </c>
      <c r="G449" t="str">
        <f t="shared" si="32"/>
        <v>C</v>
      </c>
      <c r="H449" t="str">
        <f t="shared" si="33"/>
        <v>15</v>
      </c>
      <c r="I449" t="str">
        <f t="shared" si="34"/>
        <v>153</v>
      </c>
      <c r="J449" t="str">
        <f t="shared" si="35"/>
        <v>15394</v>
      </c>
      <c r="K449" t="str">
        <f t="shared" si="31"/>
        <v/>
      </c>
    </row>
    <row r="450" spans="2:11" x14ac:dyDescent="0.25">
      <c r="C450" t="s">
        <v>1864</v>
      </c>
      <c r="D450" t="s">
        <v>1864</v>
      </c>
      <c r="E450" t="s">
        <v>2312</v>
      </c>
      <c r="F450" t="s">
        <v>367</v>
      </c>
      <c r="G450" t="str">
        <f t="shared" si="32"/>
        <v>C</v>
      </c>
      <c r="H450" t="str">
        <f t="shared" si="33"/>
        <v>15</v>
      </c>
      <c r="I450" t="str">
        <f t="shared" si="34"/>
        <v>153</v>
      </c>
      <c r="J450" t="str">
        <f t="shared" si="35"/>
        <v>15394</v>
      </c>
      <c r="K450" t="str">
        <f t="shared" si="31"/>
        <v>1539400</v>
      </c>
    </row>
    <row r="451" spans="2:11" x14ac:dyDescent="0.25">
      <c r="C451" t="s">
        <v>2313</v>
      </c>
      <c r="D451" t="s">
        <v>1864</v>
      </c>
      <c r="E451" t="s">
        <v>1864</v>
      </c>
      <c r="F451" t="s">
        <v>368</v>
      </c>
      <c r="G451" t="str">
        <f t="shared" si="32"/>
        <v>C</v>
      </c>
      <c r="H451" t="str">
        <f t="shared" si="33"/>
        <v>15</v>
      </c>
      <c r="I451" t="str">
        <f t="shared" si="34"/>
        <v>154</v>
      </c>
      <c r="J451" t="str">
        <f t="shared" si="35"/>
        <v>15394</v>
      </c>
      <c r="K451" t="str">
        <f t="shared" si="31"/>
        <v/>
      </c>
    </row>
    <row r="452" spans="2:11" x14ac:dyDescent="0.25">
      <c r="C452" t="s">
        <v>1864</v>
      </c>
      <c r="D452" t="s">
        <v>2314</v>
      </c>
      <c r="E452" t="s">
        <v>1864</v>
      </c>
      <c r="F452" t="s">
        <v>368</v>
      </c>
      <c r="G452" t="str">
        <f t="shared" si="32"/>
        <v>C</v>
      </c>
      <c r="H452" t="str">
        <f t="shared" si="33"/>
        <v>15</v>
      </c>
      <c r="I452" t="str">
        <f t="shared" si="34"/>
        <v>154</v>
      </c>
      <c r="J452" t="str">
        <f t="shared" si="35"/>
        <v>15408</v>
      </c>
      <c r="K452" t="str">
        <f t="shared" si="31"/>
        <v/>
      </c>
    </row>
    <row r="453" spans="2:11" x14ac:dyDescent="0.25">
      <c r="C453" t="s">
        <v>1864</v>
      </c>
      <c r="D453" t="s">
        <v>1864</v>
      </c>
      <c r="E453" t="s">
        <v>2315</v>
      </c>
      <c r="F453" t="s">
        <v>368</v>
      </c>
      <c r="G453" t="str">
        <f t="shared" si="32"/>
        <v>C</v>
      </c>
      <c r="H453" t="str">
        <f t="shared" si="33"/>
        <v>15</v>
      </c>
      <c r="I453" t="str">
        <f t="shared" si="34"/>
        <v>154</v>
      </c>
      <c r="J453" t="str">
        <f t="shared" si="35"/>
        <v>15408</v>
      </c>
      <c r="K453" t="str">
        <f t="shared" si="31"/>
        <v>1540800</v>
      </c>
    </row>
    <row r="454" spans="2:11" x14ac:dyDescent="0.25">
      <c r="B454" t="s">
        <v>2316</v>
      </c>
      <c r="C454" t="s">
        <v>1864</v>
      </c>
      <c r="D454" t="s">
        <v>1864</v>
      </c>
      <c r="E454" t="s">
        <v>1864</v>
      </c>
      <c r="F454" t="s">
        <v>369</v>
      </c>
      <c r="G454" t="str">
        <f t="shared" si="32"/>
        <v>C</v>
      </c>
      <c r="H454" t="str">
        <f t="shared" si="33"/>
        <v>16</v>
      </c>
      <c r="I454" t="str">
        <f t="shared" si="34"/>
        <v>154</v>
      </c>
      <c r="J454" t="str">
        <f t="shared" si="35"/>
        <v>15408</v>
      </c>
      <c r="K454" t="str">
        <f t="shared" si="31"/>
        <v/>
      </c>
    </row>
    <row r="455" spans="2:11" x14ac:dyDescent="0.25">
      <c r="C455" t="s">
        <v>2317</v>
      </c>
      <c r="D455" t="s">
        <v>1864</v>
      </c>
      <c r="E455" t="s">
        <v>1864</v>
      </c>
      <c r="F455" t="s">
        <v>370</v>
      </c>
      <c r="G455" t="str">
        <f t="shared" si="32"/>
        <v>C</v>
      </c>
      <c r="H455" t="str">
        <f t="shared" si="33"/>
        <v>16</v>
      </c>
      <c r="I455" t="str">
        <f t="shared" si="34"/>
        <v>161</v>
      </c>
      <c r="J455" t="str">
        <f t="shared" si="35"/>
        <v>15408</v>
      </c>
      <c r="K455" t="str">
        <f t="shared" si="31"/>
        <v/>
      </c>
    </row>
    <row r="456" spans="2:11" x14ac:dyDescent="0.25">
      <c r="C456" t="s">
        <v>1864</v>
      </c>
      <c r="D456" t="s">
        <v>2318</v>
      </c>
      <c r="E456" t="s">
        <v>1864</v>
      </c>
      <c r="F456" t="s">
        <v>370</v>
      </c>
      <c r="G456" t="str">
        <f t="shared" si="32"/>
        <v>C</v>
      </c>
      <c r="H456" t="str">
        <f t="shared" si="33"/>
        <v>16</v>
      </c>
      <c r="I456" t="str">
        <f t="shared" si="34"/>
        <v>161</v>
      </c>
      <c r="J456" t="str">
        <f t="shared" si="35"/>
        <v>16102</v>
      </c>
      <c r="K456" t="str">
        <f t="shared" ref="K456:K519" si="36">E456</f>
        <v/>
      </c>
    </row>
    <row r="457" spans="2:11" x14ac:dyDescent="0.25">
      <c r="C457" t="s">
        <v>1864</v>
      </c>
      <c r="D457" t="s">
        <v>1864</v>
      </c>
      <c r="E457" t="s">
        <v>2319</v>
      </c>
      <c r="F457" t="s">
        <v>371</v>
      </c>
      <c r="G457" t="str">
        <f t="shared" ref="G457:G520" si="37">IF(A457="",G456,A457)</f>
        <v>C</v>
      </c>
      <c r="H457" t="str">
        <f t="shared" ref="H457:H520" si="38">IF(B457="",H456,B457)</f>
        <v>16</v>
      </c>
      <c r="I457" t="str">
        <f t="shared" ref="I457:I520" si="39">IF(C457="",I456,C457)</f>
        <v>161</v>
      </c>
      <c r="J457" t="str">
        <f t="shared" ref="J457:J520" si="40">IF(D457="",J456,D457)</f>
        <v>16102</v>
      </c>
      <c r="K457" t="str">
        <f t="shared" si="36"/>
        <v>1610203</v>
      </c>
    </row>
    <row r="458" spans="2:11" x14ac:dyDescent="0.25">
      <c r="C458" t="s">
        <v>1864</v>
      </c>
      <c r="D458" t="s">
        <v>1864</v>
      </c>
      <c r="E458" t="s">
        <v>2320</v>
      </c>
      <c r="F458" t="s">
        <v>372</v>
      </c>
      <c r="G458" t="str">
        <f t="shared" si="37"/>
        <v>C</v>
      </c>
      <c r="H458" t="str">
        <f t="shared" si="38"/>
        <v>16</v>
      </c>
      <c r="I458" t="str">
        <f t="shared" si="39"/>
        <v>161</v>
      </c>
      <c r="J458" t="str">
        <f t="shared" si="40"/>
        <v>16102</v>
      </c>
      <c r="K458" t="str">
        <f t="shared" si="36"/>
        <v>1610204</v>
      </c>
    </row>
    <row r="459" spans="2:11" x14ac:dyDescent="0.25">
      <c r="C459" t="s">
        <v>1864</v>
      </c>
      <c r="D459" t="s">
        <v>1864</v>
      </c>
      <c r="E459" t="s">
        <v>2321</v>
      </c>
      <c r="F459" t="s">
        <v>373</v>
      </c>
      <c r="G459" t="str">
        <f t="shared" si="37"/>
        <v>C</v>
      </c>
      <c r="H459" t="str">
        <f t="shared" si="38"/>
        <v>16</v>
      </c>
      <c r="I459" t="str">
        <f t="shared" si="39"/>
        <v>161</v>
      </c>
      <c r="J459" t="str">
        <f t="shared" si="40"/>
        <v>16102</v>
      </c>
      <c r="K459" t="str">
        <f t="shared" si="36"/>
        <v>1610205</v>
      </c>
    </row>
    <row r="460" spans="2:11" x14ac:dyDescent="0.25">
      <c r="C460" t="s">
        <v>2322</v>
      </c>
      <c r="D460" t="s">
        <v>1864</v>
      </c>
      <c r="E460" t="s">
        <v>1864</v>
      </c>
      <c r="F460" t="s">
        <v>374</v>
      </c>
      <c r="G460" t="str">
        <f t="shared" si="37"/>
        <v>C</v>
      </c>
      <c r="H460" t="str">
        <f t="shared" si="38"/>
        <v>16</v>
      </c>
      <c r="I460" t="str">
        <f t="shared" si="39"/>
        <v>162</v>
      </c>
      <c r="J460" t="str">
        <f t="shared" si="40"/>
        <v>16102</v>
      </c>
      <c r="K460" t="str">
        <f t="shared" si="36"/>
        <v/>
      </c>
    </row>
    <row r="461" spans="2:11" x14ac:dyDescent="0.25">
      <c r="C461" t="s">
        <v>1864</v>
      </c>
      <c r="D461" t="s">
        <v>2323</v>
      </c>
      <c r="E461" t="s">
        <v>1864</v>
      </c>
      <c r="F461" t="s">
        <v>375</v>
      </c>
      <c r="G461" t="str">
        <f t="shared" si="37"/>
        <v>C</v>
      </c>
      <c r="H461" t="str">
        <f t="shared" si="38"/>
        <v>16</v>
      </c>
      <c r="I461" t="str">
        <f t="shared" si="39"/>
        <v>162</v>
      </c>
      <c r="J461" t="str">
        <f t="shared" si="40"/>
        <v>16218</v>
      </c>
      <c r="K461" t="str">
        <f t="shared" si="36"/>
        <v/>
      </c>
    </row>
    <row r="462" spans="2:11" x14ac:dyDescent="0.25">
      <c r="C462" t="s">
        <v>1864</v>
      </c>
      <c r="D462" t="s">
        <v>1864</v>
      </c>
      <c r="E462" t="s">
        <v>2324</v>
      </c>
      <c r="F462" t="s">
        <v>375</v>
      </c>
      <c r="G462" t="str">
        <f t="shared" si="37"/>
        <v>C</v>
      </c>
      <c r="H462" t="str">
        <f t="shared" si="38"/>
        <v>16</v>
      </c>
      <c r="I462" t="str">
        <f t="shared" si="39"/>
        <v>162</v>
      </c>
      <c r="J462" t="str">
        <f t="shared" si="40"/>
        <v>16218</v>
      </c>
      <c r="K462" t="str">
        <f t="shared" si="36"/>
        <v>1621800</v>
      </c>
    </row>
    <row r="463" spans="2:11" x14ac:dyDescent="0.25">
      <c r="C463" t="s">
        <v>1864</v>
      </c>
      <c r="D463" t="s">
        <v>2325</v>
      </c>
      <c r="E463" t="s">
        <v>1864</v>
      </c>
      <c r="F463" t="s">
        <v>376</v>
      </c>
      <c r="G463" t="str">
        <f t="shared" si="37"/>
        <v>C</v>
      </c>
      <c r="H463" t="str">
        <f t="shared" si="38"/>
        <v>16</v>
      </c>
      <c r="I463" t="str">
        <f t="shared" si="39"/>
        <v>162</v>
      </c>
      <c r="J463" t="str">
        <f t="shared" si="40"/>
        <v>16226</v>
      </c>
      <c r="K463" t="str">
        <f t="shared" si="36"/>
        <v/>
      </c>
    </row>
    <row r="464" spans="2:11" x14ac:dyDescent="0.25">
      <c r="C464" t="s">
        <v>1864</v>
      </c>
      <c r="D464" t="s">
        <v>1864</v>
      </c>
      <c r="E464" t="s">
        <v>2326</v>
      </c>
      <c r="F464" t="s">
        <v>377</v>
      </c>
      <c r="G464" t="str">
        <f t="shared" si="37"/>
        <v>C</v>
      </c>
      <c r="H464" t="str">
        <f t="shared" si="38"/>
        <v>16</v>
      </c>
      <c r="I464" t="str">
        <f t="shared" si="39"/>
        <v>162</v>
      </c>
      <c r="J464" t="str">
        <f t="shared" si="40"/>
        <v>16226</v>
      </c>
      <c r="K464" t="str">
        <f t="shared" si="36"/>
        <v>1622601</v>
      </c>
    </row>
    <row r="465" spans="2:11" x14ac:dyDescent="0.25">
      <c r="C465" t="s">
        <v>1864</v>
      </c>
      <c r="D465" t="s">
        <v>1864</v>
      </c>
      <c r="E465" t="s">
        <v>2327</v>
      </c>
      <c r="F465" t="s">
        <v>378</v>
      </c>
      <c r="G465" t="str">
        <f t="shared" si="37"/>
        <v>C</v>
      </c>
      <c r="H465" t="str">
        <f t="shared" si="38"/>
        <v>16</v>
      </c>
      <c r="I465" t="str">
        <f t="shared" si="39"/>
        <v>162</v>
      </c>
      <c r="J465" t="str">
        <f t="shared" si="40"/>
        <v>16226</v>
      </c>
      <c r="K465" t="str">
        <f t="shared" si="36"/>
        <v>1622602</v>
      </c>
    </row>
    <row r="466" spans="2:11" x14ac:dyDescent="0.25">
      <c r="C466" t="s">
        <v>1864</v>
      </c>
      <c r="D466" t="s">
        <v>1864</v>
      </c>
      <c r="E466" t="s">
        <v>2328</v>
      </c>
      <c r="F466" t="s">
        <v>379</v>
      </c>
      <c r="G466" t="str">
        <f t="shared" si="37"/>
        <v>C</v>
      </c>
      <c r="H466" t="str">
        <f t="shared" si="38"/>
        <v>16</v>
      </c>
      <c r="I466" t="str">
        <f t="shared" si="39"/>
        <v>162</v>
      </c>
      <c r="J466" t="str">
        <f t="shared" si="40"/>
        <v>16226</v>
      </c>
      <c r="K466" t="str">
        <f t="shared" si="36"/>
        <v>1622699</v>
      </c>
    </row>
    <row r="467" spans="2:11" x14ac:dyDescent="0.25">
      <c r="C467" t="s">
        <v>1864</v>
      </c>
      <c r="D467" t="s">
        <v>2329</v>
      </c>
      <c r="E467" t="s">
        <v>1864</v>
      </c>
      <c r="F467" t="s">
        <v>380</v>
      </c>
      <c r="G467" t="str">
        <f t="shared" si="37"/>
        <v>C</v>
      </c>
      <c r="H467" t="str">
        <f t="shared" si="38"/>
        <v>16</v>
      </c>
      <c r="I467" t="str">
        <f t="shared" si="39"/>
        <v>162</v>
      </c>
      <c r="J467" t="str">
        <f t="shared" si="40"/>
        <v>16234</v>
      </c>
      <c r="K467" t="str">
        <f t="shared" si="36"/>
        <v/>
      </c>
    </row>
    <row r="468" spans="2:11" x14ac:dyDescent="0.25">
      <c r="C468" t="s">
        <v>1864</v>
      </c>
      <c r="D468" t="s">
        <v>1864</v>
      </c>
      <c r="E468" t="s">
        <v>2330</v>
      </c>
      <c r="F468" t="s">
        <v>380</v>
      </c>
      <c r="G468" t="str">
        <f t="shared" si="37"/>
        <v>C</v>
      </c>
      <c r="H468" t="str">
        <f t="shared" si="38"/>
        <v>16</v>
      </c>
      <c r="I468" t="str">
        <f t="shared" si="39"/>
        <v>162</v>
      </c>
      <c r="J468" t="str">
        <f t="shared" si="40"/>
        <v>16234</v>
      </c>
      <c r="K468" t="str">
        <f t="shared" si="36"/>
        <v>1623400</v>
      </c>
    </row>
    <row r="469" spans="2:11" x14ac:dyDescent="0.25">
      <c r="C469" t="s">
        <v>1864</v>
      </c>
      <c r="D469" t="s">
        <v>2331</v>
      </c>
      <c r="E469" t="s">
        <v>1864</v>
      </c>
      <c r="F469" t="s">
        <v>381</v>
      </c>
      <c r="G469" t="str">
        <f t="shared" si="37"/>
        <v>C</v>
      </c>
      <c r="H469" t="str">
        <f t="shared" si="38"/>
        <v>16</v>
      </c>
      <c r="I469" t="str">
        <f t="shared" si="39"/>
        <v>162</v>
      </c>
      <c r="J469" t="str">
        <f t="shared" si="40"/>
        <v>16293</v>
      </c>
      <c r="K469" t="str">
        <f t="shared" si="36"/>
        <v/>
      </c>
    </row>
    <row r="470" spans="2:11" x14ac:dyDescent="0.25">
      <c r="C470" t="s">
        <v>1864</v>
      </c>
      <c r="D470" t="s">
        <v>1864</v>
      </c>
      <c r="E470" t="s">
        <v>2332</v>
      </c>
      <c r="F470" t="s">
        <v>382</v>
      </c>
      <c r="G470" t="str">
        <f t="shared" si="37"/>
        <v>C</v>
      </c>
      <c r="H470" t="str">
        <f t="shared" si="38"/>
        <v>16</v>
      </c>
      <c r="I470" t="str">
        <f t="shared" si="39"/>
        <v>162</v>
      </c>
      <c r="J470" t="str">
        <f t="shared" si="40"/>
        <v>16293</v>
      </c>
      <c r="K470" t="str">
        <f t="shared" si="36"/>
        <v>1629301</v>
      </c>
    </row>
    <row r="471" spans="2:11" x14ac:dyDescent="0.25">
      <c r="C471" t="s">
        <v>1864</v>
      </c>
      <c r="D471" t="s">
        <v>1864</v>
      </c>
      <c r="E471" t="s">
        <v>2333</v>
      </c>
      <c r="F471" t="s">
        <v>383</v>
      </c>
      <c r="G471" t="str">
        <f t="shared" si="37"/>
        <v>C</v>
      </c>
      <c r="H471" t="str">
        <f t="shared" si="38"/>
        <v>16</v>
      </c>
      <c r="I471" t="str">
        <f t="shared" si="39"/>
        <v>162</v>
      </c>
      <c r="J471" t="str">
        <f t="shared" si="40"/>
        <v>16293</v>
      </c>
      <c r="K471" t="str">
        <f t="shared" si="36"/>
        <v>1629302</v>
      </c>
    </row>
    <row r="472" spans="2:11" x14ac:dyDescent="0.25">
      <c r="B472" t="s">
        <v>2334</v>
      </c>
      <c r="C472" t="s">
        <v>1864</v>
      </c>
      <c r="D472" t="s">
        <v>1864</v>
      </c>
      <c r="E472" t="s">
        <v>1864</v>
      </c>
      <c r="F472" t="s">
        <v>384</v>
      </c>
      <c r="G472" t="str">
        <f t="shared" si="37"/>
        <v>C</v>
      </c>
      <c r="H472" t="str">
        <f t="shared" si="38"/>
        <v>17</v>
      </c>
      <c r="I472" t="str">
        <f t="shared" si="39"/>
        <v>162</v>
      </c>
      <c r="J472" t="str">
        <f t="shared" si="40"/>
        <v>16293</v>
      </c>
      <c r="K472" t="str">
        <f t="shared" si="36"/>
        <v/>
      </c>
    </row>
    <row r="473" spans="2:11" x14ac:dyDescent="0.25">
      <c r="C473" t="s">
        <v>2335</v>
      </c>
      <c r="D473" t="s">
        <v>1864</v>
      </c>
      <c r="E473" t="s">
        <v>1864</v>
      </c>
      <c r="F473" t="s">
        <v>385</v>
      </c>
      <c r="G473" t="str">
        <f t="shared" si="37"/>
        <v>C</v>
      </c>
      <c r="H473" t="str">
        <f t="shared" si="38"/>
        <v>17</v>
      </c>
      <c r="I473" t="str">
        <f t="shared" si="39"/>
        <v>171</v>
      </c>
      <c r="J473" t="str">
        <f t="shared" si="40"/>
        <v>16293</v>
      </c>
      <c r="K473" t="str">
        <f t="shared" si="36"/>
        <v/>
      </c>
    </row>
    <row r="474" spans="2:11" x14ac:dyDescent="0.25">
      <c r="C474" t="s">
        <v>1864</v>
      </c>
      <c r="D474" t="s">
        <v>2336</v>
      </c>
      <c r="E474" t="s">
        <v>1864</v>
      </c>
      <c r="F474" t="s">
        <v>385</v>
      </c>
      <c r="G474" t="str">
        <f t="shared" si="37"/>
        <v>C</v>
      </c>
      <c r="H474" t="str">
        <f t="shared" si="38"/>
        <v>17</v>
      </c>
      <c r="I474" t="str">
        <f t="shared" si="39"/>
        <v>171</v>
      </c>
      <c r="J474" t="str">
        <f t="shared" si="40"/>
        <v>17109</v>
      </c>
      <c r="K474" t="str">
        <f t="shared" si="36"/>
        <v/>
      </c>
    </row>
    <row r="475" spans="2:11" x14ac:dyDescent="0.25">
      <c r="C475" t="s">
        <v>1864</v>
      </c>
      <c r="D475" t="s">
        <v>1864</v>
      </c>
      <c r="E475" t="s">
        <v>2337</v>
      </c>
      <c r="F475" t="s">
        <v>385</v>
      </c>
      <c r="G475" t="str">
        <f t="shared" si="37"/>
        <v>C</v>
      </c>
      <c r="H475" t="str">
        <f t="shared" si="38"/>
        <v>17</v>
      </c>
      <c r="I475" t="str">
        <f t="shared" si="39"/>
        <v>171</v>
      </c>
      <c r="J475" t="str">
        <f t="shared" si="40"/>
        <v>17109</v>
      </c>
      <c r="K475" t="str">
        <f t="shared" si="36"/>
        <v>1710900</v>
      </c>
    </row>
    <row r="476" spans="2:11" x14ac:dyDescent="0.25">
      <c r="C476" t="s">
        <v>2338</v>
      </c>
      <c r="D476" t="s">
        <v>1864</v>
      </c>
      <c r="E476" t="s">
        <v>1864</v>
      </c>
      <c r="F476" t="s">
        <v>386</v>
      </c>
      <c r="G476" t="str">
        <f t="shared" si="37"/>
        <v>C</v>
      </c>
      <c r="H476" t="str">
        <f t="shared" si="38"/>
        <v>17</v>
      </c>
      <c r="I476" t="str">
        <f t="shared" si="39"/>
        <v>172</v>
      </c>
      <c r="J476" t="str">
        <f t="shared" si="40"/>
        <v>17109</v>
      </c>
      <c r="K476" t="str">
        <f t="shared" si="36"/>
        <v/>
      </c>
    </row>
    <row r="477" spans="2:11" x14ac:dyDescent="0.25">
      <c r="C477" t="s">
        <v>1864</v>
      </c>
      <c r="D477" t="s">
        <v>2339</v>
      </c>
      <c r="E477" t="s">
        <v>1864</v>
      </c>
      <c r="F477" t="s">
        <v>387</v>
      </c>
      <c r="G477" t="str">
        <f t="shared" si="37"/>
        <v>C</v>
      </c>
      <c r="H477" t="str">
        <f t="shared" si="38"/>
        <v>17</v>
      </c>
      <c r="I477" t="str">
        <f t="shared" si="39"/>
        <v>172</v>
      </c>
      <c r="J477" t="str">
        <f t="shared" si="40"/>
        <v>17214</v>
      </c>
      <c r="K477" t="str">
        <f t="shared" si="36"/>
        <v/>
      </c>
    </row>
    <row r="478" spans="2:11" x14ac:dyDescent="0.25">
      <c r="C478" t="s">
        <v>1864</v>
      </c>
      <c r="D478" t="s">
        <v>1864</v>
      </c>
      <c r="E478" t="s">
        <v>2340</v>
      </c>
      <c r="F478" t="s">
        <v>387</v>
      </c>
      <c r="G478" t="str">
        <f t="shared" si="37"/>
        <v>C</v>
      </c>
      <c r="H478" t="str">
        <f t="shared" si="38"/>
        <v>17</v>
      </c>
      <c r="I478" t="str">
        <f t="shared" si="39"/>
        <v>172</v>
      </c>
      <c r="J478" t="str">
        <f t="shared" si="40"/>
        <v>17214</v>
      </c>
      <c r="K478" t="str">
        <f t="shared" si="36"/>
        <v>1721400</v>
      </c>
    </row>
    <row r="479" spans="2:11" x14ac:dyDescent="0.25">
      <c r="C479" t="s">
        <v>1864</v>
      </c>
      <c r="D479" t="s">
        <v>2341</v>
      </c>
      <c r="E479" t="s">
        <v>1864</v>
      </c>
      <c r="F479" t="s">
        <v>388</v>
      </c>
      <c r="G479" t="str">
        <f t="shared" si="37"/>
        <v>C</v>
      </c>
      <c r="H479" t="str">
        <f t="shared" si="38"/>
        <v>17</v>
      </c>
      <c r="I479" t="str">
        <f t="shared" si="39"/>
        <v>172</v>
      </c>
      <c r="J479" t="str">
        <f t="shared" si="40"/>
        <v>17222</v>
      </c>
      <c r="K479" t="str">
        <f t="shared" si="36"/>
        <v/>
      </c>
    </row>
    <row r="480" spans="2:11" x14ac:dyDescent="0.25">
      <c r="C480" t="s">
        <v>1864</v>
      </c>
      <c r="D480" t="s">
        <v>1864</v>
      </c>
      <c r="E480" t="s">
        <v>2342</v>
      </c>
      <c r="F480" t="s">
        <v>388</v>
      </c>
      <c r="G480" t="str">
        <f t="shared" si="37"/>
        <v>C</v>
      </c>
      <c r="H480" t="str">
        <f t="shared" si="38"/>
        <v>17</v>
      </c>
      <c r="I480" t="str">
        <f t="shared" si="39"/>
        <v>172</v>
      </c>
      <c r="J480" t="str">
        <f t="shared" si="40"/>
        <v>17222</v>
      </c>
      <c r="K480" t="str">
        <f t="shared" si="36"/>
        <v>1722200</v>
      </c>
    </row>
    <row r="481" spans="3:11" x14ac:dyDescent="0.25">
      <c r="C481" t="s">
        <v>2343</v>
      </c>
      <c r="D481" t="s">
        <v>1864</v>
      </c>
      <c r="E481" t="s">
        <v>1864</v>
      </c>
      <c r="F481" t="s">
        <v>389</v>
      </c>
      <c r="G481" t="str">
        <f t="shared" si="37"/>
        <v>C</v>
      </c>
      <c r="H481" t="str">
        <f t="shared" si="38"/>
        <v>17</v>
      </c>
      <c r="I481" t="str">
        <f t="shared" si="39"/>
        <v>173</v>
      </c>
      <c r="J481" t="str">
        <f t="shared" si="40"/>
        <v>17222</v>
      </c>
      <c r="K481" t="str">
        <f t="shared" si="36"/>
        <v/>
      </c>
    </row>
    <row r="482" spans="3:11" x14ac:dyDescent="0.25">
      <c r="C482" t="s">
        <v>1864</v>
      </c>
      <c r="D482" t="s">
        <v>2344</v>
      </c>
      <c r="E482" t="s">
        <v>1864</v>
      </c>
      <c r="F482" t="s">
        <v>390</v>
      </c>
      <c r="G482" t="str">
        <f t="shared" si="37"/>
        <v>C</v>
      </c>
      <c r="H482" t="str">
        <f t="shared" si="38"/>
        <v>17</v>
      </c>
      <c r="I482" t="str">
        <f t="shared" si="39"/>
        <v>173</v>
      </c>
      <c r="J482" t="str">
        <f t="shared" si="40"/>
        <v>17311</v>
      </c>
      <c r="K482" t="str">
        <f t="shared" si="36"/>
        <v/>
      </c>
    </row>
    <row r="483" spans="3:11" x14ac:dyDescent="0.25">
      <c r="C483" t="s">
        <v>1864</v>
      </c>
      <c r="D483" t="s">
        <v>1864</v>
      </c>
      <c r="E483" t="s">
        <v>2345</v>
      </c>
      <c r="F483" t="s">
        <v>390</v>
      </c>
      <c r="G483" t="str">
        <f t="shared" si="37"/>
        <v>C</v>
      </c>
      <c r="H483" t="str">
        <f t="shared" si="38"/>
        <v>17</v>
      </c>
      <c r="I483" t="str">
        <f t="shared" si="39"/>
        <v>173</v>
      </c>
      <c r="J483" t="str">
        <f t="shared" si="40"/>
        <v>17311</v>
      </c>
      <c r="K483" t="str">
        <f t="shared" si="36"/>
        <v>1731100</v>
      </c>
    </row>
    <row r="484" spans="3:11" x14ac:dyDescent="0.25">
      <c r="C484" t="s">
        <v>1864</v>
      </c>
      <c r="D484" t="s">
        <v>2346</v>
      </c>
      <c r="E484" t="s">
        <v>1864</v>
      </c>
      <c r="F484" t="s">
        <v>391</v>
      </c>
      <c r="G484" t="str">
        <f t="shared" si="37"/>
        <v>C</v>
      </c>
      <c r="H484" t="str">
        <f t="shared" si="38"/>
        <v>17</v>
      </c>
      <c r="I484" t="str">
        <f t="shared" si="39"/>
        <v>173</v>
      </c>
      <c r="J484" t="str">
        <f t="shared" si="40"/>
        <v>17320</v>
      </c>
      <c r="K484" t="str">
        <f t="shared" si="36"/>
        <v/>
      </c>
    </row>
    <row r="485" spans="3:11" x14ac:dyDescent="0.25">
      <c r="C485" t="s">
        <v>1864</v>
      </c>
      <c r="D485" t="s">
        <v>1864</v>
      </c>
      <c r="E485" t="s">
        <v>2347</v>
      </c>
      <c r="F485" t="s">
        <v>391</v>
      </c>
      <c r="G485" t="str">
        <f t="shared" si="37"/>
        <v>C</v>
      </c>
      <c r="H485" t="str">
        <f t="shared" si="38"/>
        <v>17</v>
      </c>
      <c r="I485" t="str">
        <f t="shared" si="39"/>
        <v>173</v>
      </c>
      <c r="J485" t="str">
        <f t="shared" si="40"/>
        <v>17320</v>
      </c>
      <c r="K485" t="str">
        <f t="shared" si="36"/>
        <v>1732000</v>
      </c>
    </row>
    <row r="486" spans="3:11" x14ac:dyDescent="0.25">
      <c r="C486" t="s">
        <v>1864</v>
      </c>
      <c r="D486" t="s">
        <v>2348</v>
      </c>
      <c r="E486" t="s">
        <v>1864</v>
      </c>
      <c r="F486" t="s">
        <v>392</v>
      </c>
      <c r="G486" t="str">
        <f t="shared" si="37"/>
        <v>C</v>
      </c>
      <c r="H486" t="str">
        <f t="shared" si="38"/>
        <v>17</v>
      </c>
      <c r="I486" t="str">
        <f t="shared" si="39"/>
        <v>173</v>
      </c>
      <c r="J486" t="str">
        <f t="shared" si="40"/>
        <v>17338</v>
      </c>
      <c r="K486" t="str">
        <f t="shared" si="36"/>
        <v/>
      </c>
    </row>
    <row r="487" spans="3:11" x14ac:dyDescent="0.25">
      <c r="C487" t="s">
        <v>1864</v>
      </c>
      <c r="D487" t="s">
        <v>1864</v>
      </c>
      <c r="E487" t="s">
        <v>2349</v>
      </c>
      <c r="F487" t="s">
        <v>392</v>
      </c>
      <c r="G487" t="str">
        <f t="shared" si="37"/>
        <v>C</v>
      </c>
      <c r="H487" t="str">
        <f t="shared" si="38"/>
        <v>17</v>
      </c>
      <c r="I487" t="str">
        <f t="shared" si="39"/>
        <v>173</v>
      </c>
      <c r="J487" t="str">
        <f t="shared" si="40"/>
        <v>17338</v>
      </c>
      <c r="K487" t="str">
        <f t="shared" si="36"/>
        <v>1733800</v>
      </c>
    </row>
    <row r="488" spans="3:11" x14ac:dyDescent="0.25">
      <c r="C488" t="s">
        <v>2350</v>
      </c>
      <c r="D488" t="s">
        <v>1864</v>
      </c>
      <c r="E488" t="s">
        <v>1864</v>
      </c>
      <c r="F488" t="s">
        <v>393</v>
      </c>
      <c r="G488" t="str">
        <f t="shared" si="37"/>
        <v>C</v>
      </c>
      <c r="H488" t="str">
        <f t="shared" si="38"/>
        <v>17</v>
      </c>
      <c r="I488" t="str">
        <f t="shared" si="39"/>
        <v>174</v>
      </c>
      <c r="J488" t="str">
        <f t="shared" si="40"/>
        <v>17338</v>
      </c>
      <c r="K488" t="str">
        <f t="shared" si="36"/>
        <v/>
      </c>
    </row>
    <row r="489" spans="3:11" x14ac:dyDescent="0.25">
      <c r="C489" t="s">
        <v>1864</v>
      </c>
      <c r="D489" t="s">
        <v>2351</v>
      </c>
      <c r="E489" t="s">
        <v>1864</v>
      </c>
      <c r="F489" t="s">
        <v>394</v>
      </c>
      <c r="G489" t="str">
        <f t="shared" si="37"/>
        <v>C</v>
      </c>
      <c r="H489" t="str">
        <f t="shared" si="38"/>
        <v>17</v>
      </c>
      <c r="I489" t="str">
        <f t="shared" si="39"/>
        <v>174</v>
      </c>
      <c r="J489" t="str">
        <f t="shared" si="40"/>
        <v>17419</v>
      </c>
      <c r="K489" t="str">
        <f t="shared" si="36"/>
        <v/>
      </c>
    </row>
    <row r="490" spans="3:11" x14ac:dyDescent="0.25">
      <c r="C490" t="s">
        <v>1864</v>
      </c>
      <c r="D490" t="s">
        <v>1864</v>
      </c>
      <c r="E490" t="s">
        <v>2352</v>
      </c>
      <c r="F490" t="s">
        <v>395</v>
      </c>
      <c r="G490" t="str">
        <f t="shared" si="37"/>
        <v>C</v>
      </c>
      <c r="H490" t="str">
        <f t="shared" si="38"/>
        <v>17</v>
      </c>
      <c r="I490" t="str">
        <f t="shared" si="39"/>
        <v>174</v>
      </c>
      <c r="J490" t="str">
        <f t="shared" si="40"/>
        <v>17419</v>
      </c>
      <c r="K490" t="str">
        <f t="shared" si="36"/>
        <v>1741901</v>
      </c>
    </row>
    <row r="491" spans="3:11" x14ac:dyDescent="0.25">
      <c r="C491" t="s">
        <v>1864</v>
      </c>
      <c r="D491" t="s">
        <v>1864</v>
      </c>
      <c r="E491" t="s">
        <v>2353</v>
      </c>
      <c r="F491" t="s">
        <v>394</v>
      </c>
      <c r="G491" t="str">
        <f t="shared" si="37"/>
        <v>C</v>
      </c>
      <c r="H491" t="str">
        <f t="shared" si="38"/>
        <v>17</v>
      </c>
      <c r="I491" t="str">
        <f t="shared" si="39"/>
        <v>174</v>
      </c>
      <c r="J491" t="str">
        <f t="shared" si="40"/>
        <v>17419</v>
      </c>
      <c r="K491" t="str">
        <f t="shared" si="36"/>
        <v>1741902</v>
      </c>
    </row>
    <row r="492" spans="3:11" x14ac:dyDescent="0.25">
      <c r="C492" t="s">
        <v>1864</v>
      </c>
      <c r="D492" t="s">
        <v>2354</v>
      </c>
      <c r="E492" t="s">
        <v>1864</v>
      </c>
      <c r="F492" t="s">
        <v>396</v>
      </c>
      <c r="G492" t="str">
        <f t="shared" si="37"/>
        <v>C</v>
      </c>
      <c r="H492" t="str">
        <f t="shared" si="38"/>
        <v>17</v>
      </c>
      <c r="I492" t="str">
        <f t="shared" si="39"/>
        <v>174</v>
      </c>
      <c r="J492" t="str">
        <f t="shared" si="40"/>
        <v>17427</v>
      </c>
      <c r="K492" t="str">
        <f t="shared" si="36"/>
        <v/>
      </c>
    </row>
    <row r="493" spans="3:11" x14ac:dyDescent="0.25">
      <c r="C493" t="s">
        <v>1864</v>
      </c>
      <c r="D493" t="s">
        <v>1864</v>
      </c>
      <c r="E493" t="s">
        <v>2355</v>
      </c>
      <c r="F493" t="s">
        <v>397</v>
      </c>
      <c r="G493" t="str">
        <f t="shared" si="37"/>
        <v>C</v>
      </c>
      <c r="H493" t="str">
        <f t="shared" si="38"/>
        <v>17</v>
      </c>
      <c r="I493" t="str">
        <f t="shared" si="39"/>
        <v>174</v>
      </c>
      <c r="J493" t="str">
        <f t="shared" si="40"/>
        <v>17427</v>
      </c>
      <c r="K493" t="str">
        <f t="shared" si="36"/>
        <v>1742701</v>
      </c>
    </row>
    <row r="494" spans="3:11" x14ac:dyDescent="0.25">
      <c r="C494" t="s">
        <v>1864</v>
      </c>
      <c r="D494" t="s">
        <v>1864</v>
      </c>
      <c r="E494" t="s">
        <v>2356</v>
      </c>
      <c r="F494" t="s">
        <v>398</v>
      </c>
      <c r="G494" t="str">
        <f t="shared" si="37"/>
        <v>C</v>
      </c>
      <c r="H494" t="str">
        <f t="shared" si="38"/>
        <v>17</v>
      </c>
      <c r="I494" t="str">
        <f t="shared" si="39"/>
        <v>174</v>
      </c>
      <c r="J494" t="str">
        <f t="shared" si="40"/>
        <v>17427</v>
      </c>
      <c r="K494" t="str">
        <f t="shared" si="36"/>
        <v>1742702</v>
      </c>
    </row>
    <row r="495" spans="3:11" x14ac:dyDescent="0.25">
      <c r="C495" t="s">
        <v>1864</v>
      </c>
      <c r="D495" t="s">
        <v>1864</v>
      </c>
      <c r="E495" t="s">
        <v>2357</v>
      </c>
      <c r="F495" t="s">
        <v>399</v>
      </c>
      <c r="G495" t="str">
        <f t="shared" si="37"/>
        <v>C</v>
      </c>
      <c r="H495" t="str">
        <f t="shared" si="38"/>
        <v>17</v>
      </c>
      <c r="I495" t="str">
        <f t="shared" si="39"/>
        <v>174</v>
      </c>
      <c r="J495" t="str">
        <f t="shared" si="40"/>
        <v>17427</v>
      </c>
      <c r="K495" t="str">
        <f t="shared" si="36"/>
        <v>1742799</v>
      </c>
    </row>
    <row r="496" spans="3:11" x14ac:dyDescent="0.25">
      <c r="C496" t="s">
        <v>1864</v>
      </c>
      <c r="D496" t="s">
        <v>2358</v>
      </c>
      <c r="E496" t="s">
        <v>1864</v>
      </c>
      <c r="F496" t="s">
        <v>400</v>
      </c>
      <c r="G496" t="str">
        <f t="shared" si="37"/>
        <v>C</v>
      </c>
      <c r="H496" t="str">
        <f t="shared" si="38"/>
        <v>17</v>
      </c>
      <c r="I496" t="str">
        <f t="shared" si="39"/>
        <v>174</v>
      </c>
      <c r="J496" t="str">
        <f t="shared" si="40"/>
        <v>17494</v>
      </c>
      <c r="K496" t="str">
        <f t="shared" si="36"/>
        <v/>
      </c>
    </row>
    <row r="497" spans="2:11" x14ac:dyDescent="0.25">
      <c r="C497" t="s">
        <v>1864</v>
      </c>
      <c r="D497" t="s">
        <v>1864</v>
      </c>
      <c r="E497" t="s">
        <v>2359</v>
      </c>
      <c r="F497" t="s">
        <v>400</v>
      </c>
      <c r="G497" t="str">
        <f t="shared" si="37"/>
        <v>C</v>
      </c>
      <c r="H497" t="str">
        <f t="shared" si="38"/>
        <v>17</v>
      </c>
      <c r="I497" t="str">
        <f t="shared" si="39"/>
        <v>174</v>
      </c>
      <c r="J497" t="str">
        <f t="shared" si="40"/>
        <v>17494</v>
      </c>
      <c r="K497" t="str">
        <f t="shared" si="36"/>
        <v>1749400</v>
      </c>
    </row>
    <row r="498" spans="2:11" x14ac:dyDescent="0.25">
      <c r="B498" t="s">
        <v>2360</v>
      </c>
      <c r="C498" t="s">
        <v>1864</v>
      </c>
      <c r="D498" t="s">
        <v>1864</v>
      </c>
      <c r="E498" t="s">
        <v>1864</v>
      </c>
      <c r="F498" t="s">
        <v>401</v>
      </c>
      <c r="G498" t="str">
        <f t="shared" si="37"/>
        <v>C</v>
      </c>
      <c r="H498" t="str">
        <f t="shared" si="38"/>
        <v>18</v>
      </c>
      <c r="I498" t="str">
        <f t="shared" si="39"/>
        <v>174</v>
      </c>
      <c r="J498" t="str">
        <f t="shared" si="40"/>
        <v>17494</v>
      </c>
      <c r="K498" t="str">
        <f t="shared" si="36"/>
        <v/>
      </c>
    </row>
    <row r="499" spans="2:11" x14ac:dyDescent="0.25">
      <c r="C499" t="s">
        <v>2361</v>
      </c>
      <c r="D499" t="s">
        <v>1864</v>
      </c>
      <c r="E499" t="s">
        <v>1864</v>
      </c>
      <c r="F499" t="s">
        <v>402</v>
      </c>
      <c r="G499" t="str">
        <f t="shared" si="37"/>
        <v>C</v>
      </c>
      <c r="H499" t="str">
        <f t="shared" si="38"/>
        <v>18</v>
      </c>
      <c r="I499" t="str">
        <f t="shared" si="39"/>
        <v>181</v>
      </c>
      <c r="J499" t="str">
        <f t="shared" si="40"/>
        <v>17494</v>
      </c>
      <c r="K499" t="str">
        <f t="shared" si="36"/>
        <v/>
      </c>
    </row>
    <row r="500" spans="2:11" x14ac:dyDescent="0.25">
      <c r="C500" t="s">
        <v>1864</v>
      </c>
      <c r="D500" t="s">
        <v>2362</v>
      </c>
      <c r="E500" t="s">
        <v>1864</v>
      </c>
      <c r="F500" t="s">
        <v>403</v>
      </c>
      <c r="G500" t="str">
        <f t="shared" si="37"/>
        <v>C</v>
      </c>
      <c r="H500" t="str">
        <f t="shared" si="38"/>
        <v>18</v>
      </c>
      <c r="I500" t="str">
        <f t="shared" si="39"/>
        <v>181</v>
      </c>
      <c r="J500" t="str">
        <f t="shared" si="40"/>
        <v>18113</v>
      </c>
      <c r="K500" t="str">
        <f t="shared" si="36"/>
        <v/>
      </c>
    </row>
    <row r="501" spans="2:11" x14ac:dyDescent="0.25">
      <c r="C501" t="s">
        <v>1864</v>
      </c>
      <c r="D501" t="s">
        <v>1864</v>
      </c>
      <c r="E501" t="s">
        <v>2363</v>
      </c>
      <c r="F501" t="s">
        <v>404</v>
      </c>
      <c r="G501" t="str">
        <f t="shared" si="37"/>
        <v>C</v>
      </c>
      <c r="H501" t="str">
        <f t="shared" si="38"/>
        <v>18</v>
      </c>
      <c r="I501" t="str">
        <f t="shared" si="39"/>
        <v>181</v>
      </c>
      <c r="J501" t="str">
        <f t="shared" si="40"/>
        <v>18113</v>
      </c>
      <c r="K501" t="str">
        <f t="shared" si="36"/>
        <v>1811301</v>
      </c>
    </row>
    <row r="502" spans="2:11" x14ac:dyDescent="0.25">
      <c r="C502" t="s">
        <v>1864</v>
      </c>
      <c r="D502" t="s">
        <v>1864</v>
      </c>
      <c r="E502" t="s">
        <v>2364</v>
      </c>
      <c r="F502" t="s">
        <v>405</v>
      </c>
      <c r="G502" t="str">
        <f t="shared" si="37"/>
        <v>C</v>
      </c>
      <c r="H502" t="str">
        <f t="shared" si="38"/>
        <v>18</v>
      </c>
      <c r="I502" t="str">
        <f t="shared" si="39"/>
        <v>181</v>
      </c>
      <c r="J502" t="str">
        <f t="shared" si="40"/>
        <v>18113</v>
      </c>
      <c r="K502" t="str">
        <f t="shared" si="36"/>
        <v>1811302</v>
      </c>
    </row>
    <row r="503" spans="2:11" x14ac:dyDescent="0.25">
      <c r="C503" t="s">
        <v>1864</v>
      </c>
      <c r="D503" t="s">
        <v>2365</v>
      </c>
      <c r="E503" t="s">
        <v>1864</v>
      </c>
      <c r="F503" t="s">
        <v>406</v>
      </c>
      <c r="G503" t="str">
        <f t="shared" si="37"/>
        <v>C</v>
      </c>
      <c r="H503" t="str">
        <f t="shared" si="38"/>
        <v>18</v>
      </c>
      <c r="I503" t="str">
        <f t="shared" si="39"/>
        <v>181</v>
      </c>
      <c r="J503" t="str">
        <f t="shared" si="40"/>
        <v>18121</v>
      </c>
      <c r="K503" t="str">
        <f t="shared" si="36"/>
        <v/>
      </c>
    </row>
    <row r="504" spans="2:11" x14ac:dyDescent="0.25">
      <c r="C504" t="s">
        <v>1864</v>
      </c>
      <c r="D504" t="s">
        <v>1864</v>
      </c>
      <c r="E504" t="s">
        <v>2366</v>
      </c>
      <c r="F504" t="s">
        <v>406</v>
      </c>
      <c r="G504" t="str">
        <f t="shared" si="37"/>
        <v>C</v>
      </c>
      <c r="H504" t="str">
        <f t="shared" si="38"/>
        <v>18</v>
      </c>
      <c r="I504" t="str">
        <f t="shared" si="39"/>
        <v>181</v>
      </c>
      <c r="J504" t="str">
        <f t="shared" si="40"/>
        <v>18121</v>
      </c>
      <c r="K504" t="str">
        <f t="shared" si="36"/>
        <v>1812100</v>
      </c>
    </row>
    <row r="505" spans="2:11" x14ac:dyDescent="0.25">
      <c r="C505" t="s">
        <v>1864</v>
      </c>
      <c r="D505" t="s">
        <v>2367</v>
      </c>
      <c r="E505" t="s">
        <v>1864</v>
      </c>
      <c r="F505" t="s">
        <v>407</v>
      </c>
      <c r="G505" t="str">
        <f t="shared" si="37"/>
        <v>C</v>
      </c>
      <c r="H505" t="str">
        <f t="shared" si="38"/>
        <v>18</v>
      </c>
      <c r="I505" t="str">
        <f t="shared" si="39"/>
        <v>181</v>
      </c>
      <c r="J505" t="str">
        <f t="shared" si="40"/>
        <v>18130</v>
      </c>
      <c r="K505" t="str">
        <f t="shared" si="36"/>
        <v/>
      </c>
    </row>
    <row r="506" spans="2:11" x14ac:dyDescent="0.25">
      <c r="C506" t="s">
        <v>1864</v>
      </c>
      <c r="D506" t="s">
        <v>1864</v>
      </c>
      <c r="E506" t="s">
        <v>2368</v>
      </c>
      <c r="F506" t="s">
        <v>408</v>
      </c>
      <c r="G506" t="str">
        <f t="shared" si="37"/>
        <v>C</v>
      </c>
      <c r="H506" t="str">
        <f t="shared" si="38"/>
        <v>18</v>
      </c>
      <c r="I506" t="str">
        <f t="shared" si="39"/>
        <v>181</v>
      </c>
      <c r="J506" t="str">
        <f t="shared" si="40"/>
        <v>18130</v>
      </c>
      <c r="K506" t="str">
        <f t="shared" si="36"/>
        <v>1813001</v>
      </c>
    </row>
    <row r="507" spans="2:11" x14ac:dyDescent="0.25">
      <c r="C507" t="s">
        <v>1864</v>
      </c>
      <c r="D507" t="s">
        <v>1864</v>
      </c>
      <c r="E507" t="s">
        <v>2369</v>
      </c>
      <c r="F507" t="s">
        <v>409</v>
      </c>
      <c r="G507" t="str">
        <f t="shared" si="37"/>
        <v>C</v>
      </c>
      <c r="H507" t="str">
        <f t="shared" si="38"/>
        <v>18</v>
      </c>
      <c r="I507" t="str">
        <f t="shared" si="39"/>
        <v>181</v>
      </c>
      <c r="J507" t="str">
        <f t="shared" si="40"/>
        <v>18130</v>
      </c>
      <c r="K507" t="str">
        <f t="shared" si="36"/>
        <v>1813099</v>
      </c>
    </row>
    <row r="508" spans="2:11" x14ac:dyDescent="0.25">
      <c r="C508" t="s">
        <v>2370</v>
      </c>
      <c r="D508" t="s">
        <v>1864</v>
      </c>
      <c r="E508" t="s">
        <v>1864</v>
      </c>
      <c r="F508" t="s">
        <v>410</v>
      </c>
      <c r="G508" t="str">
        <f t="shared" si="37"/>
        <v>C</v>
      </c>
      <c r="H508" t="str">
        <f t="shared" si="38"/>
        <v>18</v>
      </c>
      <c r="I508" t="str">
        <f t="shared" si="39"/>
        <v>182</v>
      </c>
      <c r="J508" t="str">
        <f t="shared" si="40"/>
        <v>18130</v>
      </c>
      <c r="K508" t="str">
        <f t="shared" si="36"/>
        <v/>
      </c>
    </row>
    <row r="509" spans="2:11" x14ac:dyDescent="0.25">
      <c r="C509" t="s">
        <v>1864</v>
      </c>
      <c r="D509" t="s">
        <v>2371</v>
      </c>
      <c r="E509" t="s">
        <v>1864</v>
      </c>
      <c r="F509" t="s">
        <v>411</v>
      </c>
      <c r="G509" t="str">
        <f t="shared" si="37"/>
        <v>C</v>
      </c>
      <c r="H509" t="str">
        <f t="shared" si="38"/>
        <v>18</v>
      </c>
      <c r="I509" t="str">
        <f t="shared" si="39"/>
        <v>182</v>
      </c>
      <c r="J509" t="str">
        <f t="shared" si="40"/>
        <v>18211</v>
      </c>
      <c r="K509" t="str">
        <f t="shared" si="36"/>
        <v/>
      </c>
    </row>
    <row r="510" spans="2:11" x14ac:dyDescent="0.25">
      <c r="C510" t="s">
        <v>1864</v>
      </c>
      <c r="D510" t="s">
        <v>1864</v>
      </c>
      <c r="E510" t="s">
        <v>2372</v>
      </c>
      <c r="F510" t="s">
        <v>411</v>
      </c>
      <c r="G510" t="str">
        <f t="shared" si="37"/>
        <v>C</v>
      </c>
      <c r="H510" t="str">
        <f t="shared" si="38"/>
        <v>18</v>
      </c>
      <c r="I510" t="str">
        <f t="shared" si="39"/>
        <v>182</v>
      </c>
      <c r="J510" t="str">
        <f t="shared" si="40"/>
        <v>18211</v>
      </c>
      <c r="K510" t="str">
        <f t="shared" si="36"/>
        <v>1821100</v>
      </c>
    </row>
    <row r="511" spans="2:11" x14ac:dyDescent="0.25">
      <c r="C511" t="s">
        <v>1864</v>
      </c>
      <c r="D511" t="s">
        <v>2373</v>
      </c>
      <c r="E511" t="s">
        <v>1864</v>
      </c>
      <c r="F511" t="s">
        <v>412</v>
      </c>
      <c r="G511" t="str">
        <f t="shared" si="37"/>
        <v>C</v>
      </c>
      <c r="H511" t="str">
        <f t="shared" si="38"/>
        <v>18</v>
      </c>
      <c r="I511" t="str">
        <f t="shared" si="39"/>
        <v>182</v>
      </c>
      <c r="J511" t="str">
        <f t="shared" si="40"/>
        <v>18229</v>
      </c>
      <c r="K511" t="str">
        <f t="shared" si="36"/>
        <v/>
      </c>
    </row>
    <row r="512" spans="2:11" x14ac:dyDescent="0.25">
      <c r="C512" t="s">
        <v>1864</v>
      </c>
      <c r="D512" t="s">
        <v>1864</v>
      </c>
      <c r="E512" t="s">
        <v>2374</v>
      </c>
      <c r="F512" t="s">
        <v>413</v>
      </c>
      <c r="G512" t="str">
        <f t="shared" si="37"/>
        <v>C</v>
      </c>
      <c r="H512" t="str">
        <f t="shared" si="38"/>
        <v>18</v>
      </c>
      <c r="I512" t="str">
        <f t="shared" si="39"/>
        <v>182</v>
      </c>
      <c r="J512" t="str">
        <f t="shared" si="40"/>
        <v>18229</v>
      </c>
      <c r="K512" t="str">
        <f t="shared" si="36"/>
        <v>1822901</v>
      </c>
    </row>
    <row r="513" spans="2:11" x14ac:dyDescent="0.25">
      <c r="C513" t="s">
        <v>1864</v>
      </c>
      <c r="D513" t="s">
        <v>1864</v>
      </c>
      <c r="E513" t="s">
        <v>2375</v>
      </c>
      <c r="F513" t="s">
        <v>414</v>
      </c>
      <c r="G513" t="str">
        <f t="shared" si="37"/>
        <v>C</v>
      </c>
      <c r="H513" t="str">
        <f t="shared" si="38"/>
        <v>18</v>
      </c>
      <c r="I513" t="str">
        <f t="shared" si="39"/>
        <v>182</v>
      </c>
      <c r="J513" t="str">
        <f t="shared" si="40"/>
        <v>18229</v>
      </c>
      <c r="K513" t="str">
        <f t="shared" si="36"/>
        <v>1822999</v>
      </c>
    </row>
    <row r="514" spans="2:11" x14ac:dyDescent="0.25">
      <c r="C514" t="s">
        <v>2376</v>
      </c>
      <c r="D514" t="s">
        <v>1864</v>
      </c>
      <c r="E514" t="s">
        <v>1864</v>
      </c>
      <c r="F514" t="s">
        <v>415</v>
      </c>
      <c r="G514" t="str">
        <f t="shared" si="37"/>
        <v>C</v>
      </c>
      <c r="H514" t="str">
        <f t="shared" si="38"/>
        <v>18</v>
      </c>
      <c r="I514" t="str">
        <f t="shared" si="39"/>
        <v>183</v>
      </c>
      <c r="J514" t="str">
        <f t="shared" si="40"/>
        <v>18229</v>
      </c>
      <c r="K514" t="str">
        <f t="shared" si="36"/>
        <v/>
      </c>
    </row>
    <row r="515" spans="2:11" x14ac:dyDescent="0.25">
      <c r="C515" t="s">
        <v>1864</v>
      </c>
      <c r="D515" t="s">
        <v>2377</v>
      </c>
      <c r="E515" t="s">
        <v>1864</v>
      </c>
      <c r="F515" t="s">
        <v>415</v>
      </c>
      <c r="G515" t="str">
        <f t="shared" si="37"/>
        <v>C</v>
      </c>
      <c r="H515" t="str">
        <f t="shared" si="38"/>
        <v>18</v>
      </c>
      <c r="I515" t="str">
        <f t="shared" si="39"/>
        <v>183</v>
      </c>
      <c r="J515" t="str">
        <f t="shared" si="40"/>
        <v>18300</v>
      </c>
      <c r="K515" t="str">
        <f t="shared" si="36"/>
        <v/>
      </c>
    </row>
    <row r="516" spans="2:11" x14ac:dyDescent="0.25">
      <c r="C516" t="s">
        <v>1864</v>
      </c>
      <c r="D516" t="s">
        <v>1864</v>
      </c>
      <c r="E516" t="s">
        <v>2378</v>
      </c>
      <c r="F516" t="s">
        <v>416</v>
      </c>
      <c r="G516" t="str">
        <f t="shared" si="37"/>
        <v>C</v>
      </c>
      <c r="H516" t="str">
        <f t="shared" si="38"/>
        <v>18</v>
      </c>
      <c r="I516" t="str">
        <f t="shared" si="39"/>
        <v>183</v>
      </c>
      <c r="J516" t="str">
        <f t="shared" si="40"/>
        <v>18300</v>
      </c>
      <c r="K516" t="str">
        <f t="shared" si="36"/>
        <v>1830001</v>
      </c>
    </row>
    <row r="517" spans="2:11" x14ac:dyDescent="0.25">
      <c r="C517" t="s">
        <v>1864</v>
      </c>
      <c r="D517" t="s">
        <v>1864</v>
      </c>
      <c r="E517" t="s">
        <v>2379</v>
      </c>
      <c r="F517" t="s">
        <v>417</v>
      </c>
      <c r="G517" t="str">
        <f t="shared" si="37"/>
        <v>C</v>
      </c>
      <c r="H517" t="str">
        <f t="shared" si="38"/>
        <v>18</v>
      </c>
      <c r="I517" t="str">
        <f t="shared" si="39"/>
        <v>183</v>
      </c>
      <c r="J517" t="str">
        <f t="shared" si="40"/>
        <v>18300</v>
      </c>
      <c r="K517" t="str">
        <f t="shared" si="36"/>
        <v>1830002</v>
      </c>
    </row>
    <row r="518" spans="2:11" x14ac:dyDescent="0.25">
      <c r="C518" t="s">
        <v>1864</v>
      </c>
      <c r="D518" t="s">
        <v>1864</v>
      </c>
      <c r="E518" t="s">
        <v>2380</v>
      </c>
      <c r="F518" t="s">
        <v>2381</v>
      </c>
      <c r="G518" t="str">
        <f t="shared" si="37"/>
        <v>C</v>
      </c>
      <c r="H518" t="str">
        <f t="shared" si="38"/>
        <v>18</v>
      </c>
      <c r="I518" t="str">
        <f t="shared" si="39"/>
        <v>183</v>
      </c>
      <c r="J518" t="str">
        <f t="shared" si="40"/>
        <v>18300</v>
      </c>
      <c r="K518" t="str">
        <f t="shared" si="36"/>
        <v>1830003</v>
      </c>
    </row>
    <row r="519" spans="2:11" x14ac:dyDescent="0.25">
      <c r="B519" t="s">
        <v>2382</v>
      </c>
      <c r="C519" t="s">
        <v>1864</v>
      </c>
      <c r="D519" t="s">
        <v>1864</v>
      </c>
      <c r="E519" t="s">
        <v>1864</v>
      </c>
      <c r="F519" t="s">
        <v>418</v>
      </c>
      <c r="G519" t="str">
        <f t="shared" si="37"/>
        <v>C</v>
      </c>
      <c r="H519" t="str">
        <f t="shared" si="38"/>
        <v>19</v>
      </c>
      <c r="I519" t="str">
        <f t="shared" si="39"/>
        <v>183</v>
      </c>
      <c r="J519" t="str">
        <f t="shared" si="40"/>
        <v>18300</v>
      </c>
      <c r="K519" t="str">
        <f t="shared" si="36"/>
        <v/>
      </c>
    </row>
    <row r="520" spans="2:11" x14ac:dyDescent="0.25">
      <c r="C520" t="s">
        <v>2383</v>
      </c>
      <c r="D520" t="s">
        <v>1864</v>
      </c>
      <c r="E520" t="s">
        <v>1864</v>
      </c>
      <c r="F520" t="s">
        <v>419</v>
      </c>
      <c r="G520" t="str">
        <f t="shared" si="37"/>
        <v>C</v>
      </c>
      <c r="H520" t="str">
        <f t="shared" si="38"/>
        <v>19</v>
      </c>
      <c r="I520" t="str">
        <f t="shared" si="39"/>
        <v>191</v>
      </c>
      <c r="J520" t="str">
        <f t="shared" si="40"/>
        <v>18300</v>
      </c>
      <c r="K520" t="str">
        <f t="shared" ref="K520:K583" si="41">E520</f>
        <v/>
      </c>
    </row>
    <row r="521" spans="2:11" x14ac:dyDescent="0.25">
      <c r="C521" t="s">
        <v>1864</v>
      </c>
      <c r="D521" t="s">
        <v>2384</v>
      </c>
      <c r="E521" t="s">
        <v>1864</v>
      </c>
      <c r="F521" t="s">
        <v>419</v>
      </c>
      <c r="G521" t="str">
        <f t="shared" ref="G521:G584" si="42">IF(A521="",G520,A521)</f>
        <v>C</v>
      </c>
      <c r="H521" t="str">
        <f t="shared" ref="H521:H584" si="43">IF(B521="",H520,B521)</f>
        <v>19</v>
      </c>
      <c r="I521" t="str">
        <f t="shared" ref="I521:I584" si="44">IF(C521="",I520,C521)</f>
        <v>191</v>
      </c>
      <c r="J521" t="str">
        <f t="shared" ref="J521:J584" si="45">IF(D521="",J520,D521)</f>
        <v>19101</v>
      </c>
      <c r="K521" t="str">
        <f t="shared" si="41"/>
        <v/>
      </c>
    </row>
    <row r="522" spans="2:11" x14ac:dyDescent="0.25">
      <c r="C522" t="s">
        <v>1864</v>
      </c>
      <c r="D522" t="s">
        <v>1864</v>
      </c>
      <c r="E522" t="s">
        <v>2385</v>
      </c>
      <c r="F522" t="s">
        <v>419</v>
      </c>
      <c r="G522" t="str">
        <f t="shared" si="42"/>
        <v>C</v>
      </c>
      <c r="H522" t="str">
        <f t="shared" si="43"/>
        <v>19</v>
      </c>
      <c r="I522" t="str">
        <f t="shared" si="44"/>
        <v>191</v>
      </c>
      <c r="J522" t="str">
        <f t="shared" si="45"/>
        <v>19101</v>
      </c>
      <c r="K522" t="str">
        <f t="shared" si="41"/>
        <v>1910100</v>
      </c>
    </row>
    <row r="523" spans="2:11" x14ac:dyDescent="0.25">
      <c r="C523" t="s">
        <v>2386</v>
      </c>
      <c r="D523" t="s">
        <v>1864</v>
      </c>
      <c r="E523" t="s">
        <v>1864</v>
      </c>
      <c r="F523" t="s">
        <v>420</v>
      </c>
      <c r="G523" t="str">
        <f t="shared" si="42"/>
        <v>C</v>
      </c>
      <c r="H523" t="str">
        <f t="shared" si="43"/>
        <v>19</v>
      </c>
      <c r="I523" t="str">
        <f t="shared" si="44"/>
        <v>192</v>
      </c>
      <c r="J523" t="str">
        <f t="shared" si="45"/>
        <v>19101</v>
      </c>
      <c r="K523" t="str">
        <f t="shared" si="41"/>
        <v/>
      </c>
    </row>
    <row r="524" spans="2:11" x14ac:dyDescent="0.25">
      <c r="C524" t="s">
        <v>1864</v>
      </c>
      <c r="D524" t="s">
        <v>2387</v>
      </c>
      <c r="E524" t="s">
        <v>1864</v>
      </c>
      <c r="F524" t="s">
        <v>421</v>
      </c>
      <c r="G524" t="str">
        <f t="shared" si="42"/>
        <v>C</v>
      </c>
      <c r="H524" t="str">
        <f t="shared" si="43"/>
        <v>19</v>
      </c>
      <c r="I524" t="str">
        <f t="shared" si="44"/>
        <v>192</v>
      </c>
      <c r="J524" t="str">
        <f t="shared" si="45"/>
        <v>19217</v>
      </c>
      <c r="K524" t="str">
        <f t="shared" si="41"/>
        <v/>
      </c>
    </row>
    <row r="525" spans="2:11" x14ac:dyDescent="0.25">
      <c r="C525" t="s">
        <v>1864</v>
      </c>
      <c r="D525" t="s">
        <v>1864</v>
      </c>
      <c r="E525" t="s">
        <v>2388</v>
      </c>
      <c r="F525" t="s">
        <v>421</v>
      </c>
      <c r="G525" t="str">
        <f t="shared" si="42"/>
        <v>C</v>
      </c>
      <c r="H525" t="str">
        <f t="shared" si="43"/>
        <v>19</v>
      </c>
      <c r="I525" t="str">
        <f t="shared" si="44"/>
        <v>192</v>
      </c>
      <c r="J525" t="str">
        <f t="shared" si="45"/>
        <v>19217</v>
      </c>
      <c r="K525" t="str">
        <f t="shared" si="41"/>
        <v>1921700</v>
      </c>
    </row>
    <row r="526" spans="2:11" x14ac:dyDescent="0.25">
      <c r="C526" t="s">
        <v>1864</v>
      </c>
      <c r="D526" t="s">
        <v>2389</v>
      </c>
      <c r="E526" t="s">
        <v>1864</v>
      </c>
      <c r="F526" t="s">
        <v>422</v>
      </c>
      <c r="G526" t="str">
        <f t="shared" si="42"/>
        <v>C</v>
      </c>
      <c r="H526" t="str">
        <f t="shared" si="43"/>
        <v>19</v>
      </c>
      <c r="I526" t="str">
        <f t="shared" si="44"/>
        <v>192</v>
      </c>
      <c r="J526" t="str">
        <f t="shared" si="45"/>
        <v>19225</v>
      </c>
      <c r="K526" t="str">
        <f t="shared" si="41"/>
        <v/>
      </c>
    </row>
    <row r="527" spans="2:11" x14ac:dyDescent="0.25">
      <c r="C527" t="s">
        <v>1864</v>
      </c>
      <c r="D527" t="s">
        <v>1864</v>
      </c>
      <c r="E527" t="s">
        <v>2390</v>
      </c>
      <c r="F527" t="s">
        <v>423</v>
      </c>
      <c r="G527" t="str">
        <f t="shared" si="42"/>
        <v>C</v>
      </c>
      <c r="H527" t="str">
        <f t="shared" si="43"/>
        <v>19</v>
      </c>
      <c r="I527" t="str">
        <f t="shared" si="44"/>
        <v>192</v>
      </c>
      <c r="J527" t="str">
        <f t="shared" si="45"/>
        <v>19225</v>
      </c>
      <c r="K527" t="str">
        <f t="shared" si="41"/>
        <v>1922501</v>
      </c>
    </row>
    <row r="528" spans="2:11" x14ac:dyDescent="0.25">
      <c r="C528" t="s">
        <v>1864</v>
      </c>
      <c r="D528" t="s">
        <v>1864</v>
      </c>
      <c r="E528" t="s">
        <v>2391</v>
      </c>
      <c r="F528" t="s">
        <v>424</v>
      </c>
      <c r="G528" t="str">
        <f t="shared" si="42"/>
        <v>C</v>
      </c>
      <c r="H528" t="str">
        <f t="shared" si="43"/>
        <v>19</v>
      </c>
      <c r="I528" t="str">
        <f t="shared" si="44"/>
        <v>192</v>
      </c>
      <c r="J528" t="str">
        <f t="shared" si="45"/>
        <v>19225</v>
      </c>
      <c r="K528" t="str">
        <f t="shared" si="41"/>
        <v>1922502</v>
      </c>
    </row>
    <row r="529" spans="2:11" x14ac:dyDescent="0.25">
      <c r="C529" t="s">
        <v>1864</v>
      </c>
      <c r="D529" t="s">
        <v>1864</v>
      </c>
      <c r="E529" t="s">
        <v>2392</v>
      </c>
      <c r="F529" t="s">
        <v>425</v>
      </c>
      <c r="G529" t="str">
        <f t="shared" si="42"/>
        <v>C</v>
      </c>
      <c r="H529" t="str">
        <f t="shared" si="43"/>
        <v>19</v>
      </c>
      <c r="I529" t="str">
        <f t="shared" si="44"/>
        <v>192</v>
      </c>
      <c r="J529" t="str">
        <f t="shared" si="45"/>
        <v>19225</v>
      </c>
      <c r="K529" t="str">
        <f t="shared" si="41"/>
        <v>1922599</v>
      </c>
    </row>
    <row r="530" spans="2:11" x14ac:dyDescent="0.25">
      <c r="C530" t="s">
        <v>2393</v>
      </c>
      <c r="D530" t="s">
        <v>1864</v>
      </c>
      <c r="E530" t="s">
        <v>1864</v>
      </c>
      <c r="F530" t="s">
        <v>426</v>
      </c>
      <c r="G530" t="str">
        <f t="shared" si="42"/>
        <v>C</v>
      </c>
      <c r="H530" t="str">
        <f t="shared" si="43"/>
        <v>19</v>
      </c>
      <c r="I530" t="str">
        <f t="shared" si="44"/>
        <v>193</v>
      </c>
      <c r="J530" t="str">
        <f t="shared" si="45"/>
        <v>19225</v>
      </c>
      <c r="K530" t="str">
        <f t="shared" si="41"/>
        <v/>
      </c>
    </row>
    <row r="531" spans="2:11" x14ac:dyDescent="0.25">
      <c r="C531" t="s">
        <v>1864</v>
      </c>
      <c r="D531" t="s">
        <v>2394</v>
      </c>
      <c r="E531" t="s">
        <v>1864</v>
      </c>
      <c r="F531" t="s">
        <v>427</v>
      </c>
      <c r="G531" t="str">
        <f t="shared" si="42"/>
        <v>C</v>
      </c>
      <c r="H531" t="str">
        <f t="shared" si="43"/>
        <v>19</v>
      </c>
      <c r="I531" t="str">
        <f t="shared" si="44"/>
        <v>193</v>
      </c>
      <c r="J531" t="str">
        <f t="shared" si="45"/>
        <v>19314</v>
      </c>
      <c r="K531" t="str">
        <f t="shared" si="41"/>
        <v/>
      </c>
    </row>
    <row r="532" spans="2:11" x14ac:dyDescent="0.25">
      <c r="C532" t="s">
        <v>1864</v>
      </c>
      <c r="D532" t="s">
        <v>1864</v>
      </c>
      <c r="E532" t="s">
        <v>2395</v>
      </c>
      <c r="F532" t="s">
        <v>427</v>
      </c>
      <c r="G532" t="str">
        <f t="shared" si="42"/>
        <v>C</v>
      </c>
      <c r="H532" t="str">
        <f t="shared" si="43"/>
        <v>19</v>
      </c>
      <c r="I532" t="str">
        <f t="shared" si="44"/>
        <v>193</v>
      </c>
      <c r="J532" t="str">
        <f t="shared" si="45"/>
        <v>19314</v>
      </c>
      <c r="K532" t="str">
        <f t="shared" si="41"/>
        <v>1931400</v>
      </c>
    </row>
    <row r="533" spans="2:11" x14ac:dyDescent="0.25">
      <c r="C533" t="s">
        <v>1864</v>
      </c>
      <c r="D533" t="s">
        <v>2396</v>
      </c>
      <c r="E533" t="s">
        <v>1864</v>
      </c>
      <c r="F533" t="s">
        <v>428</v>
      </c>
      <c r="G533" t="str">
        <f t="shared" si="42"/>
        <v>C</v>
      </c>
      <c r="H533" t="str">
        <f t="shared" si="43"/>
        <v>19</v>
      </c>
      <c r="I533" t="str">
        <f t="shared" si="44"/>
        <v>193</v>
      </c>
      <c r="J533" t="str">
        <f t="shared" si="45"/>
        <v>19322</v>
      </c>
      <c r="K533" t="str">
        <f t="shared" si="41"/>
        <v/>
      </c>
    </row>
    <row r="534" spans="2:11" x14ac:dyDescent="0.25">
      <c r="C534" t="s">
        <v>1864</v>
      </c>
      <c r="D534" t="s">
        <v>1864</v>
      </c>
      <c r="E534" t="s">
        <v>2397</v>
      </c>
      <c r="F534" t="s">
        <v>428</v>
      </c>
      <c r="G534" t="str">
        <f t="shared" si="42"/>
        <v>C</v>
      </c>
      <c r="H534" t="str">
        <f t="shared" si="43"/>
        <v>19</v>
      </c>
      <c r="I534" t="str">
        <f t="shared" si="44"/>
        <v>193</v>
      </c>
      <c r="J534" t="str">
        <f t="shared" si="45"/>
        <v>19322</v>
      </c>
      <c r="K534" t="str">
        <f t="shared" si="41"/>
        <v>1932200</v>
      </c>
    </row>
    <row r="535" spans="2:11" x14ac:dyDescent="0.25">
      <c r="B535" t="s">
        <v>2398</v>
      </c>
      <c r="C535" t="s">
        <v>1864</v>
      </c>
      <c r="D535" t="s">
        <v>1864</v>
      </c>
      <c r="E535" t="s">
        <v>1864</v>
      </c>
      <c r="F535" t="s">
        <v>429</v>
      </c>
      <c r="G535" t="str">
        <f t="shared" si="42"/>
        <v>C</v>
      </c>
      <c r="H535" t="str">
        <f t="shared" si="43"/>
        <v>20</v>
      </c>
      <c r="I535" t="str">
        <f t="shared" si="44"/>
        <v>193</v>
      </c>
      <c r="J535" t="str">
        <f t="shared" si="45"/>
        <v>19322</v>
      </c>
      <c r="K535" t="str">
        <f t="shared" si="41"/>
        <v/>
      </c>
    </row>
    <row r="536" spans="2:11" x14ac:dyDescent="0.25">
      <c r="C536" t="s">
        <v>2399</v>
      </c>
      <c r="D536" t="s">
        <v>1864</v>
      </c>
      <c r="E536" t="s">
        <v>1864</v>
      </c>
      <c r="F536" t="s">
        <v>430</v>
      </c>
      <c r="G536" t="str">
        <f t="shared" si="42"/>
        <v>C</v>
      </c>
      <c r="H536" t="str">
        <f t="shared" si="43"/>
        <v>20</v>
      </c>
      <c r="I536" t="str">
        <f t="shared" si="44"/>
        <v>201</v>
      </c>
      <c r="J536" t="str">
        <f t="shared" si="45"/>
        <v>19322</v>
      </c>
      <c r="K536" t="str">
        <f t="shared" si="41"/>
        <v/>
      </c>
    </row>
    <row r="537" spans="2:11" x14ac:dyDescent="0.25">
      <c r="C537" t="s">
        <v>1864</v>
      </c>
      <c r="D537" t="s">
        <v>2400</v>
      </c>
      <c r="E537" t="s">
        <v>1864</v>
      </c>
      <c r="F537" t="s">
        <v>431</v>
      </c>
      <c r="G537" t="str">
        <f t="shared" si="42"/>
        <v>C</v>
      </c>
      <c r="H537" t="str">
        <f t="shared" si="43"/>
        <v>20</v>
      </c>
      <c r="I537" t="str">
        <f t="shared" si="44"/>
        <v>201</v>
      </c>
      <c r="J537" t="str">
        <f t="shared" si="45"/>
        <v>20118</v>
      </c>
      <c r="K537" t="str">
        <f t="shared" si="41"/>
        <v/>
      </c>
    </row>
    <row r="538" spans="2:11" x14ac:dyDescent="0.25">
      <c r="C538" t="s">
        <v>1864</v>
      </c>
      <c r="D538" t="s">
        <v>1864</v>
      </c>
      <c r="E538" t="s">
        <v>2401</v>
      </c>
      <c r="F538" t="s">
        <v>431</v>
      </c>
      <c r="G538" t="str">
        <f t="shared" si="42"/>
        <v>C</v>
      </c>
      <c r="H538" t="str">
        <f t="shared" si="43"/>
        <v>20</v>
      </c>
      <c r="I538" t="str">
        <f t="shared" si="44"/>
        <v>201</v>
      </c>
      <c r="J538" t="str">
        <f t="shared" si="45"/>
        <v>20118</v>
      </c>
      <c r="K538" t="str">
        <f t="shared" si="41"/>
        <v>2011800</v>
      </c>
    </row>
    <row r="539" spans="2:11" x14ac:dyDescent="0.25">
      <c r="C539" t="s">
        <v>1864</v>
      </c>
      <c r="D539" t="s">
        <v>2402</v>
      </c>
      <c r="E539" t="s">
        <v>1864</v>
      </c>
      <c r="F539" t="s">
        <v>432</v>
      </c>
      <c r="G539" t="str">
        <f t="shared" si="42"/>
        <v>C</v>
      </c>
      <c r="H539" t="str">
        <f t="shared" si="43"/>
        <v>20</v>
      </c>
      <c r="I539" t="str">
        <f t="shared" si="44"/>
        <v>201</v>
      </c>
      <c r="J539" t="str">
        <f t="shared" si="45"/>
        <v>20126</v>
      </c>
      <c r="K539" t="str">
        <f t="shared" si="41"/>
        <v/>
      </c>
    </row>
    <row r="540" spans="2:11" x14ac:dyDescent="0.25">
      <c r="C540" t="s">
        <v>1864</v>
      </c>
      <c r="D540" t="s">
        <v>1864</v>
      </c>
      <c r="E540" t="s">
        <v>2403</v>
      </c>
      <c r="F540" t="s">
        <v>432</v>
      </c>
      <c r="G540" t="str">
        <f t="shared" si="42"/>
        <v>C</v>
      </c>
      <c r="H540" t="str">
        <f t="shared" si="43"/>
        <v>20</v>
      </c>
      <c r="I540" t="str">
        <f t="shared" si="44"/>
        <v>201</v>
      </c>
      <c r="J540" t="str">
        <f t="shared" si="45"/>
        <v>20126</v>
      </c>
      <c r="K540" t="str">
        <f t="shared" si="41"/>
        <v>2012600</v>
      </c>
    </row>
    <row r="541" spans="2:11" x14ac:dyDescent="0.25">
      <c r="C541" t="s">
        <v>1864</v>
      </c>
      <c r="D541" t="s">
        <v>2404</v>
      </c>
      <c r="E541" t="s">
        <v>1864</v>
      </c>
      <c r="F541" t="s">
        <v>433</v>
      </c>
      <c r="G541" t="str">
        <f t="shared" si="42"/>
        <v>C</v>
      </c>
      <c r="H541" t="str">
        <f t="shared" si="43"/>
        <v>20</v>
      </c>
      <c r="I541" t="str">
        <f t="shared" si="44"/>
        <v>201</v>
      </c>
      <c r="J541" t="str">
        <f t="shared" si="45"/>
        <v>20134</v>
      </c>
      <c r="K541" t="str">
        <f t="shared" si="41"/>
        <v/>
      </c>
    </row>
    <row r="542" spans="2:11" x14ac:dyDescent="0.25">
      <c r="C542" t="s">
        <v>1864</v>
      </c>
      <c r="D542" t="s">
        <v>1864</v>
      </c>
      <c r="E542" t="s">
        <v>2405</v>
      </c>
      <c r="F542" t="s">
        <v>434</v>
      </c>
      <c r="G542" t="str">
        <f t="shared" si="42"/>
        <v>C</v>
      </c>
      <c r="H542" t="str">
        <f t="shared" si="43"/>
        <v>20</v>
      </c>
      <c r="I542" t="str">
        <f t="shared" si="44"/>
        <v>201</v>
      </c>
      <c r="J542" t="str">
        <f t="shared" si="45"/>
        <v>20134</v>
      </c>
      <c r="K542" t="str">
        <f t="shared" si="41"/>
        <v>2013401</v>
      </c>
    </row>
    <row r="543" spans="2:11" x14ac:dyDescent="0.25">
      <c r="C543" t="s">
        <v>1864</v>
      </c>
      <c r="D543" t="s">
        <v>1864</v>
      </c>
      <c r="E543" t="s">
        <v>2406</v>
      </c>
      <c r="F543" t="s">
        <v>435</v>
      </c>
      <c r="G543" t="str">
        <f t="shared" si="42"/>
        <v>C</v>
      </c>
      <c r="H543" t="str">
        <f t="shared" si="43"/>
        <v>20</v>
      </c>
      <c r="I543" t="str">
        <f t="shared" si="44"/>
        <v>201</v>
      </c>
      <c r="J543" t="str">
        <f t="shared" si="45"/>
        <v>20134</v>
      </c>
      <c r="K543" t="str">
        <f t="shared" si="41"/>
        <v>2013402</v>
      </c>
    </row>
    <row r="544" spans="2:11" x14ac:dyDescent="0.25">
      <c r="C544" t="s">
        <v>1864</v>
      </c>
      <c r="D544" t="s">
        <v>2407</v>
      </c>
      <c r="E544" t="s">
        <v>1864</v>
      </c>
      <c r="F544" t="s">
        <v>436</v>
      </c>
      <c r="G544" t="str">
        <f t="shared" si="42"/>
        <v>C</v>
      </c>
      <c r="H544" t="str">
        <f t="shared" si="43"/>
        <v>20</v>
      </c>
      <c r="I544" t="str">
        <f t="shared" si="44"/>
        <v>201</v>
      </c>
      <c r="J544" t="str">
        <f t="shared" si="45"/>
        <v>20142</v>
      </c>
      <c r="K544" t="str">
        <f t="shared" si="41"/>
        <v/>
      </c>
    </row>
    <row r="545" spans="3:11" x14ac:dyDescent="0.25">
      <c r="C545" t="s">
        <v>1864</v>
      </c>
      <c r="D545" t="s">
        <v>1864</v>
      </c>
      <c r="E545" t="s">
        <v>2408</v>
      </c>
      <c r="F545" t="s">
        <v>436</v>
      </c>
      <c r="G545" t="str">
        <f t="shared" si="42"/>
        <v>C</v>
      </c>
      <c r="H545" t="str">
        <f t="shared" si="43"/>
        <v>20</v>
      </c>
      <c r="I545" t="str">
        <f t="shared" si="44"/>
        <v>201</v>
      </c>
      <c r="J545" t="str">
        <f t="shared" si="45"/>
        <v>20142</v>
      </c>
      <c r="K545" t="str">
        <f t="shared" si="41"/>
        <v>2014200</v>
      </c>
    </row>
    <row r="546" spans="3:11" x14ac:dyDescent="0.25">
      <c r="C546" t="s">
        <v>1864</v>
      </c>
      <c r="D546" t="s">
        <v>2409</v>
      </c>
      <c r="E546" t="s">
        <v>1864</v>
      </c>
      <c r="F546" t="s">
        <v>437</v>
      </c>
      <c r="G546" t="str">
        <f t="shared" si="42"/>
        <v>C</v>
      </c>
      <c r="H546" t="str">
        <f t="shared" si="43"/>
        <v>20</v>
      </c>
      <c r="I546" t="str">
        <f t="shared" si="44"/>
        <v>201</v>
      </c>
      <c r="J546" t="str">
        <f t="shared" si="45"/>
        <v>20193</v>
      </c>
      <c r="K546" t="str">
        <f t="shared" si="41"/>
        <v/>
      </c>
    </row>
    <row r="547" spans="3:11" x14ac:dyDescent="0.25">
      <c r="C547" t="s">
        <v>1864</v>
      </c>
      <c r="D547" t="s">
        <v>1864</v>
      </c>
      <c r="E547" t="s">
        <v>2410</v>
      </c>
      <c r="F547" t="s">
        <v>438</v>
      </c>
      <c r="G547" t="str">
        <f t="shared" si="42"/>
        <v>C</v>
      </c>
      <c r="H547" t="str">
        <f t="shared" si="43"/>
        <v>20</v>
      </c>
      <c r="I547" t="str">
        <f t="shared" si="44"/>
        <v>201</v>
      </c>
      <c r="J547" t="str">
        <f t="shared" si="45"/>
        <v>20193</v>
      </c>
      <c r="K547" t="str">
        <f t="shared" si="41"/>
        <v>2019301</v>
      </c>
    </row>
    <row r="548" spans="3:11" x14ac:dyDescent="0.25">
      <c r="C548" t="s">
        <v>1864</v>
      </c>
      <c r="D548" t="s">
        <v>1864</v>
      </c>
      <c r="E548" t="s">
        <v>2411</v>
      </c>
      <c r="F548" t="s">
        <v>439</v>
      </c>
      <c r="G548" t="str">
        <f t="shared" si="42"/>
        <v>C</v>
      </c>
      <c r="H548" t="str">
        <f t="shared" si="43"/>
        <v>20</v>
      </c>
      <c r="I548" t="str">
        <f t="shared" si="44"/>
        <v>201</v>
      </c>
      <c r="J548" t="str">
        <f t="shared" si="45"/>
        <v>20193</v>
      </c>
      <c r="K548" t="str">
        <f t="shared" si="41"/>
        <v>2019399</v>
      </c>
    </row>
    <row r="549" spans="3:11" x14ac:dyDescent="0.25">
      <c r="C549" t="s">
        <v>2412</v>
      </c>
      <c r="D549" t="s">
        <v>1864</v>
      </c>
      <c r="E549" t="s">
        <v>1864</v>
      </c>
      <c r="F549" t="s">
        <v>440</v>
      </c>
      <c r="G549" t="str">
        <f t="shared" si="42"/>
        <v>C</v>
      </c>
      <c r="H549" t="str">
        <f t="shared" si="43"/>
        <v>20</v>
      </c>
      <c r="I549" t="str">
        <f t="shared" si="44"/>
        <v>202</v>
      </c>
      <c r="J549" t="str">
        <f t="shared" si="45"/>
        <v>20193</v>
      </c>
      <c r="K549" t="str">
        <f t="shared" si="41"/>
        <v/>
      </c>
    </row>
    <row r="550" spans="3:11" x14ac:dyDescent="0.25">
      <c r="C550" t="s">
        <v>1864</v>
      </c>
      <c r="D550" t="s">
        <v>2413</v>
      </c>
      <c r="E550" t="s">
        <v>1864</v>
      </c>
      <c r="F550" t="s">
        <v>441</v>
      </c>
      <c r="G550" t="str">
        <f t="shared" si="42"/>
        <v>C</v>
      </c>
      <c r="H550" t="str">
        <f t="shared" si="43"/>
        <v>20</v>
      </c>
      <c r="I550" t="str">
        <f t="shared" si="44"/>
        <v>202</v>
      </c>
      <c r="J550" t="str">
        <f t="shared" si="45"/>
        <v>20215</v>
      </c>
      <c r="K550" t="str">
        <f t="shared" si="41"/>
        <v/>
      </c>
    </row>
    <row r="551" spans="3:11" x14ac:dyDescent="0.25">
      <c r="C551" t="s">
        <v>1864</v>
      </c>
      <c r="D551" t="s">
        <v>1864</v>
      </c>
      <c r="E551" t="s">
        <v>2414</v>
      </c>
      <c r="F551" t="s">
        <v>441</v>
      </c>
      <c r="G551" t="str">
        <f t="shared" si="42"/>
        <v>C</v>
      </c>
      <c r="H551" t="str">
        <f t="shared" si="43"/>
        <v>20</v>
      </c>
      <c r="I551" t="str">
        <f t="shared" si="44"/>
        <v>202</v>
      </c>
      <c r="J551" t="str">
        <f t="shared" si="45"/>
        <v>20215</v>
      </c>
      <c r="K551" t="str">
        <f t="shared" si="41"/>
        <v>2021500</v>
      </c>
    </row>
    <row r="552" spans="3:11" x14ac:dyDescent="0.25">
      <c r="C552" t="s">
        <v>1864</v>
      </c>
      <c r="D552" t="s">
        <v>2415</v>
      </c>
      <c r="E552" t="s">
        <v>1864</v>
      </c>
      <c r="F552" t="s">
        <v>442</v>
      </c>
      <c r="G552" t="str">
        <f t="shared" si="42"/>
        <v>C</v>
      </c>
      <c r="H552" t="str">
        <f t="shared" si="43"/>
        <v>20</v>
      </c>
      <c r="I552" t="str">
        <f t="shared" si="44"/>
        <v>202</v>
      </c>
      <c r="J552" t="str">
        <f t="shared" si="45"/>
        <v>20223</v>
      </c>
      <c r="K552" t="str">
        <f t="shared" si="41"/>
        <v/>
      </c>
    </row>
    <row r="553" spans="3:11" x14ac:dyDescent="0.25">
      <c r="C553" t="s">
        <v>1864</v>
      </c>
      <c r="D553" t="s">
        <v>1864</v>
      </c>
      <c r="E553" t="s">
        <v>2416</v>
      </c>
      <c r="F553" t="s">
        <v>442</v>
      </c>
      <c r="G553" t="str">
        <f t="shared" si="42"/>
        <v>C</v>
      </c>
      <c r="H553" t="str">
        <f t="shared" si="43"/>
        <v>20</v>
      </c>
      <c r="I553" t="str">
        <f t="shared" si="44"/>
        <v>202</v>
      </c>
      <c r="J553" t="str">
        <f t="shared" si="45"/>
        <v>20223</v>
      </c>
      <c r="K553" t="str">
        <f t="shared" si="41"/>
        <v>2022300</v>
      </c>
    </row>
    <row r="554" spans="3:11" x14ac:dyDescent="0.25">
      <c r="C554" t="s">
        <v>1864</v>
      </c>
      <c r="D554" t="s">
        <v>2417</v>
      </c>
      <c r="E554" t="s">
        <v>1864</v>
      </c>
      <c r="F554" t="s">
        <v>443</v>
      </c>
      <c r="G554" t="str">
        <f t="shared" si="42"/>
        <v>C</v>
      </c>
      <c r="H554" t="str">
        <f t="shared" si="43"/>
        <v>20</v>
      </c>
      <c r="I554" t="str">
        <f t="shared" si="44"/>
        <v>202</v>
      </c>
      <c r="J554" t="str">
        <f t="shared" si="45"/>
        <v>20291</v>
      </c>
      <c r="K554" t="str">
        <f t="shared" si="41"/>
        <v/>
      </c>
    </row>
    <row r="555" spans="3:11" x14ac:dyDescent="0.25">
      <c r="C555" t="s">
        <v>1864</v>
      </c>
      <c r="D555" t="s">
        <v>1864</v>
      </c>
      <c r="E555" t="s">
        <v>2418</v>
      </c>
      <c r="F555" t="s">
        <v>443</v>
      </c>
      <c r="G555" t="str">
        <f t="shared" si="42"/>
        <v>C</v>
      </c>
      <c r="H555" t="str">
        <f t="shared" si="43"/>
        <v>20</v>
      </c>
      <c r="I555" t="str">
        <f t="shared" si="44"/>
        <v>202</v>
      </c>
      <c r="J555" t="str">
        <f t="shared" si="45"/>
        <v>20291</v>
      </c>
      <c r="K555" t="str">
        <f t="shared" si="41"/>
        <v>2029100</v>
      </c>
    </row>
    <row r="556" spans="3:11" x14ac:dyDescent="0.25">
      <c r="C556" t="s">
        <v>2419</v>
      </c>
      <c r="D556" t="s">
        <v>1864</v>
      </c>
      <c r="E556" t="s">
        <v>1864</v>
      </c>
      <c r="F556" t="s">
        <v>444</v>
      </c>
      <c r="G556" t="str">
        <f t="shared" si="42"/>
        <v>C</v>
      </c>
      <c r="H556" t="str">
        <f t="shared" si="43"/>
        <v>20</v>
      </c>
      <c r="I556" t="str">
        <f t="shared" si="44"/>
        <v>203</v>
      </c>
      <c r="J556" t="str">
        <f t="shared" si="45"/>
        <v>20291</v>
      </c>
      <c r="K556" t="str">
        <f t="shared" si="41"/>
        <v/>
      </c>
    </row>
    <row r="557" spans="3:11" x14ac:dyDescent="0.25">
      <c r="C557" t="s">
        <v>1864</v>
      </c>
      <c r="D557" t="s">
        <v>2420</v>
      </c>
      <c r="E557" t="s">
        <v>1864</v>
      </c>
      <c r="F557" t="s">
        <v>445</v>
      </c>
      <c r="G557" t="str">
        <f t="shared" si="42"/>
        <v>C</v>
      </c>
      <c r="H557" t="str">
        <f t="shared" si="43"/>
        <v>20</v>
      </c>
      <c r="I557" t="str">
        <f t="shared" si="44"/>
        <v>203</v>
      </c>
      <c r="J557" t="str">
        <f t="shared" si="45"/>
        <v>20312</v>
      </c>
      <c r="K557" t="str">
        <f t="shared" si="41"/>
        <v/>
      </c>
    </row>
    <row r="558" spans="3:11" x14ac:dyDescent="0.25">
      <c r="C558" t="s">
        <v>1864</v>
      </c>
      <c r="D558" t="s">
        <v>1864</v>
      </c>
      <c r="E558" t="s">
        <v>2421</v>
      </c>
      <c r="F558" t="s">
        <v>445</v>
      </c>
      <c r="G558" t="str">
        <f t="shared" si="42"/>
        <v>C</v>
      </c>
      <c r="H558" t="str">
        <f t="shared" si="43"/>
        <v>20</v>
      </c>
      <c r="I558" t="str">
        <f t="shared" si="44"/>
        <v>203</v>
      </c>
      <c r="J558" t="str">
        <f t="shared" si="45"/>
        <v>20312</v>
      </c>
      <c r="K558" t="str">
        <f t="shared" si="41"/>
        <v>2031200</v>
      </c>
    </row>
    <row r="559" spans="3:11" x14ac:dyDescent="0.25">
      <c r="C559" t="s">
        <v>1864</v>
      </c>
      <c r="D559" t="s">
        <v>2422</v>
      </c>
      <c r="E559" t="s">
        <v>1864</v>
      </c>
      <c r="F559" t="s">
        <v>446</v>
      </c>
      <c r="G559" t="str">
        <f t="shared" si="42"/>
        <v>C</v>
      </c>
      <c r="H559" t="str">
        <f t="shared" si="43"/>
        <v>20</v>
      </c>
      <c r="I559" t="str">
        <f t="shared" si="44"/>
        <v>203</v>
      </c>
      <c r="J559" t="str">
        <f t="shared" si="45"/>
        <v>20321</v>
      </c>
      <c r="K559" t="str">
        <f t="shared" si="41"/>
        <v/>
      </c>
    </row>
    <row r="560" spans="3:11" x14ac:dyDescent="0.25">
      <c r="C560" t="s">
        <v>1864</v>
      </c>
      <c r="D560" t="s">
        <v>1864</v>
      </c>
      <c r="E560" t="s">
        <v>2423</v>
      </c>
      <c r="F560" t="s">
        <v>446</v>
      </c>
      <c r="G560" t="str">
        <f t="shared" si="42"/>
        <v>C</v>
      </c>
      <c r="H560" t="str">
        <f t="shared" si="43"/>
        <v>20</v>
      </c>
      <c r="I560" t="str">
        <f t="shared" si="44"/>
        <v>203</v>
      </c>
      <c r="J560" t="str">
        <f t="shared" si="45"/>
        <v>20321</v>
      </c>
      <c r="K560" t="str">
        <f t="shared" si="41"/>
        <v>2032100</v>
      </c>
    </row>
    <row r="561" spans="3:11" x14ac:dyDescent="0.25">
      <c r="C561" t="s">
        <v>1864</v>
      </c>
      <c r="D561" t="s">
        <v>2424</v>
      </c>
      <c r="E561" t="s">
        <v>1864</v>
      </c>
      <c r="F561" t="s">
        <v>447</v>
      </c>
      <c r="G561" t="str">
        <f t="shared" si="42"/>
        <v>C</v>
      </c>
      <c r="H561" t="str">
        <f t="shared" si="43"/>
        <v>20</v>
      </c>
      <c r="I561" t="str">
        <f t="shared" si="44"/>
        <v>203</v>
      </c>
      <c r="J561" t="str">
        <f t="shared" si="45"/>
        <v>20339</v>
      </c>
      <c r="K561" t="str">
        <f t="shared" si="41"/>
        <v/>
      </c>
    </row>
    <row r="562" spans="3:11" x14ac:dyDescent="0.25">
      <c r="C562" t="s">
        <v>1864</v>
      </c>
      <c r="D562" t="s">
        <v>1864</v>
      </c>
      <c r="E562" t="s">
        <v>2425</v>
      </c>
      <c r="F562" t="s">
        <v>447</v>
      </c>
      <c r="G562" t="str">
        <f t="shared" si="42"/>
        <v>C</v>
      </c>
      <c r="H562" t="str">
        <f t="shared" si="43"/>
        <v>20</v>
      </c>
      <c r="I562" t="str">
        <f t="shared" si="44"/>
        <v>203</v>
      </c>
      <c r="J562" t="str">
        <f t="shared" si="45"/>
        <v>20339</v>
      </c>
      <c r="K562" t="str">
        <f t="shared" si="41"/>
        <v>2033900</v>
      </c>
    </row>
    <row r="563" spans="3:11" x14ac:dyDescent="0.25">
      <c r="C563" t="s">
        <v>2426</v>
      </c>
      <c r="D563" t="s">
        <v>1864</v>
      </c>
      <c r="E563" t="s">
        <v>1864</v>
      </c>
      <c r="F563" t="s">
        <v>448</v>
      </c>
      <c r="G563" t="str">
        <f t="shared" si="42"/>
        <v>C</v>
      </c>
      <c r="H563" t="str">
        <f t="shared" si="43"/>
        <v>20</v>
      </c>
      <c r="I563" t="str">
        <f t="shared" si="44"/>
        <v>204</v>
      </c>
      <c r="J563" t="str">
        <f t="shared" si="45"/>
        <v>20339</v>
      </c>
      <c r="K563" t="str">
        <f t="shared" si="41"/>
        <v/>
      </c>
    </row>
    <row r="564" spans="3:11" x14ac:dyDescent="0.25">
      <c r="C564" t="s">
        <v>1864</v>
      </c>
      <c r="D564" t="s">
        <v>2427</v>
      </c>
      <c r="E564" t="s">
        <v>1864</v>
      </c>
      <c r="F564" t="s">
        <v>448</v>
      </c>
      <c r="G564" t="str">
        <f t="shared" si="42"/>
        <v>C</v>
      </c>
      <c r="H564" t="str">
        <f t="shared" si="43"/>
        <v>20</v>
      </c>
      <c r="I564" t="str">
        <f t="shared" si="44"/>
        <v>204</v>
      </c>
      <c r="J564" t="str">
        <f t="shared" si="45"/>
        <v>20401</v>
      </c>
      <c r="K564" t="str">
        <f t="shared" si="41"/>
        <v/>
      </c>
    </row>
    <row r="565" spans="3:11" x14ac:dyDescent="0.25">
      <c r="C565" t="s">
        <v>1864</v>
      </c>
      <c r="D565" t="s">
        <v>1864</v>
      </c>
      <c r="E565" t="s">
        <v>2428</v>
      </c>
      <c r="F565" t="s">
        <v>448</v>
      </c>
      <c r="G565" t="str">
        <f t="shared" si="42"/>
        <v>C</v>
      </c>
      <c r="H565" t="str">
        <f t="shared" si="43"/>
        <v>20</v>
      </c>
      <c r="I565" t="str">
        <f t="shared" si="44"/>
        <v>204</v>
      </c>
      <c r="J565" t="str">
        <f t="shared" si="45"/>
        <v>20401</v>
      </c>
      <c r="K565" t="str">
        <f t="shared" si="41"/>
        <v>2040100</v>
      </c>
    </row>
    <row r="566" spans="3:11" x14ac:dyDescent="0.25">
      <c r="C566" t="s">
        <v>2429</v>
      </c>
      <c r="D566" t="s">
        <v>1864</v>
      </c>
      <c r="E566" t="s">
        <v>1864</v>
      </c>
      <c r="F566" t="s">
        <v>449</v>
      </c>
      <c r="G566" t="str">
        <f t="shared" si="42"/>
        <v>C</v>
      </c>
      <c r="H566" t="str">
        <f t="shared" si="43"/>
        <v>20</v>
      </c>
      <c r="I566" t="str">
        <f t="shared" si="44"/>
        <v>205</v>
      </c>
      <c r="J566" t="str">
        <f t="shared" si="45"/>
        <v>20401</v>
      </c>
      <c r="K566" t="str">
        <f t="shared" si="41"/>
        <v/>
      </c>
    </row>
    <row r="567" spans="3:11" x14ac:dyDescent="0.25">
      <c r="C567" t="s">
        <v>1864</v>
      </c>
      <c r="D567" t="s">
        <v>2430</v>
      </c>
      <c r="E567" t="s">
        <v>1864</v>
      </c>
      <c r="F567" t="s">
        <v>450</v>
      </c>
      <c r="G567" t="str">
        <f t="shared" si="42"/>
        <v>C</v>
      </c>
      <c r="H567" t="str">
        <f t="shared" si="43"/>
        <v>20</v>
      </c>
      <c r="I567" t="str">
        <f t="shared" si="44"/>
        <v>205</v>
      </c>
      <c r="J567" t="str">
        <f t="shared" si="45"/>
        <v>20517</v>
      </c>
      <c r="K567" t="str">
        <f t="shared" si="41"/>
        <v/>
      </c>
    </row>
    <row r="568" spans="3:11" x14ac:dyDescent="0.25">
      <c r="C568" t="s">
        <v>1864</v>
      </c>
      <c r="D568" t="s">
        <v>1864</v>
      </c>
      <c r="E568" t="s">
        <v>2431</v>
      </c>
      <c r="F568" t="s">
        <v>450</v>
      </c>
      <c r="G568" t="str">
        <f t="shared" si="42"/>
        <v>C</v>
      </c>
      <c r="H568" t="str">
        <f t="shared" si="43"/>
        <v>20</v>
      </c>
      <c r="I568" t="str">
        <f t="shared" si="44"/>
        <v>205</v>
      </c>
      <c r="J568" t="str">
        <f t="shared" si="45"/>
        <v>20517</v>
      </c>
      <c r="K568" t="str">
        <f t="shared" si="41"/>
        <v>2051700</v>
      </c>
    </row>
    <row r="569" spans="3:11" x14ac:dyDescent="0.25">
      <c r="C569" t="s">
        <v>1864</v>
      </c>
      <c r="D569" t="s">
        <v>2432</v>
      </c>
      <c r="E569" t="s">
        <v>1864</v>
      </c>
      <c r="F569" t="s">
        <v>451</v>
      </c>
      <c r="G569" t="str">
        <f t="shared" si="42"/>
        <v>C</v>
      </c>
      <c r="H569" t="str">
        <f t="shared" si="43"/>
        <v>20</v>
      </c>
      <c r="I569" t="str">
        <f t="shared" si="44"/>
        <v>205</v>
      </c>
      <c r="J569" t="str">
        <f t="shared" si="45"/>
        <v>20525</v>
      </c>
      <c r="K569" t="str">
        <f t="shared" si="41"/>
        <v/>
      </c>
    </row>
    <row r="570" spans="3:11" x14ac:dyDescent="0.25">
      <c r="C570" t="s">
        <v>1864</v>
      </c>
      <c r="D570" t="s">
        <v>1864</v>
      </c>
      <c r="E570" t="s">
        <v>2433</v>
      </c>
      <c r="F570" t="s">
        <v>451</v>
      </c>
      <c r="G570" t="str">
        <f t="shared" si="42"/>
        <v>C</v>
      </c>
      <c r="H570" t="str">
        <f t="shared" si="43"/>
        <v>20</v>
      </c>
      <c r="I570" t="str">
        <f t="shared" si="44"/>
        <v>205</v>
      </c>
      <c r="J570" t="str">
        <f t="shared" si="45"/>
        <v>20525</v>
      </c>
      <c r="K570" t="str">
        <f t="shared" si="41"/>
        <v>2052500</v>
      </c>
    </row>
    <row r="571" spans="3:11" x14ac:dyDescent="0.25">
      <c r="C571" t="s">
        <v>2434</v>
      </c>
      <c r="D571" t="s">
        <v>1864</v>
      </c>
      <c r="E571" t="s">
        <v>1864</v>
      </c>
      <c r="F571" t="s">
        <v>452</v>
      </c>
      <c r="G571" t="str">
        <f t="shared" si="42"/>
        <v>C</v>
      </c>
      <c r="H571" t="str">
        <f t="shared" si="43"/>
        <v>20</v>
      </c>
      <c r="I571" t="str">
        <f t="shared" si="44"/>
        <v>206</v>
      </c>
      <c r="J571" t="str">
        <f t="shared" si="45"/>
        <v>20525</v>
      </c>
      <c r="K571" t="str">
        <f t="shared" si="41"/>
        <v/>
      </c>
    </row>
    <row r="572" spans="3:11" x14ac:dyDescent="0.25">
      <c r="C572" t="s">
        <v>1864</v>
      </c>
      <c r="D572" t="s">
        <v>2435</v>
      </c>
      <c r="E572" t="s">
        <v>1864</v>
      </c>
      <c r="F572" t="s">
        <v>453</v>
      </c>
      <c r="G572" t="str">
        <f t="shared" si="42"/>
        <v>C</v>
      </c>
      <c r="H572" t="str">
        <f t="shared" si="43"/>
        <v>20</v>
      </c>
      <c r="I572" t="str">
        <f t="shared" si="44"/>
        <v>206</v>
      </c>
      <c r="J572" t="str">
        <f t="shared" si="45"/>
        <v>20614</v>
      </c>
      <c r="K572" t="str">
        <f t="shared" si="41"/>
        <v/>
      </c>
    </row>
    <row r="573" spans="3:11" x14ac:dyDescent="0.25">
      <c r="C573" t="s">
        <v>1864</v>
      </c>
      <c r="D573" t="s">
        <v>1864</v>
      </c>
      <c r="E573" t="s">
        <v>2436</v>
      </c>
      <c r="F573" t="s">
        <v>453</v>
      </c>
      <c r="G573" t="str">
        <f t="shared" si="42"/>
        <v>C</v>
      </c>
      <c r="H573" t="str">
        <f t="shared" si="43"/>
        <v>20</v>
      </c>
      <c r="I573" t="str">
        <f t="shared" si="44"/>
        <v>206</v>
      </c>
      <c r="J573" t="str">
        <f t="shared" si="45"/>
        <v>20614</v>
      </c>
      <c r="K573" t="str">
        <f t="shared" si="41"/>
        <v>2061400</v>
      </c>
    </row>
    <row r="574" spans="3:11" x14ac:dyDescent="0.25">
      <c r="C574" t="s">
        <v>1864</v>
      </c>
      <c r="D574" t="s">
        <v>2437</v>
      </c>
      <c r="E574" t="s">
        <v>1864</v>
      </c>
      <c r="F574" t="s">
        <v>454</v>
      </c>
      <c r="G574" t="str">
        <f t="shared" si="42"/>
        <v>C</v>
      </c>
      <c r="H574" t="str">
        <f t="shared" si="43"/>
        <v>20</v>
      </c>
      <c r="I574" t="str">
        <f t="shared" si="44"/>
        <v>206</v>
      </c>
      <c r="J574" t="str">
        <f t="shared" si="45"/>
        <v>20622</v>
      </c>
      <c r="K574" t="str">
        <f t="shared" si="41"/>
        <v/>
      </c>
    </row>
    <row r="575" spans="3:11" x14ac:dyDescent="0.25">
      <c r="C575" t="s">
        <v>1864</v>
      </c>
      <c r="D575" t="s">
        <v>1864</v>
      </c>
      <c r="E575" t="s">
        <v>2438</v>
      </c>
      <c r="F575" t="s">
        <v>454</v>
      </c>
      <c r="G575" t="str">
        <f t="shared" si="42"/>
        <v>C</v>
      </c>
      <c r="H575" t="str">
        <f t="shared" si="43"/>
        <v>20</v>
      </c>
      <c r="I575" t="str">
        <f t="shared" si="44"/>
        <v>206</v>
      </c>
      <c r="J575" t="str">
        <f t="shared" si="45"/>
        <v>20622</v>
      </c>
      <c r="K575" t="str">
        <f t="shared" si="41"/>
        <v>2062200</v>
      </c>
    </row>
    <row r="576" spans="3:11" x14ac:dyDescent="0.25">
      <c r="C576" t="s">
        <v>1864</v>
      </c>
      <c r="D576" t="s">
        <v>2439</v>
      </c>
      <c r="E576" t="s">
        <v>1864</v>
      </c>
      <c r="F576" t="s">
        <v>455</v>
      </c>
      <c r="G576" t="str">
        <f t="shared" si="42"/>
        <v>C</v>
      </c>
      <c r="H576" t="str">
        <f t="shared" si="43"/>
        <v>20</v>
      </c>
      <c r="I576" t="str">
        <f t="shared" si="44"/>
        <v>206</v>
      </c>
      <c r="J576" t="str">
        <f t="shared" si="45"/>
        <v>20631</v>
      </c>
      <c r="K576" t="str">
        <f t="shared" si="41"/>
        <v/>
      </c>
    </row>
    <row r="577" spans="3:11" x14ac:dyDescent="0.25">
      <c r="C577" t="s">
        <v>1864</v>
      </c>
      <c r="D577" t="s">
        <v>1864</v>
      </c>
      <c r="E577" t="s">
        <v>2440</v>
      </c>
      <c r="F577" t="s">
        <v>455</v>
      </c>
      <c r="G577" t="str">
        <f t="shared" si="42"/>
        <v>C</v>
      </c>
      <c r="H577" t="str">
        <f t="shared" si="43"/>
        <v>20</v>
      </c>
      <c r="I577" t="str">
        <f t="shared" si="44"/>
        <v>206</v>
      </c>
      <c r="J577" t="str">
        <f t="shared" si="45"/>
        <v>20631</v>
      </c>
      <c r="K577" t="str">
        <f t="shared" si="41"/>
        <v>2063100</v>
      </c>
    </row>
    <row r="578" spans="3:11" x14ac:dyDescent="0.25">
      <c r="C578" t="s">
        <v>2441</v>
      </c>
      <c r="D578" t="s">
        <v>1864</v>
      </c>
      <c r="E578" t="s">
        <v>1864</v>
      </c>
      <c r="F578" t="s">
        <v>456</v>
      </c>
      <c r="G578" t="str">
        <f t="shared" si="42"/>
        <v>C</v>
      </c>
      <c r="H578" t="str">
        <f t="shared" si="43"/>
        <v>20</v>
      </c>
      <c r="I578" t="str">
        <f t="shared" si="44"/>
        <v>207</v>
      </c>
      <c r="J578" t="str">
        <f t="shared" si="45"/>
        <v>20631</v>
      </c>
      <c r="K578" t="str">
        <f t="shared" si="41"/>
        <v/>
      </c>
    </row>
    <row r="579" spans="3:11" x14ac:dyDescent="0.25">
      <c r="C579" t="s">
        <v>1864</v>
      </c>
      <c r="D579" t="s">
        <v>2442</v>
      </c>
      <c r="E579" t="s">
        <v>1864</v>
      </c>
      <c r="F579" t="s">
        <v>457</v>
      </c>
      <c r="G579" t="str">
        <f t="shared" si="42"/>
        <v>C</v>
      </c>
      <c r="H579" t="str">
        <f t="shared" si="43"/>
        <v>20</v>
      </c>
      <c r="I579" t="str">
        <f t="shared" si="44"/>
        <v>207</v>
      </c>
      <c r="J579" t="str">
        <f t="shared" si="45"/>
        <v>20711</v>
      </c>
      <c r="K579" t="str">
        <f t="shared" si="41"/>
        <v/>
      </c>
    </row>
    <row r="580" spans="3:11" x14ac:dyDescent="0.25">
      <c r="C580" t="s">
        <v>1864</v>
      </c>
      <c r="D580" t="s">
        <v>1864</v>
      </c>
      <c r="E580" t="s">
        <v>2443</v>
      </c>
      <c r="F580" t="s">
        <v>457</v>
      </c>
      <c r="G580" t="str">
        <f t="shared" si="42"/>
        <v>C</v>
      </c>
      <c r="H580" t="str">
        <f t="shared" si="43"/>
        <v>20</v>
      </c>
      <c r="I580" t="str">
        <f t="shared" si="44"/>
        <v>207</v>
      </c>
      <c r="J580" t="str">
        <f t="shared" si="45"/>
        <v>20711</v>
      </c>
      <c r="K580" t="str">
        <f t="shared" si="41"/>
        <v>2071100</v>
      </c>
    </row>
    <row r="581" spans="3:11" x14ac:dyDescent="0.25">
      <c r="C581" t="s">
        <v>1864</v>
      </c>
      <c r="D581" t="s">
        <v>2444</v>
      </c>
      <c r="E581" t="s">
        <v>1864</v>
      </c>
      <c r="F581" t="s">
        <v>458</v>
      </c>
      <c r="G581" t="str">
        <f t="shared" si="42"/>
        <v>C</v>
      </c>
      <c r="H581" t="str">
        <f t="shared" si="43"/>
        <v>20</v>
      </c>
      <c r="I581" t="str">
        <f t="shared" si="44"/>
        <v>207</v>
      </c>
      <c r="J581" t="str">
        <f t="shared" si="45"/>
        <v>20720</v>
      </c>
      <c r="K581" t="str">
        <f t="shared" si="41"/>
        <v/>
      </c>
    </row>
    <row r="582" spans="3:11" x14ac:dyDescent="0.25">
      <c r="C582" t="s">
        <v>1864</v>
      </c>
      <c r="D582" t="s">
        <v>1864</v>
      </c>
      <c r="E582" t="s">
        <v>2445</v>
      </c>
      <c r="F582" t="s">
        <v>458</v>
      </c>
      <c r="G582" t="str">
        <f t="shared" si="42"/>
        <v>C</v>
      </c>
      <c r="H582" t="str">
        <f t="shared" si="43"/>
        <v>20</v>
      </c>
      <c r="I582" t="str">
        <f t="shared" si="44"/>
        <v>207</v>
      </c>
      <c r="J582" t="str">
        <f t="shared" si="45"/>
        <v>20720</v>
      </c>
      <c r="K582" t="str">
        <f t="shared" si="41"/>
        <v>2072000</v>
      </c>
    </row>
    <row r="583" spans="3:11" x14ac:dyDescent="0.25">
      <c r="C583" t="s">
        <v>1864</v>
      </c>
      <c r="D583" t="s">
        <v>2446</v>
      </c>
      <c r="E583" t="s">
        <v>1864</v>
      </c>
      <c r="F583" t="s">
        <v>459</v>
      </c>
      <c r="G583" t="str">
        <f t="shared" si="42"/>
        <v>C</v>
      </c>
      <c r="H583" t="str">
        <f t="shared" si="43"/>
        <v>20</v>
      </c>
      <c r="I583" t="str">
        <f t="shared" si="44"/>
        <v>207</v>
      </c>
      <c r="J583" t="str">
        <f t="shared" si="45"/>
        <v>20738</v>
      </c>
      <c r="K583" t="str">
        <f t="shared" si="41"/>
        <v/>
      </c>
    </row>
    <row r="584" spans="3:11" x14ac:dyDescent="0.25">
      <c r="C584" t="s">
        <v>1864</v>
      </c>
      <c r="D584" t="s">
        <v>1864</v>
      </c>
      <c r="E584" t="s">
        <v>2447</v>
      </c>
      <c r="F584" t="s">
        <v>459</v>
      </c>
      <c r="G584" t="str">
        <f t="shared" si="42"/>
        <v>C</v>
      </c>
      <c r="H584" t="str">
        <f t="shared" si="43"/>
        <v>20</v>
      </c>
      <c r="I584" t="str">
        <f t="shared" si="44"/>
        <v>207</v>
      </c>
      <c r="J584" t="str">
        <f t="shared" si="45"/>
        <v>20738</v>
      </c>
      <c r="K584" t="str">
        <f t="shared" ref="K584:K647" si="46">E584</f>
        <v>2073800</v>
      </c>
    </row>
    <row r="585" spans="3:11" x14ac:dyDescent="0.25">
      <c r="C585" t="s">
        <v>2448</v>
      </c>
      <c r="D585" t="s">
        <v>1864</v>
      </c>
      <c r="E585" t="s">
        <v>1864</v>
      </c>
      <c r="F585" t="s">
        <v>460</v>
      </c>
      <c r="G585" t="str">
        <f t="shared" ref="G585:G648" si="47">IF(A585="",G584,A585)</f>
        <v>C</v>
      </c>
      <c r="H585" t="str">
        <f t="shared" ref="H585:H648" si="48">IF(B585="",H584,B585)</f>
        <v>20</v>
      </c>
      <c r="I585" t="str">
        <f t="shared" ref="I585:I648" si="49">IF(C585="",I584,C585)</f>
        <v>209</v>
      </c>
      <c r="J585" t="str">
        <f t="shared" ref="J585:J648" si="50">IF(D585="",J584,D585)</f>
        <v>20738</v>
      </c>
      <c r="K585" t="str">
        <f t="shared" si="46"/>
        <v/>
      </c>
    </row>
    <row r="586" spans="3:11" x14ac:dyDescent="0.25">
      <c r="C586" t="s">
        <v>1864</v>
      </c>
      <c r="D586" t="s">
        <v>2449</v>
      </c>
      <c r="E586" t="s">
        <v>1864</v>
      </c>
      <c r="F586" t="s">
        <v>461</v>
      </c>
      <c r="G586" t="str">
        <f t="shared" si="47"/>
        <v>C</v>
      </c>
      <c r="H586" t="str">
        <f t="shared" si="48"/>
        <v>20</v>
      </c>
      <c r="I586" t="str">
        <f t="shared" si="49"/>
        <v>209</v>
      </c>
      <c r="J586" t="str">
        <f t="shared" si="50"/>
        <v>20916</v>
      </c>
      <c r="K586" t="str">
        <f t="shared" si="46"/>
        <v/>
      </c>
    </row>
    <row r="587" spans="3:11" x14ac:dyDescent="0.25">
      <c r="C587" t="s">
        <v>1864</v>
      </c>
      <c r="D587" t="s">
        <v>1864</v>
      </c>
      <c r="E587" t="s">
        <v>2450</v>
      </c>
      <c r="F587" t="s">
        <v>461</v>
      </c>
      <c r="G587" t="str">
        <f t="shared" si="47"/>
        <v>C</v>
      </c>
      <c r="H587" t="str">
        <f t="shared" si="48"/>
        <v>20</v>
      </c>
      <c r="I587" t="str">
        <f t="shared" si="49"/>
        <v>209</v>
      </c>
      <c r="J587" t="str">
        <f t="shared" si="50"/>
        <v>20916</v>
      </c>
      <c r="K587" t="str">
        <f t="shared" si="46"/>
        <v>2091600</v>
      </c>
    </row>
    <row r="588" spans="3:11" x14ac:dyDescent="0.25">
      <c r="C588" t="s">
        <v>1864</v>
      </c>
      <c r="D588" t="s">
        <v>2451</v>
      </c>
      <c r="E588" t="s">
        <v>1864</v>
      </c>
      <c r="F588" t="s">
        <v>462</v>
      </c>
      <c r="G588" t="str">
        <f t="shared" si="47"/>
        <v>C</v>
      </c>
      <c r="H588" t="str">
        <f t="shared" si="48"/>
        <v>20</v>
      </c>
      <c r="I588" t="str">
        <f t="shared" si="49"/>
        <v>209</v>
      </c>
      <c r="J588" t="str">
        <f t="shared" si="50"/>
        <v>20924</v>
      </c>
      <c r="K588" t="str">
        <f t="shared" si="46"/>
        <v/>
      </c>
    </row>
    <row r="589" spans="3:11" x14ac:dyDescent="0.25">
      <c r="C589" t="s">
        <v>1864</v>
      </c>
      <c r="D589" t="s">
        <v>1864</v>
      </c>
      <c r="E589" t="s">
        <v>2452</v>
      </c>
      <c r="F589" t="s">
        <v>463</v>
      </c>
      <c r="G589" t="str">
        <f t="shared" si="47"/>
        <v>C</v>
      </c>
      <c r="H589" t="str">
        <f t="shared" si="48"/>
        <v>20</v>
      </c>
      <c r="I589" t="str">
        <f t="shared" si="49"/>
        <v>209</v>
      </c>
      <c r="J589" t="str">
        <f t="shared" si="50"/>
        <v>20924</v>
      </c>
      <c r="K589" t="str">
        <f t="shared" si="46"/>
        <v>2092401</v>
      </c>
    </row>
    <row r="590" spans="3:11" x14ac:dyDescent="0.25">
      <c r="C590" t="s">
        <v>1864</v>
      </c>
      <c r="D590" t="s">
        <v>1864</v>
      </c>
      <c r="E590" t="s">
        <v>2453</v>
      </c>
      <c r="F590" t="s">
        <v>464</v>
      </c>
      <c r="G590" t="str">
        <f t="shared" si="47"/>
        <v>C</v>
      </c>
      <c r="H590" t="str">
        <f t="shared" si="48"/>
        <v>20</v>
      </c>
      <c r="I590" t="str">
        <f t="shared" si="49"/>
        <v>209</v>
      </c>
      <c r="J590" t="str">
        <f t="shared" si="50"/>
        <v>20924</v>
      </c>
      <c r="K590" t="str">
        <f t="shared" si="46"/>
        <v>2092402</v>
      </c>
    </row>
    <row r="591" spans="3:11" x14ac:dyDescent="0.25">
      <c r="C591" t="s">
        <v>1864</v>
      </c>
      <c r="D591" t="s">
        <v>1864</v>
      </c>
      <c r="E591" t="s">
        <v>2454</v>
      </c>
      <c r="F591" t="s">
        <v>465</v>
      </c>
      <c r="G591" t="str">
        <f t="shared" si="47"/>
        <v>C</v>
      </c>
      <c r="H591" t="str">
        <f t="shared" si="48"/>
        <v>20</v>
      </c>
      <c r="I591" t="str">
        <f t="shared" si="49"/>
        <v>209</v>
      </c>
      <c r="J591" t="str">
        <f t="shared" si="50"/>
        <v>20924</v>
      </c>
      <c r="K591" t="str">
        <f t="shared" si="46"/>
        <v>2092403</v>
      </c>
    </row>
    <row r="592" spans="3:11" x14ac:dyDescent="0.25">
      <c r="C592" t="s">
        <v>1864</v>
      </c>
      <c r="D592" t="s">
        <v>2455</v>
      </c>
      <c r="E592" t="s">
        <v>1864</v>
      </c>
      <c r="F592" t="s">
        <v>466</v>
      </c>
      <c r="G592" t="str">
        <f t="shared" si="47"/>
        <v>C</v>
      </c>
      <c r="H592" t="str">
        <f t="shared" si="48"/>
        <v>20</v>
      </c>
      <c r="I592" t="str">
        <f t="shared" si="49"/>
        <v>209</v>
      </c>
      <c r="J592" t="str">
        <f t="shared" si="50"/>
        <v>20932</v>
      </c>
      <c r="K592" t="str">
        <f t="shared" si="46"/>
        <v/>
      </c>
    </row>
    <row r="593" spans="2:11" x14ac:dyDescent="0.25">
      <c r="C593" t="s">
        <v>1864</v>
      </c>
      <c r="D593" t="s">
        <v>1864</v>
      </c>
      <c r="E593" t="s">
        <v>2456</v>
      </c>
      <c r="F593" t="s">
        <v>466</v>
      </c>
      <c r="G593" t="str">
        <f t="shared" si="47"/>
        <v>C</v>
      </c>
      <c r="H593" t="str">
        <f t="shared" si="48"/>
        <v>20</v>
      </c>
      <c r="I593" t="str">
        <f t="shared" si="49"/>
        <v>209</v>
      </c>
      <c r="J593" t="str">
        <f t="shared" si="50"/>
        <v>20932</v>
      </c>
      <c r="K593" t="str">
        <f t="shared" si="46"/>
        <v>2093200</v>
      </c>
    </row>
    <row r="594" spans="2:11" x14ac:dyDescent="0.25">
      <c r="C594" t="s">
        <v>1864</v>
      </c>
      <c r="D594" t="s">
        <v>2457</v>
      </c>
      <c r="E594" t="s">
        <v>1864</v>
      </c>
      <c r="F594" t="s">
        <v>467</v>
      </c>
      <c r="G594" t="str">
        <f t="shared" si="47"/>
        <v>C</v>
      </c>
      <c r="H594" t="str">
        <f t="shared" si="48"/>
        <v>20</v>
      </c>
      <c r="I594" t="str">
        <f t="shared" si="49"/>
        <v>209</v>
      </c>
      <c r="J594" t="str">
        <f t="shared" si="50"/>
        <v>20941</v>
      </c>
      <c r="K594" t="str">
        <f t="shared" si="46"/>
        <v/>
      </c>
    </row>
    <row r="595" spans="2:11" x14ac:dyDescent="0.25">
      <c r="C595" t="s">
        <v>1864</v>
      </c>
      <c r="D595" t="s">
        <v>1864</v>
      </c>
      <c r="E595" t="s">
        <v>2458</v>
      </c>
      <c r="F595" t="s">
        <v>467</v>
      </c>
      <c r="G595" t="str">
        <f t="shared" si="47"/>
        <v>C</v>
      </c>
      <c r="H595" t="str">
        <f t="shared" si="48"/>
        <v>20</v>
      </c>
      <c r="I595" t="str">
        <f t="shared" si="49"/>
        <v>209</v>
      </c>
      <c r="J595" t="str">
        <f t="shared" si="50"/>
        <v>20941</v>
      </c>
      <c r="K595" t="str">
        <f t="shared" si="46"/>
        <v>2094100</v>
      </c>
    </row>
    <row r="596" spans="2:11" x14ac:dyDescent="0.25">
      <c r="C596" t="s">
        <v>1864</v>
      </c>
      <c r="D596" t="s">
        <v>2459</v>
      </c>
      <c r="E596" t="s">
        <v>1864</v>
      </c>
      <c r="F596" t="s">
        <v>468</v>
      </c>
      <c r="G596" t="str">
        <f t="shared" si="47"/>
        <v>C</v>
      </c>
      <c r="H596" t="str">
        <f t="shared" si="48"/>
        <v>20</v>
      </c>
      <c r="I596" t="str">
        <f t="shared" si="49"/>
        <v>209</v>
      </c>
      <c r="J596" t="str">
        <f t="shared" si="50"/>
        <v>20991</v>
      </c>
      <c r="K596" t="str">
        <f t="shared" si="46"/>
        <v/>
      </c>
    </row>
    <row r="597" spans="2:11" x14ac:dyDescent="0.25">
      <c r="C597" t="s">
        <v>1864</v>
      </c>
      <c r="D597" t="s">
        <v>1864</v>
      </c>
      <c r="E597" t="s">
        <v>2460</v>
      </c>
      <c r="F597" t="s">
        <v>469</v>
      </c>
      <c r="G597" t="str">
        <f t="shared" si="47"/>
        <v>C</v>
      </c>
      <c r="H597" t="str">
        <f t="shared" si="48"/>
        <v>20</v>
      </c>
      <c r="I597" t="str">
        <f t="shared" si="49"/>
        <v>209</v>
      </c>
      <c r="J597" t="str">
        <f t="shared" si="50"/>
        <v>20991</v>
      </c>
      <c r="K597" t="str">
        <f t="shared" si="46"/>
        <v>2099101</v>
      </c>
    </row>
    <row r="598" spans="2:11" x14ac:dyDescent="0.25">
      <c r="C598" t="s">
        <v>1864</v>
      </c>
      <c r="D598" t="s">
        <v>1864</v>
      </c>
      <c r="E598" t="s">
        <v>2461</v>
      </c>
      <c r="F598" t="s">
        <v>470</v>
      </c>
      <c r="G598" t="str">
        <f t="shared" si="47"/>
        <v>C</v>
      </c>
      <c r="H598" t="str">
        <f t="shared" si="48"/>
        <v>20</v>
      </c>
      <c r="I598" t="str">
        <f t="shared" si="49"/>
        <v>209</v>
      </c>
      <c r="J598" t="str">
        <f t="shared" si="50"/>
        <v>20991</v>
      </c>
      <c r="K598" t="str">
        <f t="shared" si="46"/>
        <v>2099199</v>
      </c>
    </row>
    <row r="599" spans="2:11" x14ac:dyDescent="0.25">
      <c r="B599">
        <v>21</v>
      </c>
      <c r="C599" t="s">
        <v>1864</v>
      </c>
      <c r="D599" t="s">
        <v>1864</v>
      </c>
      <c r="E599" t="s">
        <v>1864</v>
      </c>
      <c r="F599" t="s">
        <v>471</v>
      </c>
      <c r="G599" t="str">
        <f t="shared" si="47"/>
        <v>C</v>
      </c>
      <c r="H599">
        <f t="shared" si="48"/>
        <v>21</v>
      </c>
      <c r="I599" t="str">
        <f t="shared" si="49"/>
        <v>209</v>
      </c>
      <c r="J599" t="str">
        <f t="shared" si="50"/>
        <v>20991</v>
      </c>
      <c r="K599" t="str">
        <f t="shared" si="46"/>
        <v/>
      </c>
    </row>
    <row r="600" spans="2:11" x14ac:dyDescent="0.25">
      <c r="C600" t="s">
        <v>2462</v>
      </c>
      <c r="D600" t="s">
        <v>1864</v>
      </c>
      <c r="E600" t="s">
        <v>1864</v>
      </c>
      <c r="F600" t="s">
        <v>472</v>
      </c>
      <c r="G600" t="str">
        <f t="shared" si="47"/>
        <v>C</v>
      </c>
      <c r="H600">
        <f t="shared" si="48"/>
        <v>21</v>
      </c>
      <c r="I600" t="str">
        <f t="shared" si="49"/>
        <v>211</v>
      </c>
      <c r="J600" t="str">
        <f t="shared" si="50"/>
        <v>20991</v>
      </c>
      <c r="K600" t="str">
        <f t="shared" si="46"/>
        <v/>
      </c>
    </row>
    <row r="601" spans="2:11" x14ac:dyDescent="0.25">
      <c r="C601" t="s">
        <v>1864</v>
      </c>
      <c r="D601" t="s">
        <v>2463</v>
      </c>
      <c r="E601" t="s">
        <v>1864</v>
      </c>
      <c r="F601" t="s">
        <v>472</v>
      </c>
      <c r="G601" t="str">
        <f t="shared" si="47"/>
        <v>C</v>
      </c>
      <c r="H601">
        <f t="shared" si="48"/>
        <v>21</v>
      </c>
      <c r="I601" t="str">
        <f t="shared" si="49"/>
        <v>211</v>
      </c>
      <c r="J601" t="str">
        <f t="shared" si="50"/>
        <v>21106</v>
      </c>
      <c r="K601" t="str">
        <f t="shared" si="46"/>
        <v/>
      </c>
    </row>
    <row r="602" spans="2:11" x14ac:dyDescent="0.25">
      <c r="C602" t="s">
        <v>1864</v>
      </c>
      <c r="D602" t="s">
        <v>1864</v>
      </c>
      <c r="E602" t="s">
        <v>2464</v>
      </c>
      <c r="F602" t="s">
        <v>472</v>
      </c>
      <c r="G602" t="str">
        <f t="shared" si="47"/>
        <v>C</v>
      </c>
      <c r="H602">
        <f t="shared" si="48"/>
        <v>21</v>
      </c>
      <c r="I602" t="str">
        <f t="shared" si="49"/>
        <v>211</v>
      </c>
      <c r="J602" t="str">
        <f t="shared" si="50"/>
        <v>21106</v>
      </c>
      <c r="K602" t="str">
        <f t="shared" si="46"/>
        <v>2110600</v>
      </c>
    </row>
    <row r="603" spans="2:11" x14ac:dyDescent="0.25">
      <c r="C603" t="s">
        <v>2465</v>
      </c>
      <c r="D603" t="s">
        <v>1864</v>
      </c>
      <c r="E603" t="s">
        <v>1864</v>
      </c>
      <c r="F603" t="s">
        <v>473</v>
      </c>
      <c r="G603" t="str">
        <f t="shared" si="47"/>
        <v>C</v>
      </c>
      <c r="H603">
        <f t="shared" si="48"/>
        <v>21</v>
      </c>
      <c r="I603" t="str">
        <f t="shared" si="49"/>
        <v>212</v>
      </c>
      <c r="J603" t="str">
        <f t="shared" si="50"/>
        <v>21106</v>
      </c>
      <c r="K603" t="str">
        <f t="shared" si="46"/>
        <v/>
      </c>
    </row>
    <row r="604" spans="2:11" x14ac:dyDescent="0.25">
      <c r="C604" t="s">
        <v>1864</v>
      </c>
      <c r="D604" t="s">
        <v>2466</v>
      </c>
      <c r="E604" t="s">
        <v>1864</v>
      </c>
      <c r="F604" t="s">
        <v>474</v>
      </c>
      <c r="G604" t="str">
        <f t="shared" si="47"/>
        <v>C</v>
      </c>
      <c r="H604">
        <f t="shared" si="48"/>
        <v>21</v>
      </c>
      <c r="I604" t="str">
        <f t="shared" si="49"/>
        <v>212</v>
      </c>
      <c r="J604" t="str">
        <f t="shared" si="50"/>
        <v>21211</v>
      </c>
      <c r="K604" t="str">
        <f t="shared" si="46"/>
        <v/>
      </c>
    </row>
    <row r="605" spans="2:11" x14ac:dyDescent="0.25">
      <c r="C605" t="s">
        <v>1864</v>
      </c>
      <c r="D605" t="s">
        <v>1864</v>
      </c>
      <c r="E605" t="s">
        <v>2467</v>
      </c>
      <c r="F605" t="s">
        <v>475</v>
      </c>
      <c r="G605" t="str">
        <f t="shared" si="47"/>
        <v>C</v>
      </c>
      <c r="H605">
        <f t="shared" si="48"/>
        <v>21</v>
      </c>
      <c r="I605" t="str">
        <f t="shared" si="49"/>
        <v>212</v>
      </c>
      <c r="J605" t="str">
        <f t="shared" si="50"/>
        <v>21211</v>
      </c>
      <c r="K605" t="str">
        <f t="shared" si="46"/>
        <v>2121101</v>
      </c>
    </row>
    <row r="606" spans="2:11" x14ac:dyDescent="0.25">
      <c r="C606" t="s">
        <v>1864</v>
      </c>
      <c r="D606" t="s">
        <v>1864</v>
      </c>
      <c r="E606" t="s">
        <v>2468</v>
      </c>
      <c r="F606" t="s">
        <v>476</v>
      </c>
      <c r="G606" t="str">
        <f t="shared" si="47"/>
        <v>C</v>
      </c>
      <c r="H606">
        <f t="shared" si="48"/>
        <v>21</v>
      </c>
      <c r="I606" t="str">
        <f t="shared" si="49"/>
        <v>212</v>
      </c>
      <c r="J606" t="str">
        <f t="shared" si="50"/>
        <v>21211</v>
      </c>
      <c r="K606" t="str">
        <f t="shared" si="46"/>
        <v>2121102</v>
      </c>
    </row>
    <row r="607" spans="2:11" x14ac:dyDescent="0.25">
      <c r="C607" t="s">
        <v>1864</v>
      </c>
      <c r="D607" t="s">
        <v>1864</v>
      </c>
      <c r="E607" t="s">
        <v>2469</v>
      </c>
      <c r="F607" t="s">
        <v>477</v>
      </c>
      <c r="G607" t="str">
        <f t="shared" si="47"/>
        <v>C</v>
      </c>
      <c r="H607">
        <f t="shared" si="48"/>
        <v>21</v>
      </c>
      <c r="I607" t="str">
        <f t="shared" si="49"/>
        <v>212</v>
      </c>
      <c r="J607" t="str">
        <f t="shared" si="50"/>
        <v>21211</v>
      </c>
      <c r="K607" t="str">
        <f t="shared" si="46"/>
        <v>2121103</v>
      </c>
    </row>
    <row r="608" spans="2:11" x14ac:dyDescent="0.25">
      <c r="C608" t="s">
        <v>1864</v>
      </c>
      <c r="D608" t="s">
        <v>2470</v>
      </c>
      <c r="E608" t="s">
        <v>1864</v>
      </c>
      <c r="F608" t="s">
        <v>478</v>
      </c>
      <c r="G608" t="str">
        <f t="shared" si="47"/>
        <v>C</v>
      </c>
      <c r="H608">
        <f t="shared" si="48"/>
        <v>21</v>
      </c>
      <c r="I608" t="str">
        <f t="shared" si="49"/>
        <v>212</v>
      </c>
      <c r="J608" t="str">
        <f t="shared" si="50"/>
        <v>21220</v>
      </c>
      <c r="K608" t="str">
        <f t="shared" si="46"/>
        <v/>
      </c>
    </row>
    <row r="609" spans="2:11" x14ac:dyDescent="0.25">
      <c r="C609" t="s">
        <v>1864</v>
      </c>
      <c r="D609" t="s">
        <v>1864</v>
      </c>
      <c r="E609" t="s">
        <v>2471</v>
      </c>
      <c r="F609" t="s">
        <v>478</v>
      </c>
      <c r="G609" t="str">
        <f t="shared" si="47"/>
        <v>C</v>
      </c>
      <c r="H609">
        <f t="shared" si="48"/>
        <v>21</v>
      </c>
      <c r="I609" t="str">
        <f t="shared" si="49"/>
        <v>212</v>
      </c>
      <c r="J609" t="str">
        <f t="shared" si="50"/>
        <v>21220</v>
      </c>
      <c r="K609" t="str">
        <f t="shared" si="46"/>
        <v>2122000</v>
      </c>
    </row>
    <row r="610" spans="2:11" x14ac:dyDescent="0.25">
      <c r="C610" t="s">
        <v>1864</v>
      </c>
      <c r="D610" t="s">
        <v>2472</v>
      </c>
      <c r="E610" t="s">
        <v>1864</v>
      </c>
      <c r="F610" t="s">
        <v>479</v>
      </c>
      <c r="G610" t="str">
        <f t="shared" si="47"/>
        <v>C</v>
      </c>
      <c r="H610">
        <f t="shared" si="48"/>
        <v>21</v>
      </c>
      <c r="I610" t="str">
        <f t="shared" si="49"/>
        <v>212</v>
      </c>
      <c r="J610" t="str">
        <f t="shared" si="50"/>
        <v>21238</v>
      </c>
      <c r="K610" t="str">
        <f t="shared" si="46"/>
        <v/>
      </c>
    </row>
    <row r="611" spans="2:11" x14ac:dyDescent="0.25">
      <c r="C611" t="s">
        <v>1864</v>
      </c>
      <c r="D611" t="s">
        <v>1864</v>
      </c>
      <c r="E611" t="s">
        <v>2473</v>
      </c>
      <c r="F611" t="s">
        <v>479</v>
      </c>
      <c r="G611" t="str">
        <f t="shared" si="47"/>
        <v>C</v>
      </c>
      <c r="H611">
        <f t="shared" si="48"/>
        <v>21</v>
      </c>
      <c r="I611" t="str">
        <f t="shared" si="49"/>
        <v>212</v>
      </c>
      <c r="J611" t="str">
        <f t="shared" si="50"/>
        <v>21238</v>
      </c>
      <c r="K611" t="str">
        <f t="shared" si="46"/>
        <v>2123800</v>
      </c>
    </row>
    <row r="612" spans="2:11" x14ac:dyDescent="0.25">
      <c r="B612" t="s">
        <v>2474</v>
      </c>
      <c r="C612" t="s">
        <v>1864</v>
      </c>
      <c r="D612" t="s">
        <v>1864</v>
      </c>
      <c r="E612" t="s">
        <v>1864</v>
      </c>
      <c r="F612" t="s">
        <v>480</v>
      </c>
      <c r="G612" t="str">
        <f t="shared" si="47"/>
        <v>C</v>
      </c>
      <c r="H612" t="str">
        <f t="shared" si="48"/>
        <v>22</v>
      </c>
      <c r="I612" t="str">
        <f t="shared" si="49"/>
        <v>212</v>
      </c>
      <c r="J612" t="str">
        <f t="shared" si="50"/>
        <v>21238</v>
      </c>
      <c r="K612" t="str">
        <f t="shared" si="46"/>
        <v/>
      </c>
    </row>
    <row r="613" spans="2:11" x14ac:dyDescent="0.25">
      <c r="C613" t="s">
        <v>2475</v>
      </c>
      <c r="D613" t="s">
        <v>1864</v>
      </c>
      <c r="E613" t="s">
        <v>1864</v>
      </c>
      <c r="F613" t="s">
        <v>481</v>
      </c>
      <c r="G613" t="str">
        <f t="shared" si="47"/>
        <v>C</v>
      </c>
      <c r="H613" t="str">
        <f t="shared" si="48"/>
        <v>22</v>
      </c>
      <c r="I613" t="str">
        <f t="shared" si="49"/>
        <v>221</v>
      </c>
      <c r="J613" t="str">
        <f t="shared" si="50"/>
        <v>21238</v>
      </c>
      <c r="K613" t="str">
        <f t="shared" si="46"/>
        <v/>
      </c>
    </row>
    <row r="614" spans="2:11" x14ac:dyDescent="0.25">
      <c r="C614" t="s">
        <v>1864</v>
      </c>
      <c r="D614" t="s">
        <v>2476</v>
      </c>
      <c r="E614" t="s">
        <v>1864</v>
      </c>
      <c r="F614" t="s">
        <v>482</v>
      </c>
      <c r="G614" t="str">
        <f t="shared" si="47"/>
        <v>C</v>
      </c>
      <c r="H614" t="str">
        <f t="shared" si="48"/>
        <v>22</v>
      </c>
      <c r="I614" t="str">
        <f t="shared" si="49"/>
        <v>221</v>
      </c>
      <c r="J614" t="str">
        <f t="shared" si="50"/>
        <v>22111</v>
      </c>
      <c r="K614" t="str">
        <f t="shared" si="46"/>
        <v/>
      </c>
    </row>
    <row r="615" spans="2:11" x14ac:dyDescent="0.25">
      <c r="C615" t="s">
        <v>1864</v>
      </c>
      <c r="D615" t="s">
        <v>1864</v>
      </c>
      <c r="E615" t="s">
        <v>2477</v>
      </c>
      <c r="F615" t="s">
        <v>482</v>
      </c>
      <c r="G615" t="str">
        <f t="shared" si="47"/>
        <v>C</v>
      </c>
      <c r="H615" t="str">
        <f t="shared" si="48"/>
        <v>22</v>
      </c>
      <c r="I615" t="str">
        <f t="shared" si="49"/>
        <v>221</v>
      </c>
      <c r="J615" t="str">
        <f t="shared" si="50"/>
        <v>22111</v>
      </c>
      <c r="K615" t="str">
        <f t="shared" si="46"/>
        <v>2211100</v>
      </c>
    </row>
    <row r="616" spans="2:11" x14ac:dyDescent="0.25">
      <c r="C616" t="s">
        <v>1864</v>
      </c>
      <c r="D616" t="s">
        <v>2478</v>
      </c>
      <c r="E616" t="s">
        <v>1864</v>
      </c>
      <c r="F616" t="s">
        <v>483</v>
      </c>
      <c r="G616" t="str">
        <f t="shared" si="47"/>
        <v>C</v>
      </c>
      <c r="H616" t="str">
        <f t="shared" si="48"/>
        <v>22</v>
      </c>
      <c r="I616" t="str">
        <f t="shared" si="49"/>
        <v>221</v>
      </c>
      <c r="J616" t="str">
        <f t="shared" si="50"/>
        <v>22129</v>
      </c>
      <c r="K616" t="str">
        <f t="shared" si="46"/>
        <v/>
      </c>
    </row>
    <row r="617" spans="2:11" x14ac:dyDescent="0.25">
      <c r="C617" t="s">
        <v>1864</v>
      </c>
      <c r="D617" t="s">
        <v>1864</v>
      </c>
      <c r="E617" t="s">
        <v>2479</v>
      </c>
      <c r="F617" t="s">
        <v>483</v>
      </c>
      <c r="G617" t="str">
        <f t="shared" si="47"/>
        <v>C</v>
      </c>
      <c r="H617" t="str">
        <f t="shared" si="48"/>
        <v>22</v>
      </c>
      <c r="I617" t="str">
        <f t="shared" si="49"/>
        <v>221</v>
      </c>
      <c r="J617" t="str">
        <f t="shared" si="50"/>
        <v>22129</v>
      </c>
      <c r="K617" t="str">
        <f t="shared" si="46"/>
        <v>2212900</v>
      </c>
    </row>
    <row r="618" spans="2:11" x14ac:dyDescent="0.25">
      <c r="C618" t="s">
        <v>1864</v>
      </c>
      <c r="D618" t="s">
        <v>2480</v>
      </c>
      <c r="E618" t="s">
        <v>1864</v>
      </c>
      <c r="F618" t="s">
        <v>484</v>
      </c>
      <c r="G618" t="str">
        <f t="shared" si="47"/>
        <v>C</v>
      </c>
      <c r="H618" t="str">
        <f t="shared" si="48"/>
        <v>22</v>
      </c>
      <c r="I618" t="str">
        <f t="shared" si="49"/>
        <v>221</v>
      </c>
      <c r="J618" t="str">
        <f t="shared" si="50"/>
        <v>22196</v>
      </c>
      <c r="K618" t="str">
        <f t="shared" si="46"/>
        <v/>
      </c>
    </row>
    <row r="619" spans="2:11" x14ac:dyDescent="0.25">
      <c r="C619" t="s">
        <v>1864</v>
      </c>
      <c r="D619" t="s">
        <v>1864</v>
      </c>
      <c r="E619" t="s">
        <v>2481</v>
      </c>
      <c r="F619" t="s">
        <v>485</v>
      </c>
      <c r="G619" t="str">
        <f t="shared" si="47"/>
        <v>C</v>
      </c>
      <c r="H619" t="str">
        <f t="shared" si="48"/>
        <v>22</v>
      </c>
      <c r="I619" t="str">
        <f t="shared" si="49"/>
        <v>221</v>
      </c>
      <c r="J619" t="str">
        <f t="shared" si="50"/>
        <v>22196</v>
      </c>
      <c r="K619" t="str">
        <f t="shared" si="46"/>
        <v>2219600</v>
      </c>
    </row>
    <row r="620" spans="2:11" x14ac:dyDescent="0.25">
      <c r="C620" t="s">
        <v>2482</v>
      </c>
      <c r="D620" t="s">
        <v>1864</v>
      </c>
      <c r="E620" t="s">
        <v>1864</v>
      </c>
      <c r="F620" t="s">
        <v>486</v>
      </c>
      <c r="G620" t="str">
        <f t="shared" si="47"/>
        <v>C</v>
      </c>
      <c r="H620" t="str">
        <f t="shared" si="48"/>
        <v>22</v>
      </c>
      <c r="I620" t="str">
        <f t="shared" si="49"/>
        <v>222</v>
      </c>
      <c r="J620" t="str">
        <f t="shared" si="50"/>
        <v>22196</v>
      </c>
      <c r="K620" t="str">
        <f t="shared" si="46"/>
        <v/>
      </c>
    </row>
    <row r="621" spans="2:11" x14ac:dyDescent="0.25">
      <c r="C621" t="s">
        <v>1864</v>
      </c>
      <c r="D621" t="s">
        <v>2483</v>
      </c>
      <c r="E621" t="s">
        <v>1864</v>
      </c>
      <c r="F621" t="s">
        <v>487</v>
      </c>
      <c r="G621" t="str">
        <f t="shared" si="47"/>
        <v>C</v>
      </c>
      <c r="H621" t="str">
        <f t="shared" si="48"/>
        <v>22</v>
      </c>
      <c r="I621" t="str">
        <f t="shared" si="49"/>
        <v>222</v>
      </c>
      <c r="J621" t="str">
        <f t="shared" si="50"/>
        <v>22218</v>
      </c>
      <c r="K621" t="str">
        <f t="shared" si="46"/>
        <v/>
      </c>
    </row>
    <row r="622" spans="2:11" x14ac:dyDescent="0.25">
      <c r="C622" t="s">
        <v>1864</v>
      </c>
      <c r="D622" t="s">
        <v>1864</v>
      </c>
      <c r="E622" t="s">
        <v>2484</v>
      </c>
      <c r="F622" t="s">
        <v>487</v>
      </c>
      <c r="G622" t="str">
        <f t="shared" si="47"/>
        <v>C</v>
      </c>
      <c r="H622" t="str">
        <f t="shared" si="48"/>
        <v>22</v>
      </c>
      <c r="I622" t="str">
        <f t="shared" si="49"/>
        <v>222</v>
      </c>
      <c r="J622" t="str">
        <f t="shared" si="50"/>
        <v>22218</v>
      </c>
      <c r="K622" t="str">
        <f t="shared" si="46"/>
        <v>2221800</v>
      </c>
    </row>
    <row r="623" spans="2:11" x14ac:dyDescent="0.25">
      <c r="C623" t="s">
        <v>1864</v>
      </c>
      <c r="D623" t="s">
        <v>2485</v>
      </c>
      <c r="E623" t="s">
        <v>1864</v>
      </c>
      <c r="F623" t="s">
        <v>488</v>
      </c>
      <c r="G623" t="str">
        <f t="shared" si="47"/>
        <v>C</v>
      </c>
      <c r="H623" t="str">
        <f t="shared" si="48"/>
        <v>22</v>
      </c>
      <c r="I623" t="str">
        <f t="shared" si="49"/>
        <v>222</v>
      </c>
      <c r="J623" t="str">
        <f t="shared" si="50"/>
        <v>22226</v>
      </c>
      <c r="K623" t="str">
        <f t="shared" si="46"/>
        <v/>
      </c>
    </row>
    <row r="624" spans="2:11" x14ac:dyDescent="0.25">
      <c r="C624" t="s">
        <v>1864</v>
      </c>
      <c r="D624" t="s">
        <v>1864</v>
      </c>
      <c r="E624" t="s">
        <v>2486</v>
      </c>
      <c r="F624" t="s">
        <v>488</v>
      </c>
      <c r="G624" t="str">
        <f t="shared" si="47"/>
        <v>C</v>
      </c>
      <c r="H624" t="str">
        <f t="shared" si="48"/>
        <v>22</v>
      </c>
      <c r="I624" t="str">
        <f t="shared" si="49"/>
        <v>222</v>
      </c>
      <c r="J624" t="str">
        <f t="shared" si="50"/>
        <v>22226</v>
      </c>
      <c r="K624" t="str">
        <f t="shared" si="46"/>
        <v>2222600</v>
      </c>
    </row>
    <row r="625" spans="2:11" x14ac:dyDescent="0.25">
      <c r="C625" t="s">
        <v>1864</v>
      </c>
      <c r="D625" t="s">
        <v>2487</v>
      </c>
      <c r="E625" t="s">
        <v>1864</v>
      </c>
      <c r="F625" t="s">
        <v>489</v>
      </c>
      <c r="G625" t="str">
        <f t="shared" si="47"/>
        <v>C</v>
      </c>
      <c r="H625" t="str">
        <f t="shared" si="48"/>
        <v>22</v>
      </c>
      <c r="I625" t="str">
        <f t="shared" si="49"/>
        <v>222</v>
      </c>
      <c r="J625" t="str">
        <f t="shared" si="50"/>
        <v>22234</v>
      </c>
      <c r="K625" t="str">
        <f t="shared" si="46"/>
        <v/>
      </c>
    </row>
    <row r="626" spans="2:11" x14ac:dyDescent="0.25">
      <c r="C626" t="s">
        <v>1864</v>
      </c>
      <c r="D626" t="s">
        <v>1864</v>
      </c>
      <c r="E626" t="s">
        <v>2488</v>
      </c>
      <c r="F626" t="s">
        <v>489</v>
      </c>
      <c r="G626" t="str">
        <f t="shared" si="47"/>
        <v>C</v>
      </c>
      <c r="H626" t="str">
        <f t="shared" si="48"/>
        <v>22</v>
      </c>
      <c r="I626" t="str">
        <f t="shared" si="49"/>
        <v>222</v>
      </c>
      <c r="J626" t="str">
        <f t="shared" si="50"/>
        <v>22234</v>
      </c>
      <c r="K626" t="str">
        <f t="shared" si="46"/>
        <v>2223400</v>
      </c>
    </row>
    <row r="627" spans="2:11" x14ac:dyDescent="0.25">
      <c r="C627" t="s">
        <v>1864</v>
      </c>
      <c r="D627" t="s">
        <v>2489</v>
      </c>
      <c r="E627" t="s">
        <v>1864</v>
      </c>
      <c r="F627" t="s">
        <v>490</v>
      </c>
      <c r="G627" t="str">
        <f t="shared" si="47"/>
        <v>C</v>
      </c>
      <c r="H627" t="str">
        <f t="shared" si="48"/>
        <v>22</v>
      </c>
      <c r="I627" t="str">
        <f t="shared" si="49"/>
        <v>222</v>
      </c>
      <c r="J627" t="str">
        <f t="shared" si="50"/>
        <v>22293</v>
      </c>
      <c r="K627" t="str">
        <f t="shared" si="46"/>
        <v/>
      </c>
    </row>
    <row r="628" spans="2:11" x14ac:dyDescent="0.25">
      <c r="C628" t="s">
        <v>1864</v>
      </c>
      <c r="D628" t="s">
        <v>1864</v>
      </c>
      <c r="E628" t="s">
        <v>2490</v>
      </c>
      <c r="F628" t="s">
        <v>491</v>
      </c>
      <c r="G628" t="str">
        <f t="shared" si="47"/>
        <v>C</v>
      </c>
      <c r="H628" t="str">
        <f t="shared" si="48"/>
        <v>22</v>
      </c>
      <c r="I628" t="str">
        <f t="shared" si="49"/>
        <v>222</v>
      </c>
      <c r="J628" t="str">
        <f t="shared" si="50"/>
        <v>22293</v>
      </c>
      <c r="K628" t="str">
        <f t="shared" si="46"/>
        <v>2229301</v>
      </c>
    </row>
    <row r="629" spans="2:11" x14ac:dyDescent="0.25">
      <c r="C629" t="s">
        <v>1864</v>
      </c>
      <c r="D629" t="s">
        <v>1864</v>
      </c>
      <c r="E629" t="s">
        <v>2491</v>
      </c>
      <c r="F629" t="s">
        <v>492</v>
      </c>
      <c r="G629" t="str">
        <f t="shared" si="47"/>
        <v>C</v>
      </c>
      <c r="H629" t="str">
        <f t="shared" si="48"/>
        <v>22</v>
      </c>
      <c r="I629" t="str">
        <f t="shared" si="49"/>
        <v>222</v>
      </c>
      <c r="J629" t="str">
        <f t="shared" si="50"/>
        <v>22293</v>
      </c>
      <c r="K629" t="str">
        <f t="shared" si="46"/>
        <v>2229302</v>
      </c>
    </row>
    <row r="630" spans="2:11" x14ac:dyDescent="0.25">
      <c r="C630" t="s">
        <v>1864</v>
      </c>
      <c r="D630" t="s">
        <v>1864</v>
      </c>
      <c r="E630" t="s">
        <v>2492</v>
      </c>
      <c r="F630" t="s">
        <v>493</v>
      </c>
      <c r="G630" t="str">
        <f t="shared" si="47"/>
        <v>C</v>
      </c>
      <c r="H630" t="str">
        <f t="shared" si="48"/>
        <v>22</v>
      </c>
      <c r="I630" t="str">
        <f t="shared" si="49"/>
        <v>222</v>
      </c>
      <c r="J630" t="str">
        <f t="shared" si="50"/>
        <v>22293</v>
      </c>
      <c r="K630" t="str">
        <f t="shared" si="46"/>
        <v>2229303</v>
      </c>
    </row>
    <row r="631" spans="2:11" x14ac:dyDescent="0.25">
      <c r="C631" t="s">
        <v>1864</v>
      </c>
      <c r="D631" t="s">
        <v>1864</v>
      </c>
      <c r="E631" t="s">
        <v>2493</v>
      </c>
      <c r="F631" t="s">
        <v>494</v>
      </c>
      <c r="G631" t="str">
        <f t="shared" si="47"/>
        <v>C</v>
      </c>
      <c r="H631" t="str">
        <f t="shared" si="48"/>
        <v>22</v>
      </c>
      <c r="I631" t="str">
        <f t="shared" si="49"/>
        <v>222</v>
      </c>
      <c r="J631" t="str">
        <f t="shared" si="50"/>
        <v>22293</v>
      </c>
      <c r="K631" t="str">
        <f t="shared" si="46"/>
        <v>2229399</v>
      </c>
    </row>
    <row r="632" spans="2:11" x14ac:dyDescent="0.25">
      <c r="B632">
        <v>23</v>
      </c>
      <c r="C632" t="s">
        <v>1864</v>
      </c>
      <c r="D632" t="s">
        <v>1864</v>
      </c>
      <c r="E632" t="s">
        <v>1864</v>
      </c>
      <c r="F632" t="s">
        <v>495</v>
      </c>
      <c r="G632" t="str">
        <f t="shared" si="47"/>
        <v>C</v>
      </c>
      <c r="H632">
        <f t="shared" si="48"/>
        <v>23</v>
      </c>
      <c r="I632" t="str">
        <f t="shared" si="49"/>
        <v>222</v>
      </c>
      <c r="J632" t="str">
        <f t="shared" si="50"/>
        <v>22293</v>
      </c>
      <c r="K632" t="str">
        <f t="shared" si="46"/>
        <v/>
      </c>
    </row>
    <row r="633" spans="2:11" x14ac:dyDescent="0.25">
      <c r="C633" t="s">
        <v>2494</v>
      </c>
      <c r="D633" t="s">
        <v>1864</v>
      </c>
      <c r="E633" t="s">
        <v>1864</v>
      </c>
      <c r="F633" t="s">
        <v>496</v>
      </c>
      <c r="G633" t="str">
        <f t="shared" si="47"/>
        <v>C</v>
      </c>
      <c r="H633">
        <f t="shared" si="48"/>
        <v>23</v>
      </c>
      <c r="I633" t="str">
        <f t="shared" si="49"/>
        <v>231</v>
      </c>
      <c r="J633" t="str">
        <f t="shared" si="50"/>
        <v>22293</v>
      </c>
      <c r="K633" t="str">
        <f t="shared" si="46"/>
        <v/>
      </c>
    </row>
    <row r="634" spans="2:11" x14ac:dyDescent="0.25">
      <c r="C634" t="s">
        <v>1864</v>
      </c>
      <c r="D634" t="s">
        <v>2495</v>
      </c>
      <c r="E634" t="s">
        <v>1864</v>
      </c>
      <c r="F634" t="s">
        <v>497</v>
      </c>
      <c r="G634" t="str">
        <f t="shared" si="47"/>
        <v>C</v>
      </c>
      <c r="H634">
        <f t="shared" si="48"/>
        <v>23</v>
      </c>
      <c r="I634" t="str">
        <f t="shared" si="49"/>
        <v>231</v>
      </c>
      <c r="J634" t="str">
        <f t="shared" si="50"/>
        <v>23117</v>
      </c>
      <c r="K634" t="str">
        <f t="shared" si="46"/>
        <v/>
      </c>
    </row>
    <row r="635" spans="2:11" x14ac:dyDescent="0.25">
      <c r="C635" t="s">
        <v>1864</v>
      </c>
      <c r="D635" t="s">
        <v>1864</v>
      </c>
      <c r="E635" t="s">
        <v>2496</v>
      </c>
      <c r="F635" t="s">
        <v>497</v>
      </c>
      <c r="G635" t="str">
        <f t="shared" si="47"/>
        <v>C</v>
      </c>
      <c r="H635">
        <f t="shared" si="48"/>
        <v>23</v>
      </c>
      <c r="I635" t="str">
        <f t="shared" si="49"/>
        <v>231</v>
      </c>
      <c r="J635" t="str">
        <f t="shared" si="50"/>
        <v>23117</v>
      </c>
      <c r="K635" t="str">
        <f t="shared" si="46"/>
        <v>2311700</v>
      </c>
    </row>
    <row r="636" spans="2:11" x14ac:dyDescent="0.25">
      <c r="C636" t="s">
        <v>1864</v>
      </c>
      <c r="D636" t="s">
        <v>2497</v>
      </c>
      <c r="E636" t="s">
        <v>1864</v>
      </c>
      <c r="F636" t="s">
        <v>498</v>
      </c>
      <c r="G636" t="str">
        <f t="shared" si="47"/>
        <v>C</v>
      </c>
      <c r="H636">
        <f t="shared" si="48"/>
        <v>23</v>
      </c>
      <c r="I636" t="str">
        <f t="shared" si="49"/>
        <v>231</v>
      </c>
      <c r="J636" t="str">
        <f t="shared" si="50"/>
        <v>23125</v>
      </c>
      <c r="K636" t="str">
        <f t="shared" si="46"/>
        <v/>
      </c>
    </row>
    <row r="637" spans="2:11" x14ac:dyDescent="0.25">
      <c r="C637" t="s">
        <v>1864</v>
      </c>
      <c r="D637" t="s">
        <v>1864</v>
      </c>
      <c r="E637" t="s">
        <v>2498</v>
      </c>
      <c r="F637" t="s">
        <v>498</v>
      </c>
      <c r="G637" t="str">
        <f t="shared" si="47"/>
        <v>C</v>
      </c>
      <c r="H637">
        <f t="shared" si="48"/>
        <v>23</v>
      </c>
      <c r="I637" t="str">
        <f t="shared" si="49"/>
        <v>231</v>
      </c>
      <c r="J637" t="str">
        <f t="shared" si="50"/>
        <v>23125</v>
      </c>
      <c r="K637" t="str">
        <f t="shared" si="46"/>
        <v>2312500</v>
      </c>
    </row>
    <row r="638" spans="2:11" x14ac:dyDescent="0.25">
      <c r="C638" t="s">
        <v>1864</v>
      </c>
      <c r="D638" t="s">
        <v>2499</v>
      </c>
      <c r="E638" t="s">
        <v>1864</v>
      </c>
      <c r="F638" t="s">
        <v>499</v>
      </c>
      <c r="G638" t="str">
        <f t="shared" si="47"/>
        <v>C</v>
      </c>
      <c r="H638">
        <f t="shared" si="48"/>
        <v>23</v>
      </c>
      <c r="I638" t="str">
        <f t="shared" si="49"/>
        <v>231</v>
      </c>
      <c r="J638" t="str">
        <f t="shared" si="50"/>
        <v>23192</v>
      </c>
      <c r="K638" t="str">
        <f t="shared" si="46"/>
        <v/>
      </c>
    </row>
    <row r="639" spans="2:11" x14ac:dyDescent="0.25">
      <c r="C639" t="s">
        <v>1864</v>
      </c>
      <c r="D639" t="s">
        <v>1864</v>
      </c>
      <c r="E639" t="s">
        <v>2500</v>
      </c>
      <c r="F639" t="s">
        <v>499</v>
      </c>
      <c r="G639" t="str">
        <f t="shared" si="47"/>
        <v>C</v>
      </c>
      <c r="H639">
        <f t="shared" si="48"/>
        <v>23</v>
      </c>
      <c r="I639" t="str">
        <f t="shared" si="49"/>
        <v>231</v>
      </c>
      <c r="J639" t="str">
        <f t="shared" si="50"/>
        <v>23192</v>
      </c>
      <c r="K639" t="str">
        <f t="shared" si="46"/>
        <v>2319200</v>
      </c>
    </row>
    <row r="640" spans="2:11" x14ac:dyDescent="0.25">
      <c r="C640" t="s">
        <v>2501</v>
      </c>
      <c r="D640" t="s">
        <v>1864</v>
      </c>
      <c r="E640" t="s">
        <v>1864</v>
      </c>
      <c r="F640" t="s">
        <v>500</v>
      </c>
      <c r="G640" t="str">
        <f t="shared" si="47"/>
        <v>C</v>
      </c>
      <c r="H640">
        <f t="shared" si="48"/>
        <v>23</v>
      </c>
      <c r="I640" t="str">
        <f t="shared" si="49"/>
        <v>232</v>
      </c>
      <c r="J640" t="str">
        <f t="shared" si="50"/>
        <v>23192</v>
      </c>
      <c r="K640" t="str">
        <f t="shared" si="46"/>
        <v/>
      </c>
    </row>
    <row r="641" spans="3:11" x14ac:dyDescent="0.25">
      <c r="C641" t="s">
        <v>1864</v>
      </c>
      <c r="D641" t="s">
        <v>2502</v>
      </c>
      <c r="E641" t="s">
        <v>1864</v>
      </c>
      <c r="F641" t="s">
        <v>500</v>
      </c>
      <c r="G641" t="str">
        <f t="shared" si="47"/>
        <v>C</v>
      </c>
      <c r="H641">
        <f t="shared" si="48"/>
        <v>23</v>
      </c>
      <c r="I641" t="str">
        <f t="shared" si="49"/>
        <v>232</v>
      </c>
      <c r="J641" t="str">
        <f t="shared" si="50"/>
        <v>23206</v>
      </c>
      <c r="K641" t="str">
        <f t="shared" si="46"/>
        <v/>
      </c>
    </row>
    <row r="642" spans="3:11" x14ac:dyDescent="0.25">
      <c r="C642" t="s">
        <v>1864</v>
      </c>
      <c r="D642" t="s">
        <v>1864</v>
      </c>
      <c r="E642" t="s">
        <v>2503</v>
      </c>
      <c r="F642" t="s">
        <v>500</v>
      </c>
      <c r="G642" t="str">
        <f t="shared" si="47"/>
        <v>C</v>
      </c>
      <c r="H642">
        <f t="shared" si="48"/>
        <v>23</v>
      </c>
      <c r="I642" t="str">
        <f t="shared" si="49"/>
        <v>232</v>
      </c>
      <c r="J642" t="str">
        <f t="shared" si="50"/>
        <v>23206</v>
      </c>
      <c r="K642" t="str">
        <f t="shared" si="46"/>
        <v>2320600</v>
      </c>
    </row>
    <row r="643" spans="3:11" x14ac:dyDescent="0.25">
      <c r="C643" t="s">
        <v>2504</v>
      </c>
      <c r="D643" t="s">
        <v>1864</v>
      </c>
      <c r="E643" t="s">
        <v>1864</v>
      </c>
      <c r="F643" t="s">
        <v>501</v>
      </c>
      <c r="G643" t="str">
        <f t="shared" si="47"/>
        <v>C</v>
      </c>
      <c r="H643">
        <f t="shared" si="48"/>
        <v>23</v>
      </c>
      <c r="I643" t="str">
        <f t="shared" si="49"/>
        <v>233</v>
      </c>
      <c r="J643" t="str">
        <f t="shared" si="50"/>
        <v>23206</v>
      </c>
      <c r="K643" t="str">
        <f t="shared" si="46"/>
        <v/>
      </c>
    </row>
    <row r="644" spans="3:11" x14ac:dyDescent="0.25">
      <c r="C644" t="s">
        <v>1864</v>
      </c>
      <c r="D644" t="s">
        <v>2505</v>
      </c>
      <c r="E644" t="s">
        <v>1864</v>
      </c>
      <c r="F644" t="s">
        <v>501</v>
      </c>
      <c r="G644" t="str">
        <f t="shared" si="47"/>
        <v>C</v>
      </c>
      <c r="H644">
        <f t="shared" si="48"/>
        <v>23</v>
      </c>
      <c r="I644" t="str">
        <f t="shared" si="49"/>
        <v>233</v>
      </c>
      <c r="J644" t="str">
        <f t="shared" si="50"/>
        <v>23303</v>
      </c>
      <c r="K644" t="str">
        <f t="shared" si="46"/>
        <v/>
      </c>
    </row>
    <row r="645" spans="3:11" x14ac:dyDescent="0.25">
      <c r="C645" t="s">
        <v>1864</v>
      </c>
      <c r="D645" t="s">
        <v>1864</v>
      </c>
      <c r="E645" t="s">
        <v>2506</v>
      </c>
      <c r="F645" t="s">
        <v>502</v>
      </c>
      <c r="G645" t="str">
        <f t="shared" si="47"/>
        <v>C</v>
      </c>
      <c r="H645">
        <f t="shared" si="48"/>
        <v>23</v>
      </c>
      <c r="I645" t="str">
        <f t="shared" si="49"/>
        <v>233</v>
      </c>
      <c r="J645" t="str">
        <f t="shared" si="50"/>
        <v>23303</v>
      </c>
      <c r="K645" t="str">
        <f t="shared" si="46"/>
        <v>2330301</v>
      </c>
    </row>
    <row r="646" spans="3:11" x14ac:dyDescent="0.25">
      <c r="C646" t="s">
        <v>1864</v>
      </c>
      <c r="D646" t="s">
        <v>1864</v>
      </c>
      <c r="E646" t="s">
        <v>2507</v>
      </c>
      <c r="F646" t="s">
        <v>503</v>
      </c>
      <c r="G646" t="str">
        <f t="shared" si="47"/>
        <v>C</v>
      </c>
      <c r="H646">
        <f t="shared" si="48"/>
        <v>23</v>
      </c>
      <c r="I646" t="str">
        <f t="shared" si="49"/>
        <v>233</v>
      </c>
      <c r="J646" t="str">
        <f t="shared" si="50"/>
        <v>23303</v>
      </c>
      <c r="K646" t="str">
        <f t="shared" si="46"/>
        <v>2330302</v>
      </c>
    </row>
    <row r="647" spans="3:11" x14ac:dyDescent="0.25">
      <c r="C647" t="s">
        <v>1864</v>
      </c>
      <c r="D647" t="s">
        <v>1864</v>
      </c>
      <c r="E647" t="s">
        <v>2508</v>
      </c>
      <c r="F647" t="s">
        <v>504</v>
      </c>
      <c r="G647" t="str">
        <f t="shared" si="47"/>
        <v>C</v>
      </c>
      <c r="H647">
        <f t="shared" si="48"/>
        <v>23</v>
      </c>
      <c r="I647" t="str">
        <f t="shared" si="49"/>
        <v>233</v>
      </c>
      <c r="J647" t="str">
        <f t="shared" si="50"/>
        <v>23303</v>
      </c>
      <c r="K647" t="str">
        <f t="shared" si="46"/>
        <v>2330303</v>
      </c>
    </row>
    <row r="648" spans="3:11" x14ac:dyDescent="0.25">
      <c r="C648" t="s">
        <v>1864</v>
      </c>
      <c r="D648" t="s">
        <v>1864</v>
      </c>
      <c r="E648" t="s">
        <v>2509</v>
      </c>
      <c r="F648" t="s">
        <v>505</v>
      </c>
      <c r="G648" t="str">
        <f t="shared" si="47"/>
        <v>C</v>
      </c>
      <c r="H648">
        <f t="shared" si="48"/>
        <v>23</v>
      </c>
      <c r="I648" t="str">
        <f t="shared" si="49"/>
        <v>233</v>
      </c>
      <c r="J648" t="str">
        <f t="shared" si="50"/>
        <v>23303</v>
      </c>
      <c r="K648" t="str">
        <f t="shared" ref="K648:K711" si="51">E648</f>
        <v>2330304</v>
      </c>
    </row>
    <row r="649" spans="3:11" x14ac:dyDescent="0.25">
      <c r="C649" t="s">
        <v>1864</v>
      </c>
      <c r="D649" t="s">
        <v>1864</v>
      </c>
      <c r="E649" t="s">
        <v>2510</v>
      </c>
      <c r="F649" t="s">
        <v>506</v>
      </c>
      <c r="G649" t="str">
        <f t="shared" ref="G649:G712" si="52">IF(A649="",G648,A649)</f>
        <v>C</v>
      </c>
      <c r="H649">
        <f t="shared" ref="H649:H712" si="53">IF(B649="",H648,B649)</f>
        <v>23</v>
      </c>
      <c r="I649" t="str">
        <f t="shared" ref="I649:I712" si="54">IF(C649="",I648,C649)</f>
        <v>233</v>
      </c>
      <c r="J649" t="str">
        <f t="shared" ref="J649:J712" si="55">IF(D649="",J648,D649)</f>
        <v>23303</v>
      </c>
      <c r="K649" t="str">
        <f t="shared" si="51"/>
        <v>2330305</v>
      </c>
    </row>
    <row r="650" spans="3:11" x14ac:dyDescent="0.25">
      <c r="C650" t="s">
        <v>1864</v>
      </c>
      <c r="D650" t="s">
        <v>1864</v>
      </c>
      <c r="E650" t="s">
        <v>2511</v>
      </c>
      <c r="F650" t="s">
        <v>507</v>
      </c>
      <c r="G650" t="str">
        <f t="shared" si="52"/>
        <v>C</v>
      </c>
      <c r="H650">
        <f t="shared" si="53"/>
        <v>23</v>
      </c>
      <c r="I650" t="str">
        <f t="shared" si="54"/>
        <v>233</v>
      </c>
      <c r="J650" t="str">
        <f t="shared" si="55"/>
        <v>23303</v>
      </c>
      <c r="K650" t="str">
        <f t="shared" si="51"/>
        <v>2330399</v>
      </c>
    </row>
    <row r="651" spans="3:11" x14ac:dyDescent="0.25">
      <c r="C651" t="s">
        <v>2512</v>
      </c>
      <c r="D651" t="s">
        <v>1864</v>
      </c>
      <c r="E651" t="s">
        <v>1864</v>
      </c>
      <c r="F651" t="s">
        <v>508</v>
      </c>
      <c r="G651" t="str">
        <f t="shared" si="52"/>
        <v>C</v>
      </c>
      <c r="H651">
        <f t="shared" si="53"/>
        <v>23</v>
      </c>
      <c r="I651" t="str">
        <f t="shared" si="54"/>
        <v>234</v>
      </c>
      <c r="J651" t="str">
        <f t="shared" si="55"/>
        <v>23303</v>
      </c>
      <c r="K651" t="str">
        <f t="shared" si="51"/>
        <v/>
      </c>
    </row>
    <row r="652" spans="3:11" x14ac:dyDescent="0.25">
      <c r="C652" t="s">
        <v>1864</v>
      </c>
      <c r="D652" t="s">
        <v>2513</v>
      </c>
      <c r="E652" t="s">
        <v>1864</v>
      </c>
      <c r="F652" t="s">
        <v>509</v>
      </c>
      <c r="G652" t="str">
        <f t="shared" si="52"/>
        <v>C</v>
      </c>
      <c r="H652">
        <f t="shared" si="53"/>
        <v>23</v>
      </c>
      <c r="I652" t="str">
        <f t="shared" si="54"/>
        <v>234</v>
      </c>
      <c r="J652" t="str">
        <f t="shared" si="55"/>
        <v>23419</v>
      </c>
      <c r="K652" t="str">
        <f t="shared" si="51"/>
        <v/>
      </c>
    </row>
    <row r="653" spans="3:11" x14ac:dyDescent="0.25">
      <c r="C653" t="s">
        <v>1864</v>
      </c>
      <c r="D653" t="s">
        <v>1864</v>
      </c>
      <c r="E653" t="s">
        <v>2514</v>
      </c>
      <c r="F653" t="s">
        <v>509</v>
      </c>
      <c r="G653" t="str">
        <f t="shared" si="52"/>
        <v>C</v>
      </c>
      <c r="H653">
        <f t="shared" si="53"/>
        <v>23</v>
      </c>
      <c r="I653" t="str">
        <f t="shared" si="54"/>
        <v>234</v>
      </c>
      <c r="J653" t="str">
        <f t="shared" si="55"/>
        <v>23419</v>
      </c>
      <c r="K653" t="str">
        <f t="shared" si="51"/>
        <v>2341900</v>
      </c>
    </row>
    <row r="654" spans="3:11" x14ac:dyDescent="0.25">
      <c r="C654" t="s">
        <v>1864</v>
      </c>
      <c r="D654" t="s">
        <v>2515</v>
      </c>
      <c r="E654" t="s">
        <v>1864</v>
      </c>
      <c r="F654" t="s">
        <v>510</v>
      </c>
      <c r="G654" t="str">
        <f t="shared" si="52"/>
        <v>C</v>
      </c>
      <c r="H654">
        <f t="shared" si="53"/>
        <v>23</v>
      </c>
      <c r="I654" t="str">
        <f t="shared" si="54"/>
        <v>234</v>
      </c>
      <c r="J654" t="str">
        <f t="shared" si="55"/>
        <v>23427</v>
      </c>
      <c r="K654" t="str">
        <f t="shared" si="51"/>
        <v/>
      </c>
    </row>
    <row r="655" spans="3:11" x14ac:dyDescent="0.25">
      <c r="C655" t="s">
        <v>1864</v>
      </c>
      <c r="D655" t="s">
        <v>1864</v>
      </c>
      <c r="E655" t="s">
        <v>2516</v>
      </c>
      <c r="F655" t="s">
        <v>511</v>
      </c>
      <c r="G655" t="str">
        <f t="shared" si="52"/>
        <v>C</v>
      </c>
      <c r="H655">
        <f t="shared" si="53"/>
        <v>23</v>
      </c>
      <c r="I655" t="str">
        <f t="shared" si="54"/>
        <v>234</v>
      </c>
      <c r="J655" t="str">
        <f t="shared" si="55"/>
        <v>23427</v>
      </c>
      <c r="K655" t="str">
        <f t="shared" si="51"/>
        <v>2342701</v>
      </c>
    </row>
    <row r="656" spans="3:11" x14ac:dyDescent="0.25">
      <c r="C656" t="s">
        <v>1864</v>
      </c>
      <c r="D656" t="s">
        <v>1864</v>
      </c>
      <c r="E656" t="s">
        <v>2517</v>
      </c>
      <c r="F656" t="s">
        <v>512</v>
      </c>
      <c r="G656" t="str">
        <f t="shared" si="52"/>
        <v>C</v>
      </c>
      <c r="H656">
        <f t="shared" si="53"/>
        <v>23</v>
      </c>
      <c r="I656" t="str">
        <f t="shared" si="54"/>
        <v>234</v>
      </c>
      <c r="J656" t="str">
        <f t="shared" si="55"/>
        <v>23427</v>
      </c>
      <c r="K656" t="str">
        <f t="shared" si="51"/>
        <v>2342702</v>
      </c>
    </row>
    <row r="657" spans="2:11" x14ac:dyDescent="0.25">
      <c r="C657" t="s">
        <v>1864</v>
      </c>
      <c r="D657" t="s">
        <v>2518</v>
      </c>
      <c r="E657" t="s">
        <v>1864</v>
      </c>
      <c r="F657" t="s">
        <v>513</v>
      </c>
      <c r="G657" t="str">
        <f t="shared" si="52"/>
        <v>C</v>
      </c>
      <c r="H657">
        <f t="shared" si="53"/>
        <v>23</v>
      </c>
      <c r="I657" t="str">
        <f t="shared" si="54"/>
        <v>234</v>
      </c>
      <c r="J657" t="str">
        <f t="shared" si="55"/>
        <v>23494</v>
      </c>
      <c r="K657" t="str">
        <f t="shared" si="51"/>
        <v/>
      </c>
    </row>
    <row r="658" spans="2:11" x14ac:dyDescent="0.25">
      <c r="C658" t="s">
        <v>1864</v>
      </c>
      <c r="D658" t="s">
        <v>1864</v>
      </c>
      <c r="E658" t="s">
        <v>2519</v>
      </c>
      <c r="F658" t="s">
        <v>514</v>
      </c>
      <c r="G658" t="str">
        <f t="shared" si="52"/>
        <v>C</v>
      </c>
      <c r="H658">
        <f t="shared" si="53"/>
        <v>23</v>
      </c>
      <c r="I658" t="str">
        <f t="shared" si="54"/>
        <v>234</v>
      </c>
      <c r="J658" t="str">
        <f t="shared" si="55"/>
        <v>23494</v>
      </c>
      <c r="K658" t="str">
        <f t="shared" si="51"/>
        <v>2349401</v>
      </c>
    </row>
    <row r="659" spans="2:11" x14ac:dyDescent="0.25">
      <c r="C659" t="s">
        <v>1864</v>
      </c>
      <c r="D659" t="s">
        <v>1864</v>
      </c>
      <c r="E659" t="s">
        <v>2520</v>
      </c>
      <c r="F659" t="s">
        <v>513</v>
      </c>
      <c r="G659" t="str">
        <f t="shared" si="52"/>
        <v>C</v>
      </c>
      <c r="H659">
        <f t="shared" si="53"/>
        <v>23</v>
      </c>
      <c r="I659" t="str">
        <f t="shared" si="54"/>
        <v>234</v>
      </c>
      <c r="J659" t="str">
        <f t="shared" si="55"/>
        <v>23494</v>
      </c>
      <c r="K659" t="str">
        <f t="shared" si="51"/>
        <v>2349499</v>
      </c>
    </row>
    <row r="660" spans="2:11" x14ac:dyDescent="0.25">
      <c r="C660" t="s">
        <v>2521</v>
      </c>
      <c r="D660" t="s">
        <v>1864</v>
      </c>
      <c r="E660" t="s">
        <v>1864</v>
      </c>
      <c r="F660" t="s">
        <v>515</v>
      </c>
      <c r="G660" t="str">
        <f t="shared" si="52"/>
        <v>C</v>
      </c>
      <c r="H660">
        <f t="shared" si="53"/>
        <v>23</v>
      </c>
      <c r="I660" t="str">
        <f t="shared" si="54"/>
        <v>239</v>
      </c>
      <c r="J660" t="str">
        <f t="shared" si="55"/>
        <v>23494</v>
      </c>
      <c r="K660" t="str">
        <f t="shared" si="51"/>
        <v/>
      </c>
    </row>
    <row r="661" spans="2:11" x14ac:dyDescent="0.25">
      <c r="C661" t="s">
        <v>1864</v>
      </c>
      <c r="D661" t="s">
        <v>2522</v>
      </c>
      <c r="E661" t="s">
        <v>1864</v>
      </c>
      <c r="F661" t="s">
        <v>516</v>
      </c>
      <c r="G661" t="str">
        <f t="shared" si="52"/>
        <v>C</v>
      </c>
      <c r="H661">
        <f t="shared" si="53"/>
        <v>23</v>
      </c>
      <c r="I661" t="str">
        <f t="shared" si="54"/>
        <v>239</v>
      </c>
      <c r="J661" t="str">
        <f t="shared" si="55"/>
        <v>23915</v>
      </c>
      <c r="K661" t="str">
        <f t="shared" si="51"/>
        <v/>
      </c>
    </row>
    <row r="662" spans="2:11" x14ac:dyDescent="0.25">
      <c r="C662" t="s">
        <v>1864</v>
      </c>
      <c r="D662" t="s">
        <v>1864</v>
      </c>
      <c r="E662" t="s">
        <v>2523</v>
      </c>
      <c r="F662" t="s">
        <v>517</v>
      </c>
      <c r="G662" t="str">
        <f t="shared" si="52"/>
        <v>C</v>
      </c>
      <c r="H662">
        <f t="shared" si="53"/>
        <v>23</v>
      </c>
      <c r="I662" t="str">
        <f t="shared" si="54"/>
        <v>239</v>
      </c>
      <c r="J662" t="str">
        <f t="shared" si="55"/>
        <v>23915</v>
      </c>
      <c r="K662" t="str">
        <f t="shared" si="51"/>
        <v>2391501</v>
      </c>
    </row>
    <row r="663" spans="2:11" x14ac:dyDescent="0.25">
      <c r="C663" t="s">
        <v>1864</v>
      </c>
      <c r="D663" t="s">
        <v>1864</v>
      </c>
      <c r="E663" t="s">
        <v>2524</v>
      </c>
      <c r="F663" t="s">
        <v>518</v>
      </c>
      <c r="G663" t="str">
        <f t="shared" si="52"/>
        <v>C</v>
      </c>
      <c r="H663">
        <f t="shared" si="53"/>
        <v>23</v>
      </c>
      <c r="I663" t="str">
        <f t="shared" si="54"/>
        <v>239</v>
      </c>
      <c r="J663" t="str">
        <f t="shared" si="55"/>
        <v>23915</v>
      </c>
      <c r="K663" t="str">
        <f t="shared" si="51"/>
        <v>2391502</v>
      </c>
    </row>
    <row r="664" spans="2:11" x14ac:dyDescent="0.25">
      <c r="C664" t="s">
        <v>1864</v>
      </c>
      <c r="D664" t="s">
        <v>1864</v>
      </c>
      <c r="E664" t="s">
        <v>2525</v>
      </c>
      <c r="F664" t="s">
        <v>519</v>
      </c>
      <c r="G664" t="str">
        <f t="shared" si="52"/>
        <v>C</v>
      </c>
      <c r="H664">
        <f t="shared" si="53"/>
        <v>23</v>
      </c>
      <c r="I664" t="str">
        <f t="shared" si="54"/>
        <v>239</v>
      </c>
      <c r="J664" t="str">
        <f t="shared" si="55"/>
        <v>23915</v>
      </c>
      <c r="K664" t="str">
        <f t="shared" si="51"/>
        <v>2391503</v>
      </c>
    </row>
    <row r="665" spans="2:11" x14ac:dyDescent="0.25">
      <c r="C665" t="s">
        <v>1864</v>
      </c>
      <c r="D665" t="s">
        <v>2526</v>
      </c>
      <c r="E665" t="s">
        <v>1864</v>
      </c>
      <c r="F665" t="s">
        <v>520</v>
      </c>
      <c r="G665" t="str">
        <f t="shared" si="52"/>
        <v>C</v>
      </c>
      <c r="H665">
        <f t="shared" si="53"/>
        <v>23</v>
      </c>
      <c r="I665" t="str">
        <f t="shared" si="54"/>
        <v>239</v>
      </c>
      <c r="J665" t="str">
        <f t="shared" si="55"/>
        <v>23923</v>
      </c>
      <c r="K665" t="str">
        <f t="shared" si="51"/>
        <v/>
      </c>
    </row>
    <row r="666" spans="2:11" x14ac:dyDescent="0.25">
      <c r="C666" t="s">
        <v>1864</v>
      </c>
      <c r="D666" t="s">
        <v>1864</v>
      </c>
      <c r="E666" t="s">
        <v>2527</v>
      </c>
      <c r="F666" t="s">
        <v>520</v>
      </c>
      <c r="G666" t="str">
        <f t="shared" si="52"/>
        <v>C</v>
      </c>
      <c r="H666">
        <f t="shared" si="53"/>
        <v>23</v>
      </c>
      <c r="I666" t="str">
        <f t="shared" si="54"/>
        <v>239</v>
      </c>
      <c r="J666" t="str">
        <f t="shared" si="55"/>
        <v>23923</v>
      </c>
      <c r="K666" t="str">
        <f t="shared" si="51"/>
        <v>2392300</v>
      </c>
    </row>
    <row r="667" spans="2:11" x14ac:dyDescent="0.25">
      <c r="C667" t="s">
        <v>1864</v>
      </c>
      <c r="D667" t="s">
        <v>2528</v>
      </c>
      <c r="E667" t="s">
        <v>1864</v>
      </c>
      <c r="F667" t="s">
        <v>521</v>
      </c>
      <c r="G667" t="str">
        <f t="shared" si="52"/>
        <v>C</v>
      </c>
      <c r="H667">
        <f t="shared" si="53"/>
        <v>23</v>
      </c>
      <c r="I667" t="str">
        <f t="shared" si="54"/>
        <v>239</v>
      </c>
      <c r="J667" t="str">
        <f t="shared" si="55"/>
        <v>23991</v>
      </c>
      <c r="K667" t="str">
        <f t="shared" si="51"/>
        <v/>
      </c>
    </row>
    <row r="668" spans="2:11" x14ac:dyDescent="0.25">
      <c r="C668" t="s">
        <v>1864</v>
      </c>
      <c r="D668" t="s">
        <v>1864</v>
      </c>
      <c r="E668" t="s">
        <v>2529</v>
      </c>
      <c r="F668" t="s">
        <v>522</v>
      </c>
      <c r="G668" t="str">
        <f t="shared" si="52"/>
        <v>C</v>
      </c>
      <c r="H668">
        <f t="shared" si="53"/>
        <v>23</v>
      </c>
      <c r="I668" t="str">
        <f t="shared" si="54"/>
        <v>239</v>
      </c>
      <c r="J668" t="str">
        <f t="shared" si="55"/>
        <v>23991</v>
      </c>
      <c r="K668" t="str">
        <f t="shared" si="51"/>
        <v>2399101</v>
      </c>
    </row>
    <row r="669" spans="2:11" x14ac:dyDescent="0.25">
      <c r="C669" t="s">
        <v>1864</v>
      </c>
      <c r="D669" t="s">
        <v>1864</v>
      </c>
      <c r="E669" t="s">
        <v>2530</v>
      </c>
      <c r="F669" t="s">
        <v>523</v>
      </c>
      <c r="G669" t="str">
        <f t="shared" si="52"/>
        <v>C</v>
      </c>
      <c r="H669">
        <f t="shared" si="53"/>
        <v>23</v>
      </c>
      <c r="I669" t="str">
        <f t="shared" si="54"/>
        <v>239</v>
      </c>
      <c r="J669" t="str">
        <f t="shared" si="55"/>
        <v>23991</v>
      </c>
      <c r="K669" t="str">
        <f t="shared" si="51"/>
        <v>2399102</v>
      </c>
    </row>
    <row r="670" spans="2:11" x14ac:dyDescent="0.25">
      <c r="C670" t="s">
        <v>1864</v>
      </c>
      <c r="D670" t="s">
        <v>1864</v>
      </c>
      <c r="E670" t="s">
        <v>2531</v>
      </c>
      <c r="F670" t="s">
        <v>524</v>
      </c>
      <c r="G670" t="str">
        <f t="shared" si="52"/>
        <v>C</v>
      </c>
      <c r="H670">
        <f t="shared" si="53"/>
        <v>23</v>
      </c>
      <c r="I670" t="str">
        <f t="shared" si="54"/>
        <v>239</v>
      </c>
      <c r="J670" t="str">
        <f t="shared" si="55"/>
        <v>23991</v>
      </c>
      <c r="K670" t="str">
        <f t="shared" si="51"/>
        <v>2399199</v>
      </c>
    </row>
    <row r="671" spans="2:11" x14ac:dyDescent="0.25">
      <c r="B671" t="s">
        <v>2532</v>
      </c>
      <c r="C671" t="s">
        <v>1864</v>
      </c>
      <c r="D671" t="s">
        <v>1864</v>
      </c>
      <c r="E671" t="s">
        <v>1864</v>
      </c>
      <c r="F671" t="s">
        <v>525</v>
      </c>
      <c r="G671" t="str">
        <f t="shared" si="52"/>
        <v>C</v>
      </c>
      <c r="H671" t="str">
        <f t="shared" si="53"/>
        <v>24</v>
      </c>
      <c r="I671" t="str">
        <f t="shared" si="54"/>
        <v>239</v>
      </c>
      <c r="J671" t="str">
        <f t="shared" si="55"/>
        <v>23991</v>
      </c>
      <c r="K671" t="str">
        <f t="shared" si="51"/>
        <v/>
      </c>
    </row>
    <row r="672" spans="2:11" x14ac:dyDescent="0.25">
      <c r="C672" t="s">
        <v>2533</v>
      </c>
      <c r="D672" t="s">
        <v>1864</v>
      </c>
      <c r="E672" t="s">
        <v>1864</v>
      </c>
      <c r="F672" t="s">
        <v>526</v>
      </c>
      <c r="G672" t="str">
        <f t="shared" si="52"/>
        <v>C</v>
      </c>
      <c r="H672" t="str">
        <f t="shared" si="53"/>
        <v>24</v>
      </c>
      <c r="I672" t="str">
        <f t="shared" si="54"/>
        <v>241</v>
      </c>
      <c r="J672" t="str">
        <f t="shared" si="55"/>
        <v>23991</v>
      </c>
      <c r="K672" t="str">
        <f t="shared" si="51"/>
        <v/>
      </c>
    </row>
    <row r="673" spans="3:11" x14ac:dyDescent="0.25">
      <c r="C673" t="s">
        <v>1864</v>
      </c>
      <c r="D673" t="s">
        <v>2534</v>
      </c>
      <c r="E673" t="s">
        <v>1864</v>
      </c>
      <c r="F673" t="s">
        <v>527</v>
      </c>
      <c r="G673" t="str">
        <f t="shared" si="52"/>
        <v>C</v>
      </c>
      <c r="H673" t="str">
        <f t="shared" si="53"/>
        <v>24</v>
      </c>
      <c r="I673" t="str">
        <f t="shared" si="54"/>
        <v>241</v>
      </c>
      <c r="J673" t="str">
        <f t="shared" si="55"/>
        <v>24113</v>
      </c>
      <c r="K673" t="str">
        <f t="shared" si="51"/>
        <v/>
      </c>
    </row>
    <row r="674" spans="3:11" x14ac:dyDescent="0.25">
      <c r="C674" t="s">
        <v>1864</v>
      </c>
      <c r="D674" t="s">
        <v>1864</v>
      </c>
      <c r="E674" t="s">
        <v>2535</v>
      </c>
      <c r="F674" t="s">
        <v>527</v>
      </c>
      <c r="G674" t="str">
        <f t="shared" si="52"/>
        <v>C</v>
      </c>
      <c r="H674" t="str">
        <f t="shared" si="53"/>
        <v>24</v>
      </c>
      <c r="I674" t="str">
        <f t="shared" si="54"/>
        <v>241</v>
      </c>
      <c r="J674" t="str">
        <f t="shared" si="55"/>
        <v>24113</v>
      </c>
      <c r="K674" t="str">
        <f t="shared" si="51"/>
        <v>2411300</v>
      </c>
    </row>
    <row r="675" spans="3:11" x14ac:dyDescent="0.25">
      <c r="C675" t="s">
        <v>1864</v>
      </c>
      <c r="D675" t="s">
        <v>2536</v>
      </c>
      <c r="E675" t="s">
        <v>1864</v>
      </c>
      <c r="F675" t="s">
        <v>528</v>
      </c>
      <c r="G675" t="str">
        <f t="shared" si="52"/>
        <v>C</v>
      </c>
      <c r="H675" t="str">
        <f t="shared" si="53"/>
        <v>24</v>
      </c>
      <c r="I675" t="str">
        <f t="shared" si="54"/>
        <v>241</v>
      </c>
      <c r="J675" t="str">
        <f t="shared" si="55"/>
        <v>24121</v>
      </c>
      <c r="K675" t="str">
        <f t="shared" si="51"/>
        <v/>
      </c>
    </row>
    <row r="676" spans="3:11" x14ac:dyDescent="0.25">
      <c r="C676" t="s">
        <v>1864</v>
      </c>
      <c r="D676" t="s">
        <v>1864</v>
      </c>
      <c r="E676" t="s">
        <v>2537</v>
      </c>
      <c r="F676" t="s">
        <v>528</v>
      </c>
      <c r="G676" t="str">
        <f t="shared" si="52"/>
        <v>C</v>
      </c>
      <c r="H676" t="str">
        <f t="shared" si="53"/>
        <v>24</v>
      </c>
      <c r="I676" t="str">
        <f t="shared" si="54"/>
        <v>241</v>
      </c>
      <c r="J676" t="str">
        <f t="shared" si="55"/>
        <v>24121</v>
      </c>
      <c r="K676" t="str">
        <f t="shared" si="51"/>
        <v>2412100</v>
      </c>
    </row>
    <row r="677" spans="3:11" x14ac:dyDescent="0.25">
      <c r="C677" t="s">
        <v>2538</v>
      </c>
      <c r="D677" t="s">
        <v>1864</v>
      </c>
      <c r="E677" t="s">
        <v>1864</v>
      </c>
      <c r="F677" t="s">
        <v>529</v>
      </c>
      <c r="G677" t="str">
        <f t="shared" si="52"/>
        <v>C</v>
      </c>
      <c r="H677" t="str">
        <f t="shared" si="53"/>
        <v>24</v>
      </c>
      <c r="I677" t="str">
        <f t="shared" si="54"/>
        <v>242</v>
      </c>
      <c r="J677" t="str">
        <f t="shared" si="55"/>
        <v>24121</v>
      </c>
      <c r="K677" t="str">
        <f t="shared" si="51"/>
        <v/>
      </c>
    </row>
    <row r="678" spans="3:11" x14ac:dyDescent="0.25">
      <c r="C678" t="s">
        <v>1864</v>
      </c>
      <c r="D678" t="s">
        <v>2539</v>
      </c>
      <c r="E678" t="s">
        <v>1864</v>
      </c>
      <c r="F678" t="s">
        <v>530</v>
      </c>
      <c r="G678" t="str">
        <f t="shared" si="52"/>
        <v>C</v>
      </c>
      <c r="H678" t="str">
        <f t="shared" si="53"/>
        <v>24</v>
      </c>
      <c r="I678" t="str">
        <f t="shared" si="54"/>
        <v>242</v>
      </c>
      <c r="J678" t="str">
        <f t="shared" si="55"/>
        <v>24211</v>
      </c>
      <c r="K678" t="str">
        <f t="shared" si="51"/>
        <v/>
      </c>
    </row>
    <row r="679" spans="3:11" x14ac:dyDescent="0.25">
      <c r="C679" t="s">
        <v>1864</v>
      </c>
      <c r="D679" t="s">
        <v>1864</v>
      </c>
      <c r="E679" t="s">
        <v>2540</v>
      </c>
      <c r="F679" t="s">
        <v>530</v>
      </c>
      <c r="G679" t="str">
        <f t="shared" si="52"/>
        <v>C</v>
      </c>
      <c r="H679" t="str">
        <f t="shared" si="53"/>
        <v>24</v>
      </c>
      <c r="I679" t="str">
        <f t="shared" si="54"/>
        <v>242</v>
      </c>
      <c r="J679" t="str">
        <f t="shared" si="55"/>
        <v>24211</v>
      </c>
      <c r="K679" t="str">
        <f t="shared" si="51"/>
        <v>2421100</v>
      </c>
    </row>
    <row r="680" spans="3:11" x14ac:dyDescent="0.25">
      <c r="C680" t="s">
        <v>1864</v>
      </c>
      <c r="D680" t="s">
        <v>2541</v>
      </c>
      <c r="E680" t="s">
        <v>1864</v>
      </c>
      <c r="F680" t="s">
        <v>531</v>
      </c>
      <c r="G680" t="str">
        <f t="shared" si="52"/>
        <v>C</v>
      </c>
      <c r="H680" t="str">
        <f t="shared" si="53"/>
        <v>24</v>
      </c>
      <c r="I680" t="str">
        <f t="shared" si="54"/>
        <v>242</v>
      </c>
      <c r="J680" t="str">
        <f t="shared" si="55"/>
        <v>24229</v>
      </c>
      <c r="K680" t="str">
        <f t="shared" si="51"/>
        <v/>
      </c>
    </row>
    <row r="681" spans="3:11" x14ac:dyDescent="0.25">
      <c r="C681" t="s">
        <v>1864</v>
      </c>
      <c r="D681" t="s">
        <v>1864</v>
      </c>
      <c r="E681" t="s">
        <v>2542</v>
      </c>
      <c r="F681" t="s">
        <v>532</v>
      </c>
      <c r="G681" t="str">
        <f t="shared" si="52"/>
        <v>C</v>
      </c>
      <c r="H681" t="str">
        <f t="shared" si="53"/>
        <v>24</v>
      </c>
      <c r="I681" t="str">
        <f t="shared" si="54"/>
        <v>242</v>
      </c>
      <c r="J681" t="str">
        <f t="shared" si="55"/>
        <v>24229</v>
      </c>
      <c r="K681" t="str">
        <f t="shared" si="51"/>
        <v>2422901</v>
      </c>
    </row>
    <row r="682" spans="3:11" x14ac:dyDescent="0.25">
      <c r="C682" t="s">
        <v>1864</v>
      </c>
      <c r="D682" t="s">
        <v>1864</v>
      </c>
      <c r="E682" t="s">
        <v>2543</v>
      </c>
      <c r="F682" t="s">
        <v>533</v>
      </c>
      <c r="G682" t="str">
        <f t="shared" si="52"/>
        <v>C</v>
      </c>
      <c r="H682" t="str">
        <f t="shared" si="53"/>
        <v>24</v>
      </c>
      <c r="I682" t="str">
        <f t="shared" si="54"/>
        <v>242</v>
      </c>
      <c r="J682" t="str">
        <f t="shared" si="55"/>
        <v>24229</v>
      </c>
      <c r="K682" t="str">
        <f t="shared" si="51"/>
        <v>2422902</v>
      </c>
    </row>
    <row r="683" spans="3:11" x14ac:dyDescent="0.25">
      <c r="C683" t="s">
        <v>1864</v>
      </c>
      <c r="D683" t="s">
        <v>2544</v>
      </c>
      <c r="E683" t="s">
        <v>1864</v>
      </c>
      <c r="F683" t="s">
        <v>534</v>
      </c>
      <c r="G683" t="str">
        <f t="shared" si="52"/>
        <v>C</v>
      </c>
      <c r="H683" t="str">
        <f t="shared" si="53"/>
        <v>24</v>
      </c>
      <c r="I683" t="str">
        <f t="shared" si="54"/>
        <v>242</v>
      </c>
      <c r="J683" t="str">
        <f t="shared" si="55"/>
        <v>24237</v>
      </c>
      <c r="K683" t="str">
        <f t="shared" si="51"/>
        <v/>
      </c>
    </row>
    <row r="684" spans="3:11" x14ac:dyDescent="0.25">
      <c r="C684" t="s">
        <v>1864</v>
      </c>
      <c r="D684" t="s">
        <v>1864</v>
      </c>
      <c r="E684" t="s">
        <v>2545</v>
      </c>
      <c r="F684" t="s">
        <v>535</v>
      </c>
      <c r="G684" t="str">
        <f t="shared" si="52"/>
        <v>C</v>
      </c>
      <c r="H684" t="str">
        <f t="shared" si="53"/>
        <v>24</v>
      </c>
      <c r="I684" t="str">
        <f t="shared" si="54"/>
        <v>242</v>
      </c>
      <c r="J684" t="str">
        <f t="shared" si="55"/>
        <v>24237</v>
      </c>
      <c r="K684" t="str">
        <f t="shared" si="51"/>
        <v>2423701</v>
      </c>
    </row>
    <row r="685" spans="3:11" x14ac:dyDescent="0.25">
      <c r="C685" t="s">
        <v>1864</v>
      </c>
      <c r="D685" t="s">
        <v>1864</v>
      </c>
      <c r="E685" t="s">
        <v>2546</v>
      </c>
      <c r="F685" t="s">
        <v>536</v>
      </c>
      <c r="G685" t="str">
        <f t="shared" si="52"/>
        <v>C</v>
      </c>
      <c r="H685" t="str">
        <f t="shared" si="53"/>
        <v>24</v>
      </c>
      <c r="I685" t="str">
        <f t="shared" si="54"/>
        <v>242</v>
      </c>
      <c r="J685" t="str">
        <f t="shared" si="55"/>
        <v>24237</v>
      </c>
      <c r="K685" t="str">
        <f t="shared" si="51"/>
        <v>2423702</v>
      </c>
    </row>
    <row r="686" spans="3:11" x14ac:dyDescent="0.25">
      <c r="C686" t="s">
        <v>1864</v>
      </c>
      <c r="D686" t="s">
        <v>2547</v>
      </c>
      <c r="E686" t="s">
        <v>1864</v>
      </c>
      <c r="F686" t="s">
        <v>537</v>
      </c>
      <c r="G686" t="str">
        <f t="shared" si="52"/>
        <v>C</v>
      </c>
      <c r="H686" t="str">
        <f t="shared" si="53"/>
        <v>24</v>
      </c>
      <c r="I686" t="str">
        <f t="shared" si="54"/>
        <v>242</v>
      </c>
      <c r="J686" t="str">
        <f t="shared" si="55"/>
        <v>24245</v>
      </c>
      <c r="K686" t="str">
        <f t="shared" si="51"/>
        <v/>
      </c>
    </row>
    <row r="687" spans="3:11" x14ac:dyDescent="0.25">
      <c r="C687" t="s">
        <v>1864</v>
      </c>
      <c r="D687" t="s">
        <v>1864</v>
      </c>
      <c r="E687" t="s">
        <v>2548</v>
      </c>
      <c r="F687" t="s">
        <v>538</v>
      </c>
      <c r="G687" t="str">
        <f t="shared" si="52"/>
        <v>C</v>
      </c>
      <c r="H687" t="str">
        <f t="shared" si="53"/>
        <v>24</v>
      </c>
      <c r="I687" t="str">
        <f t="shared" si="54"/>
        <v>242</v>
      </c>
      <c r="J687" t="str">
        <f t="shared" si="55"/>
        <v>24245</v>
      </c>
      <c r="K687" t="str">
        <f t="shared" si="51"/>
        <v>2424501</v>
      </c>
    </row>
    <row r="688" spans="3:11" x14ac:dyDescent="0.25">
      <c r="C688" t="s">
        <v>1864</v>
      </c>
      <c r="D688" t="s">
        <v>1864</v>
      </c>
      <c r="E688" t="s">
        <v>2549</v>
      </c>
      <c r="F688" t="s">
        <v>539</v>
      </c>
      <c r="G688" t="str">
        <f t="shared" si="52"/>
        <v>C</v>
      </c>
      <c r="H688" t="str">
        <f t="shared" si="53"/>
        <v>24</v>
      </c>
      <c r="I688" t="str">
        <f t="shared" si="54"/>
        <v>242</v>
      </c>
      <c r="J688" t="str">
        <f t="shared" si="55"/>
        <v>24245</v>
      </c>
      <c r="K688" t="str">
        <f t="shared" si="51"/>
        <v>2424502</v>
      </c>
    </row>
    <row r="689" spans="3:11" x14ac:dyDescent="0.25">
      <c r="C689" t="s">
        <v>2550</v>
      </c>
      <c r="D689" t="s">
        <v>1864</v>
      </c>
      <c r="E689" t="s">
        <v>1864</v>
      </c>
      <c r="F689" t="s">
        <v>540</v>
      </c>
      <c r="G689" t="str">
        <f t="shared" si="52"/>
        <v>C</v>
      </c>
      <c r="H689" t="str">
        <f t="shared" si="53"/>
        <v>24</v>
      </c>
      <c r="I689" t="str">
        <f t="shared" si="54"/>
        <v>243</v>
      </c>
      <c r="J689" t="str">
        <f t="shared" si="55"/>
        <v>24245</v>
      </c>
      <c r="K689" t="str">
        <f t="shared" si="51"/>
        <v/>
      </c>
    </row>
    <row r="690" spans="3:11" x14ac:dyDescent="0.25">
      <c r="C690" t="s">
        <v>1864</v>
      </c>
      <c r="D690" t="s">
        <v>2551</v>
      </c>
      <c r="E690" t="s">
        <v>1864</v>
      </c>
      <c r="F690" t="s">
        <v>541</v>
      </c>
      <c r="G690" t="str">
        <f t="shared" si="52"/>
        <v>C</v>
      </c>
      <c r="H690" t="str">
        <f t="shared" si="53"/>
        <v>24</v>
      </c>
      <c r="I690" t="str">
        <f t="shared" si="54"/>
        <v>243</v>
      </c>
      <c r="J690" t="str">
        <f t="shared" si="55"/>
        <v>24318</v>
      </c>
      <c r="K690" t="str">
        <f t="shared" si="51"/>
        <v/>
      </c>
    </row>
    <row r="691" spans="3:11" x14ac:dyDescent="0.25">
      <c r="C691" t="s">
        <v>1864</v>
      </c>
      <c r="D691" t="s">
        <v>1864</v>
      </c>
      <c r="E691" t="s">
        <v>2552</v>
      </c>
      <c r="F691" t="s">
        <v>541</v>
      </c>
      <c r="G691" t="str">
        <f t="shared" si="52"/>
        <v>C</v>
      </c>
      <c r="H691" t="str">
        <f t="shared" si="53"/>
        <v>24</v>
      </c>
      <c r="I691" t="str">
        <f t="shared" si="54"/>
        <v>243</v>
      </c>
      <c r="J691" t="str">
        <f t="shared" si="55"/>
        <v>24318</v>
      </c>
      <c r="K691" t="str">
        <f t="shared" si="51"/>
        <v>2431800</v>
      </c>
    </row>
    <row r="692" spans="3:11" x14ac:dyDescent="0.25">
      <c r="C692" t="s">
        <v>1864</v>
      </c>
      <c r="D692" t="s">
        <v>2553</v>
      </c>
      <c r="E692" t="s">
        <v>1864</v>
      </c>
      <c r="F692" t="s">
        <v>542</v>
      </c>
      <c r="G692" t="str">
        <f t="shared" si="52"/>
        <v>C</v>
      </c>
      <c r="H692" t="str">
        <f t="shared" si="53"/>
        <v>24</v>
      </c>
      <c r="I692" t="str">
        <f t="shared" si="54"/>
        <v>243</v>
      </c>
      <c r="J692" t="str">
        <f t="shared" si="55"/>
        <v>24393</v>
      </c>
      <c r="K692" t="str">
        <f t="shared" si="51"/>
        <v/>
      </c>
    </row>
    <row r="693" spans="3:11" x14ac:dyDescent="0.25">
      <c r="C693" t="s">
        <v>1864</v>
      </c>
      <c r="D693" t="s">
        <v>1864</v>
      </c>
      <c r="E693" t="s">
        <v>2554</v>
      </c>
      <c r="F693" t="s">
        <v>542</v>
      </c>
      <c r="G693" t="str">
        <f t="shared" si="52"/>
        <v>C</v>
      </c>
      <c r="H693" t="str">
        <f t="shared" si="53"/>
        <v>24</v>
      </c>
      <c r="I693" t="str">
        <f t="shared" si="54"/>
        <v>243</v>
      </c>
      <c r="J693" t="str">
        <f t="shared" si="55"/>
        <v>24393</v>
      </c>
      <c r="K693" t="str">
        <f t="shared" si="51"/>
        <v>2439300</v>
      </c>
    </row>
    <row r="694" spans="3:11" x14ac:dyDescent="0.25">
      <c r="C694" t="s">
        <v>2555</v>
      </c>
      <c r="D694" t="s">
        <v>1864</v>
      </c>
      <c r="E694" t="s">
        <v>1864</v>
      </c>
      <c r="F694" t="s">
        <v>543</v>
      </c>
      <c r="G694" t="str">
        <f t="shared" si="52"/>
        <v>C</v>
      </c>
      <c r="H694" t="str">
        <f t="shared" si="53"/>
        <v>24</v>
      </c>
      <c r="I694" t="str">
        <f t="shared" si="54"/>
        <v>244</v>
      </c>
      <c r="J694" t="str">
        <f t="shared" si="55"/>
        <v>24393</v>
      </c>
      <c r="K694" t="str">
        <f t="shared" si="51"/>
        <v/>
      </c>
    </row>
    <row r="695" spans="3:11" x14ac:dyDescent="0.25">
      <c r="C695" t="s">
        <v>1864</v>
      </c>
      <c r="D695" t="s">
        <v>2556</v>
      </c>
      <c r="E695" t="s">
        <v>1864</v>
      </c>
      <c r="F695" t="s">
        <v>544</v>
      </c>
      <c r="G695" t="str">
        <f t="shared" si="52"/>
        <v>C</v>
      </c>
      <c r="H695" t="str">
        <f t="shared" si="53"/>
        <v>24</v>
      </c>
      <c r="I695" t="str">
        <f t="shared" si="54"/>
        <v>244</v>
      </c>
      <c r="J695" t="str">
        <f t="shared" si="55"/>
        <v>24415</v>
      </c>
      <c r="K695" t="str">
        <f t="shared" si="51"/>
        <v/>
      </c>
    </row>
    <row r="696" spans="3:11" x14ac:dyDescent="0.25">
      <c r="C696" t="s">
        <v>1864</v>
      </c>
      <c r="D696" t="s">
        <v>1864</v>
      </c>
      <c r="E696" t="s">
        <v>2557</v>
      </c>
      <c r="F696" t="s">
        <v>545</v>
      </c>
      <c r="G696" t="str">
        <f t="shared" si="52"/>
        <v>C</v>
      </c>
      <c r="H696" t="str">
        <f t="shared" si="53"/>
        <v>24</v>
      </c>
      <c r="I696" t="str">
        <f t="shared" si="54"/>
        <v>244</v>
      </c>
      <c r="J696" t="str">
        <f t="shared" si="55"/>
        <v>24415</v>
      </c>
      <c r="K696" t="str">
        <f t="shared" si="51"/>
        <v>2441501</v>
      </c>
    </row>
    <row r="697" spans="3:11" x14ac:dyDescent="0.25">
      <c r="C697" t="s">
        <v>1864</v>
      </c>
      <c r="D697" t="s">
        <v>1864</v>
      </c>
      <c r="E697" t="s">
        <v>2558</v>
      </c>
      <c r="F697" t="s">
        <v>546</v>
      </c>
      <c r="G697" t="str">
        <f t="shared" si="52"/>
        <v>C</v>
      </c>
      <c r="H697" t="str">
        <f t="shared" si="53"/>
        <v>24</v>
      </c>
      <c r="I697" t="str">
        <f t="shared" si="54"/>
        <v>244</v>
      </c>
      <c r="J697" t="str">
        <f t="shared" si="55"/>
        <v>24415</v>
      </c>
      <c r="K697" t="str">
        <f t="shared" si="51"/>
        <v>2441502</v>
      </c>
    </row>
    <row r="698" spans="3:11" x14ac:dyDescent="0.25">
      <c r="C698" t="s">
        <v>1864</v>
      </c>
      <c r="D698" t="s">
        <v>2559</v>
      </c>
      <c r="E698" t="s">
        <v>1864</v>
      </c>
      <c r="F698" t="s">
        <v>547</v>
      </c>
      <c r="G698" t="str">
        <f t="shared" si="52"/>
        <v>C</v>
      </c>
      <c r="H698" t="str">
        <f t="shared" si="53"/>
        <v>24</v>
      </c>
      <c r="I698" t="str">
        <f t="shared" si="54"/>
        <v>244</v>
      </c>
      <c r="J698" t="str">
        <f t="shared" si="55"/>
        <v>24423</v>
      </c>
      <c r="K698" t="str">
        <f t="shared" si="51"/>
        <v/>
      </c>
    </row>
    <row r="699" spans="3:11" x14ac:dyDescent="0.25">
      <c r="C699" t="s">
        <v>1864</v>
      </c>
      <c r="D699" t="s">
        <v>1864</v>
      </c>
      <c r="E699" t="s">
        <v>2560</v>
      </c>
      <c r="F699" t="s">
        <v>547</v>
      </c>
      <c r="G699" t="str">
        <f t="shared" si="52"/>
        <v>C</v>
      </c>
      <c r="H699" t="str">
        <f t="shared" si="53"/>
        <v>24</v>
      </c>
      <c r="I699" t="str">
        <f t="shared" si="54"/>
        <v>244</v>
      </c>
      <c r="J699" t="str">
        <f t="shared" si="55"/>
        <v>24423</v>
      </c>
      <c r="K699" t="str">
        <f t="shared" si="51"/>
        <v>2442300</v>
      </c>
    </row>
    <row r="700" spans="3:11" x14ac:dyDescent="0.25">
      <c r="C700" t="s">
        <v>1864</v>
      </c>
      <c r="D700" t="s">
        <v>2561</v>
      </c>
      <c r="E700" t="s">
        <v>1864</v>
      </c>
      <c r="F700" t="s">
        <v>548</v>
      </c>
      <c r="G700" t="str">
        <f t="shared" si="52"/>
        <v>C</v>
      </c>
      <c r="H700" t="str">
        <f t="shared" si="53"/>
        <v>24</v>
      </c>
      <c r="I700" t="str">
        <f t="shared" si="54"/>
        <v>244</v>
      </c>
      <c r="J700" t="str">
        <f t="shared" si="55"/>
        <v>24431</v>
      </c>
      <c r="K700" t="str">
        <f t="shared" si="51"/>
        <v/>
      </c>
    </row>
    <row r="701" spans="3:11" x14ac:dyDescent="0.25">
      <c r="C701" t="s">
        <v>1864</v>
      </c>
      <c r="D701" t="s">
        <v>1864</v>
      </c>
      <c r="E701" t="s">
        <v>2562</v>
      </c>
      <c r="F701" t="s">
        <v>548</v>
      </c>
      <c r="G701" t="str">
        <f t="shared" si="52"/>
        <v>C</v>
      </c>
      <c r="H701" t="str">
        <f t="shared" si="53"/>
        <v>24</v>
      </c>
      <c r="I701" t="str">
        <f t="shared" si="54"/>
        <v>244</v>
      </c>
      <c r="J701" t="str">
        <f t="shared" si="55"/>
        <v>24431</v>
      </c>
      <c r="K701" t="str">
        <f t="shared" si="51"/>
        <v>2443100</v>
      </c>
    </row>
    <row r="702" spans="3:11" x14ac:dyDescent="0.25">
      <c r="C702" t="s">
        <v>1864</v>
      </c>
      <c r="D702" t="s">
        <v>2563</v>
      </c>
      <c r="E702" t="s">
        <v>1864</v>
      </c>
      <c r="F702" t="s">
        <v>549</v>
      </c>
      <c r="G702" t="str">
        <f t="shared" si="52"/>
        <v>C</v>
      </c>
      <c r="H702" t="str">
        <f t="shared" si="53"/>
        <v>24</v>
      </c>
      <c r="I702" t="str">
        <f t="shared" si="54"/>
        <v>244</v>
      </c>
      <c r="J702" t="str">
        <f t="shared" si="55"/>
        <v>24491</v>
      </c>
      <c r="K702" t="str">
        <f t="shared" si="51"/>
        <v/>
      </c>
    </row>
    <row r="703" spans="3:11" x14ac:dyDescent="0.25">
      <c r="C703" t="s">
        <v>1864</v>
      </c>
      <c r="D703" t="s">
        <v>1864</v>
      </c>
      <c r="E703" t="s">
        <v>2564</v>
      </c>
      <c r="F703" t="s">
        <v>550</v>
      </c>
      <c r="G703" t="str">
        <f t="shared" si="52"/>
        <v>C</v>
      </c>
      <c r="H703" t="str">
        <f t="shared" si="53"/>
        <v>24</v>
      </c>
      <c r="I703" t="str">
        <f t="shared" si="54"/>
        <v>244</v>
      </c>
      <c r="J703" t="str">
        <f t="shared" si="55"/>
        <v>24491</v>
      </c>
      <c r="K703" t="str">
        <f t="shared" si="51"/>
        <v>2449101</v>
      </c>
    </row>
    <row r="704" spans="3:11" x14ac:dyDescent="0.25">
      <c r="C704" t="s">
        <v>1864</v>
      </c>
      <c r="D704" t="s">
        <v>1864</v>
      </c>
      <c r="E704" t="s">
        <v>2565</v>
      </c>
      <c r="F704" t="s">
        <v>551</v>
      </c>
      <c r="G704" t="str">
        <f t="shared" si="52"/>
        <v>C</v>
      </c>
      <c r="H704" t="str">
        <f t="shared" si="53"/>
        <v>24</v>
      </c>
      <c r="I704" t="str">
        <f t="shared" si="54"/>
        <v>244</v>
      </c>
      <c r="J704" t="str">
        <f t="shared" si="55"/>
        <v>24491</v>
      </c>
      <c r="K704" t="str">
        <f t="shared" si="51"/>
        <v>2449102</v>
      </c>
    </row>
    <row r="705" spans="2:11" x14ac:dyDescent="0.25">
      <c r="C705" t="s">
        <v>1864</v>
      </c>
      <c r="D705" t="s">
        <v>1864</v>
      </c>
      <c r="E705" t="s">
        <v>2566</v>
      </c>
      <c r="F705" t="s">
        <v>552</v>
      </c>
      <c r="G705" t="str">
        <f t="shared" si="52"/>
        <v>C</v>
      </c>
      <c r="H705" t="str">
        <f t="shared" si="53"/>
        <v>24</v>
      </c>
      <c r="I705" t="str">
        <f t="shared" si="54"/>
        <v>244</v>
      </c>
      <c r="J705" t="str">
        <f t="shared" si="55"/>
        <v>24491</v>
      </c>
      <c r="K705" t="str">
        <f t="shared" si="51"/>
        <v>2449103</v>
      </c>
    </row>
    <row r="706" spans="2:11" x14ac:dyDescent="0.25">
      <c r="C706" t="s">
        <v>1864</v>
      </c>
      <c r="D706" t="s">
        <v>1864</v>
      </c>
      <c r="E706" t="s">
        <v>2567</v>
      </c>
      <c r="F706" t="s">
        <v>553</v>
      </c>
      <c r="G706" t="str">
        <f t="shared" si="52"/>
        <v>C</v>
      </c>
      <c r="H706" t="str">
        <f t="shared" si="53"/>
        <v>24</v>
      </c>
      <c r="I706" t="str">
        <f t="shared" si="54"/>
        <v>244</v>
      </c>
      <c r="J706" t="str">
        <f t="shared" si="55"/>
        <v>24491</v>
      </c>
      <c r="K706" t="str">
        <f t="shared" si="51"/>
        <v>2449199</v>
      </c>
    </row>
    <row r="707" spans="2:11" x14ac:dyDescent="0.25">
      <c r="C707" t="s">
        <v>2568</v>
      </c>
      <c r="D707" t="s">
        <v>1864</v>
      </c>
      <c r="E707" t="s">
        <v>1864</v>
      </c>
      <c r="F707" t="s">
        <v>554</v>
      </c>
      <c r="G707" t="str">
        <f t="shared" si="52"/>
        <v>C</v>
      </c>
      <c r="H707" t="str">
        <f t="shared" si="53"/>
        <v>24</v>
      </c>
      <c r="I707" t="str">
        <f t="shared" si="54"/>
        <v>245</v>
      </c>
      <c r="J707" t="str">
        <f t="shared" si="55"/>
        <v>24491</v>
      </c>
      <c r="K707" t="str">
        <f t="shared" si="51"/>
        <v/>
      </c>
    </row>
    <row r="708" spans="2:11" x14ac:dyDescent="0.25">
      <c r="C708" t="s">
        <v>1864</v>
      </c>
      <c r="D708" t="s">
        <v>2569</v>
      </c>
      <c r="E708" t="s">
        <v>1864</v>
      </c>
      <c r="F708" t="s">
        <v>555</v>
      </c>
      <c r="G708" t="str">
        <f t="shared" si="52"/>
        <v>C</v>
      </c>
      <c r="H708" t="str">
        <f t="shared" si="53"/>
        <v>24</v>
      </c>
      <c r="I708" t="str">
        <f t="shared" si="54"/>
        <v>245</v>
      </c>
      <c r="J708" t="str">
        <f t="shared" si="55"/>
        <v>24512</v>
      </c>
      <c r="K708" t="str">
        <f t="shared" si="51"/>
        <v/>
      </c>
    </row>
    <row r="709" spans="2:11" x14ac:dyDescent="0.25">
      <c r="C709" t="s">
        <v>1864</v>
      </c>
      <c r="D709" t="s">
        <v>1864</v>
      </c>
      <c r="E709" t="s">
        <v>2570</v>
      </c>
      <c r="F709" t="s">
        <v>555</v>
      </c>
      <c r="G709" t="str">
        <f t="shared" si="52"/>
        <v>C</v>
      </c>
      <c r="H709" t="str">
        <f t="shared" si="53"/>
        <v>24</v>
      </c>
      <c r="I709" t="str">
        <f t="shared" si="54"/>
        <v>245</v>
      </c>
      <c r="J709" t="str">
        <f t="shared" si="55"/>
        <v>24512</v>
      </c>
      <c r="K709" t="str">
        <f t="shared" si="51"/>
        <v>2451200</v>
      </c>
    </row>
    <row r="710" spans="2:11" x14ac:dyDescent="0.25">
      <c r="C710" t="s">
        <v>1864</v>
      </c>
      <c r="D710" t="s">
        <v>2571</v>
      </c>
      <c r="E710" t="s">
        <v>1864</v>
      </c>
      <c r="F710" t="s">
        <v>556</v>
      </c>
      <c r="G710" t="str">
        <f t="shared" si="52"/>
        <v>C</v>
      </c>
      <c r="H710" t="str">
        <f t="shared" si="53"/>
        <v>24</v>
      </c>
      <c r="I710" t="str">
        <f t="shared" si="54"/>
        <v>245</v>
      </c>
      <c r="J710" t="str">
        <f t="shared" si="55"/>
        <v>24521</v>
      </c>
      <c r="K710" t="str">
        <f t="shared" si="51"/>
        <v/>
      </c>
    </row>
    <row r="711" spans="2:11" x14ac:dyDescent="0.25">
      <c r="C711" t="s">
        <v>1864</v>
      </c>
      <c r="D711" t="s">
        <v>1864</v>
      </c>
      <c r="E711" t="s">
        <v>2572</v>
      </c>
      <c r="F711" t="s">
        <v>556</v>
      </c>
      <c r="G711" t="str">
        <f t="shared" si="52"/>
        <v>C</v>
      </c>
      <c r="H711" t="str">
        <f t="shared" si="53"/>
        <v>24</v>
      </c>
      <c r="I711" t="str">
        <f t="shared" si="54"/>
        <v>245</v>
      </c>
      <c r="J711" t="str">
        <f t="shared" si="55"/>
        <v>24521</v>
      </c>
      <c r="K711" t="str">
        <f t="shared" si="51"/>
        <v>2452100</v>
      </c>
    </row>
    <row r="712" spans="2:11" x14ac:dyDescent="0.25">
      <c r="B712" t="s">
        <v>2573</v>
      </c>
      <c r="C712" t="s">
        <v>1864</v>
      </c>
      <c r="D712" t="s">
        <v>1864</v>
      </c>
      <c r="E712" t="s">
        <v>1864</v>
      </c>
      <c r="F712" t="s">
        <v>557</v>
      </c>
      <c r="G712" t="str">
        <f t="shared" si="52"/>
        <v>C</v>
      </c>
      <c r="H712" t="str">
        <f t="shared" si="53"/>
        <v>25</v>
      </c>
      <c r="I712" t="str">
        <f t="shared" si="54"/>
        <v>245</v>
      </c>
      <c r="J712" t="str">
        <f t="shared" si="55"/>
        <v>24521</v>
      </c>
      <c r="K712" t="str">
        <f t="shared" ref="K712:K775" si="56">E712</f>
        <v/>
      </c>
    </row>
    <row r="713" spans="2:11" x14ac:dyDescent="0.25">
      <c r="C713" t="s">
        <v>2574</v>
      </c>
      <c r="D713" t="s">
        <v>1864</v>
      </c>
      <c r="E713" t="s">
        <v>1864</v>
      </c>
      <c r="F713" t="s">
        <v>558</v>
      </c>
      <c r="G713" t="str">
        <f t="shared" ref="G713:G776" si="57">IF(A713="",G712,A713)</f>
        <v>C</v>
      </c>
      <c r="H713" t="str">
        <f t="shared" ref="H713:H776" si="58">IF(B713="",H712,B713)</f>
        <v>25</v>
      </c>
      <c r="I713" t="str">
        <f t="shared" ref="I713:I776" si="59">IF(C713="",I712,C713)</f>
        <v>251</v>
      </c>
      <c r="J713" t="str">
        <f t="shared" ref="J713:J776" si="60">IF(D713="",J712,D713)</f>
        <v>24521</v>
      </c>
      <c r="K713" t="str">
        <f t="shared" si="56"/>
        <v/>
      </c>
    </row>
    <row r="714" spans="2:11" x14ac:dyDescent="0.25">
      <c r="C714" t="s">
        <v>1864</v>
      </c>
      <c r="D714" t="s">
        <v>2575</v>
      </c>
      <c r="E714" t="s">
        <v>1864</v>
      </c>
      <c r="F714" t="s">
        <v>559</v>
      </c>
      <c r="G714" t="str">
        <f t="shared" si="57"/>
        <v>C</v>
      </c>
      <c r="H714" t="str">
        <f t="shared" si="58"/>
        <v>25</v>
      </c>
      <c r="I714" t="str">
        <f t="shared" si="59"/>
        <v>251</v>
      </c>
      <c r="J714" t="str">
        <f t="shared" si="60"/>
        <v>25110</v>
      </c>
      <c r="K714" t="str">
        <f t="shared" si="56"/>
        <v/>
      </c>
    </row>
    <row r="715" spans="2:11" x14ac:dyDescent="0.25">
      <c r="C715" t="s">
        <v>1864</v>
      </c>
      <c r="D715" t="s">
        <v>1864</v>
      </c>
      <c r="E715" t="s">
        <v>2576</v>
      </c>
      <c r="F715" t="s">
        <v>559</v>
      </c>
      <c r="G715" t="str">
        <f t="shared" si="57"/>
        <v>C</v>
      </c>
      <c r="H715" t="str">
        <f t="shared" si="58"/>
        <v>25</v>
      </c>
      <c r="I715" t="str">
        <f t="shared" si="59"/>
        <v>251</v>
      </c>
      <c r="J715" t="str">
        <f t="shared" si="60"/>
        <v>25110</v>
      </c>
      <c r="K715" t="str">
        <f t="shared" si="56"/>
        <v>2511000</v>
      </c>
    </row>
    <row r="716" spans="2:11" x14ac:dyDescent="0.25">
      <c r="C716" t="s">
        <v>1864</v>
      </c>
      <c r="D716" t="s">
        <v>2577</v>
      </c>
      <c r="E716" t="s">
        <v>1864</v>
      </c>
      <c r="F716" t="s">
        <v>560</v>
      </c>
      <c r="G716" t="str">
        <f t="shared" si="57"/>
        <v>C</v>
      </c>
      <c r="H716" t="str">
        <f t="shared" si="58"/>
        <v>25</v>
      </c>
      <c r="I716" t="str">
        <f t="shared" si="59"/>
        <v>251</v>
      </c>
      <c r="J716" t="str">
        <f t="shared" si="60"/>
        <v>25128</v>
      </c>
      <c r="K716" t="str">
        <f t="shared" si="56"/>
        <v/>
      </c>
    </row>
    <row r="717" spans="2:11" x14ac:dyDescent="0.25">
      <c r="C717" t="s">
        <v>1864</v>
      </c>
      <c r="D717" t="s">
        <v>1864</v>
      </c>
      <c r="E717" t="s">
        <v>2578</v>
      </c>
      <c r="F717" t="s">
        <v>560</v>
      </c>
      <c r="G717" t="str">
        <f t="shared" si="57"/>
        <v>C</v>
      </c>
      <c r="H717" t="str">
        <f t="shared" si="58"/>
        <v>25</v>
      </c>
      <c r="I717" t="str">
        <f t="shared" si="59"/>
        <v>251</v>
      </c>
      <c r="J717" t="str">
        <f t="shared" si="60"/>
        <v>25128</v>
      </c>
      <c r="K717" t="str">
        <f t="shared" si="56"/>
        <v>2512800</v>
      </c>
    </row>
    <row r="718" spans="2:11" x14ac:dyDescent="0.25">
      <c r="C718" t="s">
        <v>1864</v>
      </c>
      <c r="D718" t="s">
        <v>2579</v>
      </c>
      <c r="E718" t="s">
        <v>1864</v>
      </c>
      <c r="F718" t="s">
        <v>561</v>
      </c>
      <c r="G718" t="str">
        <f t="shared" si="57"/>
        <v>C</v>
      </c>
      <c r="H718" t="str">
        <f t="shared" si="58"/>
        <v>25</v>
      </c>
      <c r="I718" t="str">
        <f t="shared" si="59"/>
        <v>251</v>
      </c>
      <c r="J718" t="str">
        <f t="shared" si="60"/>
        <v>25136</v>
      </c>
      <c r="K718" t="str">
        <f t="shared" si="56"/>
        <v/>
      </c>
    </row>
    <row r="719" spans="2:11" x14ac:dyDescent="0.25">
      <c r="C719" t="s">
        <v>1864</v>
      </c>
      <c r="D719" t="s">
        <v>1864</v>
      </c>
      <c r="E719" t="s">
        <v>2580</v>
      </c>
      <c r="F719" t="s">
        <v>561</v>
      </c>
      <c r="G719" t="str">
        <f t="shared" si="57"/>
        <v>C</v>
      </c>
      <c r="H719" t="str">
        <f t="shared" si="58"/>
        <v>25</v>
      </c>
      <c r="I719" t="str">
        <f t="shared" si="59"/>
        <v>251</v>
      </c>
      <c r="J719" t="str">
        <f t="shared" si="60"/>
        <v>25136</v>
      </c>
      <c r="K719" t="str">
        <f t="shared" si="56"/>
        <v>2513600</v>
      </c>
    </row>
    <row r="720" spans="2:11" x14ac:dyDescent="0.25">
      <c r="C720" t="s">
        <v>2581</v>
      </c>
      <c r="D720" t="s">
        <v>1864</v>
      </c>
      <c r="E720" t="s">
        <v>1864</v>
      </c>
      <c r="F720" t="s">
        <v>562</v>
      </c>
      <c r="G720" t="str">
        <f t="shared" si="57"/>
        <v>C</v>
      </c>
      <c r="H720" t="str">
        <f t="shared" si="58"/>
        <v>25</v>
      </c>
      <c r="I720" t="str">
        <f t="shared" si="59"/>
        <v>252</v>
      </c>
      <c r="J720" t="str">
        <f t="shared" si="60"/>
        <v>25136</v>
      </c>
      <c r="K720" t="str">
        <f t="shared" si="56"/>
        <v/>
      </c>
    </row>
    <row r="721" spans="3:11" x14ac:dyDescent="0.25">
      <c r="C721" t="s">
        <v>1864</v>
      </c>
      <c r="D721" t="s">
        <v>2582</v>
      </c>
      <c r="E721" t="s">
        <v>1864</v>
      </c>
      <c r="F721" t="s">
        <v>563</v>
      </c>
      <c r="G721" t="str">
        <f t="shared" si="57"/>
        <v>C</v>
      </c>
      <c r="H721" t="str">
        <f t="shared" si="58"/>
        <v>25</v>
      </c>
      <c r="I721" t="str">
        <f t="shared" si="59"/>
        <v>252</v>
      </c>
      <c r="J721" t="str">
        <f t="shared" si="60"/>
        <v>25217</v>
      </c>
      <c r="K721" t="str">
        <f t="shared" si="56"/>
        <v/>
      </c>
    </row>
    <row r="722" spans="3:11" x14ac:dyDescent="0.25">
      <c r="C722" t="s">
        <v>1864</v>
      </c>
      <c r="D722" t="s">
        <v>1864</v>
      </c>
      <c r="E722" t="s">
        <v>2583</v>
      </c>
      <c r="F722" t="s">
        <v>563</v>
      </c>
      <c r="G722" t="str">
        <f t="shared" si="57"/>
        <v>C</v>
      </c>
      <c r="H722" t="str">
        <f t="shared" si="58"/>
        <v>25</v>
      </c>
      <c r="I722" t="str">
        <f t="shared" si="59"/>
        <v>252</v>
      </c>
      <c r="J722" t="str">
        <f t="shared" si="60"/>
        <v>25217</v>
      </c>
      <c r="K722" t="str">
        <f t="shared" si="56"/>
        <v>2521700</v>
      </c>
    </row>
    <row r="723" spans="3:11" x14ac:dyDescent="0.25">
      <c r="C723" t="s">
        <v>1864</v>
      </c>
      <c r="D723" t="s">
        <v>2584</v>
      </c>
      <c r="E723" t="s">
        <v>1864</v>
      </c>
      <c r="F723" t="s">
        <v>564</v>
      </c>
      <c r="G723" t="str">
        <f t="shared" si="57"/>
        <v>C</v>
      </c>
      <c r="H723" t="str">
        <f t="shared" si="58"/>
        <v>25</v>
      </c>
      <c r="I723" t="str">
        <f t="shared" si="59"/>
        <v>252</v>
      </c>
      <c r="J723" t="str">
        <f t="shared" si="60"/>
        <v>25225</v>
      </c>
      <c r="K723" t="str">
        <f t="shared" si="56"/>
        <v/>
      </c>
    </row>
    <row r="724" spans="3:11" x14ac:dyDescent="0.25">
      <c r="C724" t="s">
        <v>1864</v>
      </c>
      <c r="D724" t="s">
        <v>1864</v>
      </c>
      <c r="E724" t="s">
        <v>2585</v>
      </c>
      <c r="F724" t="s">
        <v>564</v>
      </c>
      <c r="G724" t="str">
        <f t="shared" si="57"/>
        <v>C</v>
      </c>
      <c r="H724" t="str">
        <f t="shared" si="58"/>
        <v>25</v>
      </c>
      <c r="I724" t="str">
        <f t="shared" si="59"/>
        <v>252</v>
      </c>
      <c r="J724" t="str">
        <f t="shared" si="60"/>
        <v>25225</v>
      </c>
      <c r="K724" t="str">
        <f t="shared" si="56"/>
        <v>2522500</v>
      </c>
    </row>
    <row r="725" spans="3:11" x14ac:dyDescent="0.25">
      <c r="C725" t="s">
        <v>2586</v>
      </c>
      <c r="D725" t="s">
        <v>1864</v>
      </c>
      <c r="E725" t="s">
        <v>1864</v>
      </c>
      <c r="F725" t="s">
        <v>565</v>
      </c>
      <c r="G725" t="str">
        <f t="shared" si="57"/>
        <v>C</v>
      </c>
      <c r="H725" t="str">
        <f t="shared" si="58"/>
        <v>25</v>
      </c>
      <c r="I725" t="str">
        <f t="shared" si="59"/>
        <v>253</v>
      </c>
      <c r="J725" t="str">
        <f t="shared" si="60"/>
        <v>25225</v>
      </c>
      <c r="K725" t="str">
        <f t="shared" si="56"/>
        <v/>
      </c>
    </row>
    <row r="726" spans="3:11" x14ac:dyDescent="0.25">
      <c r="C726" t="s">
        <v>1864</v>
      </c>
      <c r="D726" t="s">
        <v>2587</v>
      </c>
      <c r="E726" t="s">
        <v>1864</v>
      </c>
      <c r="F726" t="s">
        <v>566</v>
      </c>
      <c r="G726" t="str">
        <f t="shared" si="57"/>
        <v>C</v>
      </c>
      <c r="H726" t="str">
        <f t="shared" si="58"/>
        <v>25</v>
      </c>
      <c r="I726" t="str">
        <f t="shared" si="59"/>
        <v>253</v>
      </c>
      <c r="J726" t="str">
        <f t="shared" si="60"/>
        <v>25314</v>
      </c>
      <c r="K726" t="str">
        <f t="shared" si="56"/>
        <v/>
      </c>
    </row>
    <row r="727" spans="3:11" x14ac:dyDescent="0.25">
      <c r="C727" t="s">
        <v>1864</v>
      </c>
      <c r="D727" t="s">
        <v>1864</v>
      </c>
      <c r="E727" t="s">
        <v>2588</v>
      </c>
      <c r="F727" t="s">
        <v>567</v>
      </c>
      <c r="G727" t="str">
        <f t="shared" si="57"/>
        <v>C</v>
      </c>
      <c r="H727" t="str">
        <f t="shared" si="58"/>
        <v>25</v>
      </c>
      <c r="I727" t="str">
        <f t="shared" si="59"/>
        <v>253</v>
      </c>
      <c r="J727" t="str">
        <f t="shared" si="60"/>
        <v>25314</v>
      </c>
      <c r="K727" t="str">
        <f t="shared" si="56"/>
        <v>2531401</v>
      </c>
    </row>
    <row r="728" spans="3:11" x14ac:dyDescent="0.25">
      <c r="C728" t="s">
        <v>1864</v>
      </c>
      <c r="D728" t="s">
        <v>1864</v>
      </c>
      <c r="E728" t="s">
        <v>2589</v>
      </c>
      <c r="F728" t="s">
        <v>568</v>
      </c>
      <c r="G728" t="str">
        <f t="shared" si="57"/>
        <v>C</v>
      </c>
      <c r="H728" t="str">
        <f t="shared" si="58"/>
        <v>25</v>
      </c>
      <c r="I728" t="str">
        <f t="shared" si="59"/>
        <v>253</v>
      </c>
      <c r="J728" t="str">
        <f t="shared" si="60"/>
        <v>25314</v>
      </c>
      <c r="K728" t="str">
        <f t="shared" si="56"/>
        <v>2531402</v>
      </c>
    </row>
    <row r="729" spans="3:11" x14ac:dyDescent="0.25">
      <c r="C729" t="s">
        <v>1864</v>
      </c>
      <c r="D729" t="s">
        <v>2590</v>
      </c>
      <c r="E729" t="s">
        <v>1864</v>
      </c>
      <c r="F729" t="s">
        <v>569</v>
      </c>
      <c r="G729" t="str">
        <f t="shared" si="57"/>
        <v>C</v>
      </c>
      <c r="H729" t="str">
        <f t="shared" si="58"/>
        <v>25</v>
      </c>
      <c r="I729" t="str">
        <f t="shared" si="59"/>
        <v>253</v>
      </c>
      <c r="J729" t="str">
        <f t="shared" si="60"/>
        <v>25322</v>
      </c>
      <c r="K729" t="str">
        <f t="shared" si="56"/>
        <v/>
      </c>
    </row>
    <row r="730" spans="3:11" x14ac:dyDescent="0.25">
      <c r="C730" t="s">
        <v>1864</v>
      </c>
      <c r="D730" t="s">
        <v>1864</v>
      </c>
      <c r="E730" t="s">
        <v>2591</v>
      </c>
      <c r="F730" t="s">
        <v>570</v>
      </c>
      <c r="G730" t="str">
        <f t="shared" si="57"/>
        <v>C</v>
      </c>
      <c r="H730" t="str">
        <f t="shared" si="58"/>
        <v>25</v>
      </c>
      <c r="I730" t="str">
        <f t="shared" si="59"/>
        <v>253</v>
      </c>
      <c r="J730" t="str">
        <f t="shared" si="60"/>
        <v>25322</v>
      </c>
      <c r="K730" t="str">
        <f t="shared" si="56"/>
        <v>2532201</v>
      </c>
    </row>
    <row r="731" spans="3:11" x14ac:dyDescent="0.25">
      <c r="C731" t="s">
        <v>1864</v>
      </c>
      <c r="D731" t="s">
        <v>1864</v>
      </c>
      <c r="E731" t="s">
        <v>2592</v>
      </c>
      <c r="F731" t="s">
        <v>571</v>
      </c>
      <c r="G731" t="str">
        <f t="shared" si="57"/>
        <v>C</v>
      </c>
      <c r="H731" t="str">
        <f t="shared" si="58"/>
        <v>25</v>
      </c>
      <c r="I731" t="str">
        <f t="shared" si="59"/>
        <v>253</v>
      </c>
      <c r="J731" t="str">
        <f t="shared" si="60"/>
        <v>25322</v>
      </c>
      <c r="K731" t="str">
        <f t="shared" si="56"/>
        <v>2532202</v>
      </c>
    </row>
    <row r="732" spans="3:11" x14ac:dyDescent="0.25">
      <c r="C732" t="s">
        <v>1864</v>
      </c>
      <c r="D732" t="s">
        <v>2593</v>
      </c>
      <c r="E732" t="s">
        <v>1864</v>
      </c>
      <c r="F732" t="s">
        <v>572</v>
      </c>
      <c r="G732" t="str">
        <f t="shared" si="57"/>
        <v>C</v>
      </c>
      <c r="H732" t="str">
        <f t="shared" si="58"/>
        <v>25</v>
      </c>
      <c r="I732" t="str">
        <f t="shared" si="59"/>
        <v>253</v>
      </c>
      <c r="J732" t="str">
        <f t="shared" si="60"/>
        <v>25390</v>
      </c>
      <c r="K732" t="str">
        <f t="shared" si="56"/>
        <v/>
      </c>
    </row>
    <row r="733" spans="3:11" x14ac:dyDescent="0.25">
      <c r="C733" t="s">
        <v>1864</v>
      </c>
      <c r="D733" t="s">
        <v>1864</v>
      </c>
      <c r="E733" t="s">
        <v>2594</v>
      </c>
      <c r="F733" t="s">
        <v>573</v>
      </c>
      <c r="G733" t="str">
        <f t="shared" si="57"/>
        <v>C</v>
      </c>
      <c r="H733" t="str">
        <f t="shared" si="58"/>
        <v>25</v>
      </c>
      <c r="I733" t="str">
        <f t="shared" si="59"/>
        <v>253</v>
      </c>
      <c r="J733" t="str">
        <f t="shared" si="60"/>
        <v>25390</v>
      </c>
      <c r="K733" t="str">
        <f t="shared" si="56"/>
        <v>2539001</v>
      </c>
    </row>
    <row r="734" spans="3:11" x14ac:dyDescent="0.25">
      <c r="C734" t="s">
        <v>1864</v>
      </c>
      <c r="D734" t="s">
        <v>1864</v>
      </c>
      <c r="E734" t="s">
        <v>2595</v>
      </c>
      <c r="F734" t="s">
        <v>574</v>
      </c>
      <c r="G734" t="str">
        <f t="shared" si="57"/>
        <v>C</v>
      </c>
      <c r="H734" t="str">
        <f t="shared" si="58"/>
        <v>25</v>
      </c>
      <c r="I734" t="str">
        <f t="shared" si="59"/>
        <v>253</v>
      </c>
      <c r="J734" t="str">
        <f t="shared" si="60"/>
        <v>25390</v>
      </c>
      <c r="K734" t="str">
        <f t="shared" si="56"/>
        <v>2539002</v>
      </c>
    </row>
    <row r="735" spans="3:11" x14ac:dyDescent="0.25">
      <c r="C735" t="s">
        <v>2596</v>
      </c>
      <c r="D735" t="s">
        <v>1864</v>
      </c>
      <c r="E735" t="s">
        <v>1864</v>
      </c>
      <c r="F735" t="s">
        <v>575</v>
      </c>
      <c r="G735" t="str">
        <f t="shared" si="57"/>
        <v>C</v>
      </c>
      <c r="H735" t="str">
        <f t="shared" si="58"/>
        <v>25</v>
      </c>
      <c r="I735" t="str">
        <f t="shared" si="59"/>
        <v>254</v>
      </c>
      <c r="J735" t="str">
        <f t="shared" si="60"/>
        <v>25390</v>
      </c>
      <c r="K735" t="str">
        <f t="shared" si="56"/>
        <v/>
      </c>
    </row>
    <row r="736" spans="3:11" x14ac:dyDescent="0.25">
      <c r="C736" t="s">
        <v>1864</v>
      </c>
      <c r="D736" t="s">
        <v>2597</v>
      </c>
      <c r="E736" t="s">
        <v>1864</v>
      </c>
      <c r="F736" t="s">
        <v>576</v>
      </c>
      <c r="G736" t="str">
        <f t="shared" si="57"/>
        <v>C</v>
      </c>
      <c r="H736" t="str">
        <f t="shared" si="58"/>
        <v>25</v>
      </c>
      <c r="I736" t="str">
        <f t="shared" si="59"/>
        <v>254</v>
      </c>
      <c r="J736" t="str">
        <f t="shared" si="60"/>
        <v>25411</v>
      </c>
      <c r="K736" t="str">
        <f t="shared" si="56"/>
        <v/>
      </c>
    </row>
    <row r="737" spans="3:11" x14ac:dyDescent="0.25">
      <c r="C737" t="s">
        <v>1864</v>
      </c>
      <c r="D737" t="s">
        <v>1864</v>
      </c>
      <c r="E737" t="s">
        <v>2598</v>
      </c>
      <c r="F737" t="s">
        <v>576</v>
      </c>
      <c r="G737" t="str">
        <f t="shared" si="57"/>
        <v>C</v>
      </c>
      <c r="H737" t="str">
        <f t="shared" si="58"/>
        <v>25</v>
      </c>
      <c r="I737" t="str">
        <f t="shared" si="59"/>
        <v>254</v>
      </c>
      <c r="J737" t="str">
        <f t="shared" si="60"/>
        <v>25411</v>
      </c>
      <c r="K737" t="str">
        <f t="shared" si="56"/>
        <v>2541100</v>
      </c>
    </row>
    <row r="738" spans="3:11" x14ac:dyDescent="0.25">
      <c r="C738" t="s">
        <v>1864</v>
      </c>
      <c r="D738" t="s">
        <v>2599</v>
      </c>
      <c r="E738" t="s">
        <v>1864</v>
      </c>
      <c r="F738" t="s">
        <v>577</v>
      </c>
      <c r="G738" t="str">
        <f t="shared" si="57"/>
        <v>C</v>
      </c>
      <c r="H738" t="str">
        <f t="shared" si="58"/>
        <v>25</v>
      </c>
      <c r="I738" t="str">
        <f t="shared" si="59"/>
        <v>254</v>
      </c>
      <c r="J738" t="str">
        <f t="shared" si="60"/>
        <v>25420</v>
      </c>
      <c r="K738" t="str">
        <f t="shared" si="56"/>
        <v/>
      </c>
    </row>
    <row r="739" spans="3:11" x14ac:dyDescent="0.25">
      <c r="C739" t="s">
        <v>1864</v>
      </c>
      <c r="D739" t="s">
        <v>1864</v>
      </c>
      <c r="E739" t="s">
        <v>2600</v>
      </c>
      <c r="F739" t="s">
        <v>577</v>
      </c>
      <c r="G739" t="str">
        <f t="shared" si="57"/>
        <v>C</v>
      </c>
      <c r="H739" t="str">
        <f t="shared" si="58"/>
        <v>25</v>
      </c>
      <c r="I739" t="str">
        <f t="shared" si="59"/>
        <v>254</v>
      </c>
      <c r="J739" t="str">
        <f t="shared" si="60"/>
        <v>25420</v>
      </c>
      <c r="K739" t="str">
        <f t="shared" si="56"/>
        <v>2542000</v>
      </c>
    </row>
    <row r="740" spans="3:11" x14ac:dyDescent="0.25">
      <c r="C740" t="s">
        <v>1864</v>
      </c>
      <c r="D740" t="s">
        <v>2601</v>
      </c>
      <c r="E740" t="s">
        <v>1864</v>
      </c>
      <c r="F740" t="s">
        <v>578</v>
      </c>
      <c r="G740" t="str">
        <f t="shared" si="57"/>
        <v>C</v>
      </c>
      <c r="H740" t="str">
        <f t="shared" si="58"/>
        <v>25</v>
      </c>
      <c r="I740" t="str">
        <f t="shared" si="59"/>
        <v>254</v>
      </c>
      <c r="J740" t="str">
        <f t="shared" si="60"/>
        <v>25438</v>
      </c>
      <c r="K740" t="str">
        <f t="shared" si="56"/>
        <v/>
      </c>
    </row>
    <row r="741" spans="3:11" x14ac:dyDescent="0.25">
      <c r="C741" t="s">
        <v>1864</v>
      </c>
      <c r="D741" t="s">
        <v>1864</v>
      </c>
      <c r="E741" t="s">
        <v>2602</v>
      </c>
      <c r="F741" t="s">
        <v>578</v>
      </c>
      <c r="G741" t="str">
        <f t="shared" si="57"/>
        <v>C</v>
      </c>
      <c r="H741" t="str">
        <f t="shared" si="58"/>
        <v>25</v>
      </c>
      <c r="I741" t="str">
        <f t="shared" si="59"/>
        <v>254</v>
      </c>
      <c r="J741" t="str">
        <f t="shared" si="60"/>
        <v>25438</v>
      </c>
      <c r="K741" t="str">
        <f t="shared" si="56"/>
        <v>2543800</v>
      </c>
    </row>
    <row r="742" spans="3:11" x14ac:dyDescent="0.25">
      <c r="C742" t="s">
        <v>2603</v>
      </c>
      <c r="D742" t="s">
        <v>1864</v>
      </c>
      <c r="E742" t="s">
        <v>1864</v>
      </c>
      <c r="F742" t="s">
        <v>579</v>
      </c>
      <c r="G742" t="str">
        <f t="shared" si="57"/>
        <v>C</v>
      </c>
      <c r="H742" t="str">
        <f t="shared" si="58"/>
        <v>25</v>
      </c>
      <c r="I742" t="str">
        <f t="shared" si="59"/>
        <v>255</v>
      </c>
      <c r="J742" t="str">
        <f t="shared" si="60"/>
        <v>25438</v>
      </c>
      <c r="K742" t="str">
        <f t="shared" si="56"/>
        <v/>
      </c>
    </row>
    <row r="743" spans="3:11" x14ac:dyDescent="0.25">
      <c r="C743" t="s">
        <v>1864</v>
      </c>
      <c r="D743" t="s">
        <v>2604</v>
      </c>
      <c r="E743" t="s">
        <v>1864</v>
      </c>
      <c r="F743" t="s">
        <v>580</v>
      </c>
      <c r="G743" t="str">
        <f t="shared" si="57"/>
        <v>C</v>
      </c>
      <c r="H743" t="str">
        <f t="shared" si="58"/>
        <v>25</v>
      </c>
      <c r="I743" t="str">
        <f t="shared" si="59"/>
        <v>255</v>
      </c>
      <c r="J743" t="str">
        <f t="shared" si="60"/>
        <v>25501</v>
      </c>
      <c r="K743" t="str">
        <f t="shared" si="56"/>
        <v/>
      </c>
    </row>
    <row r="744" spans="3:11" x14ac:dyDescent="0.25">
      <c r="C744" t="s">
        <v>1864</v>
      </c>
      <c r="D744" t="s">
        <v>1864</v>
      </c>
      <c r="E744" t="s">
        <v>2605</v>
      </c>
      <c r="F744" t="s">
        <v>581</v>
      </c>
      <c r="G744" t="str">
        <f t="shared" si="57"/>
        <v>C</v>
      </c>
      <c r="H744" t="str">
        <f t="shared" si="58"/>
        <v>25</v>
      </c>
      <c r="I744" t="str">
        <f t="shared" si="59"/>
        <v>255</v>
      </c>
      <c r="J744" t="str">
        <f t="shared" si="60"/>
        <v>25501</v>
      </c>
      <c r="K744" t="str">
        <f t="shared" si="56"/>
        <v>2550101</v>
      </c>
    </row>
    <row r="745" spans="3:11" x14ac:dyDescent="0.25">
      <c r="C745" t="s">
        <v>1864</v>
      </c>
      <c r="D745" t="s">
        <v>1864</v>
      </c>
      <c r="E745" t="s">
        <v>2606</v>
      </c>
      <c r="F745" t="s">
        <v>582</v>
      </c>
      <c r="G745" t="str">
        <f t="shared" si="57"/>
        <v>C</v>
      </c>
      <c r="H745" t="str">
        <f t="shared" si="58"/>
        <v>25</v>
      </c>
      <c r="I745" t="str">
        <f t="shared" si="59"/>
        <v>255</v>
      </c>
      <c r="J745" t="str">
        <f t="shared" si="60"/>
        <v>25501</v>
      </c>
      <c r="K745" t="str">
        <f t="shared" si="56"/>
        <v>2550102</v>
      </c>
    </row>
    <row r="746" spans="3:11" x14ac:dyDescent="0.25">
      <c r="C746" t="s">
        <v>2607</v>
      </c>
      <c r="D746" t="s">
        <v>1864</v>
      </c>
      <c r="E746" t="s">
        <v>1864</v>
      </c>
      <c r="F746" t="s">
        <v>583</v>
      </c>
      <c r="G746" t="str">
        <f t="shared" si="57"/>
        <v>C</v>
      </c>
      <c r="H746" t="str">
        <f t="shared" si="58"/>
        <v>25</v>
      </c>
      <c r="I746" t="str">
        <f t="shared" si="59"/>
        <v>259</v>
      </c>
      <c r="J746" t="str">
        <f t="shared" si="60"/>
        <v>25501</v>
      </c>
      <c r="K746" t="str">
        <f t="shared" si="56"/>
        <v/>
      </c>
    </row>
    <row r="747" spans="3:11" x14ac:dyDescent="0.25">
      <c r="C747" t="s">
        <v>1864</v>
      </c>
      <c r="D747" t="s">
        <v>2608</v>
      </c>
      <c r="E747" t="s">
        <v>1864</v>
      </c>
      <c r="F747" t="s">
        <v>584</v>
      </c>
      <c r="G747" t="str">
        <f t="shared" si="57"/>
        <v>C</v>
      </c>
      <c r="H747" t="str">
        <f t="shared" si="58"/>
        <v>25</v>
      </c>
      <c r="I747" t="str">
        <f t="shared" si="59"/>
        <v>259</v>
      </c>
      <c r="J747" t="str">
        <f t="shared" si="60"/>
        <v>25918</v>
      </c>
      <c r="K747" t="str">
        <f t="shared" si="56"/>
        <v/>
      </c>
    </row>
    <row r="748" spans="3:11" x14ac:dyDescent="0.25">
      <c r="C748" t="s">
        <v>1864</v>
      </c>
      <c r="D748" t="s">
        <v>1864</v>
      </c>
      <c r="E748" t="s">
        <v>2609</v>
      </c>
      <c r="F748" t="s">
        <v>584</v>
      </c>
      <c r="G748" t="str">
        <f t="shared" si="57"/>
        <v>C</v>
      </c>
      <c r="H748" t="str">
        <f t="shared" si="58"/>
        <v>25</v>
      </c>
      <c r="I748" t="str">
        <f t="shared" si="59"/>
        <v>259</v>
      </c>
      <c r="J748" t="str">
        <f t="shared" si="60"/>
        <v>25918</v>
      </c>
      <c r="K748" t="str">
        <f t="shared" si="56"/>
        <v>2591800</v>
      </c>
    </row>
    <row r="749" spans="3:11" x14ac:dyDescent="0.25">
      <c r="C749" t="s">
        <v>1864</v>
      </c>
      <c r="D749" t="s">
        <v>2610</v>
      </c>
      <c r="E749" t="s">
        <v>1864</v>
      </c>
      <c r="F749" t="s">
        <v>585</v>
      </c>
      <c r="G749" t="str">
        <f t="shared" si="57"/>
        <v>C</v>
      </c>
      <c r="H749" t="str">
        <f t="shared" si="58"/>
        <v>25</v>
      </c>
      <c r="I749" t="str">
        <f t="shared" si="59"/>
        <v>259</v>
      </c>
      <c r="J749" t="str">
        <f t="shared" si="60"/>
        <v>25926</v>
      </c>
      <c r="K749" t="str">
        <f t="shared" si="56"/>
        <v/>
      </c>
    </row>
    <row r="750" spans="3:11" x14ac:dyDescent="0.25">
      <c r="C750" t="s">
        <v>1864</v>
      </c>
      <c r="D750" t="s">
        <v>1864</v>
      </c>
      <c r="E750" t="s">
        <v>2611</v>
      </c>
      <c r="F750" t="s">
        <v>586</v>
      </c>
      <c r="G750" t="str">
        <f t="shared" si="57"/>
        <v>C</v>
      </c>
      <c r="H750" t="str">
        <f t="shared" si="58"/>
        <v>25</v>
      </c>
      <c r="I750" t="str">
        <f t="shared" si="59"/>
        <v>259</v>
      </c>
      <c r="J750" t="str">
        <f t="shared" si="60"/>
        <v>25926</v>
      </c>
      <c r="K750" t="str">
        <f t="shared" si="56"/>
        <v>2592601</v>
      </c>
    </row>
    <row r="751" spans="3:11" x14ac:dyDescent="0.25">
      <c r="C751" t="s">
        <v>1864</v>
      </c>
      <c r="D751" t="s">
        <v>1864</v>
      </c>
      <c r="E751" t="s">
        <v>2612</v>
      </c>
      <c r="F751" t="s">
        <v>587</v>
      </c>
      <c r="G751" t="str">
        <f t="shared" si="57"/>
        <v>C</v>
      </c>
      <c r="H751" t="str">
        <f t="shared" si="58"/>
        <v>25</v>
      </c>
      <c r="I751" t="str">
        <f t="shared" si="59"/>
        <v>259</v>
      </c>
      <c r="J751" t="str">
        <f t="shared" si="60"/>
        <v>25926</v>
      </c>
      <c r="K751" t="str">
        <f t="shared" si="56"/>
        <v>2592602</v>
      </c>
    </row>
    <row r="752" spans="3:11" x14ac:dyDescent="0.25">
      <c r="C752" t="s">
        <v>1864</v>
      </c>
      <c r="D752" t="s">
        <v>2613</v>
      </c>
      <c r="E752" t="s">
        <v>1864</v>
      </c>
      <c r="F752" t="s">
        <v>588</v>
      </c>
      <c r="G752" t="str">
        <f t="shared" si="57"/>
        <v>C</v>
      </c>
      <c r="H752" t="str">
        <f t="shared" si="58"/>
        <v>25</v>
      </c>
      <c r="I752" t="str">
        <f t="shared" si="59"/>
        <v>259</v>
      </c>
      <c r="J752" t="str">
        <f t="shared" si="60"/>
        <v>25934</v>
      </c>
      <c r="K752" t="str">
        <f t="shared" si="56"/>
        <v/>
      </c>
    </row>
    <row r="753" spans="2:11" x14ac:dyDescent="0.25">
      <c r="C753" t="s">
        <v>1864</v>
      </c>
      <c r="D753" t="s">
        <v>1864</v>
      </c>
      <c r="E753" t="s">
        <v>2614</v>
      </c>
      <c r="F753" t="s">
        <v>588</v>
      </c>
      <c r="G753" t="str">
        <f t="shared" si="57"/>
        <v>C</v>
      </c>
      <c r="H753" t="str">
        <f t="shared" si="58"/>
        <v>25</v>
      </c>
      <c r="I753" t="str">
        <f t="shared" si="59"/>
        <v>259</v>
      </c>
      <c r="J753" t="str">
        <f t="shared" si="60"/>
        <v>25934</v>
      </c>
      <c r="K753" t="str">
        <f t="shared" si="56"/>
        <v>2593400</v>
      </c>
    </row>
    <row r="754" spans="2:11" x14ac:dyDescent="0.25">
      <c r="C754" t="s">
        <v>1864</v>
      </c>
      <c r="D754" t="s">
        <v>2615</v>
      </c>
      <c r="E754" t="s">
        <v>1864</v>
      </c>
      <c r="F754" t="s">
        <v>583</v>
      </c>
      <c r="G754" t="str">
        <f t="shared" si="57"/>
        <v>C</v>
      </c>
      <c r="H754" t="str">
        <f t="shared" si="58"/>
        <v>25</v>
      </c>
      <c r="I754" t="str">
        <f t="shared" si="59"/>
        <v>259</v>
      </c>
      <c r="J754" t="str">
        <f t="shared" si="60"/>
        <v>25993</v>
      </c>
      <c r="K754" t="str">
        <f t="shared" si="56"/>
        <v/>
      </c>
    </row>
    <row r="755" spans="2:11" x14ac:dyDescent="0.25">
      <c r="C755" t="s">
        <v>1864</v>
      </c>
      <c r="D755" t="s">
        <v>1864</v>
      </c>
      <c r="E755" t="s">
        <v>2616</v>
      </c>
      <c r="F755" t="s">
        <v>589</v>
      </c>
      <c r="G755" t="str">
        <f t="shared" si="57"/>
        <v>C</v>
      </c>
      <c r="H755" t="str">
        <f t="shared" si="58"/>
        <v>25</v>
      </c>
      <c r="I755" t="str">
        <f t="shared" si="59"/>
        <v>259</v>
      </c>
      <c r="J755" t="str">
        <f t="shared" si="60"/>
        <v>25993</v>
      </c>
      <c r="K755" t="str">
        <f t="shared" si="56"/>
        <v>2599301</v>
      </c>
    </row>
    <row r="756" spans="2:11" x14ac:dyDescent="0.25">
      <c r="C756" t="s">
        <v>1864</v>
      </c>
      <c r="D756" t="s">
        <v>1864</v>
      </c>
      <c r="E756" t="s">
        <v>2617</v>
      </c>
      <c r="F756" t="s">
        <v>590</v>
      </c>
      <c r="G756" t="str">
        <f t="shared" si="57"/>
        <v>C</v>
      </c>
      <c r="H756" t="str">
        <f t="shared" si="58"/>
        <v>25</v>
      </c>
      <c r="I756" t="str">
        <f t="shared" si="59"/>
        <v>259</v>
      </c>
      <c r="J756" t="str">
        <f t="shared" si="60"/>
        <v>25993</v>
      </c>
      <c r="K756" t="str">
        <f t="shared" si="56"/>
        <v>2599302</v>
      </c>
    </row>
    <row r="757" spans="2:11" x14ac:dyDescent="0.25">
      <c r="C757" t="s">
        <v>1864</v>
      </c>
      <c r="D757" t="s">
        <v>1864</v>
      </c>
      <c r="E757" t="s">
        <v>2618</v>
      </c>
      <c r="F757" t="s">
        <v>591</v>
      </c>
      <c r="G757" t="str">
        <f t="shared" si="57"/>
        <v>C</v>
      </c>
      <c r="H757" t="str">
        <f t="shared" si="58"/>
        <v>25</v>
      </c>
      <c r="I757" t="str">
        <f t="shared" si="59"/>
        <v>259</v>
      </c>
      <c r="J757" t="str">
        <f t="shared" si="60"/>
        <v>25993</v>
      </c>
      <c r="K757" t="str">
        <f t="shared" si="56"/>
        <v>2599399</v>
      </c>
    </row>
    <row r="758" spans="2:11" x14ac:dyDescent="0.25">
      <c r="B758" t="s">
        <v>2619</v>
      </c>
      <c r="C758" t="s">
        <v>1864</v>
      </c>
      <c r="D758" t="s">
        <v>1864</v>
      </c>
      <c r="E758" t="s">
        <v>1864</v>
      </c>
      <c r="F758" t="s">
        <v>592</v>
      </c>
      <c r="G758" t="str">
        <f t="shared" si="57"/>
        <v>C</v>
      </c>
      <c r="H758" t="str">
        <f t="shared" si="58"/>
        <v>26</v>
      </c>
      <c r="I758" t="str">
        <f t="shared" si="59"/>
        <v>259</v>
      </c>
      <c r="J758" t="str">
        <f t="shared" si="60"/>
        <v>25993</v>
      </c>
      <c r="K758" t="str">
        <f t="shared" si="56"/>
        <v/>
      </c>
    </row>
    <row r="759" spans="2:11" x14ac:dyDescent="0.25">
      <c r="C759" t="s">
        <v>2620</v>
      </c>
      <c r="D759" t="s">
        <v>1864</v>
      </c>
      <c r="E759" t="s">
        <v>1864</v>
      </c>
      <c r="F759" t="s">
        <v>593</v>
      </c>
      <c r="G759" t="str">
        <f t="shared" si="57"/>
        <v>C</v>
      </c>
      <c r="H759" t="str">
        <f t="shared" si="58"/>
        <v>26</v>
      </c>
      <c r="I759" t="str">
        <f t="shared" si="59"/>
        <v>261</v>
      </c>
      <c r="J759" t="str">
        <f t="shared" si="60"/>
        <v>25993</v>
      </c>
      <c r="K759" t="str">
        <f t="shared" si="56"/>
        <v/>
      </c>
    </row>
    <row r="760" spans="2:11" x14ac:dyDescent="0.25">
      <c r="C760" t="s">
        <v>1864</v>
      </c>
      <c r="D760" t="s">
        <v>2621</v>
      </c>
      <c r="E760" t="s">
        <v>1864</v>
      </c>
      <c r="F760" t="s">
        <v>593</v>
      </c>
      <c r="G760" t="str">
        <f t="shared" si="57"/>
        <v>C</v>
      </c>
      <c r="H760" t="str">
        <f t="shared" si="58"/>
        <v>26</v>
      </c>
      <c r="I760" t="str">
        <f t="shared" si="59"/>
        <v>261</v>
      </c>
      <c r="J760" t="str">
        <f t="shared" si="60"/>
        <v>26108</v>
      </c>
      <c r="K760" t="str">
        <f t="shared" si="56"/>
        <v/>
      </c>
    </row>
    <row r="761" spans="2:11" x14ac:dyDescent="0.25">
      <c r="C761" t="s">
        <v>1864</v>
      </c>
      <c r="D761" t="s">
        <v>1864</v>
      </c>
      <c r="E761" t="s">
        <v>2622</v>
      </c>
      <c r="F761" t="s">
        <v>593</v>
      </c>
      <c r="G761" t="str">
        <f t="shared" si="57"/>
        <v>C</v>
      </c>
      <c r="H761" t="str">
        <f t="shared" si="58"/>
        <v>26</v>
      </c>
      <c r="I761" t="str">
        <f t="shared" si="59"/>
        <v>261</v>
      </c>
      <c r="J761" t="str">
        <f t="shared" si="60"/>
        <v>26108</v>
      </c>
      <c r="K761" t="str">
        <f t="shared" si="56"/>
        <v>2610800</v>
      </c>
    </row>
    <row r="762" spans="2:11" x14ac:dyDescent="0.25">
      <c r="C762" t="s">
        <v>2623</v>
      </c>
      <c r="D762" t="s">
        <v>1864</v>
      </c>
      <c r="E762" t="s">
        <v>1864</v>
      </c>
      <c r="F762" t="s">
        <v>594</v>
      </c>
      <c r="G762" t="str">
        <f t="shared" si="57"/>
        <v>C</v>
      </c>
      <c r="H762" t="str">
        <f t="shared" si="58"/>
        <v>26</v>
      </c>
      <c r="I762" t="str">
        <f t="shared" si="59"/>
        <v>262</v>
      </c>
      <c r="J762" t="str">
        <f t="shared" si="60"/>
        <v>26108</v>
      </c>
      <c r="K762" t="str">
        <f t="shared" si="56"/>
        <v/>
      </c>
    </row>
    <row r="763" spans="2:11" x14ac:dyDescent="0.25">
      <c r="C763" t="s">
        <v>1864</v>
      </c>
      <c r="D763" t="s">
        <v>2624</v>
      </c>
      <c r="E763" t="s">
        <v>1864</v>
      </c>
      <c r="F763" t="s">
        <v>595</v>
      </c>
      <c r="G763" t="str">
        <f t="shared" si="57"/>
        <v>C</v>
      </c>
      <c r="H763" t="str">
        <f t="shared" si="58"/>
        <v>26</v>
      </c>
      <c r="I763" t="str">
        <f t="shared" si="59"/>
        <v>262</v>
      </c>
      <c r="J763" t="str">
        <f t="shared" si="60"/>
        <v>26213</v>
      </c>
      <c r="K763" t="str">
        <f t="shared" si="56"/>
        <v/>
      </c>
    </row>
    <row r="764" spans="2:11" x14ac:dyDescent="0.25">
      <c r="C764" t="s">
        <v>1864</v>
      </c>
      <c r="D764" t="s">
        <v>1864</v>
      </c>
      <c r="E764" t="s">
        <v>2625</v>
      </c>
      <c r="F764" t="s">
        <v>595</v>
      </c>
      <c r="G764" t="str">
        <f t="shared" si="57"/>
        <v>C</v>
      </c>
      <c r="H764" t="str">
        <f t="shared" si="58"/>
        <v>26</v>
      </c>
      <c r="I764" t="str">
        <f t="shared" si="59"/>
        <v>262</v>
      </c>
      <c r="J764" t="str">
        <f t="shared" si="60"/>
        <v>26213</v>
      </c>
      <c r="K764" t="str">
        <f t="shared" si="56"/>
        <v>2621300</v>
      </c>
    </row>
    <row r="765" spans="2:11" x14ac:dyDescent="0.25">
      <c r="C765" t="s">
        <v>1864</v>
      </c>
      <c r="D765" t="s">
        <v>2626</v>
      </c>
      <c r="E765" t="s">
        <v>1864</v>
      </c>
      <c r="F765" t="s">
        <v>596</v>
      </c>
      <c r="G765" t="str">
        <f t="shared" si="57"/>
        <v>C</v>
      </c>
      <c r="H765" t="str">
        <f t="shared" si="58"/>
        <v>26</v>
      </c>
      <c r="I765" t="str">
        <f t="shared" si="59"/>
        <v>262</v>
      </c>
      <c r="J765" t="str">
        <f t="shared" si="60"/>
        <v>26221</v>
      </c>
      <c r="K765" t="str">
        <f t="shared" si="56"/>
        <v/>
      </c>
    </row>
    <row r="766" spans="2:11" x14ac:dyDescent="0.25">
      <c r="C766" t="s">
        <v>1864</v>
      </c>
      <c r="D766" t="s">
        <v>1864</v>
      </c>
      <c r="E766" t="s">
        <v>2627</v>
      </c>
      <c r="F766" t="s">
        <v>596</v>
      </c>
      <c r="G766" t="str">
        <f t="shared" si="57"/>
        <v>C</v>
      </c>
      <c r="H766" t="str">
        <f t="shared" si="58"/>
        <v>26</v>
      </c>
      <c r="I766" t="str">
        <f t="shared" si="59"/>
        <v>262</v>
      </c>
      <c r="J766" t="str">
        <f t="shared" si="60"/>
        <v>26221</v>
      </c>
      <c r="K766" t="str">
        <f t="shared" si="56"/>
        <v>2622100</v>
      </c>
    </row>
    <row r="767" spans="2:11" x14ac:dyDescent="0.25">
      <c r="C767" t="s">
        <v>2628</v>
      </c>
      <c r="D767" t="s">
        <v>1864</v>
      </c>
      <c r="E767" t="s">
        <v>1864</v>
      </c>
      <c r="F767" t="s">
        <v>597</v>
      </c>
      <c r="G767" t="str">
        <f t="shared" si="57"/>
        <v>C</v>
      </c>
      <c r="H767" t="str">
        <f t="shared" si="58"/>
        <v>26</v>
      </c>
      <c r="I767" t="str">
        <f t="shared" si="59"/>
        <v>263</v>
      </c>
      <c r="J767" t="str">
        <f t="shared" si="60"/>
        <v>26221</v>
      </c>
      <c r="K767" t="str">
        <f t="shared" si="56"/>
        <v/>
      </c>
    </row>
    <row r="768" spans="2:11" x14ac:dyDescent="0.25">
      <c r="C768" t="s">
        <v>1864</v>
      </c>
      <c r="D768" t="s">
        <v>2629</v>
      </c>
      <c r="E768" t="s">
        <v>1864</v>
      </c>
      <c r="F768" t="s">
        <v>598</v>
      </c>
      <c r="G768" t="str">
        <f t="shared" si="57"/>
        <v>C</v>
      </c>
      <c r="H768" t="str">
        <f t="shared" si="58"/>
        <v>26</v>
      </c>
      <c r="I768" t="str">
        <f t="shared" si="59"/>
        <v>263</v>
      </c>
      <c r="J768" t="str">
        <f t="shared" si="60"/>
        <v>26311</v>
      </c>
      <c r="K768" t="str">
        <f t="shared" si="56"/>
        <v/>
      </c>
    </row>
    <row r="769" spans="3:11" x14ac:dyDescent="0.25">
      <c r="C769" t="s">
        <v>1864</v>
      </c>
      <c r="D769" t="s">
        <v>1864</v>
      </c>
      <c r="E769" t="s">
        <v>2630</v>
      </c>
      <c r="F769" t="s">
        <v>599</v>
      </c>
      <c r="G769" t="str">
        <f t="shared" si="57"/>
        <v>C</v>
      </c>
      <c r="H769" t="str">
        <f t="shared" si="58"/>
        <v>26</v>
      </c>
      <c r="I769" t="str">
        <f t="shared" si="59"/>
        <v>263</v>
      </c>
      <c r="J769" t="str">
        <f t="shared" si="60"/>
        <v>26311</v>
      </c>
      <c r="K769" t="str">
        <f t="shared" si="56"/>
        <v>2631100</v>
      </c>
    </row>
    <row r="770" spans="3:11" x14ac:dyDescent="0.25">
      <c r="C770" t="s">
        <v>1864</v>
      </c>
      <c r="D770" t="s">
        <v>2631</v>
      </c>
      <c r="E770" t="s">
        <v>1864</v>
      </c>
      <c r="F770" t="s">
        <v>600</v>
      </c>
      <c r="G770" t="str">
        <f t="shared" si="57"/>
        <v>C</v>
      </c>
      <c r="H770" t="str">
        <f t="shared" si="58"/>
        <v>26</v>
      </c>
      <c r="I770" t="str">
        <f t="shared" si="59"/>
        <v>263</v>
      </c>
      <c r="J770" t="str">
        <f t="shared" si="60"/>
        <v>26329</v>
      </c>
      <c r="K770" t="str">
        <f t="shared" si="56"/>
        <v/>
      </c>
    </row>
    <row r="771" spans="3:11" x14ac:dyDescent="0.25">
      <c r="C771" t="s">
        <v>1864</v>
      </c>
      <c r="D771" t="s">
        <v>1864</v>
      </c>
      <c r="E771" t="s">
        <v>2632</v>
      </c>
      <c r="F771" t="s">
        <v>601</v>
      </c>
      <c r="G771" t="str">
        <f t="shared" si="57"/>
        <v>C</v>
      </c>
      <c r="H771" t="str">
        <f t="shared" si="58"/>
        <v>26</v>
      </c>
      <c r="I771" t="str">
        <f t="shared" si="59"/>
        <v>263</v>
      </c>
      <c r="J771" t="str">
        <f t="shared" si="60"/>
        <v>26329</v>
      </c>
      <c r="K771" t="str">
        <f t="shared" si="56"/>
        <v>2632900</v>
      </c>
    </row>
    <row r="772" spans="3:11" x14ac:dyDescent="0.25">
      <c r="C772" t="s">
        <v>2633</v>
      </c>
      <c r="D772" t="s">
        <v>1864</v>
      </c>
      <c r="E772" t="s">
        <v>1864</v>
      </c>
      <c r="F772" t="s">
        <v>602</v>
      </c>
      <c r="G772" t="str">
        <f t="shared" si="57"/>
        <v>C</v>
      </c>
      <c r="H772" t="str">
        <f t="shared" si="58"/>
        <v>26</v>
      </c>
      <c r="I772" t="str">
        <f t="shared" si="59"/>
        <v>264</v>
      </c>
      <c r="J772" t="str">
        <f t="shared" si="60"/>
        <v>26329</v>
      </c>
      <c r="K772" t="str">
        <f t="shared" si="56"/>
        <v/>
      </c>
    </row>
    <row r="773" spans="3:11" x14ac:dyDescent="0.25">
      <c r="C773" t="s">
        <v>1864</v>
      </c>
      <c r="D773" t="s">
        <v>2634</v>
      </c>
      <c r="E773" t="s">
        <v>1864</v>
      </c>
      <c r="F773" t="s">
        <v>602</v>
      </c>
      <c r="G773" t="str">
        <f t="shared" si="57"/>
        <v>C</v>
      </c>
      <c r="H773" t="str">
        <f t="shared" si="58"/>
        <v>26</v>
      </c>
      <c r="I773" t="str">
        <f t="shared" si="59"/>
        <v>264</v>
      </c>
      <c r="J773" t="str">
        <f t="shared" si="60"/>
        <v>26400</v>
      </c>
      <c r="K773" t="str">
        <f t="shared" si="56"/>
        <v/>
      </c>
    </row>
    <row r="774" spans="3:11" x14ac:dyDescent="0.25">
      <c r="C774" t="s">
        <v>1864</v>
      </c>
      <c r="D774" t="s">
        <v>1864</v>
      </c>
      <c r="E774" t="s">
        <v>2635</v>
      </c>
      <c r="F774" t="s">
        <v>602</v>
      </c>
      <c r="G774" t="str">
        <f t="shared" si="57"/>
        <v>C</v>
      </c>
      <c r="H774" t="str">
        <f t="shared" si="58"/>
        <v>26</v>
      </c>
      <c r="I774" t="str">
        <f t="shared" si="59"/>
        <v>264</v>
      </c>
      <c r="J774" t="str">
        <f t="shared" si="60"/>
        <v>26400</v>
      </c>
      <c r="K774" t="str">
        <f t="shared" si="56"/>
        <v>2640000</v>
      </c>
    </row>
    <row r="775" spans="3:11" x14ac:dyDescent="0.25">
      <c r="C775" t="s">
        <v>2636</v>
      </c>
      <c r="D775" t="s">
        <v>1864</v>
      </c>
      <c r="E775" t="s">
        <v>1864</v>
      </c>
      <c r="F775" t="s">
        <v>603</v>
      </c>
      <c r="G775" t="str">
        <f t="shared" si="57"/>
        <v>C</v>
      </c>
      <c r="H775" t="str">
        <f t="shared" si="58"/>
        <v>26</v>
      </c>
      <c r="I775" t="str">
        <f t="shared" si="59"/>
        <v>265</v>
      </c>
      <c r="J775" t="str">
        <f t="shared" si="60"/>
        <v>26400</v>
      </c>
      <c r="K775" t="str">
        <f t="shared" si="56"/>
        <v/>
      </c>
    </row>
    <row r="776" spans="3:11" x14ac:dyDescent="0.25">
      <c r="C776" t="s">
        <v>1864</v>
      </c>
      <c r="D776" t="s">
        <v>2637</v>
      </c>
      <c r="E776" t="s">
        <v>1864</v>
      </c>
      <c r="F776" t="s">
        <v>604</v>
      </c>
      <c r="G776" t="str">
        <f t="shared" si="57"/>
        <v>C</v>
      </c>
      <c r="H776" t="str">
        <f t="shared" si="58"/>
        <v>26</v>
      </c>
      <c r="I776" t="str">
        <f t="shared" si="59"/>
        <v>265</v>
      </c>
      <c r="J776" t="str">
        <f t="shared" si="60"/>
        <v>26515</v>
      </c>
      <c r="K776" t="str">
        <f t="shared" ref="K776:K839" si="61">E776</f>
        <v/>
      </c>
    </row>
    <row r="777" spans="3:11" x14ac:dyDescent="0.25">
      <c r="C777" t="s">
        <v>1864</v>
      </c>
      <c r="D777" t="s">
        <v>1864</v>
      </c>
      <c r="E777" t="s">
        <v>2638</v>
      </c>
      <c r="F777" t="s">
        <v>605</v>
      </c>
      <c r="G777" t="str">
        <f t="shared" ref="G777:G840" si="62">IF(A777="",G776,A777)</f>
        <v>C</v>
      </c>
      <c r="H777" t="str">
        <f t="shared" ref="H777:H840" si="63">IF(B777="",H776,B777)</f>
        <v>26</v>
      </c>
      <c r="I777" t="str">
        <f t="shared" ref="I777:I840" si="64">IF(C777="",I776,C777)</f>
        <v>265</v>
      </c>
      <c r="J777" t="str">
        <f t="shared" ref="J777:J840" si="65">IF(D777="",J776,D777)</f>
        <v>26515</v>
      </c>
      <c r="K777" t="str">
        <f t="shared" si="61"/>
        <v>2651500</v>
      </c>
    </row>
    <row r="778" spans="3:11" x14ac:dyDescent="0.25">
      <c r="C778" t="s">
        <v>1864</v>
      </c>
      <c r="D778" t="s">
        <v>2639</v>
      </c>
      <c r="E778" t="s">
        <v>1864</v>
      </c>
      <c r="F778" t="s">
        <v>606</v>
      </c>
      <c r="G778" t="str">
        <f t="shared" si="62"/>
        <v>C</v>
      </c>
      <c r="H778" t="str">
        <f t="shared" si="63"/>
        <v>26</v>
      </c>
      <c r="I778" t="str">
        <f t="shared" si="64"/>
        <v>265</v>
      </c>
      <c r="J778" t="str">
        <f t="shared" si="65"/>
        <v>26523</v>
      </c>
      <c r="K778" t="str">
        <f t="shared" si="61"/>
        <v/>
      </c>
    </row>
    <row r="779" spans="3:11" x14ac:dyDescent="0.25">
      <c r="C779" t="s">
        <v>1864</v>
      </c>
      <c r="D779" t="s">
        <v>1864</v>
      </c>
      <c r="E779" t="s">
        <v>2640</v>
      </c>
      <c r="F779" t="s">
        <v>606</v>
      </c>
      <c r="G779" t="str">
        <f t="shared" si="62"/>
        <v>C</v>
      </c>
      <c r="H779" t="str">
        <f t="shared" si="63"/>
        <v>26</v>
      </c>
      <c r="I779" t="str">
        <f t="shared" si="64"/>
        <v>265</v>
      </c>
      <c r="J779" t="str">
        <f t="shared" si="65"/>
        <v>26523</v>
      </c>
      <c r="K779" t="str">
        <f t="shared" si="61"/>
        <v>2652300</v>
      </c>
    </row>
    <row r="780" spans="3:11" x14ac:dyDescent="0.25">
      <c r="C780" t="s">
        <v>2641</v>
      </c>
      <c r="D780" t="s">
        <v>1864</v>
      </c>
      <c r="E780" t="s">
        <v>1864</v>
      </c>
      <c r="F780" t="s">
        <v>607</v>
      </c>
      <c r="G780" t="str">
        <f t="shared" si="62"/>
        <v>C</v>
      </c>
      <c r="H780" t="str">
        <f t="shared" si="63"/>
        <v>26</v>
      </c>
      <c r="I780" t="str">
        <f t="shared" si="64"/>
        <v>266</v>
      </c>
      <c r="J780" t="str">
        <f t="shared" si="65"/>
        <v>26523</v>
      </c>
      <c r="K780" t="str">
        <f t="shared" si="61"/>
        <v/>
      </c>
    </row>
    <row r="781" spans="3:11" x14ac:dyDescent="0.25">
      <c r="C781" t="s">
        <v>1864</v>
      </c>
      <c r="D781" t="s">
        <v>2642</v>
      </c>
      <c r="E781" t="s">
        <v>1864</v>
      </c>
      <c r="F781" t="s">
        <v>607</v>
      </c>
      <c r="G781" t="str">
        <f t="shared" si="62"/>
        <v>C</v>
      </c>
      <c r="H781" t="str">
        <f t="shared" si="63"/>
        <v>26</v>
      </c>
      <c r="I781" t="str">
        <f t="shared" si="64"/>
        <v>266</v>
      </c>
      <c r="J781" t="str">
        <f t="shared" si="65"/>
        <v>26604</v>
      </c>
      <c r="K781" t="str">
        <f t="shared" si="61"/>
        <v/>
      </c>
    </row>
    <row r="782" spans="3:11" x14ac:dyDescent="0.25">
      <c r="C782" t="s">
        <v>1864</v>
      </c>
      <c r="D782" t="s">
        <v>1864</v>
      </c>
      <c r="E782" t="s">
        <v>2643</v>
      </c>
      <c r="F782" t="s">
        <v>607</v>
      </c>
      <c r="G782" t="str">
        <f t="shared" si="62"/>
        <v>C</v>
      </c>
      <c r="H782" t="str">
        <f t="shared" si="63"/>
        <v>26</v>
      </c>
      <c r="I782" t="str">
        <f t="shared" si="64"/>
        <v>266</v>
      </c>
      <c r="J782" t="str">
        <f t="shared" si="65"/>
        <v>26604</v>
      </c>
      <c r="K782" t="str">
        <f t="shared" si="61"/>
        <v>2660400</v>
      </c>
    </row>
    <row r="783" spans="3:11" x14ac:dyDescent="0.25">
      <c r="C783" t="s">
        <v>2644</v>
      </c>
      <c r="D783" t="s">
        <v>1864</v>
      </c>
      <c r="E783" t="s">
        <v>1864</v>
      </c>
      <c r="F783" t="s">
        <v>608</v>
      </c>
      <c r="G783" t="str">
        <f t="shared" si="62"/>
        <v>C</v>
      </c>
      <c r="H783" t="str">
        <f t="shared" si="63"/>
        <v>26</v>
      </c>
      <c r="I783" t="str">
        <f t="shared" si="64"/>
        <v>267</v>
      </c>
      <c r="J783" t="str">
        <f t="shared" si="65"/>
        <v>26604</v>
      </c>
      <c r="K783" t="str">
        <f t="shared" si="61"/>
        <v/>
      </c>
    </row>
    <row r="784" spans="3:11" x14ac:dyDescent="0.25">
      <c r="C784" t="s">
        <v>1864</v>
      </c>
      <c r="D784" t="s">
        <v>2645</v>
      </c>
      <c r="E784" t="s">
        <v>1864</v>
      </c>
      <c r="F784" t="s">
        <v>608</v>
      </c>
      <c r="G784" t="str">
        <f t="shared" si="62"/>
        <v>C</v>
      </c>
      <c r="H784" t="str">
        <f t="shared" si="63"/>
        <v>26</v>
      </c>
      <c r="I784" t="str">
        <f t="shared" si="64"/>
        <v>267</v>
      </c>
      <c r="J784" t="str">
        <f t="shared" si="65"/>
        <v>26701</v>
      </c>
      <c r="K784" t="str">
        <f t="shared" si="61"/>
        <v/>
      </c>
    </row>
    <row r="785" spans="2:11" x14ac:dyDescent="0.25">
      <c r="C785" t="s">
        <v>1864</v>
      </c>
      <c r="D785" t="s">
        <v>1864</v>
      </c>
      <c r="E785" t="s">
        <v>2646</v>
      </c>
      <c r="F785" t="s">
        <v>609</v>
      </c>
      <c r="G785" t="str">
        <f t="shared" si="62"/>
        <v>C</v>
      </c>
      <c r="H785" t="str">
        <f t="shared" si="63"/>
        <v>26</v>
      </c>
      <c r="I785" t="str">
        <f t="shared" si="64"/>
        <v>267</v>
      </c>
      <c r="J785" t="str">
        <f t="shared" si="65"/>
        <v>26701</v>
      </c>
      <c r="K785" t="str">
        <f t="shared" si="61"/>
        <v>2670101</v>
      </c>
    </row>
    <row r="786" spans="2:11" x14ac:dyDescent="0.25">
      <c r="C786" t="s">
        <v>1864</v>
      </c>
      <c r="D786" t="s">
        <v>1864</v>
      </c>
      <c r="E786" t="s">
        <v>2647</v>
      </c>
      <c r="F786" t="s">
        <v>610</v>
      </c>
      <c r="G786" t="str">
        <f t="shared" si="62"/>
        <v>C</v>
      </c>
      <c r="H786" t="str">
        <f t="shared" si="63"/>
        <v>26</v>
      </c>
      <c r="I786" t="str">
        <f t="shared" si="64"/>
        <v>267</v>
      </c>
      <c r="J786" t="str">
        <f t="shared" si="65"/>
        <v>26701</v>
      </c>
      <c r="K786" t="str">
        <f t="shared" si="61"/>
        <v>2670102</v>
      </c>
    </row>
    <row r="787" spans="2:11" x14ac:dyDescent="0.25">
      <c r="C787" t="s">
        <v>2648</v>
      </c>
      <c r="D787" t="s">
        <v>1864</v>
      </c>
      <c r="E787" t="s">
        <v>1864</v>
      </c>
      <c r="F787" t="s">
        <v>611</v>
      </c>
      <c r="G787" t="str">
        <f t="shared" si="62"/>
        <v>C</v>
      </c>
      <c r="H787" t="str">
        <f t="shared" si="63"/>
        <v>26</v>
      </c>
      <c r="I787" t="str">
        <f t="shared" si="64"/>
        <v>268</v>
      </c>
      <c r="J787" t="str">
        <f t="shared" si="65"/>
        <v>26701</v>
      </c>
      <c r="K787" t="str">
        <f t="shared" si="61"/>
        <v/>
      </c>
    </row>
    <row r="788" spans="2:11" x14ac:dyDescent="0.25">
      <c r="C788" t="s">
        <v>1864</v>
      </c>
      <c r="D788" t="s">
        <v>2649</v>
      </c>
      <c r="E788" t="s">
        <v>1864</v>
      </c>
      <c r="F788" t="s">
        <v>611</v>
      </c>
      <c r="G788" t="str">
        <f t="shared" si="62"/>
        <v>C</v>
      </c>
      <c r="H788" t="str">
        <f t="shared" si="63"/>
        <v>26</v>
      </c>
      <c r="I788" t="str">
        <f t="shared" si="64"/>
        <v>268</v>
      </c>
      <c r="J788" t="str">
        <f t="shared" si="65"/>
        <v>26809</v>
      </c>
      <c r="K788" t="str">
        <f t="shared" si="61"/>
        <v/>
      </c>
    </row>
    <row r="789" spans="2:11" x14ac:dyDescent="0.25">
      <c r="C789" t="s">
        <v>1864</v>
      </c>
      <c r="D789" t="s">
        <v>1864</v>
      </c>
      <c r="E789" t="s">
        <v>2650</v>
      </c>
      <c r="F789" t="s">
        <v>611</v>
      </c>
      <c r="G789" t="str">
        <f t="shared" si="62"/>
        <v>C</v>
      </c>
      <c r="H789" t="str">
        <f t="shared" si="63"/>
        <v>26</v>
      </c>
      <c r="I789" t="str">
        <f t="shared" si="64"/>
        <v>268</v>
      </c>
      <c r="J789" t="str">
        <f t="shared" si="65"/>
        <v>26809</v>
      </c>
      <c r="K789" t="str">
        <f t="shared" si="61"/>
        <v>2680900</v>
      </c>
    </row>
    <row r="790" spans="2:11" x14ac:dyDescent="0.25">
      <c r="B790" t="s">
        <v>2651</v>
      </c>
      <c r="C790" t="s">
        <v>1864</v>
      </c>
      <c r="D790" t="s">
        <v>1864</v>
      </c>
      <c r="E790" t="s">
        <v>1864</v>
      </c>
      <c r="F790" t="s">
        <v>612</v>
      </c>
      <c r="G790" t="str">
        <f t="shared" si="62"/>
        <v>C</v>
      </c>
      <c r="H790" t="str">
        <f t="shared" si="63"/>
        <v>27</v>
      </c>
      <c r="I790" t="str">
        <f t="shared" si="64"/>
        <v>268</v>
      </c>
      <c r="J790" t="str">
        <f t="shared" si="65"/>
        <v>26809</v>
      </c>
      <c r="K790" t="str">
        <f t="shared" si="61"/>
        <v/>
      </c>
    </row>
    <row r="791" spans="2:11" x14ac:dyDescent="0.25">
      <c r="C791" t="s">
        <v>2652</v>
      </c>
      <c r="D791" t="s">
        <v>1864</v>
      </c>
      <c r="E791" t="s">
        <v>1864</v>
      </c>
      <c r="F791" t="s">
        <v>613</v>
      </c>
      <c r="G791" t="str">
        <f t="shared" si="62"/>
        <v>C</v>
      </c>
      <c r="H791" t="str">
        <f t="shared" si="63"/>
        <v>27</v>
      </c>
      <c r="I791" t="str">
        <f t="shared" si="64"/>
        <v>271</v>
      </c>
      <c r="J791" t="str">
        <f t="shared" si="65"/>
        <v>26809</v>
      </c>
      <c r="K791" t="str">
        <f t="shared" si="61"/>
        <v/>
      </c>
    </row>
    <row r="792" spans="2:11" x14ac:dyDescent="0.25">
      <c r="C792" t="s">
        <v>1864</v>
      </c>
      <c r="D792" t="s">
        <v>2653</v>
      </c>
      <c r="E792" t="s">
        <v>1864</v>
      </c>
      <c r="F792" t="s">
        <v>613</v>
      </c>
      <c r="G792" t="str">
        <f t="shared" si="62"/>
        <v>C</v>
      </c>
      <c r="H792" t="str">
        <f t="shared" si="63"/>
        <v>27</v>
      </c>
      <c r="I792" t="str">
        <f t="shared" si="64"/>
        <v>271</v>
      </c>
      <c r="J792" t="str">
        <f t="shared" si="65"/>
        <v>27104</v>
      </c>
      <c r="K792" t="str">
        <f t="shared" si="61"/>
        <v/>
      </c>
    </row>
    <row r="793" spans="2:11" x14ac:dyDescent="0.25">
      <c r="C793" t="s">
        <v>1864</v>
      </c>
      <c r="D793" t="s">
        <v>1864</v>
      </c>
      <c r="E793" t="s">
        <v>2654</v>
      </c>
      <c r="F793" t="s">
        <v>614</v>
      </c>
      <c r="G793" t="str">
        <f t="shared" si="62"/>
        <v>C</v>
      </c>
      <c r="H793" t="str">
        <f t="shared" si="63"/>
        <v>27</v>
      </c>
      <c r="I793" t="str">
        <f t="shared" si="64"/>
        <v>271</v>
      </c>
      <c r="J793" t="str">
        <f t="shared" si="65"/>
        <v>27104</v>
      </c>
      <c r="K793" t="str">
        <f t="shared" si="61"/>
        <v>2710401</v>
      </c>
    </row>
    <row r="794" spans="2:11" x14ac:dyDescent="0.25">
      <c r="C794" t="s">
        <v>1864</v>
      </c>
      <c r="D794" t="s">
        <v>1864</v>
      </c>
      <c r="E794" t="s">
        <v>2655</v>
      </c>
      <c r="F794" t="s">
        <v>615</v>
      </c>
      <c r="G794" t="str">
        <f t="shared" si="62"/>
        <v>C</v>
      </c>
      <c r="H794" t="str">
        <f t="shared" si="63"/>
        <v>27</v>
      </c>
      <c r="I794" t="str">
        <f t="shared" si="64"/>
        <v>271</v>
      </c>
      <c r="J794" t="str">
        <f t="shared" si="65"/>
        <v>27104</v>
      </c>
      <c r="K794" t="str">
        <f t="shared" si="61"/>
        <v>2710402</v>
      </c>
    </row>
    <row r="795" spans="2:11" x14ac:dyDescent="0.25">
      <c r="C795" t="s">
        <v>1864</v>
      </c>
      <c r="D795" t="s">
        <v>1864</v>
      </c>
      <c r="E795" t="s">
        <v>2656</v>
      </c>
      <c r="F795" t="s">
        <v>616</v>
      </c>
      <c r="G795" t="str">
        <f t="shared" si="62"/>
        <v>C</v>
      </c>
      <c r="H795" t="str">
        <f t="shared" si="63"/>
        <v>27</v>
      </c>
      <c r="I795" t="str">
        <f t="shared" si="64"/>
        <v>271</v>
      </c>
      <c r="J795" t="str">
        <f t="shared" si="65"/>
        <v>27104</v>
      </c>
      <c r="K795" t="str">
        <f t="shared" si="61"/>
        <v>2710403</v>
      </c>
    </row>
    <row r="796" spans="2:11" x14ac:dyDescent="0.25">
      <c r="C796" t="s">
        <v>2657</v>
      </c>
      <c r="D796" t="s">
        <v>1864</v>
      </c>
      <c r="E796" t="s">
        <v>1864</v>
      </c>
      <c r="F796" t="s">
        <v>617</v>
      </c>
      <c r="G796" t="str">
        <f t="shared" si="62"/>
        <v>C</v>
      </c>
      <c r="H796" t="str">
        <f t="shared" si="63"/>
        <v>27</v>
      </c>
      <c r="I796" t="str">
        <f t="shared" si="64"/>
        <v>272</v>
      </c>
      <c r="J796" t="str">
        <f t="shared" si="65"/>
        <v>27104</v>
      </c>
      <c r="K796" t="str">
        <f t="shared" si="61"/>
        <v/>
      </c>
    </row>
    <row r="797" spans="2:11" x14ac:dyDescent="0.25">
      <c r="C797" t="s">
        <v>1864</v>
      </c>
      <c r="D797" t="s">
        <v>2658</v>
      </c>
      <c r="E797" t="s">
        <v>1864</v>
      </c>
      <c r="F797" t="s">
        <v>618</v>
      </c>
      <c r="G797" t="str">
        <f t="shared" si="62"/>
        <v>C</v>
      </c>
      <c r="H797" t="str">
        <f t="shared" si="63"/>
        <v>27</v>
      </c>
      <c r="I797" t="str">
        <f t="shared" si="64"/>
        <v>272</v>
      </c>
      <c r="J797" t="str">
        <f t="shared" si="65"/>
        <v>27210</v>
      </c>
      <c r="K797" t="str">
        <f t="shared" si="61"/>
        <v/>
      </c>
    </row>
    <row r="798" spans="2:11" x14ac:dyDescent="0.25">
      <c r="C798" t="s">
        <v>1864</v>
      </c>
      <c r="D798" t="s">
        <v>1864</v>
      </c>
      <c r="E798" t="s">
        <v>2659</v>
      </c>
      <c r="F798" t="s">
        <v>618</v>
      </c>
      <c r="G798" t="str">
        <f t="shared" si="62"/>
        <v>C</v>
      </c>
      <c r="H798" t="str">
        <f t="shared" si="63"/>
        <v>27</v>
      </c>
      <c r="I798" t="str">
        <f t="shared" si="64"/>
        <v>272</v>
      </c>
      <c r="J798" t="str">
        <f t="shared" si="65"/>
        <v>27210</v>
      </c>
      <c r="K798" t="str">
        <f t="shared" si="61"/>
        <v>2721000</v>
      </c>
    </row>
    <row r="799" spans="2:11" x14ac:dyDescent="0.25">
      <c r="C799" t="s">
        <v>1864</v>
      </c>
      <c r="D799" t="s">
        <v>2660</v>
      </c>
      <c r="E799" t="s">
        <v>1864</v>
      </c>
      <c r="F799" t="s">
        <v>619</v>
      </c>
      <c r="G799" t="str">
        <f t="shared" si="62"/>
        <v>C</v>
      </c>
      <c r="H799" t="str">
        <f t="shared" si="63"/>
        <v>27</v>
      </c>
      <c r="I799" t="str">
        <f t="shared" si="64"/>
        <v>272</v>
      </c>
      <c r="J799" t="str">
        <f t="shared" si="65"/>
        <v>27228</v>
      </c>
      <c r="K799" t="str">
        <f t="shared" si="61"/>
        <v/>
      </c>
    </row>
    <row r="800" spans="2:11" x14ac:dyDescent="0.25">
      <c r="C800" t="s">
        <v>1864</v>
      </c>
      <c r="D800" t="s">
        <v>1864</v>
      </c>
      <c r="E800" t="s">
        <v>2661</v>
      </c>
      <c r="F800" t="s">
        <v>619</v>
      </c>
      <c r="G800" t="str">
        <f t="shared" si="62"/>
        <v>C</v>
      </c>
      <c r="H800" t="str">
        <f t="shared" si="63"/>
        <v>27</v>
      </c>
      <c r="I800" t="str">
        <f t="shared" si="64"/>
        <v>272</v>
      </c>
      <c r="J800" t="str">
        <f t="shared" si="65"/>
        <v>27228</v>
      </c>
      <c r="K800" t="str">
        <f t="shared" si="61"/>
        <v>2722801</v>
      </c>
    </row>
    <row r="801" spans="3:11" x14ac:dyDescent="0.25">
      <c r="C801" t="s">
        <v>1864</v>
      </c>
      <c r="D801" t="s">
        <v>1864</v>
      </c>
      <c r="E801" t="s">
        <v>2662</v>
      </c>
      <c r="F801" t="s">
        <v>620</v>
      </c>
      <c r="G801" t="str">
        <f t="shared" si="62"/>
        <v>C</v>
      </c>
      <c r="H801" t="str">
        <f t="shared" si="63"/>
        <v>27</v>
      </c>
      <c r="I801" t="str">
        <f t="shared" si="64"/>
        <v>272</v>
      </c>
      <c r="J801" t="str">
        <f t="shared" si="65"/>
        <v>27228</v>
      </c>
      <c r="K801" t="str">
        <f t="shared" si="61"/>
        <v>2722802</v>
      </c>
    </row>
    <row r="802" spans="3:11" x14ac:dyDescent="0.25">
      <c r="C802" t="s">
        <v>2663</v>
      </c>
      <c r="D802" t="s">
        <v>1864</v>
      </c>
      <c r="E802" t="s">
        <v>1864</v>
      </c>
      <c r="F802" t="s">
        <v>621</v>
      </c>
      <c r="G802" t="str">
        <f t="shared" si="62"/>
        <v>C</v>
      </c>
      <c r="H802" t="str">
        <f t="shared" si="63"/>
        <v>27</v>
      </c>
      <c r="I802" t="str">
        <f t="shared" si="64"/>
        <v>273</v>
      </c>
      <c r="J802" t="str">
        <f t="shared" si="65"/>
        <v>27228</v>
      </c>
      <c r="K802" t="str">
        <f t="shared" si="61"/>
        <v/>
      </c>
    </row>
    <row r="803" spans="3:11" x14ac:dyDescent="0.25">
      <c r="C803" t="s">
        <v>1864</v>
      </c>
      <c r="D803" t="s">
        <v>2664</v>
      </c>
      <c r="E803" t="s">
        <v>1864</v>
      </c>
      <c r="F803" t="s">
        <v>622</v>
      </c>
      <c r="G803" t="str">
        <f t="shared" si="62"/>
        <v>C</v>
      </c>
      <c r="H803" t="str">
        <f t="shared" si="63"/>
        <v>27</v>
      </c>
      <c r="I803" t="str">
        <f t="shared" si="64"/>
        <v>273</v>
      </c>
      <c r="J803" t="str">
        <f t="shared" si="65"/>
        <v>27317</v>
      </c>
      <c r="K803" t="str">
        <f t="shared" si="61"/>
        <v/>
      </c>
    </row>
    <row r="804" spans="3:11" x14ac:dyDescent="0.25">
      <c r="C804" t="s">
        <v>1864</v>
      </c>
      <c r="D804" t="s">
        <v>1864</v>
      </c>
      <c r="E804" t="s">
        <v>2665</v>
      </c>
      <c r="F804" t="s">
        <v>622</v>
      </c>
      <c r="G804" t="str">
        <f t="shared" si="62"/>
        <v>C</v>
      </c>
      <c r="H804" t="str">
        <f t="shared" si="63"/>
        <v>27</v>
      </c>
      <c r="I804" t="str">
        <f t="shared" si="64"/>
        <v>273</v>
      </c>
      <c r="J804" t="str">
        <f t="shared" si="65"/>
        <v>27317</v>
      </c>
      <c r="K804" t="str">
        <f t="shared" si="61"/>
        <v>2731700</v>
      </c>
    </row>
    <row r="805" spans="3:11" x14ac:dyDescent="0.25">
      <c r="C805" t="s">
        <v>1864</v>
      </c>
      <c r="D805" t="s">
        <v>2666</v>
      </c>
      <c r="E805" t="s">
        <v>1864</v>
      </c>
      <c r="F805" t="s">
        <v>623</v>
      </c>
      <c r="G805" t="str">
        <f t="shared" si="62"/>
        <v>C</v>
      </c>
      <c r="H805" t="str">
        <f t="shared" si="63"/>
        <v>27</v>
      </c>
      <c r="I805" t="str">
        <f t="shared" si="64"/>
        <v>273</v>
      </c>
      <c r="J805" t="str">
        <f t="shared" si="65"/>
        <v>27325</v>
      </c>
      <c r="K805" t="str">
        <f t="shared" si="61"/>
        <v/>
      </c>
    </row>
    <row r="806" spans="3:11" x14ac:dyDescent="0.25">
      <c r="C806" t="s">
        <v>1864</v>
      </c>
      <c r="D806" t="s">
        <v>1864</v>
      </c>
      <c r="E806" t="s">
        <v>2667</v>
      </c>
      <c r="F806" t="s">
        <v>623</v>
      </c>
      <c r="G806" t="str">
        <f t="shared" si="62"/>
        <v>C</v>
      </c>
      <c r="H806" t="str">
        <f t="shared" si="63"/>
        <v>27</v>
      </c>
      <c r="I806" t="str">
        <f t="shared" si="64"/>
        <v>273</v>
      </c>
      <c r="J806" t="str">
        <f t="shared" si="65"/>
        <v>27325</v>
      </c>
      <c r="K806" t="str">
        <f t="shared" si="61"/>
        <v>2732500</v>
      </c>
    </row>
    <row r="807" spans="3:11" x14ac:dyDescent="0.25">
      <c r="C807" t="s">
        <v>1864</v>
      </c>
      <c r="D807" t="s">
        <v>2668</v>
      </c>
      <c r="E807" t="s">
        <v>1864</v>
      </c>
      <c r="F807" t="s">
        <v>624</v>
      </c>
      <c r="G807" t="str">
        <f t="shared" si="62"/>
        <v>C</v>
      </c>
      <c r="H807" t="str">
        <f t="shared" si="63"/>
        <v>27</v>
      </c>
      <c r="I807" t="str">
        <f t="shared" si="64"/>
        <v>273</v>
      </c>
      <c r="J807" t="str">
        <f t="shared" si="65"/>
        <v>27333</v>
      </c>
      <c r="K807" t="str">
        <f t="shared" si="61"/>
        <v/>
      </c>
    </row>
    <row r="808" spans="3:11" x14ac:dyDescent="0.25">
      <c r="C808" t="s">
        <v>1864</v>
      </c>
      <c r="D808" t="s">
        <v>1864</v>
      </c>
      <c r="E808" t="s">
        <v>2669</v>
      </c>
      <c r="F808" t="s">
        <v>624</v>
      </c>
      <c r="G808" t="str">
        <f t="shared" si="62"/>
        <v>C</v>
      </c>
      <c r="H808" t="str">
        <f t="shared" si="63"/>
        <v>27</v>
      </c>
      <c r="I808" t="str">
        <f t="shared" si="64"/>
        <v>273</v>
      </c>
      <c r="J808" t="str">
        <f t="shared" si="65"/>
        <v>27333</v>
      </c>
      <c r="K808" t="str">
        <f t="shared" si="61"/>
        <v>2733300</v>
      </c>
    </row>
    <row r="809" spans="3:11" x14ac:dyDescent="0.25">
      <c r="C809" t="s">
        <v>2670</v>
      </c>
      <c r="D809" t="s">
        <v>1864</v>
      </c>
      <c r="E809" t="s">
        <v>1864</v>
      </c>
      <c r="F809" t="s">
        <v>625</v>
      </c>
      <c r="G809" t="str">
        <f t="shared" si="62"/>
        <v>C</v>
      </c>
      <c r="H809" t="str">
        <f t="shared" si="63"/>
        <v>27</v>
      </c>
      <c r="I809" t="str">
        <f t="shared" si="64"/>
        <v>274</v>
      </c>
      <c r="J809" t="str">
        <f t="shared" si="65"/>
        <v>27333</v>
      </c>
      <c r="K809" t="str">
        <f t="shared" si="61"/>
        <v/>
      </c>
    </row>
    <row r="810" spans="3:11" x14ac:dyDescent="0.25">
      <c r="C810" t="s">
        <v>1864</v>
      </c>
      <c r="D810" t="s">
        <v>2671</v>
      </c>
      <c r="E810" t="s">
        <v>1864</v>
      </c>
      <c r="F810" t="s">
        <v>625</v>
      </c>
      <c r="G810" t="str">
        <f t="shared" si="62"/>
        <v>C</v>
      </c>
      <c r="H810" t="str">
        <f t="shared" si="63"/>
        <v>27</v>
      </c>
      <c r="I810" t="str">
        <f t="shared" si="64"/>
        <v>274</v>
      </c>
      <c r="J810" t="str">
        <f t="shared" si="65"/>
        <v>27406</v>
      </c>
      <c r="K810" t="str">
        <f t="shared" si="61"/>
        <v/>
      </c>
    </row>
    <row r="811" spans="3:11" x14ac:dyDescent="0.25">
      <c r="C811" t="s">
        <v>1864</v>
      </c>
      <c r="D811" t="s">
        <v>1864</v>
      </c>
      <c r="E811" t="s">
        <v>2672</v>
      </c>
      <c r="F811" t="s">
        <v>626</v>
      </c>
      <c r="G811" t="str">
        <f t="shared" si="62"/>
        <v>C</v>
      </c>
      <c r="H811" t="str">
        <f t="shared" si="63"/>
        <v>27</v>
      </c>
      <c r="I811" t="str">
        <f t="shared" si="64"/>
        <v>274</v>
      </c>
      <c r="J811" t="str">
        <f t="shared" si="65"/>
        <v>27406</v>
      </c>
      <c r="K811" t="str">
        <f t="shared" si="61"/>
        <v>2740601</v>
      </c>
    </row>
    <row r="812" spans="3:11" x14ac:dyDescent="0.25">
      <c r="C812" t="s">
        <v>1864</v>
      </c>
      <c r="D812" t="s">
        <v>1864</v>
      </c>
      <c r="E812" t="s">
        <v>2673</v>
      </c>
      <c r="F812" t="s">
        <v>627</v>
      </c>
      <c r="G812" t="str">
        <f t="shared" si="62"/>
        <v>C</v>
      </c>
      <c r="H812" t="str">
        <f t="shared" si="63"/>
        <v>27</v>
      </c>
      <c r="I812" t="str">
        <f t="shared" si="64"/>
        <v>274</v>
      </c>
      <c r="J812" t="str">
        <f t="shared" si="65"/>
        <v>27406</v>
      </c>
      <c r="K812" t="str">
        <f t="shared" si="61"/>
        <v>2740602</v>
      </c>
    </row>
    <row r="813" spans="3:11" x14ac:dyDescent="0.25">
      <c r="C813" t="s">
        <v>2674</v>
      </c>
      <c r="D813" t="s">
        <v>1864</v>
      </c>
      <c r="E813" t="s">
        <v>1864</v>
      </c>
      <c r="F813" t="s">
        <v>628</v>
      </c>
      <c r="G813" t="str">
        <f t="shared" si="62"/>
        <v>C</v>
      </c>
      <c r="H813" t="str">
        <f t="shared" si="63"/>
        <v>27</v>
      </c>
      <c r="I813" t="str">
        <f t="shared" si="64"/>
        <v>275</v>
      </c>
      <c r="J813" t="str">
        <f t="shared" si="65"/>
        <v>27406</v>
      </c>
      <c r="K813" t="str">
        <f t="shared" si="61"/>
        <v/>
      </c>
    </row>
    <row r="814" spans="3:11" x14ac:dyDescent="0.25">
      <c r="C814" t="s">
        <v>1864</v>
      </c>
      <c r="D814" t="s">
        <v>2675</v>
      </c>
      <c r="E814" t="s">
        <v>1864</v>
      </c>
      <c r="F814" t="s">
        <v>629</v>
      </c>
      <c r="G814" t="str">
        <f t="shared" si="62"/>
        <v>C</v>
      </c>
      <c r="H814" t="str">
        <f t="shared" si="63"/>
        <v>27</v>
      </c>
      <c r="I814" t="str">
        <f t="shared" si="64"/>
        <v>275</v>
      </c>
      <c r="J814" t="str">
        <f t="shared" si="65"/>
        <v>27511</v>
      </c>
      <c r="K814" t="str">
        <f t="shared" si="61"/>
        <v/>
      </c>
    </row>
    <row r="815" spans="3:11" x14ac:dyDescent="0.25">
      <c r="C815" t="s">
        <v>1864</v>
      </c>
      <c r="D815" t="s">
        <v>1864</v>
      </c>
      <c r="E815" t="s">
        <v>2676</v>
      </c>
      <c r="F815" t="s">
        <v>630</v>
      </c>
      <c r="G815" t="str">
        <f t="shared" si="62"/>
        <v>C</v>
      </c>
      <c r="H815" t="str">
        <f t="shared" si="63"/>
        <v>27</v>
      </c>
      <c r="I815" t="str">
        <f t="shared" si="64"/>
        <v>275</v>
      </c>
      <c r="J815" t="str">
        <f t="shared" si="65"/>
        <v>27511</v>
      </c>
      <c r="K815" t="str">
        <f t="shared" si="61"/>
        <v>2751100</v>
      </c>
    </row>
    <row r="816" spans="3:11" x14ac:dyDescent="0.25">
      <c r="C816" t="s">
        <v>1864</v>
      </c>
      <c r="D816" t="s">
        <v>2677</v>
      </c>
      <c r="E816" t="s">
        <v>1864</v>
      </c>
      <c r="F816" t="s">
        <v>631</v>
      </c>
      <c r="G816" t="str">
        <f t="shared" si="62"/>
        <v>C</v>
      </c>
      <c r="H816" t="str">
        <f t="shared" si="63"/>
        <v>27</v>
      </c>
      <c r="I816" t="str">
        <f t="shared" si="64"/>
        <v>275</v>
      </c>
      <c r="J816" t="str">
        <f t="shared" si="65"/>
        <v>27597</v>
      </c>
      <c r="K816" t="str">
        <f t="shared" si="61"/>
        <v/>
      </c>
    </row>
    <row r="817" spans="2:11" x14ac:dyDescent="0.25">
      <c r="C817" t="s">
        <v>1864</v>
      </c>
      <c r="D817" t="s">
        <v>1864</v>
      </c>
      <c r="E817" t="s">
        <v>2678</v>
      </c>
      <c r="F817" t="s">
        <v>632</v>
      </c>
      <c r="G817" t="str">
        <f t="shared" si="62"/>
        <v>C</v>
      </c>
      <c r="H817" t="str">
        <f t="shared" si="63"/>
        <v>27</v>
      </c>
      <c r="I817" t="str">
        <f t="shared" si="64"/>
        <v>275</v>
      </c>
      <c r="J817" t="str">
        <f t="shared" si="65"/>
        <v>27597</v>
      </c>
      <c r="K817" t="str">
        <f t="shared" si="61"/>
        <v>2759701</v>
      </c>
    </row>
    <row r="818" spans="2:11" x14ac:dyDescent="0.25">
      <c r="C818" t="s">
        <v>1864</v>
      </c>
      <c r="D818" t="s">
        <v>1864</v>
      </c>
      <c r="E818" t="s">
        <v>2679</v>
      </c>
      <c r="F818" t="s">
        <v>633</v>
      </c>
      <c r="G818" t="str">
        <f t="shared" si="62"/>
        <v>C</v>
      </c>
      <c r="H818" t="str">
        <f t="shared" si="63"/>
        <v>27</v>
      </c>
      <c r="I818" t="str">
        <f t="shared" si="64"/>
        <v>275</v>
      </c>
      <c r="J818" t="str">
        <f t="shared" si="65"/>
        <v>27597</v>
      </c>
      <c r="K818" t="str">
        <f t="shared" si="61"/>
        <v>2759799</v>
      </c>
    </row>
    <row r="819" spans="2:11" x14ac:dyDescent="0.25">
      <c r="C819" t="s">
        <v>2680</v>
      </c>
      <c r="D819" t="s">
        <v>1864</v>
      </c>
      <c r="E819" t="s">
        <v>1864</v>
      </c>
      <c r="F819" t="s">
        <v>634</v>
      </c>
      <c r="G819" t="str">
        <f t="shared" si="62"/>
        <v>C</v>
      </c>
      <c r="H819" t="str">
        <f t="shared" si="63"/>
        <v>27</v>
      </c>
      <c r="I819" t="str">
        <f t="shared" si="64"/>
        <v>279</v>
      </c>
      <c r="J819" t="str">
        <f t="shared" si="65"/>
        <v>27597</v>
      </c>
      <c r="K819" t="str">
        <f t="shared" si="61"/>
        <v/>
      </c>
    </row>
    <row r="820" spans="2:11" x14ac:dyDescent="0.25">
      <c r="C820" t="s">
        <v>1864</v>
      </c>
      <c r="D820" t="s">
        <v>2681</v>
      </c>
      <c r="E820" t="s">
        <v>1864</v>
      </c>
      <c r="F820" t="s">
        <v>634</v>
      </c>
      <c r="G820" t="str">
        <f t="shared" si="62"/>
        <v>C</v>
      </c>
      <c r="H820" t="str">
        <f t="shared" si="63"/>
        <v>27</v>
      </c>
      <c r="I820" t="str">
        <f t="shared" si="64"/>
        <v>279</v>
      </c>
      <c r="J820" t="str">
        <f t="shared" si="65"/>
        <v>27902</v>
      </c>
      <c r="K820" t="str">
        <f t="shared" si="61"/>
        <v/>
      </c>
    </row>
    <row r="821" spans="2:11" x14ac:dyDescent="0.25">
      <c r="C821" t="s">
        <v>1864</v>
      </c>
      <c r="D821" t="s">
        <v>1864</v>
      </c>
      <c r="E821" t="s">
        <v>2682</v>
      </c>
      <c r="F821" t="s">
        <v>635</v>
      </c>
      <c r="G821" t="str">
        <f t="shared" si="62"/>
        <v>C</v>
      </c>
      <c r="H821" t="str">
        <f t="shared" si="63"/>
        <v>27</v>
      </c>
      <c r="I821" t="str">
        <f t="shared" si="64"/>
        <v>279</v>
      </c>
      <c r="J821" t="str">
        <f t="shared" si="65"/>
        <v>27902</v>
      </c>
      <c r="K821" t="str">
        <f t="shared" si="61"/>
        <v>2790201</v>
      </c>
    </row>
    <row r="822" spans="2:11" x14ac:dyDescent="0.25">
      <c r="C822" t="s">
        <v>1864</v>
      </c>
      <c r="D822" t="s">
        <v>1864</v>
      </c>
      <c r="E822" t="s">
        <v>2683</v>
      </c>
      <c r="F822" t="s">
        <v>636</v>
      </c>
      <c r="G822" t="str">
        <f t="shared" si="62"/>
        <v>C</v>
      </c>
      <c r="H822" t="str">
        <f t="shared" si="63"/>
        <v>27</v>
      </c>
      <c r="I822" t="str">
        <f t="shared" si="64"/>
        <v>279</v>
      </c>
      <c r="J822" t="str">
        <f t="shared" si="65"/>
        <v>27902</v>
      </c>
      <c r="K822" t="str">
        <f t="shared" si="61"/>
        <v>2790202</v>
      </c>
    </row>
    <row r="823" spans="2:11" x14ac:dyDescent="0.25">
      <c r="C823" t="s">
        <v>1864</v>
      </c>
      <c r="D823" t="s">
        <v>1864</v>
      </c>
      <c r="E823" t="s">
        <v>2684</v>
      </c>
      <c r="F823" t="s">
        <v>637</v>
      </c>
      <c r="G823" t="str">
        <f t="shared" si="62"/>
        <v>C</v>
      </c>
      <c r="H823" t="str">
        <f t="shared" si="63"/>
        <v>27</v>
      </c>
      <c r="I823" t="str">
        <f t="shared" si="64"/>
        <v>279</v>
      </c>
      <c r="J823" t="str">
        <f t="shared" si="65"/>
        <v>27902</v>
      </c>
      <c r="K823" t="str">
        <f t="shared" si="61"/>
        <v>2790299</v>
      </c>
    </row>
    <row r="824" spans="2:11" x14ac:dyDescent="0.25">
      <c r="B824" t="s">
        <v>2685</v>
      </c>
      <c r="C824" t="s">
        <v>1864</v>
      </c>
      <c r="D824" t="s">
        <v>1864</v>
      </c>
      <c r="E824" t="s">
        <v>1864</v>
      </c>
      <c r="F824" t="s">
        <v>638</v>
      </c>
      <c r="G824" t="str">
        <f t="shared" si="62"/>
        <v>C</v>
      </c>
      <c r="H824" t="str">
        <f t="shared" si="63"/>
        <v>28</v>
      </c>
      <c r="I824" t="str">
        <f t="shared" si="64"/>
        <v>279</v>
      </c>
      <c r="J824" t="str">
        <f t="shared" si="65"/>
        <v>27902</v>
      </c>
      <c r="K824" t="str">
        <f t="shared" si="61"/>
        <v/>
      </c>
    </row>
    <row r="825" spans="2:11" x14ac:dyDescent="0.25">
      <c r="C825" t="s">
        <v>2686</v>
      </c>
      <c r="D825" t="s">
        <v>1864</v>
      </c>
      <c r="E825" t="s">
        <v>1864</v>
      </c>
      <c r="F825" t="s">
        <v>639</v>
      </c>
      <c r="G825" t="str">
        <f t="shared" si="62"/>
        <v>C</v>
      </c>
      <c r="H825" t="str">
        <f t="shared" si="63"/>
        <v>28</v>
      </c>
      <c r="I825" t="str">
        <f t="shared" si="64"/>
        <v>281</v>
      </c>
      <c r="J825" t="str">
        <f t="shared" si="65"/>
        <v>27902</v>
      </c>
      <c r="K825" t="str">
        <f t="shared" si="61"/>
        <v/>
      </c>
    </row>
    <row r="826" spans="2:11" x14ac:dyDescent="0.25">
      <c r="C826" t="s">
        <v>1864</v>
      </c>
      <c r="D826" t="s">
        <v>2687</v>
      </c>
      <c r="E826" t="s">
        <v>1864</v>
      </c>
      <c r="F826" t="s">
        <v>640</v>
      </c>
      <c r="G826" t="str">
        <f t="shared" si="62"/>
        <v>C</v>
      </c>
      <c r="H826" t="str">
        <f t="shared" si="63"/>
        <v>28</v>
      </c>
      <c r="I826" t="str">
        <f t="shared" si="64"/>
        <v>281</v>
      </c>
      <c r="J826" t="str">
        <f t="shared" si="65"/>
        <v>28119</v>
      </c>
      <c r="K826" t="str">
        <f t="shared" si="61"/>
        <v/>
      </c>
    </row>
    <row r="827" spans="2:11" x14ac:dyDescent="0.25">
      <c r="C827" t="s">
        <v>1864</v>
      </c>
      <c r="D827" t="s">
        <v>1864</v>
      </c>
      <c r="E827" t="s">
        <v>2688</v>
      </c>
      <c r="F827" t="s">
        <v>641</v>
      </c>
      <c r="G827" t="str">
        <f t="shared" si="62"/>
        <v>C</v>
      </c>
      <c r="H827" t="str">
        <f t="shared" si="63"/>
        <v>28</v>
      </c>
      <c r="I827" t="str">
        <f t="shared" si="64"/>
        <v>281</v>
      </c>
      <c r="J827" t="str">
        <f t="shared" si="65"/>
        <v>28119</v>
      </c>
      <c r="K827" t="str">
        <f t="shared" si="61"/>
        <v>2811900</v>
      </c>
    </row>
    <row r="828" spans="2:11" x14ac:dyDescent="0.25">
      <c r="C828" t="s">
        <v>1864</v>
      </c>
      <c r="D828" t="s">
        <v>2689</v>
      </c>
      <c r="E828" t="s">
        <v>1864</v>
      </c>
      <c r="F828" t="s">
        <v>642</v>
      </c>
      <c r="G828" t="str">
        <f t="shared" si="62"/>
        <v>C</v>
      </c>
      <c r="H828" t="str">
        <f t="shared" si="63"/>
        <v>28</v>
      </c>
      <c r="I828" t="str">
        <f t="shared" si="64"/>
        <v>281</v>
      </c>
      <c r="J828" t="str">
        <f t="shared" si="65"/>
        <v>28127</v>
      </c>
      <c r="K828" t="str">
        <f t="shared" si="61"/>
        <v/>
      </c>
    </row>
    <row r="829" spans="2:11" x14ac:dyDescent="0.25">
      <c r="C829" t="s">
        <v>1864</v>
      </c>
      <c r="D829" t="s">
        <v>1864</v>
      </c>
      <c r="E829" t="s">
        <v>2690</v>
      </c>
      <c r="F829" t="s">
        <v>643</v>
      </c>
      <c r="G829" t="str">
        <f t="shared" si="62"/>
        <v>C</v>
      </c>
      <c r="H829" t="str">
        <f t="shared" si="63"/>
        <v>28</v>
      </c>
      <c r="I829" t="str">
        <f t="shared" si="64"/>
        <v>281</v>
      </c>
      <c r="J829" t="str">
        <f t="shared" si="65"/>
        <v>28127</v>
      </c>
      <c r="K829" t="str">
        <f t="shared" si="61"/>
        <v>2812700</v>
      </c>
    </row>
    <row r="830" spans="2:11" x14ac:dyDescent="0.25">
      <c r="C830" t="s">
        <v>1864</v>
      </c>
      <c r="D830" t="s">
        <v>2691</v>
      </c>
      <c r="E830" t="s">
        <v>1864</v>
      </c>
      <c r="F830" t="s">
        <v>644</v>
      </c>
      <c r="G830" t="str">
        <f t="shared" si="62"/>
        <v>C</v>
      </c>
      <c r="H830" t="str">
        <f t="shared" si="63"/>
        <v>28</v>
      </c>
      <c r="I830" t="str">
        <f t="shared" si="64"/>
        <v>281</v>
      </c>
      <c r="J830" t="str">
        <f t="shared" si="65"/>
        <v>28135</v>
      </c>
      <c r="K830" t="str">
        <f t="shared" si="61"/>
        <v/>
      </c>
    </row>
    <row r="831" spans="2:11" x14ac:dyDescent="0.25">
      <c r="C831" t="s">
        <v>1864</v>
      </c>
      <c r="D831" t="s">
        <v>1864</v>
      </c>
      <c r="E831" t="s">
        <v>2692</v>
      </c>
      <c r="F831" t="s">
        <v>645</v>
      </c>
      <c r="G831" t="str">
        <f t="shared" si="62"/>
        <v>C</v>
      </c>
      <c r="H831" t="str">
        <f t="shared" si="63"/>
        <v>28</v>
      </c>
      <c r="I831" t="str">
        <f t="shared" si="64"/>
        <v>281</v>
      </c>
      <c r="J831" t="str">
        <f t="shared" si="65"/>
        <v>28135</v>
      </c>
      <c r="K831" t="str">
        <f t="shared" si="61"/>
        <v>2813500</v>
      </c>
    </row>
    <row r="832" spans="2:11" x14ac:dyDescent="0.25">
      <c r="C832" t="s">
        <v>1864</v>
      </c>
      <c r="D832" t="s">
        <v>2693</v>
      </c>
      <c r="E832" t="s">
        <v>1864</v>
      </c>
      <c r="F832" t="s">
        <v>646</v>
      </c>
      <c r="G832" t="str">
        <f t="shared" si="62"/>
        <v>C</v>
      </c>
      <c r="H832" t="str">
        <f t="shared" si="63"/>
        <v>28</v>
      </c>
      <c r="I832" t="str">
        <f t="shared" si="64"/>
        <v>281</v>
      </c>
      <c r="J832" t="str">
        <f t="shared" si="65"/>
        <v>28143</v>
      </c>
      <c r="K832" t="str">
        <f t="shared" si="61"/>
        <v/>
      </c>
    </row>
    <row r="833" spans="3:11" x14ac:dyDescent="0.25">
      <c r="C833" t="s">
        <v>1864</v>
      </c>
      <c r="D833" t="s">
        <v>1864</v>
      </c>
      <c r="E833" t="s">
        <v>2694</v>
      </c>
      <c r="F833" t="s">
        <v>647</v>
      </c>
      <c r="G833" t="str">
        <f t="shared" si="62"/>
        <v>C</v>
      </c>
      <c r="H833" t="str">
        <f t="shared" si="63"/>
        <v>28</v>
      </c>
      <c r="I833" t="str">
        <f t="shared" si="64"/>
        <v>281</v>
      </c>
      <c r="J833" t="str">
        <f t="shared" si="65"/>
        <v>28143</v>
      </c>
      <c r="K833" t="str">
        <f t="shared" si="61"/>
        <v>2814301</v>
      </c>
    </row>
    <row r="834" spans="3:11" x14ac:dyDescent="0.25">
      <c r="C834" t="s">
        <v>1864</v>
      </c>
      <c r="D834" t="s">
        <v>1864</v>
      </c>
      <c r="E834" t="s">
        <v>2695</v>
      </c>
      <c r="F834" t="s">
        <v>648</v>
      </c>
      <c r="G834" t="str">
        <f t="shared" si="62"/>
        <v>C</v>
      </c>
      <c r="H834" t="str">
        <f t="shared" si="63"/>
        <v>28</v>
      </c>
      <c r="I834" t="str">
        <f t="shared" si="64"/>
        <v>281</v>
      </c>
      <c r="J834" t="str">
        <f t="shared" si="65"/>
        <v>28143</v>
      </c>
      <c r="K834" t="str">
        <f t="shared" si="61"/>
        <v>2814302</v>
      </c>
    </row>
    <row r="835" spans="3:11" x14ac:dyDescent="0.25">
      <c r="C835" t="s">
        <v>1864</v>
      </c>
      <c r="D835" t="s">
        <v>2696</v>
      </c>
      <c r="E835" t="s">
        <v>1864</v>
      </c>
      <c r="F835" t="s">
        <v>649</v>
      </c>
      <c r="G835" t="str">
        <f t="shared" si="62"/>
        <v>C</v>
      </c>
      <c r="H835" t="str">
        <f t="shared" si="63"/>
        <v>28</v>
      </c>
      <c r="I835" t="str">
        <f t="shared" si="64"/>
        <v>281</v>
      </c>
      <c r="J835" t="str">
        <f t="shared" si="65"/>
        <v>28151</v>
      </c>
      <c r="K835" t="str">
        <f t="shared" si="61"/>
        <v/>
      </c>
    </row>
    <row r="836" spans="3:11" x14ac:dyDescent="0.25">
      <c r="C836" t="s">
        <v>1864</v>
      </c>
      <c r="D836" t="s">
        <v>1864</v>
      </c>
      <c r="E836" t="s">
        <v>2697</v>
      </c>
      <c r="F836" t="s">
        <v>650</v>
      </c>
      <c r="G836" t="str">
        <f t="shared" si="62"/>
        <v>C</v>
      </c>
      <c r="H836" t="str">
        <f t="shared" si="63"/>
        <v>28</v>
      </c>
      <c r="I836" t="str">
        <f t="shared" si="64"/>
        <v>281</v>
      </c>
      <c r="J836" t="str">
        <f t="shared" si="65"/>
        <v>28151</v>
      </c>
      <c r="K836" t="str">
        <f t="shared" si="61"/>
        <v>2815101</v>
      </c>
    </row>
    <row r="837" spans="3:11" x14ac:dyDescent="0.25">
      <c r="C837" t="s">
        <v>1864</v>
      </c>
      <c r="D837" t="s">
        <v>1864</v>
      </c>
      <c r="E837" t="s">
        <v>2698</v>
      </c>
      <c r="F837" t="s">
        <v>651</v>
      </c>
      <c r="G837" t="str">
        <f t="shared" si="62"/>
        <v>C</v>
      </c>
      <c r="H837" t="str">
        <f t="shared" si="63"/>
        <v>28</v>
      </c>
      <c r="I837" t="str">
        <f t="shared" si="64"/>
        <v>281</v>
      </c>
      <c r="J837" t="str">
        <f t="shared" si="65"/>
        <v>28151</v>
      </c>
      <c r="K837" t="str">
        <f t="shared" si="61"/>
        <v>2815102</v>
      </c>
    </row>
    <row r="838" spans="3:11" x14ac:dyDescent="0.25">
      <c r="C838" t="s">
        <v>2699</v>
      </c>
      <c r="D838" t="s">
        <v>1864</v>
      </c>
      <c r="E838" t="s">
        <v>1864</v>
      </c>
      <c r="F838" t="s">
        <v>652</v>
      </c>
      <c r="G838" t="str">
        <f t="shared" si="62"/>
        <v>C</v>
      </c>
      <c r="H838" t="str">
        <f t="shared" si="63"/>
        <v>28</v>
      </c>
      <c r="I838" t="str">
        <f t="shared" si="64"/>
        <v>282</v>
      </c>
      <c r="J838" t="str">
        <f t="shared" si="65"/>
        <v>28151</v>
      </c>
      <c r="K838" t="str">
        <f t="shared" si="61"/>
        <v/>
      </c>
    </row>
    <row r="839" spans="3:11" x14ac:dyDescent="0.25">
      <c r="C839" t="s">
        <v>1864</v>
      </c>
      <c r="D839" t="s">
        <v>2700</v>
      </c>
      <c r="E839" t="s">
        <v>1864</v>
      </c>
      <c r="F839" t="s">
        <v>653</v>
      </c>
      <c r="G839" t="str">
        <f t="shared" si="62"/>
        <v>C</v>
      </c>
      <c r="H839" t="str">
        <f t="shared" si="63"/>
        <v>28</v>
      </c>
      <c r="I839" t="str">
        <f t="shared" si="64"/>
        <v>282</v>
      </c>
      <c r="J839" t="str">
        <f t="shared" si="65"/>
        <v>28216</v>
      </c>
      <c r="K839" t="str">
        <f t="shared" si="61"/>
        <v/>
      </c>
    </row>
    <row r="840" spans="3:11" x14ac:dyDescent="0.25">
      <c r="C840" t="s">
        <v>1864</v>
      </c>
      <c r="D840" t="s">
        <v>1864</v>
      </c>
      <c r="E840" t="s">
        <v>2701</v>
      </c>
      <c r="F840" t="s">
        <v>654</v>
      </c>
      <c r="G840" t="str">
        <f t="shared" si="62"/>
        <v>C</v>
      </c>
      <c r="H840" t="str">
        <f t="shared" si="63"/>
        <v>28</v>
      </c>
      <c r="I840" t="str">
        <f t="shared" si="64"/>
        <v>282</v>
      </c>
      <c r="J840" t="str">
        <f t="shared" si="65"/>
        <v>28216</v>
      </c>
      <c r="K840" t="str">
        <f t="shared" ref="K840:K903" si="66">E840</f>
        <v>2821601</v>
      </c>
    </row>
    <row r="841" spans="3:11" x14ac:dyDescent="0.25">
      <c r="C841" t="s">
        <v>1864</v>
      </c>
      <c r="D841" t="s">
        <v>1864</v>
      </c>
      <c r="E841" t="s">
        <v>2702</v>
      </c>
      <c r="F841" t="s">
        <v>655</v>
      </c>
      <c r="G841" t="str">
        <f t="shared" ref="G841:G904" si="67">IF(A841="",G840,A841)</f>
        <v>C</v>
      </c>
      <c r="H841" t="str">
        <f t="shared" ref="H841:H904" si="68">IF(B841="",H840,B841)</f>
        <v>28</v>
      </c>
      <c r="I841" t="str">
        <f t="shared" ref="I841:I904" si="69">IF(C841="",I840,C841)</f>
        <v>282</v>
      </c>
      <c r="J841" t="str">
        <f t="shared" ref="J841:J904" si="70">IF(D841="",J840,D841)</f>
        <v>28216</v>
      </c>
      <c r="K841" t="str">
        <f t="shared" si="66"/>
        <v>2821602</v>
      </c>
    </row>
    <row r="842" spans="3:11" x14ac:dyDescent="0.25">
      <c r="C842" t="s">
        <v>1864</v>
      </c>
      <c r="D842" t="s">
        <v>2703</v>
      </c>
      <c r="E842" t="s">
        <v>1864</v>
      </c>
      <c r="F842" t="s">
        <v>656</v>
      </c>
      <c r="G842" t="str">
        <f t="shared" si="67"/>
        <v>C</v>
      </c>
      <c r="H842" t="str">
        <f t="shared" si="68"/>
        <v>28</v>
      </c>
      <c r="I842" t="str">
        <f t="shared" si="69"/>
        <v>282</v>
      </c>
      <c r="J842" t="str">
        <f t="shared" si="70"/>
        <v>28224</v>
      </c>
      <c r="K842" t="str">
        <f t="shared" si="66"/>
        <v/>
      </c>
    </row>
    <row r="843" spans="3:11" x14ac:dyDescent="0.25">
      <c r="C843" t="s">
        <v>1864</v>
      </c>
      <c r="D843" t="s">
        <v>1864</v>
      </c>
      <c r="E843" t="s">
        <v>2704</v>
      </c>
      <c r="F843" t="s">
        <v>657</v>
      </c>
      <c r="G843" t="str">
        <f t="shared" si="67"/>
        <v>C</v>
      </c>
      <c r="H843" t="str">
        <f t="shared" si="68"/>
        <v>28</v>
      </c>
      <c r="I843" t="str">
        <f t="shared" si="69"/>
        <v>282</v>
      </c>
      <c r="J843" t="str">
        <f t="shared" si="70"/>
        <v>28224</v>
      </c>
      <c r="K843" t="str">
        <f t="shared" si="66"/>
        <v>2822401</v>
      </c>
    </row>
    <row r="844" spans="3:11" x14ac:dyDescent="0.25">
      <c r="C844" t="s">
        <v>1864</v>
      </c>
      <c r="D844" t="s">
        <v>1864</v>
      </c>
      <c r="E844" t="s">
        <v>2705</v>
      </c>
      <c r="F844" t="s">
        <v>658</v>
      </c>
      <c r="G844" t="str">
        <f t="shared" si="67"/>
        <v>C</v>
      </c>
      <c r="H844" t="str">
        <f t="shared" si="68"/>
        <v>28</v>
      </c>
      <c r="I844" t="str">
        <f t="shared" si="69"/>
        <v>282</v>
      </c>
      <c r="J844" t="str">
        <f t="shared" si="70"/>
        <v>28224</v>
      </c>
      <c r="K844" t="str">
        <f t="shared" si="66"/>
        <v>2822402</v>
      </c>
    </row>
    <row r="845" spans="3:11" x14ac:dyDescent="0.25">
      <c r="C845" t="s">
        <v>1864</v>
      </c>
      <c r="D845" t="s">
        <v>2706</v>
      </c>
      <c r="E845" t="s">
        <v>1864</v>
      </c>
      <c r="F845" t="s">
        <v>659</v>
      </c>
      <c r="G845" t="str">
        <f t="shared" si="67"/>
        <v>C</v>
      </c>
      <c r="H845" t="str">
        <f t="shared" si="68"/>
        <v>28</v>
      </c>
      <c r="I845" t="str">
        <f t="shared" si="69"/>
        <v>282</v>
      </c>
      <c r="J845" t="str">
        <f t="shared" si="70"/>
        <v>28232</v>
      </c>
      <c r="K845" t="str">
        <f t="shared" si="66"/>
        <v/>
      </c>
    </row>
    <row r="846" spans="3:11" x14ac:dyDescent="0.25">
      <c r="C846" t="s">
        <v>1864</v>
      </c>
      <c r="D846" t="s">
        <v>1864</v>
      </c>
      <c r="E846" t="s">
        <v>2707</v>
      </c>
      <c r="F846" t="s">
        <v>660</v>
      </c>
      <c r="G846" t="str">
        <f t="shared" si="67"/>
        <v>C</v>
      </c>
      <c r="H846" t="str">
        <f t="shared" si="68"/>
        <v>28</v>
      </c>
      <c r="I846" t="str">
        <f t="shared" si="69"/>
        <v>282</v>
      </c>
      <c r="J846" t="str">
        <f t="shared" si="70"/>
        <v>28232</v>
      </c>
      <c r="K846" t="str">
        <f t="shared" si="66"/>
        <v>2823200</v>
      </c>
    </row>
    <row r="847" spans="3:11" x14ac:dyDescent="0.25">
      <c r="C847" t="s">
        <v>1864</v>
      </c>
      <c r="D847" t="s">
        <v>2708</v>
      </c>
      <c r="E847" t="s">
        <v>1864</v>
      </c>
      <c r="F847" t="s">
        <v>661</v>
      </c>
      <c r="G847" t="str">
        <f t="shared" si="67"/>
        <v>C</v>
      </c>
      <c r="H847" t="str">
        <f t="shared" si="68"/>
        <v>28</v>
      </c>
      <c r="I847" t="str">
        <f t="shared" si="69"/>
        <v>282</v>
      </c>
      <c r="J847" t="str">
        <f t="shared" si="70"/>
        <v>28241</v>
      </c>
      <c r="K847" t="str">
        <f t="shared" si="66"/>
        <v/>
      </c>
    </row>
    <row r="848" spans="3:11" x14ac:dyDescent="0.25">
      <c r="C848" t="s">
        <v>1864</v>
      </c>
      <c r="D848" t="s">
        <v>1864</v>
      </c>
      <c r="E848" t="s">
        <v>2709</v>
      </c>
      <c r="F848" t="s">
        <v>662</v>
      </c>
      <c r="G848" t="str">
        <f t="shared" si="67"/>
        <v>C</v>
      </c>
      <c r="H848" t="str">
        <f t="shared" si="68"/>
        <v>28</v>
      </c>
      <c r="I848" t="str">
        <f t="shared" si="69"/>
        <v>282</v>
      </c>
      <c r="J848" t="str">
        <f t="shared" si="70"/>
        <v>28241</v>
      </c>
      <c r="K848" t="str">
        <f t="shared" si="66"/>
        <v>2824101</v>
      </c>
    </row>
    <row r="849" spans="3:11" x14ac:dyDescent="0.25">
      <c r="C849" t="s">
        <v>1864</v>
      </c>
      <c r="D849" t="s">
        <v>1864</v>
      </c>
      <c r="E849" t="s">
        <v>2710</v>
      </c>
      <c r="F849" t="s">
        <v>663</v>
      </c>
      <c r="G849" t="str">
        <f t="shared" si="67"/>
        <v>C</v>
      </c>
      <c r="H849" t="str">
        <f t="shared" si="68"/>
        <v>28</v>
      </c>
      <c r="I849" t="str">
        <f t="shared" si="69"/>
        <v>282</v>
      </c>
      <c r="J849" t="str">
        <f t="shared" si="70"/>
        <v>28241</v>
      </c>
      <c r="K849" t="str">
        <f t="shared" si="66"/>
        <v>2824102</v>
      </c>
    </row>
    <row r="850" spans="3:11" x14ac:dyDescent="0.25">
      <c r="C850" t="s">
        <v>1864</v>
      </c>
      <c r="D850" t="s">
        <v>2711</v>
      </c>
      <c r="E850" t="s">
        <v>1864</v>
      </c>
      <c r="F850" t="s">
        <v>664</v>
      </c>
      <c r="G850" t="str">
        <f t="shared" si="67"/>
        <v>C</v>
      </c>
      <c r="H850" t="str">
        <f t="shared" si="68"/>
        <v>28</v>
      </c>
      <c r="I850" t="str">
        <f t="shared" si="69"/>
        <v>282</v>
      </c>
      <c r="J850" t="str">
        <f t="shared" si="70"/>
        <v>28259</v>
      </c>
      <c r="K850" t="str">
        <f t="shared" si="66"/>
        <v/>
      </c>
    </row>
    <row r="851" spans="3:11" x14ac:dyDescent="0.25">
      <c r="C851" t="s">
        <v>1864</v>
      </c>
      <c r="D851" t="s">
        <v>1864</v>
      </c>
      <c r="E851" t="s">
        <v>2712</v>
      </c>
      <c r="F851" t="s">
        <v>665</v>
      </c>
      <c r="G851" t="str">
        <f t="shared" si="67"/>
        <v>C</v>
      </c>
      <c r="H851" t="str">
        <f t="shared" si="68"/>
        <v>28</v>
      </c>
      <c r="I851" t="str">
        <f t="shared" si="69"/>
        <v>282</v>
      </c>
      <c r="J851" t="str">
        <f t="shared" si="70"/>
        <v>28259</v>
      </c>
      <c r="K851" t="str">
        <f t="shared" si="66"/>
        <v>2825900</v>
      </c>
    </row>
    <row r="852" spans="3:11" x14ac:dyDescent="0.25">
      <c r="C852" t="s">
        <v>1864</v>
      </c>
      <c r="D852" t="s">
        <v>2713</v>
      </c>
      <c r="E852" t="s">
        <v>1864</v>
      </c>
      <c r="F852" t="s">
        <v>666</v>
      </c>
      <c r="G852" t="str">
        <f t="shared" si="67"/>
        <v>C</v>
      </c>
      <c r="H852" t="str">
        <f t="shared" si="68"/>
        <v>28</v>
      </c>
      <c r="I852" t="str">
        <f t="shared" si="69"/>
        <v>282</v>
      </c>
      <c r="J852" t="str">
        <f t="shared" si="70"/>
        <v>28291</v>
      </c>
      <c r="K852" t="str">
        <f t="shared" si="66"/>
        <v/>
      </c>
    </row>
    <row r="853" spans="3:11" x14ac:dyDescent="0.25">
      <c r="C853" t="s">
        <v>1864</v>
      </c>
      <c r="D853" t="s">
        <v>1864</v>
      </c>
      <c r="E853" t="s">
        <v>2714</v>
      </c>
      <c r="F853" t="s">
        <v>667</v>
      </c>
      <c r="G853" t="str">
        <f t="shared" si="67"/>
        <v>C</v>
      </c>
      <c r="H853" t="str">
        <f t="shared" si="68"/>
        <v>28</v>
      </c>
      <c r="I853" t="str">
        <f t="shared" si="69"/>
        <v>282</v>
      </c>
      <c r="J853" t="str">
        <f t="shared" si="70"/>
        <v>28291</v>
      </c>
      <c r="K853" t="str">
        <f t="shared" si="66"/>
        <v>2829101</v>
      </c>
    </row>
    <row r="854" spans="3:11" x14ac:dyDescent="0.25">
      <c r="C854" t="s">
        <v>1864</v>
      </c>
      <c r="D854" t="s">
        <v>1864</v>
      </c>
      <c r="E854" t="s">
        <v>2715</v>
      </c>
      <c r="F854" t="s">
        <v>668</v>
      </c>
      <c r="G854" t="str">
        <f t="shared" si="67"/>
        <v>C</v>
      </c>
      <c r="H854" t="str">
        <f t="shared" si="68"/>
        <v>28</v>
      </c>
      <c r="I854" t="str">
        <f t="shared" si="69"/>
        <v>282</v>
      </c>
      <c r="J854" t="str">
        <f t="shared" si="70"/>
        <v>28291</v>
      </c>
      <c r="K854" t="str">
        <f t="shared" si="66"/>
        <v>2829199</v>
      </c>
    </row>
    <row r="855" spans="3:11" x14ac:dyDescent="0.25">
      <c r="C855" t="s">
        <v>2716</v>
      </c>
      <c r="D855" t="s">
        <v>1864</v>
      </c>
      <c r="E855" t="s">
        <v>1864</v>
      </c>
      <c r="F855" t="s">
        <v>669</v>
      </c>
      <c r="G855" t="str">
        <f t="shared" si="67"/>
        <v>C</v>
      </c>
      <c r="H855" t="str">
        <f t="shared" si="68"/>
        <v>28</v>
      </c>
      <c r="I855" t="str">
        <f t="shared" si="69"/>
        <v>283</v>
      </c>
      <c r="J855" t="str">
        <f t="shared" si="70"/>
        <v>28291</v>
      </c>
      <c r="K855" t="str">
        <f t="shared" si="66"/>
        <v/>
      </c>
    </row>
    <row r="856" spans="3:11" x14ac:dyDescent="0.25">
      <c r="C856" t="s">
        <v>1864</v>
      </c>
      <c r="D856" t="s">
        <v>2717</v>
      </c>
      <c r="E856" t="s">
        <v>1864</v>
      </c>
      <c r="F856" t="s">
        <v>670</v>
      </c>
      <c r="G856" t="str">
        <f t="shared" si="67"/>
        <v>C</v>
      </c>
      <c r="H856" t="str">
        <f t="shared" si="68"/>
        <v>28</v>
      </c>
      <c r="I856" t="str">
        <f t="shared" si="69"/>
        <v>283</v>
      </c>
      <c r="J856" t="str">
        <f t="shared" si="70"/>
        <v>28313</v>
      </c>
      <c r="K856" t="str">
        <f t="shared" si="66"/>
        <v/>
      </c>
    </row>
    <row r="857" spans="3:11" x14ac:dyDescent="0.25">
      <c r="C857" t="s">
        <v>1864</v>
      </c>
      <c r="D857" t="s">
        <v>1864</v>
      </c>
      <c r="E857" t="s">
        <v>2718</v>
      </c>
      <c r="F857" t="s">
        <v>671</v>
      </c>
      <c r="G857" t="str">
        <f t="shared" si="67"/>
        <v>C</v>
      </c>
      <c r="H857" t="str">
        <f t="shared" si="68"/>
        <v>28</v>
      </c>
      <c r="I857" t="str">
        <f t="shared" si="69"/>
        <v>283</v>
      </c>
      <c r="J857" t="str">
        <f t="shared" si="70"/>
        <v>28313</v>
      </c>
      <c r="K857" t="str">
        <f t="shared" si="66"/>
        <v>2831300</v>
      </c>
    </row>
    <row r="858" spans="3:11" x14ac:dyDescent="0.25">
      <c r="C858" t="s">
        <v>1864</v>
      </c>
      <c r="D858" t="s">
        <v>2719</v>
      </c>
      <c r="E858" t="s">
        <v>1864</v>
      </c>
      <c r="F858" t="s">
        <v>672</v>
      </c>
      <c r="G858" t="str">
        <f t="shared" si="67"/>
        <v>C</v>
      </c>
      <c r="H858" t="str">
        <f t="shared" si="68"/>
        <v>28</v>
      </c>
      <c r="I858" t="str">
        <f t="shared" si="69"/>
        <v>283</v>
      </c>
      <c r="J858" t="str">
        <f t="shared" si="70"/>
        <v>28321</v>
      </c>
      <c r="K858" t="str">
        <f t="shared" si="66"/>
        <v/>
      </c>
    </row>
    <row r="859" spans="3:11" x14ac:dyDescent="0.25">
      <c r="C859" t="s">
        <v>1864</v>
      </c>
      <c r="D859" t="s">
        <v>1864</v>
      </c>
      <c r="E859" t="s">
        <v>2720</v>
      </c>
      <c r="F859" t="s">
        <v>673</v>
      </c>
      <c r="G859" t="str">
        <f t="shared" si="67"/>
        <v>C</v>
      </c>
      <c r="H859" t="str">
        <f t="shared" si="68"/>
        <v>28</v>
      </c>
      <c r="I859" t="str">
        <f t="shared" si="69"/>
        <v>283</v>
      </c>
      <c r="J859" t="str">
        <f t="shared" si="70"/>
        <v>28321</v>
      </c>
      <c r="K859" t="str">
        <f t="shared" si="66"/>
        <v>2832100</v>
      </c>
    </row>
    <row r="860" spans="3:11" x14ac:dyDescent="0.25">
      <c r="C860" t="s">
        <v>1864</v>
      </c>
      <c r="D860" t="s">
        <v>2721</v>
      </c>
      <c r="E860" t="s">
        <v>1864</v>
      </c>
      <c r="F860" t="s">
        <v>674</v>
      </c>
      <c r="G860" t="str">
        <f t="shared" si="67"/>
        <v>C</v>
      </c>
      <c r="H860" t="str">
        <f t="shared" si="68"/>
        <v>28</v>
      </c>
      <c r="I860" t="str">
        <f t="shared" si="69"/>
        <v>283</v>
      </c>
      <c r="J860" t="str">
        <f t="shared" si="70"/>
        <v>28330</v>
      </c>
      <c r="K860" t="str">
        <f t="shared" si="66"/>
        <v/>
      </c>
    </row>
    <row r="861" spans="3:11" x14ac:dyDescent="0.25">
      <c r="C861" t="s">
        <v>1864</v>
      </c>
      <c r="D861" t="s">
        <v>1864</v>
      </c>
      <c r="E861" t="s">
        <v>2722</v>
      </c>
      <c r="F861" t="s">
        <v>675</v>
      </c>
      <c r="G861" t="str">
        <f t="shared" si="67"/>
        <v>C</v>
      </c>
      <c r="H861" t="str">
        <f t="shared" si="68"/>
        <v>28</v>
      </c>
      <c r="I861" t="str">
        <f t="shared" si="69"/>
        <v>283</v>
      </c>
      <c r="J861" t="str">
        <f t="shared" si="70"/>
        <v>28330</v>
      </c>
      <c r="K861" t="str">
        <f t="shared" si="66"/>
        <v>2833000</v>
      </c>
    </row>
    <row r="862" spans="3:11" x14ac:dyDescent="0.25">
      <c r="C862" t="s">
        <v>2723</v>
      </c>
      <c r="D862" t="s">
        <v>1864</v>
      </c>
      <c r="E862" t="s">
        <v>1864</v>
      </c>
      <c r="F862" t="s">
        <v>676</v>
      </c>
      <c r="G862" t="str">
        <f t="shared" si="67"/>
        <v>C</v>
      </c>
      <c r="H862" t="str">
        <f t="shared" si="68"/>
        <v>28</v>
      </c>
      <c r="I862" t="str">
        <f t="shared" si="69"/>
        <v>284</v>
      </c>
      <c r="J862" t="str">
        <f t="shared" si="70"/>
        <v>28330</v>
      </c>
      <c r="K862" t="str">
        <f t="shared" si="66"/>
        <v/>
      </c>
    </row>
    <row r="863" spans="3:11" x14ac:dyDescent="0.25">
      <c r="C863" t="s">
        <v>1864</v>
      </c>
      <c r="D863" t="s">
        <v>2724</v>
      </c>
      <c r="E863" t="s">
        <v>1864</v>
      </c>
      <c r="F863" t="s">
        <v>676</v>
      </c>
      <c r="G863" t="str">
        <f t="shared" si="67"/>
        <v>C</v>
      </c>
      <c r="H863" t="str">
        <f t="shared" si="68"/>
        <v>28</v>
      </c>
      <c r="I863" t="str">
        <f t="shared" si="69"/>
        <v>284</v>
      </c>
      <c r="J863" t="str">
        <f t="shared" si="70"/>
        <v>28402</v>
      </c>
      <c r="K863" t="str">
        <f t="shared" si="66"/>
        <v/>
      </c>
    </row>
    <row r="864" spans="3:11" x14ac:dyDescent="0.25">
      <c r="C864" t="s">
        <v>1864</v>
      </c>
      <c r="D864" t="s">
        <v>1864</v>
      </c>
      <c r="E864" t="s">
        <v>2725</v>
      </c>
      <c r="F864" t="s">
        <v>677</v>
      </c>
      <c r="G864" t="str">
        <f t="shared" si="67"/>
        <v>C</v>
      </c>
      <c r="H864" t="str">
        <f t="shared" si="68"/>
        <v>28</v>
      </c>
      <c r="I864" t="str">
        <f t="shared" si="69"/>
        <v>284</v>
      </c>
      <c r="J864" t="str">
        <f t="shared" si="70"/>
        <v>28402</v>
      </c>
      <c r="K864" t="str">
        <f t="shared" si="66"/>
        <v>2840200</v>
      </c>
    </row>
    <row r="865" spans="3:11" x14ac:dyDescent="0.25">
      <c r="C865" t="s">
        <v>2726</v>
      </c>
      <c r="D865" t="s">
        <v>1864</v>
      </c>
      <c r="E865" t="s">
        <v>1864</v>
      </c>
      <c r="F865" t="s">
        <v>678</v>
      </c>
      <c r="G865" t="str">
        <f t="shared" si="67"/>
        <v>C</v>
      </c>
      <c r="H865" t="str">
        <f t="shared" si="68"/>
        <v>28</v>
      </c>
      <c r="I865" t="str">
        <f t="shared" si="69"/>
        <v>285</v>
      </c>
      <c r="J865" t="str">
        <f t="shared" si="70"/>
        <v>28402</v>
      </c>
      <c r="K865" t="str">
        <f t="shared" si="66"/>
        <v/>
      </c>
    </row>
    <row r="866" spans="3:11" x14ac:dyDescent="0.25">
      <c r="C866" t="s">
        <v>1864</v>
      </c>
      <c r="D866" t="s">
        <v>2727</v>
      </c>
      <c r="E866" t="s">
        <v>1864</v>
      </c>
      <c r="F866" t="s">
        <v>679</v>
      </c>
      <c r="G866" t="str">
        <f t="shared" si="67"/>
        <v>C</v>
      </c>
      <c r="H866" t="str">
        <f t="shared" si="68"/>
        <v>28</v>
      </c>
      <c r="I866" t="str">
        <f t="shared" si="69"/>
        <v>285</v>
      </c>
      <c r="J866" t="str">
        <f t="shared" si="70"/>
        <v>28518</v>
      </c>
      <c r="K866" t="str">
        <f t="shared" si="66"/>
        <v/>
      </c>
    </row>
    <row r="867" spans="3:11" x14ac:dyDescent="0.25">
      <c r="C867" t="s">
        <v>1864</v>
      </c>
      <c r="D867" t="s">
        <v>1864</v>
      </c>
      <c r="E867" t="s">
        <v>2728</v>
      </c>
      <c r="F867" t="s">
        <v>680</v>
      </c>
      <c r="G867" t="str">
        <f t="shared" si="67"/>
        <v>C</v>
      </c>
      <c r="H867" t="str">
        <f t="shared" si="68"/>
        <v>28</v>
      </c>
      <c r="I867" t="str">
        <f t="shared" si="69"/>
        <v>285</v>
      </c>
      <c r="J867" t="str">
        <f t="shared" si="70"/>
        <v>28518</v>
      </c>
      <c r="K867" t="str">
        <f t="shared" si="66"/>
        <v>2851800</v>
      </c>
    </row>
    <row r="868" spans="3:11" x14ac:dyDescent="0.25">
      <c r="C868" t="s">
        <v>1864</v>
      </c>
      <c r="D868" t="s">
        <v>2729</v>
      </c>
      <c r="E868" t="s">
        <v>1864</v>
      </c>
      <c r="F868" t="s">
        <v>681</v>
      </c>
      <c r="G868" t="str">
        <f t="shared" si="67"/>
        <v>C</v>
      </c>
      <c r="H868" t="str">
        <f t="shared" si="68"/>
        <v>28</v>
      </c>
      <c r="I868" t="str">
        <f t="shared" si="69"/>
        <v>285</v>
      </c>
      <c r="J868" t="str">
        <f t="shared" si="70"/>
        <v>28526</v>
      </c>
      <c r="K868" t="str">
        <f t="shared" si="66"/>
        <v/>
      </c>
    </row>
    <row r="869" spans="3:11" x14ac:dyDescent="0.25">
      <c r="C869" t="s">
        <v>1864</v>
      </c>
      <c r="D869" t="s">
        <v>1864</v>
      </c>
      <c r="E869" t="s">
        <v>2730</v>
      </c>
      <c r="F869" t="s">
        <v>682</v>
      </c>
      <c r="G869" t="str">
        <f t="shared" si="67"/>
        <v>C</v>
      </c>
      <c r="H869" t="str">
        <f t="shared" si="68"/>
        <v>28</v>
      </c>
      <c r="I869" t="str">
        <f t="shared" si="69"/>
        <v>285</v>
      </c>
      <c r="J869" t="str">
        <f t="shared" si="70"/>
        <v>28526</v>
      </c>
      <c r="K869" t="str">
        <f t="shared" si="66"/>
        <v>2852600</v>
      </c>
    </row>
    <row r="870" spans="3:11" x14ac:dyDescent="0.25">
      <c r="C870" t="s">
        <v>1864</v>
      </c>
      <c r="D870" t="s">
        <v>2731</v>
      </c>
      <c r="E870" t="s">
        <v>1864</v>
      </c>
      <c r="F870" t="s">
        <v>683</v>
      </c>
      <c r="G870" t="str">
        <f t="shared" si="67"/>
        <v>C</v>
      </c>
      <c r="H870" t="str">
        <f t="shared" si="68"/>
        <v>28</v>
      </c>
      <c r="I870" t="str">
        <f t="shared" si="69"/>
        <v>285</v>
      </c>
      <c r="J870" t="str">
        <f t="shared" si="70"/>
        <v>28534</v>
      </c>
      <c r="K870" t="str">
        <f t="shared" si="66"/>
        <v/>
      </c>
    </row>
    <row r="871" spans="3:11" x14ac:dyDescent="0.25">
      <c r="C871" t="s">
        <v>1864</v>
      </c>
      <c r="D871" t="s">
        <v>1864</v>
      </c>
      <c r="E871" t="s">
        <v>2732</v>
      </c>
      <c r="F871" t="s">
        <v>684</v>
      </c>
      <c r="G871" t="str">
        <f t="shared" si="67"/>
        <v>C</v>
      </c>
      <c r="H871" t="str">
        <f t="shared" si="68"/>
        <v>28</v>
      </c>
      <c r="I871" t="str">
        <f t="shared" si="69"/>
        <v>285</v>
      </c>
      <c r="J871" t="str">
        <f t="shared" si="70"/>
        <v>28534</v>
      </c>
      <c r="K871" t="str">
        <f t="shared" si="66"/>
        <v>2853400</v>
      </c>
    </row>
    <row r="872" spans="3:11" x14ac:dyDescent="0.25">
      <c r="C872" t="s">
        <v>1864</v>
      </c>
      <c r="D872" t="s">
        <v>2733</v>
      </c>
      <c r="E872" t="s">
        <v>1864</v>
      </c>
      <c r="F872" t="s">
        <v>685</v>
      </c>
      <c r="G872" t="str">
        <f t="shared" si="67"/>
        <v>C</v>
      </c>
      <c r="H872" t="str">
        <f t="shared" si="68"/>
        <v>28</v>
      </c>
      <c r="I872" t="str">
        <f t="shared" si="69"/>
        <v>285</v>
      </c>
      <c r="J872" t="str">
        <f t="shared" si="70"/>
        <v>28542</v>
      </c>
      <c r="K872" t="str">
        <f t="shared" si="66"/>
        <v/>
      </c>
    </row>
    <row r="873" spans="3:11" x14ac:dyDescent="0.25">
      <c r="C873" t="s">
        <v>1864</v>
      </c>
      <c r="D873" t="s">
        <v>1864</v>
      </c>
      <c r="E873" t="s">
        <v>2734</v>
      </c>
      <c r="F873" t="s">
        <v>686</v>
      </c>
      <c r="G873" t="str">
        <f t="shared" si="67"/>
        <v>C</v>
      </c>
      <c r="H873" t="str">
        <f t="shared" si="68"/>
        <v>28</v>
      </c>
      <c r="I873" t="str">
        <f t="shared" si="69"/>
        <v>285</v>
      </c>
      <c r="J873" t="str">
        <f t="shared" si="70"/>
        <v>28542</v>
      </c>
      <c r="K873" t="str">
        <f t="shared" si="66"/>
        <v>2854200</v>
      </c>
    </row>
    <row r="874" spans="3:11" x14ac:dyDescent="0.25">
      <c r="C874" t="s">
        <v>2735</v>
      </c>
      <c r="D874" t="s">
        <v>1864</v>
      </c>
      <c r="E874" t="s">
        <v>1864</v>
      </c>
      <c r="F874" t="s">
        <v>687</v>
      </c>
      <c r="G874" t="str">
        <f t="shared" si="67"/>
        <v>C</v>
      </c>
      <c r="H874" t="str">
        <f t="shared" si="68"/>
        <v>28</v>
      </c>
      <c r="I874" t="str">
        <f t="shared" si="69"/>
        <v>286</v>
      </c>
      <c r="J874" t="str">
        <f t="shared" si="70"/>
        <v>28542</v>
      </c>
      <c r="K874" t="str">
        <f t="shared" si="66"/>
        <v/>
      </c>
    </row>
    <row r="875" spans="3:11" x14ac:dyDescent="0.25">
      <c r="C875" t="s">
        <v>1864</v>
      </c>
      <c r="D875" t="s">
        <v>2736</v>
      </c>
      <c r="E875" t="s">
        <v>1864</v>
      </c>
      <c r="F875" t="s">
        <v>688</v>
      </c>
      <c r="G875" t="str">
        <f t="shared" si="67"/>
        <v>C</v>
      </c>
      <c r="H875" t="str">
        <f t="shared" si="68"/>
        <v>28</v>
      </c>
      <c r="I875" t="str">
        <f t="shared" si="69"/>
        <v>286</v>
      </c>
      <c r="J875" t="str">
        <f t="shared" si="70"/>
        <v>28615</v>
      </c>
      <c r="K875" t="str">
        <f t="shared" si="66"/>
        <v/>
      </c>
    </row>
    <row r="876" spans="3:11" x14ac:dyDescent="0.25">
      <c r="C876" t="s">
        <v>1864</v>
      </c>
      <c r="D876" t="s">
        <v>1864</v>
      </c>
      <c r="E876" t="s">
        <v>2737</v>
      </c>
      <c r="F876" t="s">
        <v>689</v>
      </c>
      <c r="G876" t="str">
        <f t="shared" si="67"/>
        <v>C</v>
      </c>
      <c r="H876" t="str">
        <f t="shared" si="68"/>
        <v>28</v>
      </c>
      <c r="I876" t="str">
        <f t="shared" si="69"/>
        <v>286</v>
      </c>
      <c r="J876" t="str">
        <f t="shared" si="70"/>
        <v>28615</v>
      </c>
      <c r="K876" t="str">
        <f t="shared" si="66"/>
        <v>2861500</v>
      </c>
    </row>
    <row r="877" spans="3:11" x14ac:dyDescent="0.25">
      <c r="C877" t="s">
        <v>1864</v>
      </c>
      <c r="D877" t="s">
        <v>2738</v>
      </c>
      <c r="E877" t="s">
        <v>1864</v>
      </c>
      <c r="F877" t="s">
        <v>690</v>
      </c>
      <c r="G877" t="str">
        <f t="shared" si="67"/>
        <v>C</v>
      </c>
      <c r="H877" t="str">
        <f t="shared" si="68"/>
        <v>28</v>
      </c>
      <c r="I877" t="str">
        <f t="shared" si="69"/>
        <v>286</v>
      </c>
      <c r="J877" t="str">
        <f t="shared" si="70"/>
        <v>28623</v>
      </c>
      <c r="K877" t="str">
        <f t="shared" si="66"/>
        <v/>
      </c>
    </row>
    <row r="878" spans="3:11" x14ac:dyDescent="0.25">
      <c r="C878" t="s">
        <v>1864</v>
      </c>
      <c r="D878" t="s">
        <v>1864</v>
      </c>
      <c r="E878" t="s">
        <v>2739</v>
      </c>
      <c r="F878" t="s">
        <v>691</v>
      </c>
      <c r="G878" t="str">
        <f t="shared" si="67"/>
        <v>C</v>
      </c>
      <c r="H878" t="str">
        <f t="shared" si="68"/>
        <v>28</v>
      </c>
      <c r="I878" t="str">
        <f t="shared" si="69"/>
        <v>286</v>
      </c>
      <c r="J878" t="str">
        <f t="shared" si="70"/>
        <v>28623</v>
      </c>
      <c r="K878" t="str">
        <f t="shared" si="66"/>
        <v>2862300</v>
      </c>
    </row>
    <row r="879" spans="3:11" x14ac:dyDescent="0.25">
      <c r="C879" t="s">
        <v>1864</v>
      </c>
      <c r="D879" t="s">
        <v>2740</v>
      </c>
      <c r="E879" t="s">
        <v>1864</v>
      </c>
      <c r="F879" t="s">
        <v>692</v>
      </c>
      <c r="G879" t="str">
        <f t="shared" si="67"/>
        <v>C</v>
      </c>
      <c r="H879" t="str">
        <f t="shared" si="68"/>
        <v>28</v>
      </c>
      <c r="I879" t="str">
        <f t="shared" si="69"/>
        <v>286</v>
      </c>
      <c r="J879" t="str">
        <f t="shared" si="70"/>
        <v>28631</v>
      </c>
      <c r="K879" t="str">
        <f t="shared" si="66"/>
        <v/>
      </c>
    </row>
    <row r="880" spans="3:11" x14ac:dyDescent="0.25">
      <c r="C880" t="s">
        <v>1864</v>
      </c>
      <c r="D880" t="s">
        <v>1864</v>
      </c>
      <c r="E880" t="s">
        <v>2741</v>
      </c>
      <c r="F880" t="s">
        <v>693</v>
      </c>
      <c r="G880" t="str">
        <f t="shared" si="67"/>
        <v>C</v>
      </c>
      <c r="H880" t="str">
        <f t="shared" si="68"/>
        <v>28</v>
      </c>
      <c r="I880" t="str">
        <f t="shared" si="69"/>
        <v>286</v>
      </c>
      <c r="J880" t="str">
        <f t="shared" si="70"/>
        <v>28631</v>
      </c>
      <c r="K880" t="str">
        <f t="shared" si="66"/>
        <v>2863100</v>
      </c>
    </row>
    <row r="881" spans="2:11" x14ac:dyDescent="0.25">
      <c r="C881" t="s">
        <v>1864</v>
      </c>
      <c r="D881" t="s">
        <v>2742</v>
      </c>
      <c r="E881" t="s">
        <v>1864</v>
      </c>
      <c r="F881" t="s">
        <v>694</v>
      </c>
      <c r="G881" t="str">
        <f t="shared" si="67"/>
        <v>C</v>
      </c>
      <c r="H881" t="str">
        <f t="shared" si="68"/>
        <v>28</v>
      </c>
      <c r="I881" t="str">
        <f t="shared" si="69"/>
        <v>286</v>
      </c>
      <c r="J881" t="str">
        <f t="shared" si="70"/>
        <v>28640</v>
      </c>
      <c r="K881" t="str">
        <f t="shared" si="66"/>
        <v/>
      </c>
    </row>
    <row r="882" spans="2:11" x14ac:dyDescent="0.25">
      <c r="C882" t="s">
        <v>1864</v>
      </c>
      <c r="D882" t="s">
        <v>1864</v>
      </c>
      <c r="E882" t="s">
        <v>2743</v>
      </c>
      <c r="F882" t="s">
        <v>695</v>
      </c>
      <c r="G882" t="str">
        <f t="shared" si="67"/>
        <v>C</v>
      </c>
      <c r="H882" t="str">
        <f t="shared" si="68"/>
        <v>28</v>
      </c>
      <c r="I882" t="str">
        <f t="shared" si="69"/>
        <v>286</v>
      </c>
      <c r="J882" t="str">
        <f t="shared" si="70"/>
        <v>28640</v>
      </c>
      <c r="K882" t="str">
        <f t="shared" si="66"/>
        <v>2864000</v>
      </c>
    </row>
    <row r="883" spans="2:11" x14ac:dyDescent="0.25">
      <c r="C883" t="s">
        <v>1864</v>
      </c>
      <c r="D883" t="s">
        <v>2744</v>
      </c>
      <c r="E883" t="s">
        <v>1864</v>
      </c>
      <c r="F883" t="s">
        <v>696</v>
      </c>
      <c r="G883" t="str">
        <f t="shared" si="67"/>
        <v>C</v>
      </c>
      <c r="H883" t="str">
        <f t="shared" si="68"/>
        <v>28</v>
      </c>
      <c r="I883" t="str">
        <f t="shared" si="69"/>
        <v>286</v>
      </c>
      <c r="J883" t="str">
        <f t="shared" si="70"/>
        <v>28658</v>
      </c>
      <c r="K883" t="str">
        <f t="shared" si="66"/>
        <v/>
      </c>
    </row>
    <row r="884" spans="2:11" x14ac:dyDescent="0.25">
      <c r="C884" t="s">
        <v>1864</v>
      </c>
      <c r="D884" t="s">
        <v>1864</v>
      </c>
      <c r="E884" t="s">
        <v>2745</v>
      </c>
      <c r="F884" t="s">
        <v>697</v>
      </c>
      <c r="G884" t="str">
        <f t="shared" si="67"/>
        <v>C</v>
      </c>
      <c r="H884" t="str">
        <f t="shared" si="68"/>
        <v>28</v>
      </c>
      <c r="I884" t="str">
        <f t="shared" si="69"/>
        <v>286</v>
      </c>
      <c r="J884" t="str">
        <f t="shared" si="70"/>
        <v>28658</v>
      </c>
      <c r="K884" t="str">
        <f t="shared" si="66"/>
        <v>2865800</v>
      </c>
    </row>
    <row r="885" spans="2:11" x14ac:dyDescent="0.25">
      <c r="C885" t="s">
        <v>1864</v>
      </c>
      <c r="D885" t="s">
        <v>2746</v>
      </c>
      <c r="E885" t="s">
        <v>1864</v>
      </c>
      <c r="F885" t="s">
        <v>698</v>
      </c>
      <c r="G885" t="str">
        <f t="shared" si="67"/>
        <v>C</v>
      </c>
      <c r="H885" t="str">
        <f t="shared" si="68"/>
        <v>28</v>
      </c>
      <c r="I885" t="str">
        <f t="shared" si="69"/>
        <v>286</v>
      </c>
      <c r="J885" t="str">
        <f t="shared" si="70"/>
        <v>28666</v>
      </c>
      <c r="K885" t="str">
        <f t="shared" si="66"/>
        <v/>
      </c>
    </row>
    <row r="886" spans="2:11" x14ac:dyDescent="0.25">
      <c r="C886" t="s">
        <v>1864</v>
      </c>
      <c r="D886" t="s">
        <v>1864</v>
      </c>
      <c r="E886" t="s">
        <v>2747</v>
      </c>
      <c r="F886" t="s">
        <v>699</v>
      </c>
      <c r="G886" t="str">
        <f t="shared" si="67"/>
        <v>C</v>
      </c>
      <c r="H886" t="str">
        <f t="shared" si="68"/>
        <v>28</v>
      </c>
      <c r="I886" t="str">
        <f t="shared" si="69"/>
        <v>286</v>
      </c>
      <c r="J886" t="str">
        <f t="shared" si="70"/>
        <v>28666</v>
      </c>
      <c r="K886" t="str">
        <f t="shared" si="66"/>
        <v>2866600</v>
      </c>
    </row>
    <row r="887" spans="2:11" x14ac:dyDescent="0.25">
      <c r="C887" t="s">
        <v>1864</v>
      </c>
      <c r="D887" t="s">
        <v>2748</v>
      </c>
      <c r="E887" t="s">
        <v>1864</v>
      </c>
      <c r="F887" t="s">
        <v>700</v>
      </c>
      <c r="G887" t="str">
        <f t="shared" si="67"/>
        <v>C</v>
      </c>
      <c r="H887" t="str">
        <f t="shared" si="68"/>
        <v>28</v>
      </c>
      <c r="I887" t="str">
        <f t="shared" si="69"/>
        <v>286</v>
      </c>
      <c r="J887" t="str">
        <f t="shared" si="70"/>
        <v>28691</v>
      </c>
      <c r="K887" t="str">
        <f t="shared" si="66"/>
        <v/>
      </c>
    </row>
    <row r="888" spans="2:11" x14ac:dyDescent="0.25">
      <c r="C888" t="s">
        <v>1864</v>
      </c>
      <c r="D888" t="s">
        <v>1864</v>
      </c>
      <c r="E888" t="s">
        <v>2749</v>
      </c>
      <c r="F888" t="s">
        <v>701</v>
      </c>
      <c r="G888" t="str">
        <f t="shared" si="67"/>
        <v>C</v>
      </c>
      <c r="H888" t="str">
        <f t="shared" si="68"/>
        <v>28</v>
      </c>
      <c r="I888" t="str">
        <f t="shared" si="69"/>
        <v>286</v>
      </c>
      <c r="J888" t="str">
        <f t="shared" si="70"/>
        <v>28691</v>
      </c>
      <c r="K888" t="str">
        <f t="shared" si="66"/>
        <v>2869100</v>
      </c>
    </row>
    <row r="889" spans="2:11" x14ac:dyDescent="0.25">
      <c r="B889" t="s">
        <v>2750</v>
      </c>
      <c r="C889" t="s">
        <v>1864</v>
      </c>
      <c r="D889" t="s">
        <v>1864</v>
      </c>
      <c r="E889" t="s">
        <v>1864</v>
      </c>
      <c r="F889" t="s">
        <v>702</v>
      </c>
      <c r="G889" t="str">
        <f t="shared" si="67"/>
        <v>C</v>
      </c>
      <c r="H889" t="str">
        <f t="shared" si="68"/>
        <v>29</v>
      </c>
      <c r="I889" t="str">
        <f t="shared" si="69"/>
        <v>286</v>
      </c>
      <c r="J889" t="str">
        <f t="shared" si="70"/>
        <v>28691</v>
      </c>
      <c r="K889" t="str">
        <f t="shared" si="66"/>
        <v/>
      </c>
    </row>
    <row r="890" spans="2:11" x14ac:dyDescent="0.25">
      <c r="C890" t="s">
        <v>2751</v>
      </c>
      <c r="D890" t="s">
        <v>1864</v>
      </c>
      <c r="E890" t="s">
        <v>1864</v>
      </c>
      <c r="F890" t="s">
        <v>703</v>
      </c>
      <c r="G890" t="str">
        <f t="shared" si="67"/>
        <v>C</v>
      </c>
      <c r="H890" t="str">
        <f t="shared" si="68"/>
        <v>29</v>
      </c>
      <c r="I890" t="str">
        <f t="shared" si="69"/>
        <v>291</v>
      </c>
      <c r="J890" t="str">
        <f t="shared" si="70"/>
        <v>28691</v>
      </c>
      <c r="K890" t="str">
        <f t="shared" si="66"/>
        <v/>
      </c>
    </row>
    <row r="891" spans="2:11" x14ac:dyDescent="0.25">
      <c r="C891" t="s">
        <v>1864</v>
      </c>
      <c r="D891" t="s">
        <v>2752</v>
      </c>
      <c r="E891" t="s">
        <v>1864</v>
      </c>
      <c r="F891" t="s">
        <v>703</v>
      </c>
      <c r="G891" t="str">
        <f t="shared" si="67"/>
        <v>C</v>
      </c>
      <c r="H891" t="str">
        <f t="shared" si="68"/>
        <v>29</v>
      </c>
      <c r="I891" t="str">
        <f t="shared" si="69"/>
        <v>291</v>
      </c>
      <c r="J891" t="str">
        <f t="shared" si="70"/>
        <v>29107</v>
      </c>
      <c r="K891" t="str">
        <f t="shared" si="66"/>
        <v/>
      </c>
    </row>
    <row r="892" spans="2:11" x14ac:dyDescent="0.25">
      <c r="C892" t="s">
        <v>1864</v>
      </c>
      <c r="D892" t="s">
        <v>1864</v>
      </c>
      <c r="E892" t="s">
        <v>2753</v>
      </c>
      <c r="F892" t="s">
        <v>703</v>
      </c>
      <c r="G892" t="str">
        <f t="shared" si="67"/>
        <v>C</v>
      </c>
      <c r="H892" t="str">
        <f t="shared" si="68"/>
        <v>29</v>
      </c>
      <c r="I892" t="str">
        <f t="shared" si="69"/>
        <v>291</v>
      </c>
      <c r="J892" t="str">
        <f t="shared" si="70"/>
        <v>29107</v>
      </c>
      <c r="K892" t="str">
        <f t="shared" si="66"/>
        <v>2910701</v>
      </c>
    </row>
    <row r="893" spans="2:11" x14ac:dyDescent="0.25">
      <c r="C893" t="s">
        <v>1864</v>
      </c>
      <c r="D893" t="s">
        <v>1864</v>
      </c>
      <c r="E893" t="s">
        <v>2754</v>
      </c>
      <c r="F893" t="s">
        <v>704</v>
      </c>
      <c r="G893" t="str">
        <f t="shared" si="67"/>
        <v>C</v>
      </c>
      <c r="H893" t="str">
        <f t="shared" si="68"/>
        <v>29</v>
      </c>
      <c r="I893" t="str">
        <f t="shared" si="69"/>
        <v>291</v>
      </c>
      <c r="J893" t="str">
        <f t="shared" si="70"/>
        <v>29107</v>
      </c>
      <c r="K893" t="str">
        <f t="shared" si="66"/>
        <v>2910702</v>
      </c>
    </row>
    <row r="894" spans="2:11" x14ac:dyDescent="0.25">
      <c r="C894" t="s">
        <v>1864</v>
      </c>
      <c r="D894" t="s">
        <v>1864</v>
      </c>
      <c r="E894" t="s">
        <v>2755</v>
      </c>
      <c r="F894" t="s">
        <v>705</v>
      </c>
      <c r="G894" t="str">
        <f t="shared" si="67"/>
        <v>C</v>
      </c>
      <c r="H894" t="str">
        <f t="shared" si="68"/>
        <v>29</v>
      </c>
      <c r="I894" t="str">
        <f t="shared" si="69"/>
        <v>291</v>
      </c>
      <c r="J894" t="str">
        <f t="shared" si="70"/>
        <v>29107</v>
      </c>
      <c r="K894" t="str">
        <f t="shared" si="66"/>
        <v>2910703</v>
      </c>
    </row>
    <row r="895" spans="2:11" x14ac:dyDescent="0.25">
      <c r="C895" t="s">
        <v>2756</v>
      </c>
      <c r="D895" t="s">
        <v>1864</v>
      </c>
      <c r="E895" t="s">
        <v>1864</v>
      </c>
      <c r="F895" t="s">
        <v>706</v>
      </c>
      <c r="G895" t="str">
        <f t="shared" si="67"/>
        <v>C</v>
      </c>
      <c r="H895" t="str">
        <f t="shared" si="68"/>
        <v>29</v>
      </c>
      <c r="I895" t="str">
        <f t="shared" si="69"/>
        <v>292</v>
      </c>
      <c r="J895" t="str">
        <f t="shared" si="70"/>
        <v>29107</v>
      </c>
      <c r="K895" t="str">
        <f t="shared" si="66"/>
        <v/>
      </c>
    </row>
    <row r="896" spans="2:11" x14ac:dyDescent="0.25">
      <c r="C896" t="s">
        <v>1864</v>
      </c>
      <c r="D896" t="s">
        <v>2757</v>
      </c>
      <c r="E896" t="s">
        <v>1864</v>
      </c>
      <c r="F896" t="s">
        <v>706</v>
      </c>
      <c r="G896" t="str">
        <f t="shared" si="67"/>
        <v>C</v>
      </c>
      <c r="H896" t="str">
        <f t="shared" si="68"/>
        <v>29</v>
      </c>
      <c r="I896" t="str">
        <f t="shared" si="69"/>
        <v>292</v>
      </c>
      <c r="J896" t="str">
        <f t="shared" si="70"/>
        <v>29204</v>
      </c>
      <c r="K896" t="str">
        <f t="shared" si="66"/>
        <v/>
      </c>
    </row>
    <row r="897" spans="3:11" x14ac:dyDescent="0.25">
      <c r="C897" t="s">
        <v>1864</v>
      </c>
      <c r="D897" t="s">
        <v>1864</v>
      </c>
      <c r="E897" t="s">
        <v>2758</v>
      </c>
      <c r="F897" t="s">
        <v>706</v>
      </c>
      <c r="G897" t="str">
        <f t="shared" si="67"/>
        <v>C</v>
      </c>
      <c r="H897" t="str">
        <f t="shared" si="68"/>
        <v>29</v>
      </c>
      <c r="I897" t="str">
        <f t="shared" si="69"/>
        <v>292</v>
      </c>
      <c r="J897" t="str">
        <f t="shared" si="70"/>
        <v>29204</v>
      </c>
      <c r="K897" t="str">
        <f t="shared" si="66"/>
        <v>2920401</v>
      </c>
    </row>
    <row r="898" spans="3:11" x14ac:dyDescent="0.25">
      <c r="C898" t="s">
        <v>1864</v>
      </c>
      <c r="D898" t="s">
        <v>1864</v>
      </c>
      <c r="E898" t="s">
        <v>2759</v>
      </c>
      <c r="F898" t="s">
        <v>707</v>
      </c>
      <c r="G898" t="str">
        <f t="shared" si="67"/>
        <v>C</v>
      </c>
      <c r="H898" t="str">
        <f t="shared" si="68"/>
        <v>29</v>
      </c>
      <c r="I898" t="str">
        <f t="shared" si="69"/>
        <v>292</v>
      </c>
      <c r="J898" t="str">
        <f t="shared" si="70"/>
        <v>29204</v>
      </c>
      <c r="K898" t="str">
        <f t="shared" si="66"/>
        <v>2920402</v>
      </c>
    </row>
    <row r="899" spans="3:11" x14ac:dyDescent="0.25">
      <c r="C899" t="s">
        <v>2760</v>
      </c>
      <c r="D899" t="s">
        <v>1864</v>
      </c>
      <c r="E899" t="s">
        <v>1864</v>
      </c>
      <c r="F899" t="s">
        <v>708</v>
      </c>
      <c r="G899" t="str">
        <f t="shared" si="67"/>
        <v>C</v>
      </c>
      <c r="H899" t="str">
        <f t="shared" si="68"/>
        <v>29</v>
      </c>
      <c r="I899" t="str">
        <f t="shared" si="69"/>
        <v>293</v>
      </c>
      <c r="J899" t="str">
        <f t="shared" si="70"/>
        <v>29204</v>
      </c>
      <c r="K899" t="str">
        <f t="shared" si="66"/>
        <v/>
      </c>
    </row>
    <row r="900" spans="3:11" x14ac:dyDescent="0.25">
      <c r="C900" t="s">
        <v>1864</v>
      </c>
      <c r="D900" t="s">
        <v>2761</v>
      </c>
      <c r="E900" t="s">
        <v>1864</v>
      </c>
      <c r="F900" t="s">
        <v>708</v>
      </c>
      <c r="G900" t="str">
        <f t="shared" si="67"/>
        <v>C</v>
      </c>
      <c r="H900" t="str">
        <f t="shared" si="68"/>
        <v>29</v>
      </c>
      <c r="I900" t="str">
        <f t="shared" si="69"/>
        <v>293</v>
      </c>
      <c r="J900" t="str">
        <f t="shared" si="70"/>
        <v>29301</v>
      </c>
      <c r="K900" t="str">
        <f t="shared" si="66"/>
        <v/>
      </c>
    </row>
    <row r="901" spans="3:11" x14ac:dyDescent="0.25">
      <c r="C901" t="s">
        <v>1864</v>
      </c>
      <c r="D901" t="s">
        <v>1864</v>
      </c>
      <c r="E901" t="s">
        <v>2762</v>
      </c>
      <c r="F901" t="s">
        <v>709</v>
      </c>
      <c r="G901" t="str">
        <f t="shared" si="67"/>
        <v>C</v>
      </c>
      <c r="H901" t="str">
        <f t="shared" si="68"/>
        <v>29</v>
      </c>
      <c r="I901" t="str">
        <f t="shared" si="69"/>
        <v>293</v>
      </c>
      <c r="J901" t="str">
        <f t="shared" si="70"/>
        <v>29301</v>
      </c>
      <c r="K901" t="str">
        <f t="shared" si="66"/>
        <v>2930101</v>
      </c>
    </row>
    <row r="902" spans="3:11" x14ac:dyDescent="0.25">
      <c r="C902" t="s">
        <v>1864</v>
      </c>
      <c r="D902" t="s">
        <v>1864</v>
      </c>
      <c r="E902" t="s">
        <v>2763</v>
      </c>
      <c r="F902" t="s">
        <v>710</v>
      </c>
      <c r="G902" t="str">
        <f t="shared" si="67"/>
        <v>C</v>
      </c>
      <c r="H902" t="str">
        <f t="shared" si="68"/>
        <v>29</v>
      </c>
      <c r="I902" t="str">
        <f t="shared" si="69"/>
        <v>293</v>
      </c>
      <c r="J902" t="str">
        <f t="shared" si="70"/>
        <v>29301</v>
      </c>
      <c r="K902" t="str">
        <f t="shared" si="66"/>
        <v>2930102</v>
      </c>
    </row>
    <row r="903" spans="3:11" x14ac:dyDescent="0.25">
      <c r="C903" t="s">
        <v>1864</v>
      </c>
      <c r="D903" t="s">
        <v>1864</v>
      </c>
      <c r="E903" t="s">
        <v>2764</v>
      </c>
      <c r="F903" t="s">
        <v>711</v>
      </c>
      <c r="G903" t="str">
        <f t="shared" si="67"/>
        <v>C</v>
      </c>
      <c r="H903" t="str">
        <f t="shared" si="68"/>
        <v>29</v>
      </c>
      <c r="I903" t="str">
        <f t="shared" si="69"/>
        <v>293</v>
      </c>
      <c r="J903" t="str">
        <f t="shared" si="70"/>
        <v>29301</v>
      </c>
      <c r="K903" t="str">
        <f t="shared" si="66"/>
        <v>2930103</v>
      </c>
    </row>
    <row r="904" spans="3:11" x14ac:dyDescent="0.25">
      <c r="C904" t="s">
        <v>2765</v>
      </c>
      <c r="D904" t="s">
        <v>1864</v>
      </c>
      <c r="E904" t="s">
        <v>1864</v>
      </c>
      <c r="F904" t="s">
        <v>712</v>
      </c>
      <c r="G904" t="str">
        <f t="shared" si="67"/>
        <v>C</v>
      </c>
      <c r="H904" t="str">
        <f t="shared" si="68"/>
        <v>29</v>
      </c>
      <c r="I904" t="str">
        <f t="shared" si="69"/>
        <v>294</v>
      </c>
      <c r="J904" t="str">
        <f t="shared" si="70"/>
        <v>29301</v>
      </c>
      <c r="K904" t="str">
        <f t="shared" ref="K904:K967" si="71">E904</f>
        <v/>
      </c>
    </row>
    <row r="905" spans="3:11" x14ac:dyDescent="0.25">
      <c r="C905" t="s">
        <v>1864</v>
      </c>
      <c r="D905" t="s">
        <v>2766</v>
      </c>
      <c r="E905" t="s">
        <v>1864</v>
      </c>
      <c r="F905" t="s">
        <v>713</v>
      </c>
      <c r="G905" t="str">
        <f t="shared" ref="G905:G968" si="72">IF(A905="",G904,A905)</f>
        <v>C</v>
      </c>
      <c r="H905" t="str">
        <f t="shared" ref="H905:H968" si="73">IF(B905="",H904,B905)</f>
        <v>29</v>
      </c>
      <c r="I905" t="str">
        <f t="shared" ref="I905:I968" si="74">IF(C905="",I904,C905)</f>
        <v>294</v>
      </c>
      <c r="J905" t="str">
        <f t="shared" ref="J905:J968" si="75">IF(D905="",J904,D905)</f>
        <v>29417</v>
      </c>
      <c r="K905" t="str">
        <f t="shared" si="71"/>
        <v/>
      </c>
    </row>
    <row r="906" spans="3:11" x14ac:dyDescent="0.25">
      <c r="C906" t="s">
        <v>1864</v>
      </c>
      <c r="D906" t="s">
        <v>1864</v>
      </c>
      <c r="E906" t="s">
        <v>2767</v>
      </c>
      <c r="F906" t="s">
        <v>713</v>
      </c>
      <c r="G906" t="str">
        <f t="shared" si="72"/>
        <v>C</v>
      </c>
      <c r="H906" t="str">
        <f t="shared" si="73"/>
        <v>29</v>
      </c>
      <c r="I906" t="str">
        <f t="shared" si="74"/>
        <v>294</v>
      </c>
      <c r="J906" t="str">
        <f t="shared" si="75"/>
        <v>29417</v>
      </c>
      <c r="K906" t="str">
        <f t="shared" si="71"/>
        <v>2941700</v>
      </c>
    </row>
    <row r="907" spans="3:11" x14ac:dyDescent="0.25">
      <c r="C907" t="s">
        <v>1864</v>
      </c>
      <c r="D907" t="s">
        <v>2768</v>
      </c>
      <c r="E907" t="s">
        <v>1864</v>
      </c>
      <c r="F907" t="s">
        <v>714</v>
      </c>
      <c r="G907" t="str">
        <f t="shared" si="72"/>
        <v>C</v>
      </c>
      <c r="H907" t="str">
        <f t="shared" si="73"/>
        <v>29</v>
      </c>
      <c r="I907" t="str">
        <f t="shared" si="74"/>
        <v>294</v>
      </c>
      <c r="J907" t="str">
        <f t="shared" si="75"/>
        <v>29425</v>
      </c>
      <c r="K907" t="str">
        <f t="shared" si="71"/>
        <v/>
      </c>
    </row>
    <row r="908" spans="3:11" x14ac:dyDescent="0.25">
      <c r="C908" t="s">
        <v>1864</v>
      </c>
      <c r="D908" t="s">
        <v>1864</v>
      </c>
      <c r="E908" t="s">
        <v>2769</v>
      </c>
      <c r="F908" t="s">
        <v>714</v>
      </c>
      <c r="G908" t="str">
        <f t="shared" si="72"/>
        <v>C</v>
      </c>
      <c r="H908" t="str">
        <f t="shared" si="73"/>
        <v>29</v>
      </c>
      <c r="I908" t="str">
        <f t="shared" si="74"/>
        <v>294</v>
      </c>
      <c r="J908" t="str">
        <f t="shared" si="75"/>
        <v>29425</v>
      </c>
      <c r="K908" t="str">
        <f t="shared" si="71"/>
        <v>2942500</v>
      </c>
    </row>
    <row r="909" spans="3:11" x14ac:dyDescent="0.25">
      <c r="C909" t="s">
        <v>1864</v>
      </c>
      <c r="D909" t="s">
        <v>2770</v>
      </c>
      <c r="E909" t="s">
        <v>1864</v>
      </c>
      <c r="F909" t="s">
        <v>715</v>
      </c>
      <c r="G909" t="str">
        <f t="shared" si="72"/>
        <v>C</v>
      </c>
      <c r="H909" t="str">
        <f t="shared" si="73"/>
        <v>29</v>
      </c>
      <c r="I909" t="str">
        <f t="shared" si="74"/>
        <v>294</v>
      </c>
      <c r="J909" t="str">
        <f t="shared" si="75"/>
        <v>29433</v>
      </c>
      <c r="K909" t="str">
        <f t="shared" si="71"/>
        <v/>
      </c>
    </row>
    <row r="910" spans="3:11" x14ac:dyDescent="0.25">
      <c r="C910" t="s">
        <v>1864</v>
      </c>
      <c r="D910" t="s">
        <v>1864</v>
      </c>
      <c r="E910" t="s">
        <v>2771</v>
      </c>
      <c r="F910" t="s">
        <v>715</v>
      </c>
      <c r="G910" t="str">
        <f t="shared" si="72"/>
        <v>C</v>
      </c>
      <c r="H910" t="str">
        <f t="shared" si="73"/>
        <v>29</v>
      </c>
      <c r="I910" t="str">
        <f t="shared" si="74"/>
        <v>294</v>
      </c>
      <c r="J910" t="str">
        <f t="shared" si="75"/>
        <v>29433</v>
      </c>
      <c r="K910" t="str">
        <f t="shared" si="71"/>
        <v>2943300</v>
      </c>
    </row>
    <row r="911" spans="3:11" x14ac:dyDescent="0.25">
      <c r="C911" t="s">
        <v>1864</v>
      </c>
      <c r="D911" t="s">
        <v>2772</v>
      </c>
      <c r="E911" t="s">
        <v>1864</v>
      </c>
      <c r="F911" t="s">
        <v>716</v>
      </c>
      <c r="G911" t="str">
        <f t="shared" si="72"/>
        <v>C</v>
      </c>
      <c r="H911" t="str">
        <f t="shared" si="73"/>
        <v>29</v>
      </c>
      <c r="I911" t="str">
        <f t="shared" si="74"/>
        <v>294</v>
      </c>
      <c r="J911" t="str">
        <f t="shared" si="75"/>
        <v>29441</v>
      </c>
      <c r="K911" t="str">
        <f t="shared" si="71"/>
        <v/>
      </c>
    </row>
    <row r="912" spans="3:11" x14ac:dyDescent="0.25">
      <c r="C912" t="s">
        <v>1864</v>
      </c>
      <c r="D912" t="s">
        <v>1864</v>
      </c>
      <c r="E912" t="s">
        <v>2773</v>
      </c>
      <c r="F912" t="s">
        <v>716</v>
      </c>
      <c r="G912" t="str">
        <f t="shared" si="72"/>
        <v>C</v>
      </c>
      <c r="H912" t="str">
        <f t="shared" si="73"/>
        <v>29</v>
      </c>
      <c r="I912" t="str">
        <f t="shared" si="74"/>
        <v>294</v>
      </c>
      <c r="J912" t="str">
        <f t="shared" si="75"/>
        <v>29441</v>
      </c>
      <c r="K912" t="str">
        <f t="shared" si="71"/>
        <v>2944100</v>
      </c>
    </row>
    <row r="913" spans="2:11" x14ac:dyDescent="0.25">
      <c r="C913" t="s">
        <v>1864</v>
      </c>
      <c r="D913" t="s">
        <v>2774</v>
      </c>
      <c r="E913" t="s">
        <v>1864</v>
      </c>
      <c r="F913" t="s">
        <v>717</v>
      </c>
      <c r="G913" t="str">
        <f t="shared" si="72"/>
        <v>C</v>
      </c>
      <c r="H913" t="str">
        <f t="shared" si="73"/>
        <v>29</v>
      </c>
      <c r="I913" t="str">
        <f t="shared" si="74"/>
        <v>294</v>
      </c>
      <c r="J913" t="str">
        <f t="shared" si="75"/>
        <v>29450</v>
      </c>
      <c r="K913" t="str">
        <f t="shared" si="71"/>
        <v/>
      </c>
    </row>
    <row r="914" spans="2:11" x14ac:dyDescent="0.25">
      <c r="C914" t="s">
        <v>1864</v>
      </c>
      <c r="D914" t="s">
        <v>1864</v>
      </c>
      <c r="E914" t="s">
        <v>2775</v>
      </c>
      <c r="F914" t="s">
        <v>717</v>
      </c>
      <c r="G914" t="str">
        <f t="shared" si="72"/>
        <v>C</v>
      </c>
      <c r="H914" t="str">
        <f t="shared" si="73"/>
        <v>29</v>
      </c>
      <c r="I914" t="str">
        <f t="shared" si="74"/>
        <v>294</v>
      </c>
      <c r="J914" t="str">
        <f t="shared" si="75"/>
        <v>29450</v>
      </c>
      <c r="K914" t="str">
        <f t="shared" si="71"/>
        <v>2945000</v>
      </c>
    </row>
    <row r="915" spans="2:11" x14ac:dyDescent="0.25">
      <c r="C915" t="s">
        <v>1864</v>
      </c>
      <c r="D915" t="s">
        <v>2776</v>
      </c>
      <c r="E915" t="s">
        <v>1864</v>
      </c>
      <c r="F915" t="s">
        <v>718</v>
      </c>
      <c r="G915" t="str">
        <f t="shared" si="72"/>
        <v>C</v>
      </c>
      <c r="H915" t="str">
        <f t="shared" si="73"/>
        <v>29</v>
      </c>
      <c r="I915" t="str">
        <f t="shared" si="74"/>
        <v>294</v>
      </c>
      <c r="J915" t="str">
        <f t="shared" si="75"/>
        <v>29492</v>
      </c>
      <c r="K915" t="str">
        <f t="shared" si="71"/>
        <v/>
      </c>
    </row>
    <row r="916" spans="2:11" x14ac:dyDescent="0.25">
      <c r="C916" t="s">
        <v>1864</v>
      </c>
      <c r="D916" t="s">
        <v>1864</v>
      </c>
      <c r="E916" t="s">
        <v>2777</v>
      </c>
      <c r="F916" t="s">
        <v>719</v>
      </c>
      <c r="G916" t="str">
        <f t="shared" si="72"/>
        <v>C</v>
      </c>
      <c r="H916" t="str">
        <f t="shared" si="73"/>
        <v>29</v>
      </c>
      <c r="I916" t="str">
        <f t="shared" si="74"/>
        <v>294</v>
      </c>
      <c r="J916" t="str">
        <f t="shared" si="75"/>
        <v>29492</v>
      </c>
      <c r="K916" t="str">
        <f t="shared" si="71"/>
        <v>2949201</v>
      </c>
    </row>
    <row r="917" spans="2:11" x14ac:dyDescent="0.25">
      <c r="C917" t="s">
        <v>1864</v>
      </c>
      <c r="D917" t="s">
        <v>1864</v>
      </c>
      <c r="E917" t="s">
        <v>2778</v>
      </c>
      <c r="F917" t="s">
        <v>720</v>
      </c>
      <c r="G917" t="str">
        <f t="shared" si="72"/>
        <v>C</v>
      </c>
      <c r="H917" t="str">
        <f t="shared" si="73"/>
        <v>29</v>
      </c>
      <c r="I917" t="str">
        <f t="shared" si="74"/>
        <v>294</v>
      </c>
      <c r="J917" t="str">
        <f t="shared" si="75"/>
        <v>29492</v>
      </c>
      <c r="K917" t="str">
        <f t="shared" si="71"/>
        <v>2949299</v>
      </c>
    </row>
    <row r="918" spans="2:11" x14ac:dyDescent="0.25">
      <c r="C918" t="s">
        <v>2779</v>
      </c>
      <c r="D918" t="s">
        <v>1864</v>
      </c>
      <c r="E918" t="s">
        <v>1864</v>
      </c>
      <c r="F918" t="s">
        <v>721</v>
      </c>
      <c r="G918" t="str">
        <f t="shared" si="72"/>
        <v>C</v>
      </c>
      <c r="H918" t="str">
        <f t="shared" si="73"/>
        <v>29</v>
      </c>
      <c r="I918" t="str">
        <f t="shared" si="74"/>
        <v>295</v>
      </c>
      <c r="J918" t="str">
        <f t="shared" si="75"/>
        <v>29492</v>
      </c>
      <c r="K918" t="str">
        <f t="shared" si="71"/>
        <v/>
      </c>
    </row>
    <row r="919" spans="2:11" x14ac:dyDescent="0.25">
      <c r="C919" t="s">
        <v>1864</v>
      </c>
      <c r="D919" t="s">
        <v>2780</v>
      </c>
      <c r="E919" t="s">
        <v>1864</v>
      </c>
      <c r="F919" t="s">
        <v>721</v>
      </c>
      <c r="G919" t="str">
        <f t="shared" si="72"/>
        <v>C</v>
      </c>
      <c r="H919" t="str">
        <f t="shared" si="73"/>
        <v>29</v>
      </c>
      <c r="I919" t="str">
        <f t="shared" si="74"/>
        <v>295</v>
      </c>
      <c r="J919" t="str">
        <f t="shared" si="75"/>
        <v>29506</v>
      </c>
      <c r="K919" t="str">
        <f t="shared" si="71"/>
        <v/>
      </c>
    </row>
    <row r="920" spans="2:11" x14ac:dyDescent="0.25">
      <c r="C920" t="s">
        <v>1864</v>
      </c>
      <c r="D920" t="s">
        <v>1864</v>
      </c>
      <c r="E920" t="s">
        <v>2781</v>
      </c>
      <c r="F920" t="s">
        <v>721</v>
      </c>
      <c r="G920" t="str">
        <f t="shared" si="72"/>
        <v>C</v>
      </c>
      <c r="H920" t="str">
        <f t="shared" si="73"/>
        <v>29</v>
      </c>
      <c r="I920" t="str">
        <f t="shared" si="74"/>
        <v>295</v>
      </c>
      <c r="J920" t="str">
        <f t="shared" si="75"/>
        <v>29506</v>
      </c>
      <c r="K920" t="str">
        <f t="shared" si="71"/>
        <v>2950600</v>
      </c>
    </row>
    <row r="921" spans="2:11" x14ac:dyDescent="0.25">
      <c r="B921" t="s">
        <v>2782</v>
      </c>
      <c r="C921" t="s">
        <v>1864</v>
      </c>
      <c r="D921" t="s">
        <v>1864</v>
      </c>
      <c r="E921" t="s">
        <v>1864</v>
      </c>
      <c r="F921" t="s">
        <v>722</v>
      </c>
      <c r="G921" t="str">
        <f t="shared" si="72"/>
        <v>C</v>
      </c>
      <c r="H921" t="str">
        <f t="shared" si="73"/>
        <v>30</v>
      </c>
      <c r="I921" t="str">
        <f t="shared" si="74"/>
        <v>295</v>
      </c>
      <c r="J921" t="str">
        <f t="shared" si="75"/>
        <v>29506</v>
      </c>
      <c r="K921" t="str">
        <f t="shared" si="71"/>
        <v/>
      </c>
    </row>
    <row r="922" spans="2:11" x14ac:dyDescent="0.25">
      <c r="C922" t="s">
        <v>2783</v>
      </c>
      <c r="D922" t="s">
        <v>1864</v>
      </c>
      <c r="E922" t="s">
        <v>1864</v>
      </c>
      <c r="F922" t="s">
        <v>723</v>
      </c>
      <c r="G922" t="str">
        <f t="shared" si="72"/>
        <v>C</v>
      </c>
      <c r="H922" t="str">
        <f t="shared" si="73"/>
        <v>30</v>
      </c>
      <c r="I922" t="str">
        <f t="shared" si="74"/>
        <v>301</v>
      </c>
      <c r="J922" t="str">
        <f t="shared" si="75"/>
        <v>29506</v>
      </c>
      <c r="K922" t="str">
        <f t="shared" si="71"/>
        <v/>
      </c>
    </row>
    <row r="923" spans="2:11" x14ac:dyDescent="0.25">
      <c r="C923" t="s">
        <v>1864</v>
      </c>
      <c r="D923" t="s">
        <v>2784</v>
      </c>
      <c r="E923" t="s">
        <v>1864</v>
      </c>
      <c r="F923" t="s">
        <v>724</v>
      </c>
      <c r="G923" t="str">
        <f t="shared" si="72"/>
        <v>C</v>
      </c>
      <c r="H923" t="str">
        <f t="shared" si="73"/>
        <v>30</v>
      </c>
      <c r="I923" t="str">
        <f t="shared" si="74"/>
        <v>301</v>
      </c>
      <c r="J923" t="str">
        <f t="shared" si="75"/>
        <v>30113</v>
      </c>
      <c r="K923" t="str">
        <f t="shared" si="71"/>
        <v/>
      </c>
    </row>
    <row r="924" spans="2:11" x14ac:dyDescent="0.25">
      <c r="C924" t="s">
        <v>1864</v>
      </c>
      <c r="D924" t="s">
        <v>1864</v>
      </c>
      <c r="E924" t="s">
        <v>2785</v>
      </c>
      <c r="F924" t="s">
        <v>725</v>
      </c>
      <c r="G924" t="str">
        <f t="shared" si="72"/>
        <v>C</v>
      </c>
      <c r="H924" t="str">
        <f t="shared" si="73"/>
        <v>30</v>
      </c>
      <c r="I924" t="str">
        <f t="shared" si="74"/>
        <v>301</v>
      </c>
      <c r="J924" t="str">
        <f t="shared" si="75"/>
        <v>30113</v>
      </c>
      <c r="K924" t="str">
        <f t="shared" si="71"/>
        <v>3011301</v>
      </c>
    </row>
    <row r="925" spans="2:11" x14ac:dyDescent="0.25">
      <c r="C925" t="s">
        <v>1864</v>
      </c>
      <c r="D925" t="s">
        <v>1864</v>
      </c>
      <c r="E925" t="s">
        <v>2786</v>
      </c>
      <c r="F925" t="s">
        <v>726</v>
      </c>
      <c r="G925" t="str">
        <f t="shared" si="72"/>
        <v>C</v>
      </c>
      <c r="H925" t="str">
        <f t="shared" si="73"/>
        <v>30</v>
      </c>
      <c r="I925" t="str">
        <f t="shared" si="74"/>
        <v>301</v>
      </c>
      <c r="J925" t="str">
        <f t="shared" si="75"/>
        <v>30113</v>
      </c>
      <c r="K925" t="str">
        <f t="shared" si="71"/>
        <v>3011302</v>
      </c>
    </row>
    <row r="926" spans="2:11" x14ac:dyDescent="0.25">
      <c r="C926" t="s">
        <v>1864</v>
      </c>
      <c r="D926" t="s">
        <v>2787</v>
      </c>
      <c r="E926" t="s">
        <v>1864</v>
      </c>
      <c r="F926" t="s">
        <v>727</v>
      </c>
      <c r="G926" t="str">
        <f t="shared" si="72"/>
        <v>C</v>
      </c>
      <c r="H926" t="str">
        <f t="shared" si="73"/>
        <v>30</v>
      </c>
      <c r="I926" t="str">
        <f t="shared" si="74"/>
        <v>301</v>
      </c>
      <c r="J926" t="str">
        <f t="shared" si="75"/>
        <v>30121</v>
      </c>
      <c r="K926" t="str">
        <f t="shared" si="71"/>
        <v/>
      </c>
    </row>
    <row r="927" spans="2:11" x14ac:dyDescent="0.25">
      <c r="C927" t="s">
        <v>1864</v>
      </c>
      <c r="D927" t="s">
        <v>1864</v>
      </c>
      <c r="E927" t="s">
        <v>2788</v>
      </c>
      <c r="F927" t="s">
        <v>727</v>
      </c>
      <c r="G927" t="str">
        <f t="shared" si="72"/>
        <v>C</v>
      </c>
      <c r="H927" t="str">
        <f t="shared" si="73"/>
        <v>30</v>
      </c>
      <c r="I927" t="str">
        <f t="shared" si="74"/>
        <v>301</v>
      </c>
      <c r="J927" t="str">
        <f t="shared" si="75"/>
        <v>30121</v>
      </c>
      <c r="K927" t="str">
        <f t="shared" si="71"/>
        <v>3012100</v>
      </c>
    </row>
    <row r="928" spans="2:11" x14ac:dyDescent="0.25">
      <c r="C928" t="s">
        <v>2789</v>
      </c>
      <c r="D928" t="s">
        <v>1864</v>
      </c>
      <c r="E928" t="s">
        <v>1864</v>
      </c>
      <c r="F928" t="s">
        <v>728</v>
      </c>
      <c r="G928" t="str">
        <f t="shared" si="72"/>
        <v>C</v>
      </c>
      <c r="H928" t="str">
        <f t="shared" si="73"/>
        <v>30</v>
      </c>
      <c r="I928" t="str">
        <f t="shared" si="74"/>
        <v>303</v>
      </c>
      <c r="J928" t="str">
        <f t="shared" si="75"/>
        <v>30121</v>
      </c>
      <c r="K928" t="str">
        <f t="shared" si="71"/>
        <v/>
      </c>
    </row>
    <row r="929" spans="3:11" x14ac:dyDescent="0.25">
      <c r="C929" t="s">
        <v>1864</v>
      </c>
      <c r="D929" t="s">
        <v>2790</v>
      </c>
      <c r="E929" t="s">
        <v>1864</v>
      </c>
      <c r="F929" t="s">
        <v>729</v>
      </c>
      <c r="G929" t="str">
        <f t="shared" si="72"/>
        <v>C</v>
      </c>
      <c r="H929" t="str">
        <f t="shared" si="73"/>
        <v>30</v>
      </c>
      <c r="I929" t="str">
        <f t="shared" si="74"/>
        <v>303</v>
      </c>
      <c r="J929" t="str">
        <f t="shared" si="75"/>
        <v>30318</v>
      </c>
      <c r="K929" t="str">
        <f t="shared" si="71"/>
        <v/>
      </c>
    </row>
    <row r="930" spans="3:11" x14ac:dyDescent="0.25">
      <c r="C930" t="s">
        <v>1864</v>
      </c>
      <c r="D930" t="s">
        <v>1864</v>
      </c>
      <c r="E930" t="s">
        <v>2791</v>
      </c>
      <c r="F930" t="s">
        <v>729</v>
      </c>
      <c r="G930" t="str">
        <f t="shared" si="72"/>
        <v>C</v>
      </c>
      <c r="H930" t="str">
        <f t="shared" si="73"/>
        <v>30</v>
      </c>
      <c r="I930" t="str">
        <f t="shared" si="74"/>
        <v>303</v>
      </c>
      <c r="J930" t="str">
        <f t="shared" si="75"/>
        <v>30318</v>
      </c>
      <c r="K930" t="str">
        <f t="shared" si="71"/>
        <v>3031800</v>
      </c>
    </row>
    <row r="931" spans="3:11" x14ac:dyDescent="0.25">
      <c r="C931" t="s">
        <v>1864</v>
      </c>
      <c r="D931" t="s">
        <v>2792</v>
      </c>
      <c r="E931" t="s">
        <v>1864</v>
      </c>
      <c r="F931" t="s">
        <v>730</v>
      </c>
      <c r="G931" t="str">
        <f t="shared" si="72"/>
        <v>C</v>
      </c>
      <c r="H931" t="str">
        <f t="shared" si="73"/>
        <v>30</v>
      </c>
      <c r="I931" t="str">
        <f t="shared" si="74"/>
        <v>303</v>
      </c>
      <c r="J931" t="str">
        <f t="shared" si="75"/>
        <v>30326</v>
      </c>
      <c r="K931" t="str">
        <f t="shared" si="71"/>
        <v/>
      </c>
    </row>
    <row r="932" spans="3:11" x14ac:dyDescent="0.25">
      <c r="C932" t="s">
        <v>1864</v>
      </c>
      <c r="D932" t="s">
        <v>1864</v>
      </c>
      <c r="E932" t="s">
        <v>2793</v>
      </c>
      <c r="F932" t="s">
        <v>730</v>
      </c>
      <c r="G932" t="str">
        <f t="shared" si="72"/>
        <v>C</v>
      </c>
      <c r="H932" t="str">
        <f t="shared" si="73"/>
        <v>30</v>
      </c>
      <c r="I932" t="str">
        <f t="shared" si="74"/>
        <v>303</v>
      </c>
      <c r="J932" t="str">
        <f t="shared" si="75"/>
        <v>30326</v>
      </c>
      <c r="K932" t="str">
        <f t="shared" si="71"/>
        <v>3032600</v>
      </c>
    </row>
    <row r="933" spans="3:11" x14ac:dyDescent="0.25">
      <c r="C933" t="s">
        <v>2794</v>
      </c>
      <c r="D933" t="s">
        <v>1864</v>
      </c>
      <c r="E933" t="s">
        <v>1864</v>
      </c>
      <c r="F933" t="s">
        <v>731</v>
      </c>
      <c r="G933" t="str">
        <f t="shared" si="72"/>
        <v>C</v>
      </c>
      <c r="H933" t="str">
        <f t="shared" si="73"/>
        <v>30</v>
      </c>
      <c r="I933" t="str">
        <f t="shared" si="74"/>
        <v>304</v>
      </c>
      <c r="J933" t="str">
        <f t="shared" si="75"/>
        <v>30326</v>
      </c>
      <c r="K933" t="str">
        <f t="shared" si="71"/>
        <v/>
      </c>
    </row>
    <row r="934" spans="3:11" x14ac:dyDescent="0.25">
      <c r="C934" t="s">
        <v>1864</v>
      </c>
      <c r="D934" t="s">
        <v>2795</v>
      </c>
      <c r="E934" t="s">
        <v>1864</v>
      </c>
      <c r="F934" t="s">
        <v>731</v>
      </c>
      <c r="G934" t="str">
        <f t="shared" si="72"/>
        <v>C</v>
      </c>
      <c r="H934" t="str">
        <f t="shared" si="73"/>
        <v>30</v>
      </c>
      <c r="I934" t="str">
        <f t="shared" si="74"/>
        <v>304</v>
      </c>
      <c r="J934" t="str">
        <f t="shared" si="75"/>
        <v>30415</v>
      </c>
      <c r="K934" t="str">
        <f t="shared" si="71"/>
        <v/>
      </c>
    </row>
    <row r="935" spans="3:11" x14ac:dyDescent="0.25">
      <c r="C935" t="s">
        <v>1864</v>
      </c>
      <c r="D935" t="s">
        <v>1864</v>
      </c>
      <c r="E935" t="s">
        <v>2796</v>
      </c>
      <c r="F935" t="s">
        <v>731</v>
      </c>
      <c r="G935" t="str">
        <f t="shared" si="72"/>
        <v>C</v>
      </c>
      <c r="H935" t="str">
        <f t="shared" si="73"/>
        <v>30</v>
      </c>
      <c r="I935" t="str">
        <f t="shared" si="74"/>
        <v>304</v>
      </c>
      <c r="J935" t="str">
        <f t="shared" si="75"/>
        <v>30415</v>
      </c>
      <c r="K935" t="str">
        <f t="shared" si="71"/>
        <v>3041500</v>
      </c>
    </row>
    <row r="936" spans="3:11" x14ac:dyDescent="0.25">
      <c r="C936" t="s">
        <v>1864</v>
      </c>
      <c r="D936" t="s">
        <v>2797</v>
      </c>
      <c r="E936" t="s">
        <v>1864</v>
      </c>
      <c r="F936" t="s">
        <v>732</v>
      </c>
      <c r="G936" t="str">
        <f t="shared" si="72"/>
        <v>C</v>
      </c>
      <c r="H936" t="str">
        <f t="shared" si="73"/>
        <v>30</v>
      </c>
      <c r="I936" t="str">
        <f t="shared" si="74"/>
        <v>304</v>
      </c>
      <c r="J936" t="str">
        <f t="shared" si="75"/>
        <v>30423</v>
      </c>
      <c r="K936" t="str">
        <f t="shared" si="71"/>
        <v/>
      </c>
    </row>
    <row r="937" spans="3:11" x14ac:dyDescent="0.25">
      <c r="C937" t="s">
        <v>1864</v>
      </c>
      <c r="D937" t="s">
        <v>1864</v>
      </c>
      <c r="E937" t="s">
        <v>2798</v>
      </c>
      <c r="F937" t="s">
        <v>732</v>
      </c>
      <c r="G937" t="str">
        <f t="shared" si="72"/>
        <v>C</v>
      </c>
      <c r="H937" t="str">
        <f t="shared" si="73"/>
        <v>30</v>
      </c>
      <c r="I937" t="str">
        <f t="shared" si="74"/>
        <v>304</v>
      </c>
      <c r="J937" t="str">
        <f t="shared" si="75"/>
        <v>30423</v>
      </c>
      <c r="K937" t="str">
        <f t="shared" si="71"/>
        <v>3042300</v>
      </c>
    </row>
    <row r="938" spans="3:11" x14ac:dyDescent="0.25">
      <c r="C938" t="s">
        <v>2799</v>
      </c>
      <c r="D938" t="s">
        <v>1864</v>
      </c>
      <c r="E938" t="s">
        <v>1864</v>
      </c>
      <c r="F938" t="s">
        <v>733</v>
      </c>
      <c r="G938" t="str">
        <f t="shared" si="72"/>
        <v>C</v>
      </c>
      <c r="H938" t="str">
        <f t="shared" si="73"/>
        <v>30</v>
      </c>
      <c r="I938" t="str">
        <f t="shared" si="74"/>
        <v>305</v>
      </c>
      <c r="J938" t="str">
        <f t="shared" si="75"/>
        <v>30423</v>
      </c>
      <c r="K938" t="str">
        <f t="shared" si="71"/>
        <v/>
      </c>
    </row>
    <row r="939" spans="3:11" x14ac:dyDescent="0.25">
      <c r="C939" t="s">
        <v>1864</v>
      </c>
      <c r="D939" t="s">
        <v>2800</v>
      </c>
      <c r="E939" t="s">
        <v>1864</v>
      </c>
      <c r="F939" t="s">
        <v>733</v>
      </c>
      <c r="G939" t="str">
        <f t="shared" si="72"/>
        <v>C</v>
      </c>
      <c r="H939" t="str">
        <f t="shared" si="73"/>
        <v>30</v>
      </c>
      <c r="I939" t="str">
        <f t="shared" si="74"/>
        <v>305</v>
      </c>
      <c r="J939" t="str">
        <f t="shared" si="75"/>
        <v>30504</v>
      </c>
      <c r="K939" t="str">
        <f t="shared" si="71"/>
        <v/>
      </c>
    </row>
    <row r="940" spans="3:11" x14ac:dyDescent="0.25">
      <c r="C940" t="s">
        <v>1864</v>
      </c>
      <c r="D940" t="s">
        <v>1864</v>
      </c>
      <c r="E940" t="s">
        <v>2801</v>
      </c>
      <c r="F940" t="s">
        <v>733</v>
      </c>
      <c r="G940" t="str">
        <f t="shared" si="72"/>
        <v>C</v>
      </c>
      <c r="H940" t="str">
        <f t="shared" si="73"/>
        <v>30</v>
      </c>
      <c r="I940" t="str">
        <f t="shared" si="74"/>
        <v>305</v>
      </c>
      <c r="J940" t="str">
        <f t="shared" si="75"/>
        <v>30504</v>
      </c>
      <c r="K940" t="str">
        <f t="shared" si="71"/>
        <v>3050400</v>
      </c>
    </row>
    <row r="941" spans="3:11" x14ac:dyDescent="0.25">
      <c r="C941" t="s">
        <v>2802</v>
      </c>
      <c r="D941" t="s">
        <v>1864</v>
      </c>
      <c r="E941" t="s">
        <v>1864</v>
      </c>
      <c r="F941" t="s">
        <v>734</v>
      </c>
      <c r="G941" t="str">
        <f t="shared" si="72"/>
        <v>C</v>
      </c>
      <c r="H941" t="str">
        <f t="shared" si="73"/>
        <v>30</v>
      </c>
      <c r="I941" t="str">
        <f t="shared" si="74"/>
        <v>309</v>
      </c>
      <c r="J941" t="str">
        <f t="shared" si="75"/>
        <v>30504</v>
      </c>
      <c r="K941" t="str">
        <f t="shared" si="71"/>
        <v/>
      </c>
    </row>
    <row r="942" spans="3:11" x14ac:dyDescent="0.25">
      <c r="C942" t="s">
        <v>1864</v>
      </c>
      <c r="D942" t="s">
        <v>2803</v>
      </c>
      <c r="E942" t="s">
        <v>1864</v>
      </c>
      <c r="F942" t="s">
        <v>735</v>
      </c>
      <c r="G942" t="str">
        <f t="shared" si="72"/>
        <v>C</v>
      </c>
      <c r="H942" t="str">
        <f t="shared" si="73"/>
        <v>30</v>
      </c>
      <c r="I942" t="str">
        <f t="shared" si="74"/>
        <v>309</v>
      </c>
      <c r="J942" t="str">
        <f t="shared" si="75"/>
        <v>30911</v>
      </c>
      <c r="K942" t="str">
        <f t="shared" si="71"/>
        <v/>
      </c>
    </row>
    <row r="943" spans="3:11" x14ac:dyDescent="0.25">
      <c r="C943" t="s">
        <v>1864</v>
      </c>
      <c r="D943" t="s">
        <v>1864</v>
      </c>
      <c r="E943" t="s">
        <v>2804</v>
      </c>
      <c r="F943" t="s">
        <v>735</v>
      </c>
      <c r="G943" t="str">
        <f t="shared" si="72"/>
        <v>C</v>
      </c>
      <c r="H943" t="str">
        <f t="shared" si="73"/>
        <v>30</v>
      </c>
      <c r="I943" t="str">
        <f t="shared" si="74"/>
        <v>309</v>
      </c>
      <c r="J943" t="str">
        <f t="shared" si="75"/>
        <v>30911</v>
      </c>
      <c r="K943" t="str">
        <f t="shared" si="71"/>
        <v>3091101</v>
      </c>
    </row>
    <row r="944" spans="3:11" x14ac:dyDescent="0.25">
      <c r="C944" t="s">
        <v>1864</v>
      </c>
      <c r="D944" t="s">
        <v>1864</v>
      </c>
      <c r="E944" t="s">
        <v>2805</v>
      </c>
      <c r="F944" t="s">
        <v>736</v>
      </c>
      <c r="G944" t="str">
        <f t="shared" si="72"/>
        <v>C</v>
      </c>
      <c r="H944" t="str">
        <f t="shared" si="73"/>
        <v>30</v>
      </c>
      <c r="I944" t="str">
        <f t="shared" si="74"/>
        <v>309</v>
      </c>
      <c r="J944" t="str">
        <f t="shared" si="75"/>
        <v>30911</v>
      </c>
      <c r="K944" t="str">
        <f t="shared" si="71"/>
        <v>3091102</v>
      </c>
    </row>
    <row r="945" spans="2:11" x14ac:dyDescent="0.25">
      <c r="C945" t="s">
        <v>1864</v>
      </c>
      <c r="D945" t="s">
        <v>2806</v>
      </c>
      <c r="E945" t="s">
        <v>1864</v>
      </c>
      <c r="F945" t="s">
        <v>737</v>
      </c>
      <c r="G945" t="str">
        <f t="shared" si="72"/>
        <v>C</v>
      </c>
      <c r="H945" t="str">
        <f t="shared" si="73"/>
        <v>30</v>
      </c>
      <c r="I945" t="str">
        <f t="shared" si="74"/>
        <v>309</v>
      </c>
      <c r="J945" t="str">
        <f t="shared" si="75"/>
        <v>30920</v>
      </c>
      <c r="K945" t="str">
        <f t="shared" si="71"/>
        <v/>
      </c>
    </row>
    <row r="946" spans="2:11" x14ac:dyDescent="0.25">
      <c r="C946" t="s">
        <v>1864</v>
      </c>
      <c r="D946" t="s">
        <v>1864</v>
      </c>
      <c r="E946" t="s">
        <v>2807</v>
      </c>
      <c r="F946" t="s">
        <v>738</v>
      </c>
      <c r="G946" t="str">
        <f t="shared" si="72"/>
        <v>C</v>
      </c>
      <c r="H946" t="str">
        <f t="shared" si="73"/>
        <v>30</v>
      </c>
      <c r="I946" t="str">
        <f t="shared" si="74"/>
        <v>309</v>
      </c>
      <c r="J946" t="str">
        <f t="shared" si="75"/>
        <v>30920</v>
      </c>
      <c r="K946" t="str">
        <f t="shared" si="71"/>
        <v>3092000</v>
      </c>
    </row>
    <row r="947" spans="2:11" x14ac:dyDescent="0.25">
      <c r="C947" t="s">
        <v>1864</v>
      </c>
      <c r="D947" t="s">
        <v>2808</v>
      </c>
      <c r="E947" t="s">
        <v>1864</v>
      </c>
      <c r="F947" t="s">
        <v>734</v>
      </c>
      <c r="G947" t="str">
        <f t="shared" si="72"/>
        <v>C</v>
      </c>
      <c r="H947" t="str">
        <f t="shared" si="73"/>
        <v>30</v>
      </c>
      <c r="I947" t="str">
        <f t="shared" si="74"/>
        <v>309</v>
      </c>
      <c r="J947" t="str">
        <f t="shared" si="75"/>
        <v>30997</v>
      </c>
      <c r="K947" t="str">
        <f t="shared" si="71"/>
        <v/>
      </c>
    </row>
    <row r="948" spans="2:11" x14ac:dyDescent="0.25">
      <c r="C948" t="s">
        <v>1864</v>
      </c>
      <c r="D948" t="s">
        <v>1864</v>
      </c>
      <c r="E948" t="s">
        <v>2809</v>
      </c>
      <c r="F948" t="s">
        <v>734</v>
      </c>
      <c r="G948" t="str">
        <f t="shared" si="72"/>
        <v>C</v>
      </c>
      <c r="H948" t="str">
        <f t="shared" si="73"/>
        <v>30</v>
      </c>
      <c r="I948" t="str">
        <f t="shared" si="74"/>
        <v>309</v>
      </c>
      <c r="J948" t="str">
        <f t="shared" si="75"/>
        <v>30997</v>
      </c>
      <c r="K948" t="str">
        <f t="shared" si="71"/>
        <v>3099700</v>
      </c>
    </row>
    <row r="949" spans="2:11" x14ac:dyDescent="0.25">
      <c r="B949" t="s">
        <v>2810</v>
      </c>
      <c r="C949" t="s">
        <v>1864</v>
      </c>
      <c r="D949" t="s">
        <v>1864</v>
      </c>
      <c r="E949" t="s">
        <v>1864</v>
      </c>
      <c r="F949" t="s">
        <v>739</v>
      </c>
      <c r="G949" t="str">
        <f t="shared" si="72"/>
        <v>C</v>
      </c>
      <c r="H949" t="str">
        <f t="shared" si="73"/>
        <v>31</v>
      </c>
      <c r="I949" t="str">
        <f t="shared" si="74"/>
        <v>309</v>
      </c>
      <c r="J949" t="str">
        <f t="shared" si="75"/>
        <v>30997</v>
      </c>
      <c r="K949" t="str">
        <f t="shared" si="71"/>
        <v/>
      </c>
    </row>
    <row r="950" spans="2:11" x14ac:dyDescent="0.25">
      <c r="C950" t="s">
        <v>2811</v>
      </c>
      <c r="D950" t="s">
        <v>1864</v>
      </c>
      <c r="E950" t="s">
        <v>1864</v>
      </c>
      <c r="F950" t="s">
        <v>740</v>
      </c>
      <c r="G950" t="str">
        <f t="shared" si="72"/>
        <v>C</v>
      </c>
      <c r="H950" t="str">
        <f t="shared" si="73"/>
        <v>31</v>
      </c>
      <c r="I950" t="str">
        <f t="shared" si="74"/>
        <v>310</v>
      </c>
      <c r="J950" t="str">
        <f t="shared" si="75"/>
        <v>30997</v>
      </c>
      <c r="K950" t="str">
        <f t="shared" si="71"/>
        <v/>
      </c>
    </row>
    <row r="951" spans="2:11" x14ac:dyDescent="0.25">
      <c r="C951" t="s">
        <v>1864</v>
      </c>
      <c r="D951" t="s">
        <v>2812</v>
      </c>
      <c r="E951" t="s">
        <v>1864</v>
      </c>
      <c r="F951" t="s">
        <v>741</v>
      </c>
      <c r="G951" t="str">
        <f t="shared" si="72"/>
        <v>C</v>
      </c>
      <c r="H951" t="str">
        <f t="shared" si="73"/>
        <v>31</v>
      </c>
      <c r="I951" t="str">
        <f t="shared" si="74"/>
        <v>310</v>
      </c>
      <c r="J951" t="str">
        <f t="shared" si="75"/>
        <v>31012</v>
      </c>
      <c r="K951" t="str">
        <f t="shared" si="71"/>
        <v/>
      </c>
    </row>
    <row r="952" spans="2:11" x14ac:dyDescent="0.25">
      <c r="C952" t="s">
        <v>1864</v>
      </c>
      <c r="D952" t="s">
        <v>1864</v>
      </c>
      <c r="E952" t="s">
        <v>2813</v>
      </c>
      <c r="F952" t="s">
        <v>741</v>
      </c>
      <c r="G952" t="str">
        <f t="shared" si="72"/>
        <v>C</v>
      </c>
      <c r="H952" t="str">
        <f t="shared" si="73"/>
        <v>31</v>
      </c>
      <c r="I952" t="str">
        <f t="shared" si="74"/>
        <v>310</v>
      </c>
      <c r="J952" t="str">
        <f t="shared" si="75"/>
        <v>31012</v>
      </c>
      <c r="K952" t="str">
        <f t="shared" si="71"/>
        <v>3101200</v>
      </c>
    </row>
    <row r="953" spans="2:11" x14ac:dyDescent="0.25">
      <c r="C953" t="s">
        <v>1864</v>
      </c>
      <c r="D953" t="s">
        <v>2814</v>
      </c>
      <c r="E953" t="s">
        <v>1864</v>
      </c>
      <c r="F953" t="s">
        <v>742</v>
      </c>
      <c r="G953" t="str">
        <f t="shared" si="72"/>
        <v>C</v>
      </c>
      <c r="H953" t="str">
        <f t="shared" si="73"/>
        <v>31</v>
      </c>
      <c r="I953" t="str">
        <f t="shared" si="74"/>
        <v>310</v>
      </c>
      <c r="J953" t="str">
        <f t="shared" si="75"/>
        <v>31021</v>
      </c>
      <c r="K953" t="str">
        <f t="shared" si="71"/>
        <v/>
      </c>
    </row>
    <row r="954" spans="2:11" x14ac:dyDescent="0.25">
      <c r="C954" t="s">
        <v>1864</v>
      </c>
      <c r="D954" t="s">
        <v>1864</v>
      </c>
      <c r="E954" t="s">
        <v>2815</v>
      </c>
      <c r="F954" t="s">
        <v>742</v>
      </c>
      <c r="G954" t="str">
        <f t="shared" si="72"/>
        <v>C</v>
      </c>
      <c r="H954" t="str">
        <f t="shared" si="73"/>
        <v>31</v>
      </c>
      <c r="I954" t="str">
        <f t="shared" si="74"/>
        <v>310</v>
      </c>
      <c r="J954" t="str">
        <f t="shared" si="75"/>
        <v>31021</v>
      </c>
      <c r="K954" t="str">
        <f t="shared" si="71"/>
        <v>3102100</v>
      </c>
    </row>
    <row r="955" spans="2:11" x14ac:dyDescent="0.25">
      <c r="C955" t="s">
        <v>1864</v>
      </c>
      <c r="D955" t="s">
        <v>2816</v>
      </c>
      <c r="E955" t="s">
        <v>1864</v>
      </c>
      <c r="F955" t="s">
        <v>743</v>
      </c>
      <c r="G955" t="str">
        <f t="shared" si="72"/>
        <v>C</v>
      </c>
      <c r="H955" t="str">
        <f t="shared" si="73"/>
        <v>31</v>
      </c>
      <c r="I955" t="str">
        <f t="shared" si="74"/>
        <v>310</v>
      </c>
      <c r="J955" t="str">
        <f t="shared" si="75"/>
        <v>31039</v>
      </c>
      <c r="K955" t="str">
        <f t="shared" si="71"/>
        <v/>
      </c>
    </row>
    <row r="956" spans="2:11" x14ac:dyDescent="0.25">
      <c r="C956" t="s">
        <v>1864</v>
      </c>
      <c r="D956" t="s">
        <v>1864</v>
      </c>
      <c r="E956" t="s">
        <v>2817</v>
      </c>
      <c r="F956" t="s">
        <v>743</v>
      </c>
      <c r="G956" t="str">
        <f t="shared" si="72"/>
        <v>C</v>
      </c>
      <c r="H956" t="str">
        <f t="shared" si="73"/>
        <v>31</v>
      </c>
      <c r="I956" t="str">
        <f t="shared" si="74"/>
        <v>310</v>
      </c>
      <c r="J956" t="str">
        <f t="shared" si="75"/>
        <v>31039</v>
      </c>
      <c r="K956" t="str">
        <f t="shared" si="71"/>
        <v>3103900</v>
      </c>
    </row>
    <row r="957" spans="2:11" x14ac:dyDescent="0.25">
      <c r="C957" t="s">
        <v>1864</v>
      </c>
      <c r="D957" t="s">
        <v>2818</v>
      </c>
      <c r="E957" t="s">
        <v>1864</v>
      </c>
      <c r="F957" t="s">
        <v>744</v>
      </c>
      <c r="G957" t="str">
        <f t="shared" si="72"/>
        <v>C</v>
      </c>
      <c r="H957" t="str">
        <f t="shared" si="73"/>
        <v>31</v>
      </c>
      <c r="I957" t="str">
        <f t="shared" si="74"/>
        <v>310</v>
      </c>
      <c r="J957" t="str">
        <f t="shared" si="75"/>
        <v>31047</v>
      </c>
      <c r="K957" t="str">
        <f t="shared" si="71"/>
        <v/>
      </c>
    </row>
    <row r="958" spans="2:11" x14ac:dyDescent="0.25">
      <c r="C958" t="s">
        <v>1864</v>
      </c>
      <c r="D958" t="s">
        <v>1864</v>
      </c>
      <c r="E958" t="s">
        <v>2819</v>
      </c>
      <c r="F958" t="s">
        <v>744</v>
      </c>
      <c r="G958" t="str">
        <f t="shared" si="72"/>
        <v>C</v>
      </c>
      <c r="H958" t="str">
        <f t="shared" si="73"/>
        <v>31</v>
      </c>
      <c r="I958" t="str">
        <f t="shared" si="74"/>
        <v>310</v>
      </c>
      <c r="J958" t="str">
        <f t="shared" si="75"/>
        <v>31047</v>
      </c>
      <c r="K958" t="str">
        <f t="shared" si="71"/>
        <v>3104700</v>
      </c>
    </row>
    <row r="959" spans="2:11" x14ac:dyDescent="0.25">
      <c r="B959" t="s">
        <v>2820</v>
      </c>
      <c r="C959" t="s">
        <v>1864</v>
      </c>
      <c r="D959" t="s">
        <v>1864</v>
      </c>
      <c r="E959" t="s">
        <v>1864</v>
      </c>
      <c r="F959" t="s">
        <v>745</v>
      </c>
      <c r="G959" t="str">
        <f t="shared" si="72"/>
        <v>C</v>
      </c>
      <c r="H959" t="str">
        <f t="shared" si="73"/>
        <v>32</v>
      </c>
      <c r="I959" t="str">
        <f t="shared" si="74"/>
        <v>310</v>
      </c>
      <c r="J959" t="str">
        <f t="shared" si="75"/>
        <v>31047</v>
      </c>
      <c r="K959" t="str">
        <f t="shared" si="71"/>
        <v/>
      </c>
    </row>
    <row r="960" spans="2:11" x14ac:dyDescent="0.25">
      <c r="C960" t="s">
        <v>2821</v>
      </c>
      <c r="D960" t="s">
        <v>1864</v>
      </c>
      <c r="E960" t="s">
        <v>1864</v>
      </c>
      <c r="F960" t="s">
        <v>746</v>
      </c>
      <c r="G960" t="str">
        <f t="shared" si="72"/>
        <v>C</v>
      </c>
      <c r="H960" t="str">
        <f t="shared" si="73"/>
        <v>32</v>
      </c>
      <c r="I960" t="str">
        <f t="shared" si="74"/>
        <v>321</v>
      </c>
      <c r="J960" t="str">
        <f t="shared" si="75"/>
        <v>31047</v>
      </c>
      <c r="K960" t="str">
        <f t="shared" si="71"/>
        <v/>
      </c>
    </row>
    <row r="961" spans="3:11" x14ac:dyDescent="0.25">
      <c r="C961" t="s">
        <v>1864</v>
      </c>
      <c r="D961" t="s">
        <v>2822</v>
      </c>
      <c r="E961" t="s">
        <v>1864</v>
      </c>
      <c r="F961" t="s">
        <v>747</v>
      </c>
      <c r="G961" t="str">
        <f t="shared" si="72"/>
        <v>C</v>
      </c>
      <c r="H961" t="str">
        <f t="shared" si="73"/>
        <v>32</v>
      </c>
      <c r="I961" t="str">
        <f t="shared" si="74"/>
        <v>321</v>
      </c>
      <c r="J961" t="str">
        <f t="shared" si="75"/>
        <v>32116</v>
      </c>
      <c r="K961" t="str">
        <f t="shared" si="71"/>
        <v/>
      </c>
    </row>
    <row r="962" spans="3:11" x14ac:dyDescent="0.25">
      <c r="C962" t="s">
        <v>1864</v>
      </c>
      <c r="D962" t="s">
        <v>1864</v>
      </c>
      <c r="E962" t="s">
        <v>2823</v>
      </c>
      <c r="F962" t="s">
        <v>748</v>
      </c>
      <c r="G962" t="str">
        <f t="shared" si="72"/>
        <v>C</v>
      </c>
      <c r="H962" t="str">
        <f t="shared" si="73"/>
        <v>32</v>
      </c>
      <c r="I962" t="str">
        <f t="shared" si="74"/>
        <v>321</v>
      </c>
      <c r="J962" t="str">
        <f t="shared" si="75"/>
        <v>32116</v>
      </c>
      <c r="K962" t="str">
        <f t="shared" si="71"/>
        <v>3211601</v>
      </c>
    </row>
    <row r="963" spans="3:11" x14ac:dyDescent="0.25">
      <c r="C963" t="s">
        <v>1864</v>
      </c>
      <c r="D963" t="s">
        <v>1864</v>
      </c>
      <c r="E963" t="s">
        <v>2824</v>
      </c>
      <c r="F963" t="s">
        <v>749</v>
      </c>
      <c r="G963" t="str">
        <f t="shared" si="72"/>
        <v>C</v>
      </c>
      <c r="H963" t="str">
        <f t="shared" si="73"/>
        <v>32</v>
      </c>
      <c r="I963" t="str">
        <f t="shared" si="74"/>
        <v>321</v>
      </c>
      <c r="J963" t="str">
        <f t="shared" si="75"/>
        <v>32116</v>
      </c>
      <c r="K963" t="str">
        <f t="shared" si="71"/>
        <v>3211602</v>
      </c>
    </row>
    <row r="964" spans="3:11" x14ac:dyDescent="0.25">
      <c r="C964" t="s">
        <v>1864</v>
      </c>
      <c r="D964" t="s">
        <v>1864</v>
      </c>
      <c r="E964" t="s">
        <v>2825</v>
      </c>
      <c r="F964" t="s">
        <v>750</v>
      </c>
      <c r="G964" t="str">
        <f t="shared" si="72"/>
        <v>C</v>
      </c>
      <c r="H964" t="str">
        <f t="shared" si="73"/>
        <v>32</v>
      </c>
      <c r="I964" t="str">
        <f t="shared" si="74"/>
        <v>321</v>
      </c>
      <c r="J964" t="str">
        <f t="shared" si="75"/>
        <v>32116</v>
      </c>
      <c r="K964" t="str">
        <f t="shared" si="71"/>
        <v>3211603</v>
      </c>
    </row>
    <row r="965" spans="3:11" x14ac:dyDescent="0.25">
      <c r="C965" t="s">
        <v>1864</v>
      </c>
      <c r="D965" t="s">
        <v>2826</v>
      </c>
      <c r="E965" t="s">
        <v>1864</v>
      </c>
      <c r="F965" t="s">
        <v>751</v>
      </c>
      <c r="G965" t="str">
        <f t="shared" si="72"/>
        <v>C</v>
      </c>
      <c r="H965" t="str">
        <f t="shared" si="73"/>
        <v>32</v>
      </c>
      <c r="I965" t="str">
        <f t="shared" si="74"/>
        <v>321</v>
      </c>
      <c r="J965" t="str">
        <f t="shared" si="75"/>
        <v>32124</v>
      </c>
      <c r="K965" t="str">
        <f t="shared" si="71"/>
        <v/>
      </c>
    </row>
    <row r="966" spans="3:11" x14ac:dyDescent="0.25">
      <c r="C966" t="s">
        <v>1864</v>
      </c>
      <c r="D966" t="s">
        <v>1864</v>
      </c>
      <c r="E966" t="s">
        <v>2827</v>
      </c>
      <c r="F966" t="s">
        <v>751</v>
      </c>
      <c r="G966" t="str">
        <f t="shared" si="72"/>
        <v>C</v>
      </c>
      <c r="H966" t="str">
        <f t="shared" si="73"/>
        <v>32</v>
      </c>
      <c r="I966" t="str">
        <f t="shared" si="74"/>
        <v>321</v>
      </c>
      <c r="J966" t="str">
        <f t="shared" si="75"/>
        <v>32124</v>
      </c>
      <c r="K966" t="str">
        <f t="shared" si="71"/>
        <v>3212400</v>
      </c>
    </row>
    <row r="967" spans="3:11" x14ac:dyDescent="0.25">
      <c r="C967" t="s">
        <v>2828</v>
      </c>
      <c r="D967" t="s">
        <v>1864</v>
      </c>
      <c r="E967" t="s">
        <v>1864</v>
      </c>
      <c r="F967" t="s">
        <v>752</v>
      </c>
      <c r="G967" t="str">
        <f t="shared" si="72"/>
        <v>C</v>
      </c>
      <c r="H967" t="str">
        <f t="shared" si="73"/>
        <v>32</v>
      </c>
      <c r="I967" t="str">
        <f t="shared" si="74"/>
        <v>322</v>
      </c>
      <c r="J967" t="str">
        <f t="shared" si="75"/>
        <v>32124</v>
      </c>
      <c r="K967" t="str">
        <f t="shared" si="71"/>
        <v/>
      </c>
    </row>
    <row r="968" spans="3:11" x14ac:dyDescent="0.25">
      <c r="C968" t="s">
        <v>1864</v>
      </c>
      <c r="D968" t="s">
        <v>2829</v>
      </c>
      <c r="E968" t="s">
        <v>1864</v>
      </c>
      <c r="F968" t="s">
        <v>752</v>
      </c>
      <c r="G968" t="str">
        <f t="shared" si="72"/>
        <v>C</v>
      </c>
      <c r="H968" t="str">
        <f t="shared" si="73"/>
        <v>32</v>
      </c>
      <c r="I968" t="str">
        <f t="shared" si="74"/>
        <v>322</v>
      </c>
      <c r="J968" t="str">
        <f t="shared" si="75"/>
        <v>32205</v>
      </c>
      <c r="K968" t="str">
        <f t="shared" ref="K968:K1031" si="76">E968</f>
        <v/>
      </c>
    </row>
    <row r="969" spans="3:11" x14ac:dyDescent="0.25">
      <c r="C969" t="s">
        <v>1864</v>
      </c>
      <c r="D969" t="s">
        <v>1864</v>
      </c>
      <c r="E969" t="s">
        <v>2830</v>
      </c>
      <c r="F969" t="s">
        <v>753</v>
      </c>
      <c r="G969" t="str">
        <f t="shared" ref="G969:G1032" si="77">IF(A969="",G968,A969)</f>
        <v>C</v>
      </c>
      <c r="H969" t="str">
        <f t="shared" ref="H969:H1032" si="78">IF(B969="",H968,B969)</f>
        <v>32</v>
      </c>
      <c r="I969" t="str">
        <f t="shared" ref="I969:I1032" si="79">IF(C969="",I968,C969)</f>
        <v>322</v>
      </c>
      <c r="J969" t="str">
        <f t="shared" ref="J969:J1032" si="80">IF(D969="",J968,D969)</f>
        <v>32205</v>
      </c>
      <c r="K969" t="str">
        <f t="shared" si="76"/>
        <v>3220500</v>
      </c>
    </row>
    <row r="970" spans="3:11" x14ac:dyDescent="0.25">
      <c r="C970" t="s">
        <v>2831</v>
      </c>
      <c r="D970" t="s">
        <v>1864</v>
      </c>
      <c r="E970" t="s">
        <v>1864</v>
      </c>
      <c r="F970" t="s">
        <v>754</v>
      </c>
      <c r="G970" t="str">
        <f t="shared" si="77"/>
        <v>C</v>
      </c>
      <c r="H970" t="str">
        <f t="shared" si="78"/>
        <v>32</v>
      </c>
      <c r="I970" t="str">
        <f t="shared" si="79"/>
        <v>323</v>
      </c>
      <c r="J970" t="str">
        <f t="shared" si="80"/>
        <v>32205</v>
      </c>
      <c r="K970" t="str">
        <f t="shared" si="76"/>
        <v/>
      </c>
    </row>
    <row r="971" spans="3:11" x14ac:dyDescent="0.25">
      <c r="C971" t="s">
        <v>1864</v>
      </c>
      <c r="D971" t="s">
        <v>2832</v>
      </c>
      <c r="E971" t="s">
        <v>1864</v>
      </c>
      <c r="F971" t="s">
        <v>754</v>
      </c>
      <c r="G971" t="str">
        <f t="shared" si="77"/>
        <v>C</v>
      </c>
      <c r="H971" t="str">
        <f t="shared" si="78"/>
        <v>32</v>
      </c>
      <c r="I971" t="str">
        <f t="shared" si="79"/>
        <v>323</v>
      </c>
      <c r="J971" t="str">
        <f t="shared" si="80"/>
        <v>32302</v>
      </c>
      <c r="K971" t="str">
        <f t="shared" si="76"/>
        <v/>
      </c>
    </row>
    <row r="972" spans="3:11" x14ac:dyDescent="0.25">
      <c r="C972" t="s">
        <v>1864</v>
      </c>
      <c r="D972" t="s">
        <v>1864</v>
      </c>
      <c r="E972" t="s">
        <v>2833</v>
      </c>
      <c r="F972" t="s">
        <v>754</v>
      </c>
      <c r="G972" t="str">
        <f t="shared" si="77"/>
        <v>C</v>
      </c>
      <c r="H972" t="str">
        <f t="shared" si="78"/>
        <v>32</v>
      </c>
      <c r="I972" t="str">
        <f t="shared" si="79"/>
        <v>323</v>
      </c>
      <c r="J972" t="str">
        <f t="shared" si="80"/>
        <v>32302</v>
      </c>
      <c r="K972" t="str">
        <f t="shared" si="76"/>
        <v>3230200</v>
      </c>
    </row>
    <row r="973" spans="3:11" x14ac:dyDescent="0.25">
      <c r="C973" t="s">
        <v>2834</v>
      </c>
      <c r="D973" t="s">
        <v>1864</v>
      </c>
      <c r="E973" t="s">
        <v>1864</v>
      </c>
      <c r="F973" t="s">
        <v>755</v>
      </c>
      <c r="G973" t="str">
        <f t="shared" si="77"/>
        <v>C</v>
      </c>
      <c r="H973" t="str">
        <f t="shared" si="78"/>
        <v>32</v>
      </c>
      <c r="I973" t="str">
        <f t="shared" si="79"/>
        <v>324</v>
      </c>
      <c r="J973" t="str">
        <f t="shared" si="80"/>
        <v>32302</v>
      </c>
      <c r="K973" t="str">
        <f t="shared" si="76"/>
        <v/>
      </c>
    </row>
    <row r="974" spans="3:11" x14ac:dyDescent="0.25">
      <c r="C974" t="s">
        <v>1864</v>
      </c>
      <c r="D974" t="s">
        <v>2835</v>
      </c>
      <c r="E974" t="s">
        <v>1864</v>
      </c>
      <c r="F974" t="s">
        <v>755</v>
      </c>
      <c r="G974" t="str">
        <f t="shared" si="77"/>
        <v>C</v>
      </c>
      <c r="H974" t="str">
        <f t="shared" si="78"/>
        <v>32</v>
      </c>
      <c r="I974" t="str">
        <f t="shared" si="79"/>
        <v>324</v>
      </c>
      <c r="J974" t="str">
        <f t="shared" si="80"/>
        <v>32400</v>
      </c>
      <c r="K974" t="str">
        <f t="shared" si="76"/>
        <v/>
      </c>
    </row>
    <row r="975" spans="3:11" x14ac:dyDescent="0.25">
      <c r="C975" t="s">
        <v>1864</v>
      </c>
      <c r="D975" t="s">
        <v>1864</v>
      </c>
      <c r="E975" t="s">
        <v>2836</v>
      </c>
      <c r="F975" t="s">
        <v>756</v>
      </c>
      <c r="G975" t="str">
        <f t="shared" si="77"/>
        <v>C</v>
      </c>
      <c r="H975" t="str">
        <f t="shared" si="78"/>
        <v>32</v>
      </c>
      <c r="I975" t="str">
        <f t="shared" si="79"/>
        <v>324</v>
      </c>
      <c r="J975" t="str">
        <f t="shared" si="80"/>
        <v>32400</v>
      </c>
      <c r="K975" t="str">
        <f t="shared" si="76"/>
        <v>3240001</v>
      </c>
    </row>
    <row r="976" spans="3:11" x14ac:dyDescent="0.25">
      <c r="C976" t="s">
        <v>1864</v>
      </c>
      <c r="D976" t="s">
        <v>1864</v>
      </c>
      <c r="E976" t="s">
        <v>2837</v>
      </c>
      <c r="F976" t="s">
        <v>757</v>
      </c>
      <c r="G976" t="str">
        <f t="shared" si="77"/>
        <v>C</v>
      </c>
      <c r="H976" t="str">
        <f t="shared" si="78"/>
        <v>32</v>
      </c>
      <c r="I976" t="str">
        <f t="shared" si="79"/>
        <v>324</v>
      </c>
      <c r="J976" t="str">
        <f t="shared" si="80"/>
        <v>32400</v>
      </c>
      <c r="K976" t="str">
        <f t="shared" si="76"/>
        <v>3240002</v>
      </c>
    </row>
    <row r="977" spans="3:11" x14ac:dyDescent="0.25">
      <c r="C977" t="s">
        <v>1864</v>
      </c>
      <c r="D977" t="s">
        <v>1864</v>
      </c>
      <c r="E977" t="s">
        <v>2838</v>
      </c>
      <c r="F977" t="s">
        <v>758</v>
      </c>
      <c r="G977" t="str">
        <f t="shared" si="77"/>
        <v>C</v>
      </c>
      <c r="H977" t="str">
        <f t="shared" si="78"/>
        <v>32</v>
      </c>
      <c r="I977" t="str">
        <f t="shared" si="79"/>
        <v>324</v>
      </c>
      <c r="J977" t="str">
        <f t="shared" si="80"/>
        <v>32400</v>
      </c>
      <c r="K977" t="str">
        <f t="shared" si="76"/>
        <v>3240003</v>
      </c>
    </row>
    <row r="978" spans="3:11" x14ac:dyDescent="0.25">
      <c r="C978" t="s">
        <v>1864</v>
      </c>
      <c r="D978" t="s">
        <v>1864</v>
      </c>
      <c r="E978" t="s">
        <v>2839</v>
      </c>
      <c r="F978" t="s">
        <v>759</v>
      </c>
      <c r="G978" t="str">
        <f t="shared" si="77"/>
        <v>C</v>
      </c>
      <c r="H978" t="str">
        <f t="shared" si="78"/>
        <v>32</v>
      </c>
      <c r="I978" t="str">
        <f t="shared" si="79"/>
        <v>324</v>
      </c>
      <c r="J978" t="str">
        <f t="shared" si="80"/>
        <v>32400</v>
      </c>
      <c r="K978" t="str">
        <f t="shared" si="76"/>
        <v>3240099</v>
      </c>
    </row>
    <row r="979" spans="3:11" x14ac:dyDescent="0.25">
      <c r="C979" t="s">
        <v>2840</v>
      </c>
      <c r="D979" t="s">
        <v>1864</v>
      </c>
      <c r="E979" t="s">
        <v>1864</v>
      </c>
      <c r="F979" t="s">
        <v>760</v>
      </c>
      <c r="G979" t="str">
        <f t="shared" si="77"/>
        <v>C</v>
      </c>
      <c r="H979" t="str">
        <f t="shared" si="78"/>
        <v>32</v>
      </c>
      <c r="I979" t="str">
        <f t="shared" si="79"/>
        <v>325</v>
      </c>
      <c r="J979" t="str">
        <f t="shared" si="80"/>
        <v>32400</v>
      </c>
      <c r="K979" t="str">
        <f t="shared" si="76"/>
        <v/>
      </c>
    </row>
    <row r="980" spans="3:11" x14ac:dyDescent="0.25">
      <c r="C980" t="s">
        <v>1864</v>
      </c>
      <c r="D980" t="s">
        <v>2841</v>
      </c>
      <c r="E980" t="s">
        <v>1864</v>
      </c>
      <c r="F980" t="s">
        <v>760</v>
      </c>
      <c r="G980" t="str">
        <f t="shared" si="77"/>
        <v>C</v>
      </c>
      <c r="H980" t="str">
        <f t="shared" si="78"/>
        <v>32</v>
      </c>
      <c r="I980" t="str">
        <f t="shared" si="79"/>
        <v>325</v>
      </c>
      <c r="J980" t="str">
        <f t="shared" si="80"/>
        <v>32507</v>
      </c>
      <c r="K980" t="str">
        <f t="shared" si="76"/>
        <v/>
      </c>
    </row>
    <row r="981" spans="3:11" x14ac:dyDescent="0.25">
      <c r="C981" t="s">
        <v>1864</v>
      </c>
      <c r="D981" t="s">
        <v>1864</v>
      </c>
      <c r="E981" t="s">
        <v>2842</v>
      </c>
      <c r="F981" t="s">
        <v>761</v>
      </c>
      <c r="G981" t="str">
        <f t="shared" si="77"/>
        <v>C</v>
      </c>
      <c r="H981" t="str">
        <f t="shared" si="78"/>
        <v>32</v>
      </c>
      <c r="I981" t="str">
        <f t="shared" si="79"/>
        <v>325</v>
      </c>
      <c r="J981" t="str">
        <f t="shared" si="80"/>
        <v>32507</v>
      </c>
      <c r="K981" t="str">
        <f t="shared" si="76"/>
        <v>3250701</v>
      </c>
    </row>
    <row r="982" spans="3:11" x14ac:dyDescent="0.25">
      <c r="C982" t="s">
        <v>1864</v>
      </c>
      <c r="D982" t="s">
        <v>1864</v>
      </c>
      <c r="E982" t="s">
        <v>2843</v>
      </c>
      <c r="F982" t="s">
        <v>762</v>
      </c>
      <c r="G982" t="str">
        <f t="shared" si="77"/>
        <v>C</v>
      </c>
      <c r="H982" t="str">
        <f t="shared" si="78"/>
        <v>32</v>
      </c>
      <c r="I982" t="str">
        <f t="shared" si="79"/>
        <v>325</v>
      </c>
      <c r="J982" t="str">
        <f t="shared" si="80"/>
        <v>32507</v>
      </c>
      <c r="K982" t="str">
        <f t="shared" si="76"/>
        <v>3250702</v>
      </c>
    </row>
    <row r="983" spans="3:11" x14ac:dyDescent="0.25">
      <c r="C983" t="s">
        <v>1864</v>
      </c>
      <c r="D983" t="s">
        <v>1864</v>
      </c>
      <c r="E983" t="s">
        <v>2844</v>
      </c>
      <c r="F983" t="s">
        <v>763</v>
      </c>
      <c r="G983" t="str">
        <f t="shared" si="77"/>
        <v>C</v>
      </c>
      <c r="H983" t="str">
        <f t="shared" si="78"/>
        <v>32</v>
      </c>
      <c r="I983" t="str">
        <f t="shared" si="79"/>
        <v>325</v>
      </c>
      <c r="J983" t="str">
        <f t="shared" si="80"/>
        <v>32507</v>
      </c>
      <c r="K983" t="str">
        <f t="shared" si="76"/>
        <v>3250703</v>
      </c>
    </row>
    <row r="984" spans="3:11" x14ac:dyDescent="0.25">
      <c r="C984" t="s">
        <v>1864</v>
      </c>
      <c r="D984" t="s">
        <v>1864</v>
      </c>
      <c r="E984" t="s">
        <v>2845</v>
      </c>
      <c r="F984" t="s">
        <v>764</v>
      </c>
      <c r="G984" t="str">
        <f t="shared" si="77"/>
        <v>C</v>
      </c>
      <c r="H984" t="str">
        <f t="shared" si="78"/>
        <v>32</v>
      </c>
      <c r="I984" t="str">
        <f t="shared" si="79"/>
        <v>325</v>
      </c>
      <c r="J984" t="str">
        <f t="shared" si="80"/>
        <v>32507</v>
      </c>
      <c r="K984" t="str">
        <f t="shared" si="76"/>
        <v>3250704</v>
      </c>
    </row>
    <row r="985" spans="3:11" x14ac:dyDescent="0.25">
      <c r="C985" t="s">
        <v>1864</v>
      </c>
      <c r="D985" t="s">
        <v>1864</v>
      </c>
      <c r="E985" t="s">
        <v>2846</v>
      </c>
      <c r="F985" t="s">
        <v>765</v>
      </c>
      <c r="G985" t="str">
        <f t="shared" si="77"/>
        <v>C</v>
      </c>
      <c r="H985" t="str">
        <f t="shared" si="78"/>
        <v>32</v>
      </c>
      <c r="I985" t="str">
        <f t="shared" si="79"/>
        <v>325</v>
      </c>
      <c r="J985" t="str">
        <f t="shared" si="80"/>
        <v>32507</v>
      </c>
      <c r="K985" t="str">
        <f t="shared" si="76"/>
        <v>3250705</v>
      </c>
    </row>
    <row r="986" spans="3:11" x14ac:dyDescent="0.25">
      <c r="C986" t="s">
        <v>1864</v>
      </c>
      <c r="D986" t="s">
        <v>1864</v>
      </c>
      <c r="E986" t="s">
        <v>2847</v>
      </c>
      <c r="F986" t="s">
        <v>766</v>
      </c>
      <c r="G986" t="str">
        <f t="shared" si="77"/>
        <v>C</v>
      </c>
      <c r="H986" t="str">
        <f t="shared" si="78"/>
        <v>32</v>
      </c>
      <c r="I986" t="str">
        <f t="shared" si="79"/>
        <v>325</v>
      </c>
      <c r="J986" t="str">
        <f t="shared" si="80"/>
        <v>32507</v>
      </c>
      <c r="K986" t="str">
        <f t="shared" si="76"/>
        <v>3250706</v>
      </c>
    </row>
    <row r="987" spans="3:11" x14ac:dyDescent="0.25">
      <c r="C987" t="s">
        <v>1864</v>
      </c>
      <c r="D987" t="s">
        <v>1864</v>
      </c>
      <c r="E987" t="s">
        <v>2848</v>
      </c>
      <c r="F987" t="s">
        <v>767</v>
      </c>
      <c r="G987" t="str">
        <f t="shared" si="77"/>
        <v>C</v>
      </c>
      <c r="H987" t="str">
        <f t="shared" si="78"/>
        <v>32</v>
      </c>
      <c r="I987" t="str">
        <f t="shared" si="79"/>
        <v>325</v>
      </c>
      <c r="J987" t="str">
        <f t="shared" si="80"/>
        <v>32507</v>
      </c>
      <c r="K987" t="str">
        <f t="shared" si="76"/>
        <v>3250707</v>
      </c>
    </row>
    <row r="988" spans="3:11" x14ac:dyDescent="0.25">
      <c r="C988" t="s">
        <v>1864</v>
      </c>
      <c r="D988" t="s">
        <v>1864</v>
      </c>
      <c r="E988" t="s">
        <v>2849</v>
      </c>
      <c r="F988" t="s">
        <v>768</v>
      </c>
      <c r="G988" t="str">
        <f t="shared" si="77"/>
        <v>C</v>
      </c>
      <c r="H988" t="str">
        <f t="shared" si="78"/>
        <v>32</v>
      </c>
      <c r="I988" t="str">
        <f t="shared" si="79"/>
        <v>325</v>
      </c>
      <c r="J988" t="str">
        <f t="shared" si="80"/>
        <v>32507</v>
      </c>
      <c r="K988" t="str">
        <f t="shared" si="76"/>
        <v>3250709</v>
      </c>
    </row>
    <row r="989" spans="3:11" x14ac:dyDescent="0.25">
      <c r="C989" t="s">
        <v>2850</v>
      </c>
      <c r="D989" t="s">
        <v>1864</v>
      </c>
      <c r="E989" t="s">
        <v>1864</v>
      </c>
      <c r="F989" t="s">
        <v>769</v>
      </c>
      <c r="G989" t="str">
        <f t="shared" si="77"/>
        <v>C</v>
      </c>
      <c r="H989" t="str">
        <f t="shared" si="78"/>
        <v>32</v>
      </c>
      <c r="I989" t="str">
        <f t="shared" si="79"/>
        <v>329</v>
      </c>
      <c r="J989" t="str">
        <f t="shared" si="80"/>
        <v>32507</v>
      </c>
      <c r="K989" t="str">
        <f t="shared" si="76"/>
        <v/>
      </c>
    </row>
    <row r="990" spans="3:11" x14ac:dyDescent="0.25">
      <c r="C990" t="s">
        <v>1864</v>
      </c>
      <c r="D990" t="s">
        <v>2851</v>
      </c>
      <c r="E990" t="s">
        <v>1864</v>
      </c>
      <c r="F990" t="s">
        <v>770</v>
      </c>
      <c r="G990" t="str">
        <f t="shared" si="77"/>
        <v>C</v>
      </c>
      <c r="H990" t="str">
        <f t="shared" si="78"/>
        <v>32</v>
      </c>
      <c r="I990" t="str">
        <f t="shared" si="79"/>
        <v>329</v>
      </c>
      <c r="J990" t="str">
        <f t="shared" si="80"/>
        <v>32914</v>
      </c>
      <c r="K990" t="str">
        <f t="shared" si="76"/>
        <v/>
      </c>
    </row>
    <row r="991" spans="3:11" x14ac:dyDescent="0.25">
      <c r="C991" t="s">
        <v>1864</v>
      </c>
      <c r="D991" t="s">
        <v>1864</v>
      </c>
      <c r="E991" t="s">
        <v>2852</v>
      </c>
      <c r="F991" t="s">
        <v>770</v>
      </c>
      <c r="G991" t="str">
        <f t="shared" si="77"/>
        <v>C</v>
      </c>
      <c r="H991" t="str">
        <f t="shared" si="78"/>
        <v>32</v>
      </c>
      <c r="I991" t="str">
        <f t="shared" si="79"/>
        <v>329</v>
      </c>
      <c r="J991" t="str">
        <f t="shared" si="80"/>
        <v>32914</v>
      </c>
      <c r="K991" t="str">
        <f t="shared" si="76"/>
        <v>3291400</v>
      </c>
    </row>
    <row r="992" spans="3:11" x14ac:dyDescent="0.25">
      <c r="C992" t="s">
        <v>1864</v>
      </c>
      <c r="D992" t="s">
        <v>2853</v>
      </c>
      <c r="E992" t="s">
        <v>1864</v>
      </c>
      <c r="F992" t="s">
        <v>771</v>
      </c>
      <c r="G992" t="str">
        <f t="shared" si="77"/>
        <v>C</v>
      </c>
      <c r="H992" t="str">
        <f t="shared" si="78"/>
        <v>32</v>
      </c>
      <c r="I992" t="str">
        <f t="shared" si="79"/>
        <v>329</v>
      </c>
      <c r="J992" t="str">
        <f t="shared" si="80"/>
        <v>32922</v>
      </c>
      <c r="K992" t="str">
        <f t="shared" si="76"/>
        <v/>
      </c>
    </row>
    <row r="993" spans="2:11" x14ac:dyDescent="0.25">
      <c r="C993" t="s">
        <v>1864</v>
      </c>
      <c r="D993" t="s">
        <v>1864</v>
      </c>
      <c r="E993" t="s">
        <v>2854</v>
      </c>
      <c r="F993" t="s">
        <v>772</v>
      </c>
      <c r="G993" t="str">
        <f t="shared" si="77"/>
        <v>C</v>
      </c>
      <c r="H993" t="str">
        <f t="shared" si="78"/>
        <v>32</v>
      </c>
      <c r="I993" t="str">
        <f t="shared" si="79"/>
        <v>329</v>
      </c>
      <c r="J993" t="str">
        <f t="shared" si="80"/>
        <v>32922</v>
      </c>
      <c r="K993" t="str">
        <f t="shared" si="76"/>
        <v>3292201</v>
      </c>
    </row>
    <row r="994" spans="2:11" x14ac:dyDescent="0.25">
      <c r="C994" t="s">
        <v>1864</v>
      </c>
      <c r="D994" t="s">
        <v>1864</v>
      </c>
      <c r="E994" t="s">
        <v>2855</v>
      </c>
      <c r="F994" t="s">
        <v>773</v>
      </c>
      <c r="G994" t="str">
        <f t="shared" si="77"/>
        <v>C</v>
      </c>
      <c r="H994" t="str">
        <f t="shared" si="78"/>
        <v>32</v>
      </c>
      <c r="I994" t="str">
        <f t="shared" si="79"/>
        <v>329</v>
      </c>
      <c r="J994" t="str">
        <f t="shared" si="80"/>
        <v>32922</v>
      </c>
      <c r="K994" t="str">
        <f t="shared" si="76"/>
        <v>3292202</v>
      </c>
    </row>
    <row r="995" spans="2:11" x14ac:dyDescent="0.25">
      <c r="C995" t="s">
        <v>1864</v>
      </c>
      <c r="D995" t="s">
        <v>2856</v>
      </c>
      <c r="E995" t="s">
        <v>1864</v>
      </c>
      <c r="F995" t="s">
        <v>774</v>
      </c>
      <c r="G995" t="str">
        <f t="shared" si="77"/>
        <v>C</v>
      </c>
      <c r="H995" t="str">
        <f t="shared" si="78"/>
        <v>32</v>
      </c>
      <c r="I995" t="str">
        <f t="shared" si="79"/>
        <v>329</v>
      </c>
      <c r="J995" t="str">
        <f t="shared" si="80"/>
        <v>32990</v>
      </c>
      <c r="K995" t="str">
        <f t="shared" si="76"/>
        <v/>
      </c>
    </row>
    <row r="996" spans="2:11" x14ac:dyDescent="0.25">
      <c r="C996" t="s">
        <v>1864</v>
      </c>
      <c r="D996" t="s">
        <v>1864</v>
      </c>
      <c r="E996" t="s">
        <v>2857</v>
      </c>
      <c r="F996" t="s">
        <v>775</v>
      </c>
      <c r="G996" t="str">
        <f t="shared" si="77"/>
        <v>C</v>
      </c>
      <c r="H996" t="str">
        <f t="shared" si="78"/>
        <v>32</v>
      </c>
      <c r="I996" t="str">
        <f t="shared" si="79"/>
        <v>329</v>
      </c>
      <c r="J996" t="str">
        <f t="shared" si="80"/>
        <v>32990</v>
      </c>
      <c r="K996" t="str">
        <f t="shared" si="76"/>
        <v>3299001</v>
      </c>
    </row>
    <row r="997" spans="2:11" x14ac:dyDescent="0.25">
      <c r="C997" t="s">
        <v>1864</v>
      </c>
      <c r="D997" t="s">
        <v>1864</v>
      </c>
      <c r="E997" t="s">
        <v>2858</v>
      </c>
      <c r="F997" t="s">
        <v>776</v>
      </c>
      <c r="G997" t="str">
        <f t="shared" si="77"/>
        <v>C</v>
      </c>
      <c r="H997" t="str">
        <f t="shared" si="78"/>
        <v>32</v>
      </c>
      <c r="I997" t="str">
        <f t="shared" si="79"/>
        <v>329</v>
      </c>
      <c r="J997" t="str">
        <f t="shared" si="80"/>
        <v>32990</v>
      </c>
      <c r="K997" t="str">
        <f t="shared" si="76"/>
        <v>3299002</v>
      </c>
    </row>
    <row r="998" spans="2:11" x14ac:dyDescent="0.25">
      <c r="C998" t="s">
        <v>1864</v>
      </c>
      <c r="D998" t="s">
        <v>1864</v>
      </c>
      <c r="E998" t="s">
        <v>2859</v>
      </c>
      <c r="F998" t="s">
        <v>777</v>
      </c>
      <c r="G998" t="str">
        <f t="shared" si="77"/>
        <v>C</v>
      </c>
      <c r="H998" t="str">
        <f t="shared" si="78"/>
        <v>32</v>
      </c>
      <c r="I998" t="str">
        <f t="shared" si="79"/>
        <v>329</v>
      </c>
      <c r="J998" t="str">
        <f t="shared" si="80"/>
        <v>32990</v>
      </c>
      <c r="K998" t="str">
        <f t="shared" si="76"/>
        <v>3299003</v>
      </c>
    </row>
    <row r="999" spans="2:11" x14ac:dyDescent="0.25">
      <c r="C999" t="s">
        <v>1864</v>
      </c>
      <c r="D999" t="s">
        <v>1864</v>
      </c>
      <c r="E999" t="s">
        <v>2860</v>
      </c>
      <c r="F999" t="s">
        <v>778</v>
      </c>
      <c r="G999" t="str">
        <f t="shared" si="77"/>
        <v>C</v>
      </c>
      <c r="H999" t="str">
        <f t="shared" si="78"/>
        <v>32</v>
      </c>
      <c r="I999" t="str">
        <f t="shared" si="79"/>
        <v>329</v>
      </c>
      <c r="J999" t="str">
        <f t="shared" si="80"/>
        <v>32990</v>
      </c>
      <c r="K999" t="str">
        <f t="shared" si="76"/>
        <v>3299004</v>
      </c>
    </row>
    <row r="1000" spans="2:11" x14ac:dyDescent="0.25">
      <c r="C1000" t="s">
        <v>1864</v>
      </c>
      <c r="D1000" t="s">
        <v>1864</v>
      </c>
      <c r="E1000" t="s">
        <v>2861</v>
      </c>
      <c r="F1000" t="s">
        <v>779</v>
      </c>
      <c r="G1000" t="str">
        <f t="shared" si="77"/>
        <v>C</v>
      </c>
      <c r="H1000" t="str">
        <f t="shared" si="78"/>
        <v>32</v>
      </c>
      <c r="I1000" t="str">
        <f t="shared" si="79"/>
        <v>329</v>
      </c>
      <c r="J1000" t="str">
        <f t="shared" si="80"/>
        <v>32990</v>
      </c>
      <c r="K1000" t="str">
        <f t="shared" si="76"/>
        <v>3299005</v>
      </c>
    </row>
    <row r="1001" spans="2:11" x14ac:dyDescent="0.25">
      <c r="C1001" t="s">
        <v>1864</v>
      </c>
      <c r="D1001" t="s">
        <v>1864</v>
      </c>
      <c r="E1001" t="s">
        <v>2862</v>
      </c>
      <c r="F1001" t="s">
        <v>780</v>
      </c>
      <c r="G1001" t="str">
        <f t="shared" si="77"/>
        <v>C</v>
      </c>
      <c r="H1001" t="str">
        <f t="shared" si="78"/>
        <v>32</v>
      </c>
      <c r="I1001" t="str">
        <f t="shared" si="79"/>
        <v>329</v>
      </c>
      <c r="J1001" t="str">
        <f t="shared" si="80"/>
        <v>32990</v>
      </c>
      <c r="K1001" t="str">
        <f t="shared" si="76"/>
        <v>3299006</v>
      </c>
    </row>
    <row r="1002" spans="2:11" x14ac:dyDescent="0.25">
      <c r="C1002" t="s">
        <v>1864</v>
      </c>
      <c r="D1002" t="s">
        <v>1864</v>
      </c>
      <c r="E1002" t="s">
        <v>2863</v>
      </c>
      <c r="F1002" t="s">
        <v>774</v>
      </c>
      <c r="G1002" t="str">
        <f t="shared" si="77"/>
        <v>C</v>
      </c>
      <c r="H1002" t="str">
        <f t="shared" si="78"/>
        <v>32</v>
      </c>
      <c r="I1002" t="str">
        <f t="shared" si="79"/>
        <v>329</v>
      </c>
      <c r="J1002" t="str">
        <f t="shared" si="80"/>
        <v>32990</v>
      </c>
      <c r="K1002" t="str">
        <f t="shared" si="76"/>
        <v>3299099</v>
      </c>
    </row>
    <row r="1003" spans="2:11" x14ac:dyDescent="0.25">
      <c r="B1003">
        <v>33</v>
      </c>
      <c r="C1003" t="s">
        <v>1864</v>
      </c>
      <c r="D1003" t="s">
        <v>1864</v>
      </c>
      <c r="E1003" t="s">
        <v>1864</v>
      </c>
      <c r="F1003" t="s">
        <v>781</v>
      </c>
      <c r="G1003" t="str">
        <f t="shared" si="77"/>
        <v>C</v>
      </c>
      <c r="H1003">
        <f t="shared" si="78"/>
        <v>33</v>
      </c>
      <c r="I1003" t="str">
        <f t="shared" si="79"/>
        <v>329</v>
      </c>
      <c r="J1003" t="str">
        <f t="shared" si="80"/>
        <v>32990</v>
      </c>
      <c r="K1003" t="str">
        <f t="shared" si="76"/>
        <v/>
      </c>
    </row>
    <row r="1004" spans="2:11" x14ac:dyDescent="0.25">
      <c r="C1004" t="s">
        <v>2864</v>
      </c>
      <c r="D1004" t="s">
        <v>1864</v>
      </c>
      <c r="E1004" t="s">
        <v>1864</v>
      </c>
      <c r="F1004" t="s">
        <v>782</v>
      </c>
      <c r="G1004" t="str">
        <f t="shared" si="77"/>
        <v>C</v>
      </c>
      <c r="H1004">
        <f t="shared" si="78"/>
        <v>33</v>
      </c>
      <c r="I1004" t="str">
        <f t="shared" si="79"/>
        <v>331</v>
      </c>
      <c r="J1004" t="str">
        <f t="shared" si="80"/>
        <v>32990</v>
      </c>
      <c r="K1004" t="str">
        <f t="shared" si="76"/>
        <v/>
      </c>
    </row>
    <row r="1005" spans="2:11" x14ac:dyDescent="0.25">
      <c r="C1005" t="s">
        <v>1864</v>
      </c>
      <c r="D1005" t="s">
        <v>2865</v>
      </c>
      <c r="E1005" t="s">
        <v>1864</v>
      </c>
      <c r="F1005" t="s">
        <v>783</v>
      </c>
      <c r="G1005" t="str">
        <f t="shared" si="77"/>
        <v>C</v>
      </c>
      <c r="H1005">
        <f t="shared" si="78"/>
        <v>33</v>
      </c>
      <c r="I1005" t="str">
        <f t="shared" si="79"/>
        <v>331</v>
      </c>
      <c r="J1005" t="str">
        <f t="shared" si="80"/>
        <v>33112</v>
      </c>
      <c r="K1005" t="str">
        <f t="shared" si="76"/>
        <v/>
      </c>
    </row>
    <row r="1006" spans="2:11" x14ac:dyDescent="0.25">
      <c r="C1006" t="s">
        <v>1864</v>
      </c>
      <c r="D1006" t="s">
        <v>1864</v>
      </c>
      <c r="E1006" t="s">
        <v>2866</v>
      </c>
      <c r="F1006" t="s">
        <v>783</v>
      </c>
      <c r="G1006" t="str">
        <f t="shared" si="77"/>
        <v>C</v>
      </c>
      <c r="H1006">
        <f t="shared" si="78"/>
        <v>33</v>
      </c>
      <c r="I1006" t="str">
        <f t="shared" si="79"/>
        <v>331</v>
      </c>
      <c r="J1006" t="str">
        <f t="shared" si="80"/>
        <v>33112</v>
      </c>
      <c r="K1006" t="str">
        <f t="shared" si="76"/>
        <v>3311200</v>
      </c>
    </row>
    <row r="1007" spans="2:11" x14ac:dyDescent="0.25">
      <c r="C1007" t="s">
        <v>1864</v>
      </c>
      <c r="D1007" t="s">
        <v>2867</v>
      </c>
      <c r="E1007" t="s">
        <v>1864</v>
      </c>
      <c r="F1007" t="s">
        <v>784</v>
      </c>
      <c r="G1007" t="str">
        <f t="shared" si="77"/>
        <v>C</v>
      </c>
      <c r="H1007">
        <f t="shared" si="78"/>
        <v>33</v>
      </c>
      <c r="I1007" t="str">
        <f t="shared" si="79"/>
        <v>331</v>
      </c>
      <c r="J1007" t="str">
        <f t="shared" si="80"/>
        <v>33121</v>
      </c>
      <c r="K1007" t="str">
        <f t="shared" si="76"/>
        <v/>
      </c>
    </row>
    <row r="1008" spans="2:11" x14ac:dyDescent="0.25">
      <c r="C1008" t="s">
        <v>1864</v>
      </c>
      <c r="D1008" t="s">
        <v>1864</v>
      </c>
      <c r="E1008" t="s">
        <v>2868</v>
      </c>
      <c r="F1008" t="s">
        <v>785</v>
      </c>
      <c r="G1008" t="str">
        <f t="shared" si="77"/>
        <v>C</v>
      </c>
      <c r="H1008">
        <f t="shared" si="78"/>
        <v>33</v>
      </c>
      <c r="I1008" t="str">
        <f t="shared" si="79"/>
        <v>331</v>
      </c>
      <c r="J1008" t="str">
        <f t="shared" si="80"/>
        <v>33121</v>
      </c>
      <c r="K1008" t="str">
        <f t="shared" si="76"/>
        <v>3312102</v>
      </c>
    </row>
    <row r="1009" spans="3:11" x14ac:dyDescent="0.25">
      <c r="C1009" t="s">
        <v>1864</v>
      </c>
      <c r="D1009" t="s">
        <v>1864</v>
      </c>
      <c r="E1009" t="s">
        <v>2869</v>
      </c>
      <c r="F1009" t="s">
        <v>786</v>
      </c>
      <c r="G1009" t="str">
        <f t="shared" si="77"/>
        <v>C</v>
      </c>
      <c r="H1009">
        <f t="shared" si="78"/>
        <v>33</v>
      </c>
      <c r="I1009" t="str">
        <f t="shared" si="79"/>
        <v>331</v>
      </c>
      <c r="J1009" t="str">
        <f t="shared" si="80"/>
        <v>33121</v>
      </c>
      <c r="K1009" t="str">
        <f t="shared" si="76"/>
        <v>3312103</v>
      </c>
    </row>
    <row r="1010" spans="3:11" x14ac:dyDescent="0.25">
      <c r="C1010" t="s">
        <v>1864</v>
      </c>
      <c r="D1010" t="s">
        <v>1864</v>
      </c>
      <c r="E1010" t="s">
        <v>2870</v>
      </c>
      <c r="F1010" t="s">
        <v>787</v>
      </c>
      <c r="G1010" t="str">
        <f t="shared" si="77"/>
        <v>C</v>
      </c>
      <c r="H1010">
        <f t="shared" si="78"/>
        <v>33</v>
      </c>
      <c r="I1010" t="str">
        <f t="shared" si="79"/>
        <v>331</v>
      </c>
      <c r="J1010" t="str">
        <f t="shared" si="80"/>
        <v>33121</v>
      </c>
      <c r="K1010" t="str">
        <f t="shared" si="76"/>
        <v>3312104</v>
      </c>
    </row>
    <row r="1011" spans="3:11" x14ac:dyDescent="0.25">
      <c r="C1011" t="s">
        <v>1864</v>
      </c>
      <c r="D1011" t="s">
        <v>2871</v>
      </c>
      <c r="E1011" t="s">
        <v>1864</v>
      </c>
      <c r="F1011" t="s">
        <v>788</v>
      </c>
      <c r="G1011" t="str">
        <f t="shared" si="77"/>
        <v>C</v>
      </c>
      <c r="H1011">
        <f t="shared" si="78"/>
        <v>33</v>
      </c>
      <c r="I1011" t="str">
        <f t="shared" si="79"/>
        <v>331</v>
      </c>
      <c r="J1011" t="str">
        <f t="shared" si="80"/>
        <v>33139</v>
      </c>
      <c r="K1011" t="str">
        <f t="shared" si="76"/>
        <v/>
      </c>
    </row>
    <row r="1012" spans="3:11" x14ac:dyDescent="0.25">
      <c r="C1012" t="s">
        <v>1864</v>
      </c>
      <c r="D1012" t="s">
        <v>1864</v>
      </c>
      <c r="E1012" t="s">
        <v>2872</v>
      </c>
      <c r="F1012" t="s">
        <v>789</v>
      </c>
      <c r="G1012" t="str">
        <f t="shared" si="77"/>
        <v>C</v>
      </c>
      <c r="H1012">
        <f t="shared" si="78"/>
        <v>33</v>
      </c>
      <c r="I1012" t="str">
        <f t="shared" si="79"/>
        <v>331</v>
      </c>
      <c r="J1012" t="str">
        <f t="shared" si="80"/>
        <v>33139</v>
      </c>
      <c r="K1012" t="str">
        <f t="shared" si="76"/>
        <v>3313901</v>
      </c>
    </row>
    <row r="1013" spans="3:11" x14ac:dyDescent="0.25">
      <c r="C1013" t="s">
        <v>1864</v>
      </c>
      <c r="D1013" t="s">
        <v>1864</v>
      </c>
      <c r="E1013" t="s">
        <v>2873</v>
      </c>
      <c r="F1013" t="s">
        <v>790</v>
      </c>
      <c r="G1013" t="str">
        <f t="shared" si="77"/>
        <v>C</v>
      </c>
      <c r="H1013">
        <f t="shared" si="78"/>
        <v>33</v>
      </c>
      <c r="I1013" t="str">
        <f t="shared" si="79"/>
        <v>331</v>
      </c>
      <c r="J1013" t="str">
        <f t="shared" si="80"/>
        <v>33139</v>
      </c>
      <c r="K1013" t="str">
        <f t="shared" si="76"/>
        <v>3313902</v>
      </c>
    </row>
    <row r="1014" spans="3:11" x14ac:dyDescent="0.25">
      <c r="C1014" t="s">
        <v>1864</v>
      </c>
      <c r="D1014" t="s">
        <v>1864</v>
      </c>
      <c r="E1014" t="s">
        <v>2874</v>
      </c>
      <c r="F1014" t="s">
        <v>791</v>
      </c>
      <c r="G1014" t="str">
        <f t="shared" si="77"/>
        <v>C</v>
      </c>
      <c r="H1014">
        <f t="shared" si="78"/>
        <v>33</v>
      </c>
      <c r="I1014" t="str">
        <f t="shared" si="79"/>
        <v>331</v>
      </c>
      <c r="J1014" t="str">
        <f t="shared" si="80"/>
        <v>33139</v>
      </c>
      <c r="K1014" t="str">
        <f t="shared" si="76"/>
        <v>3313999</v>
      </c>
    </row>
    <row r="1015" spans="3:11" x14ac:dyDescent="0.25">
      <c r="C1015" t="s">
        <v>1864</v>
      </c>
      <c r="D1015" t="s">
        <v>2875</v>
      </c>
      <c r="E1015" t="s">
        <v>1864</v>
      </c>
      <c r="F1015" t="s">
        <v>792</v>
      </c>
      <c r="G1015" t="str">
        <f t="shared" si="77"/>
        <v>C</v>
      </c>
      <c r="H1015">
        <f t="shared" si="78"/>
        <v>33</v>
      </c>
      <c r="I1015" t="str">
        <f t="shared" si="79"/>
        <v>331</v>
      </c>
      <c r="J1015" t="str">
        <f t="shared" si="80"/>
        <v>33147</v>
      </c>
      <c r="K1015" t="str">
        <f t="shared" si="76"/>
        <v/>
      </c>
    </row>
    <row r="1016" spans="3:11" x14ac:dyDescent="0.25">
      <c r="C1016" t="s">
        <v>1864</v>
      </c>
      <c r="D1016" t="s">
        <v>1864</v>
      </c>
      <c r="E1016" t="s">
        <v>2876</v>
      </c>
      <c r="F1016" t="s">
        <v>793</v>
      </c>
      <c r="G1016" t="str">
        <f t="shared" si="77"/>
        <v>C</v>
      </c>
      <c r="H1016">
        <f t="shared" si="78"/>
        <v>33</v>
      </c>
      <c r="I1016" t="str">
        <f t="shared" si="79"/>
        <v>331</v>
      </c>
      <c r="J1016" t="str">
        <f t="shared" si="80"/>
        <v>33147</v>
      </c>
      <c r="K1016" t="str">
        <f t="shared" si="76"/>
        <v>3314701</v>
      </c>
    </row>
    <row r="1017" spans="3:11" x14ac:dyDescent="0.25">
      <c r="C1017" t="s">
        <v>1864</v>
      </c>
      <c r="D1017" t="s">
        <v>1864</v>
      </c>
      <c r="E1017" t="s">
        <v>2877</v>
      </c>
      <c r="F1017" t="s">
        <v>794</v>
      </c>
      <c r="G1017" t="str">
        <f t="shared" si="77"/>
        <v>C</v>
      </c>
      <c r="H1017">
        <f t="shared" si="78"/>
        <v>33</v>
      </c>
      <c r="I1017" t="str">
        <f t="shared" si="79"/>
        <v>331</v>
      </c>
      <c r="J1017" t="str">
        <f t="shared" si="80"/>
        <v>33147</v>
      </c>
      <c r="K1017" t="str">
        <f t="shared" si="76"/>
        <v>3314702</v>
      </c>
    </row>
    <row r="1018" spans="3:11" x14ac:dyDescent="0.25">
      <c r="C1018" t="s">
        <v>1864</v>
      </c>
      <c r="D1018" t="s">
        <v>1864</v>
      </c>
      <c r="E1018" t="s">
        <v>2878</v>
      </c>
      <c r="F1018" t="s">
        <v>795</v>
      </c>
      <c r="G1018" t="str">
        <f t="shared" si="77"/>
        <v>C</v>
      </c>
      <c r="H1018">
        <f t="shared" si="78"/>
        <v>33</v>
      </c>
      <c r="I1018" t="str">
        <f t="shared" si="79"/>
        <v>331</v>
      </c>
      <c r="J1018" t="str">
        <f t="shared" si="80"/>
        <v>33147</v>
      </c>
      <c r="K1018" t="str">
        <f t="shared" si="76"/>
        <v>3314703</v>
      </c>
    </row>
    <row r="1019" spans="3:11" x14ac:dyDescent="0.25">
      <c r="C1019" t="s">
        <v>1864</v>
      </c>
      <c r="D1019" t="s">
        <v>1864</v>
      </c>
      <c r="E1019" t="s">
        <v>2879</v>
      </c>
      <c r="F1019" t="s">
        <v>796</v>
      </c>
      <c r="G1019" t="str">
        <f t="shared" si="77"/>
        <v>C</v>
      </c>
      <c r="H1019">
        <f t="shared" si="78"/>
        <v>33</v>
      </c>
      <c r="I1019" t="str">
        <f t="shared" si="79"/>
        <v>331</v>
      </c>
      <c r="J1019" t="str">
        <f t="shared" si="80"/>
        <v>33147</v>
      </c>
      <c r="K1019" t="str">
        <f t="shared" si="76"/>
        <v>3314704</v>
      </c>
    </row>
    <row r="1020" spans="3:11" x14ac:dyDescent="0.25">
      <c r="C1020" t="s">
        <v>1864</v>
      </c>
      <c r="D1020" t="s">
        <v>1864</v>
      </c>
      <c r="E1020" t="s">
        <v>2880</v>
      </c>
      <c r="F1020" t="s">
        <v>797</v>
      </c>
      <c r="G1020" t="str">
        <f t="shared" si="77"/>
        <v>C</v>
      </c>
      <c r="H1020">
        <f t="shared" si="78"/>
        <v>33</v>
      </c>
      <c r="I1020" t="str">
        <f t="shared" si="79"/>
        <v>331</v>
      </c>
      <c r="J1020" t="str">
        <f t="shared" si="80"/>
        <v>33147</v>
      </c>
      <c r="K1020" t="str">
        <f t="shared" si="76"/>
        <v>3314705</v>
      </c>
    </row>
    <row r="1021" spans="3:11" x14ac:dyDescent="0.25">
      <c r="C1021" t="s">
        <v>1864</v>
      </c>
      <c r="D1021" t="s">
        <v>1864</v>
      </c>
      <c r="E1021" t="s">
        <v>2881</v>
      </c>
      <c r="F1021" t="s">
        <v>798</v>
      </c>
      <c r="G1021" t="str">
        <f t="shared" si="77"/>
        <v>C</v>
      </c>
      <c r="H1021">
        <f t="shared" si="78"/>
        <v>33</v>
      </c>
      <c r="I1021" t="str">
        <f t="shared" si="79"/>
        <v>331</v>
      </c>
      <c r="J1021" t="str">
        <f t="shared" si="80"/>
        <v>33147</v>
      </c>
      <c r="K1021" t="str">
        <f t="shared" si="76"/>
        <v>3314706</v>
      </c>
    </row>
    <row r="1022" spans="3:11" x14ac:dyDescent="0.25">
      <c r="C1022" t="s">
        <v>1864</v>
      </c>
      <c r="D1022" t="s">
        <v>1864</v>
      </c>
      <c r="E1022" t="s">
        <v>2882</v>
      </c>
      <c r="F1022" t="s">
        <v>799</v>
      </c>
      <c r="G1022" t="str">
        <f t="shared" si="77"/>
        <v>C</v>
      </c>
      <c r="H1022">
        <f t="shared" si="78"/>
        <v>33</v>
      </c>
      <c r="I1022" t="str">
        <f t="shared" si="79"/>
        <v>331</v>
      </c>
      <c r="J1022" t="str">
        <f t="shared" si="80"/>
        <v>33147</v>
      </c>
      <c r="K1022" t="str">
        <f t="shared" si="76"/>
        <v>3314707</v>
      </c>
    </row>
    <row r="1023" spans="3:11" x14ac:dyDescent="0.25">
      <c r="C1023" t="s">
        <v>1864</v>
      </c>
      <c r="D1023" t="s">
        <v>1864</v>
      </c>
      <c r="E1023" t="s">
        <v>2883</v>
      </c>
      <c r="F1023" t="s">
        <v>800</v>
      </c>
      <c r="G1023" t="str">
        <f t="shared" si="77"/>
        <v>C</v>
      </c>
      <c r="H1023">
        <f t="shared" si="78"/>
        <v>33</v>
      </c>
      <c r="I1023" t="str">
        <f t="shared" si="79"/>
        <v>331</v>
      </c>
      <c r="J1023" t="str">
        <f t="shared" si="80"/>
        <v>33147</v>
      </c>
      <c r="K1023" t="str">
        <f t="shared" si="76"/>
        <v>3314708</v>
      </c>
    </row>
    <row r="1024" spans="3:11" x14ac:dyDescent="0.25">
      <c r="C1024" t="s">
        <v>1864</v>
      </c>
      <c r="D1024" t="s">
        <v>1864</v>
      </c>
      <c r="E1024" t="s">
        <v>2884</v>
      </c>
      <c r="F1024" t="s">
        <v>801</v>
      </c>
      <c r="G1024" t="str">
        <f t="shared" si="77"/>
        <v>C</v>
      </c>
      <c r="H1024">
        <f t="shared" si="78"/>
        <v>33</v>
      </c>
      <c r="I1024" t="str">
        <f t="shared" si="79"/>
        <v>331</v>
      </c>
      <c r="J1024" t="str">
        <f t="shared" si="80"/>
        <v>33147</v>
      </c>
      <c r="K1024" t="str">
        <f t="shared" si="76"/>
        <v>3314709</v>
      </c>
    </row>
    <row r="1025" spans="3:11" x14ac:dyDescent="0.25">
      <c r="C1025" t="s">
        <v>1864</v>
      </c>
      <c r="D1025" t="s">
        <v>1864</v>
      </c>
      <c r="E1025" t="s">
        <v>2885</v>
      </c>
      <c r="F1025" t="s">
        <v>802</v>
      </c>
      <c r="G1025" t="str">
        <f t="shared" si="77"/>
        <v>C</v>
      </c>
      <c r="H1025">
        <f t="shared" si="78"/>
        <v>33</v>
      </c>
      <c r="I1025" t="str">
        <f t="shared" si="79"/>
        <v>331</v>
      </c>
      <c r="J1025" t="str">
        <f t="shared" si="80"/>
        <v>33147</v>
      </c>
      <c r="K1025" t="str">
        <f t="shared" si="76"/>
        <v>3314710</v>
      </c>
    </row>
    <row r="1026" spans="3:11" x14ac:dyDescent="0.25">
      <c r="C1026" t="s">
        <v>1864</v>
      </c>
      <c r="D1026" t="s">
        <v>1864</v>
      </c>
      <c r="E1026" t="s">
        <v>2886</v>
      </c>
      <c r="F1026" t="s">
        <v>803</v>
      </c>
      <c r="G1026" t="str">
        <f t="shared" si="77"/>
        <v>C</v>
      </c>
      <c r="H1026">
        <f t="shared" si="78"/>
        <v>33</v>
      </c>
      <c r="I1026" t="str">
        <f t="shared" si="79"/>
        <v>331</v>
      </c>
      <c r="J1026" t="str">
        <f t="shared" si="80"/>
        <v>33147</v>
      </c>
      <c r="K1026" t="str">
        <f t="shared" si="76"/>
        <v>3314711</v>
      </c>
    </row>
    <row r="1027" spans="3:11" x14ac:dyDescent="0.25">
      <c r="C1027" t="s">
        <v>1864</v>
      </c>
      <c r="D1027" t="s">
        <v>1864</v>
      </c>
      <c r="E1027" t="s">
        <v>2887</v>
      </c>
      <c r="F1027" t="s">
        <v>804</v>
      </c>
      <c r="G1027" t="str">
        <f t="shared" si="77"/>
        <v>C</v>
      </c>
      <c r="H1027">
        <f t="shared" si="78"/>
        <v>33</v>
      </c>
      <c r="I1027" t="str">
        <f t="shared" si="79"/>
        <v>331</v>
      </c>
      <c r="J1027" t="str">
        <f t="shared" si="80"/>
        <v>33147</v>
      </c>
      <c r="K1027" t="str">
        <f t="shared" si="76"/>
        <v>3314712</v>
      </c>
    </row>
    <row r="1028" spans="3:11" x14ac:dyDescent="0.25">
      <c r="C1028" t="s">
        <v>1864</v>
      </c>
      <c r="D1028" t="s">
        <v>1864</v>
      </c>
      <c r="E1028" t="s">
        <v>2888</v>
      </c>
      <c r="F1028" t="s">
        <v>805</v>
      </c>
      <c r="G1028" t="str">
        <f t="shared" si="77"/>
        <v>C</v>
      </c>
      <c r="H1028">
        <f t="shared" si="78"/>
        <v>33</v>
      </c>
      <c r="I1028" t="str">
        <f t="shared" si="79"/>
        <v>331</v>
      </c>
      <c r="J1028" t="str">
        <f t="shared" si="80"/>
        <v>33147</v>
      </c>
      <c r="K1028" t="str">
        <f t="shared" si="76"/>
        <v>3314713</v>
      </c>
    </row>
    <row r="1029" spans="3:11" x14ac:dyDescent="0.25">
      <c r="C1029" t="s">
        <v>1864</v>
      </c>
      <c r="D1029" t="s">
        <v>1864</v>
      </c>
      <c r="E1029" t="s">
        <v>2889</v>
      </c>
      <c r="F1029" t="s">
        <v>806</v>
      </c>
      <c r="G1029" t="str">
        <f t="shared" si="77"/>
        <v>C</v>
      </c>
      <c r="H1029">
        <f t="shared" si="78"/>
        <v>33</v>
      </c>
      <c r="I1029" t="str">
        <f t="shared" si="79"/>
        <v>331</v>
      </c>
      <c r="J1029" t="str">
        <f t="shared" si="80"/>
        <v>33147</v>
      </c>
      <c r="K1029" t="str">
        <f t="shared" si="76"/>
        <v>3314714</v>
      </c>
    </row>
    <row r="1030" spans="3:11" x14ac:dyDescent="0.25">
      <c r="C1030" t="s">
        <v>1864</v>
      </c>
      <c r="D1030" t="s">
        <v>1864</v>
      </c>
      <c r="E1030" t="s">
        <v>2890</v>
      </c>
      <c r="F1030" t="s">
        <v>807</v>
      </c>
      <c r="G1030" t="str">
        <f t="shared" si="77"/>
        <v>C</v>
      </c>
      <c r="H1030">
        <f t="shared" si="78"/>
        <v>33</v>
      </c>
      <c r="I1030" t="str">
        <f t="shared" si="79"/>
        <v>331</v>
      </c>
      <c r="J1030" t="str">
        <f t="shared" si="80"/>
        <v>33147</v>
      </c>
      <c r="K1030" t="str">
        <f t="shared" si="76"/>
        <v>3314715</v>
      </c>
    </row>
    <row r="1031" spans="3:11" x14ac:dyDescent="0.25">
      <c r="C1031" t="s">
        <v>1864</v>
      </c>
      <c r="D1031" t="s">
        <v>1864</v>
      </c>
      <c r="E1031" t="s">
        <v>2891</v>
      </c>
      <c r="F1031" t="s">
        <v>808</v>
      </c>
      <c r="G1031" t="str">
        <f t="shared" si="77"/>
        <v>C</v>
      </c>
      <c r="H1031">
        <f t="shared" si="78"/>
        <v>33</v>
      </c>
      <c r="I1031" t="str">
        <f t="shared" si="79"/>
        <v>331</v>
      </c>
      <c r="J1031" t="str">
        <f t="shared" si="80"/>
        <v>33147</v>
      </c>
      <c r="K1031" t="str">
        <f t="shared" si="76"/>
        <v>3314716</v>
      </c>
    </row>
    <row r="1032" spans="3:11" x14ac:dyDescent="0.25">
      <c r="C1032" t="s">
        <v>1864</v>
      </c>
      <c r="D1032" t="s">
        <v>1864</v>
      </c>
      <c r="E1032" t="s">
        <v>2892</v>
      </c>
      <c r="F1032" t="s">
        <v>809</v>
      </c>
      <c r="G1032" t="str">
        <f t="shared" si="77"/>
        <v>C</v>
      </c>
      <c r="H1032">
        <f t="shared" si="78"/>
        <v>33</v>
      </c>
      <c r="I1032" t="str">
        <f t="shared" si="79"/>
        <v>331</v>
      </c>
      <c r="J1032" t="str">
        <f t="shared" si="80"/>
        <v>33147</v>
      </c>
      <c r="K1032" t="str">
        <f t="shared" ref="K1032:K1095" si="81">E1032</f>
        <v>3314717</v>
      </c>
    </row>
    <row r="1033" spans="3:11" x14ac:dyDescent="0.25">
      <c r="C1033" t="s">
        <v>1864</v>
      </c>
      <c r="D1033" t="s">
        <v>1864</v>
      </c>
      <c r="E1033" t="s">
        <v>2893</v>
      </c>
      <c r="F1033" t="s">
        <v>810</v>
      </c>
      <c r="G1033" t="str">
        <f t="shared" ref="G1033:G1096" si="82">IF(A1033="",G1032,A1033)</f>
        <v>C</v>
      </c>
      <c r="H1033">
        <f t="shared" ref="H1033:H1096" si="83">IF(B1033="",H1032,B1033)</f>
        <v>33</v>
      </c>
      <c r="I1033" t="str">
        <f t="shared" ref="I1033:I1096" si="84">IF(C1033="",I1032,C1033)</f>
        <v>331</v>
      </c>
      <c r="J1033" t="str">
        <f t="shared" ref="J1033:J1096" si="85">IF(D1033="",J1032,D1033)</f>
        <v>33147</v>
      </c>
      <c r="K1033" t="str">
        <f t="shared" si="81"/>
        <v>3314718</v>
      </c>
    </row>
    <row r="1034" spans="3:11" x14ac:dyDescent="0.25">
      <c r="C1034" t="s">
        <v>1864</v>
      </c>
      <c r="D1034" t="s">
        <v>1864</v>
      </c>
      <c r="E1034" t="s">
        <v>2894</v>
      </c>
      <c r="F1034" t="s">
        <v>811</v>
      </c>
      <c r="G1034" t="str">
        <f t="shared" si="82"/>
        <v>C</v>
      </c>
      <c r="H1034">
        <f t="shared" si="83"/>
        <v>33</v>
      </c>
      <c r="I1034" t="str">
        <f t="shared" si="84"/>
        <v>331</v>
      </c>
      <c r="J1034" t="str">
        <f t="shared" si="85"/>
        <v>33147</v>
      </c>
      <c r="K1034" t="str">
        <f t="shared" si="81"/>
        <v>3314719</v>
      </c>
    </row>
    <row r="1035" spans="3:11" x14ac:dyDescent="0.25">
      <c r="C1035" t="s">
        <v>1864</v>
      </c>
      <c r="D1035" t="s">
        <v>1864</v>
      </c>
      <c r="E1035" t="s">
        <v>2895</v>
      </c>
      <c r="F1035" t="s">
        <v>812</v>
      </c>
      <c r="G1035" t="str">
        <f t="shared" si="82"/>
        <v>C</v>
      </c>
      <c r="H1035">
        <f t="shared" si="83"/>
        <v>33</v>
      </c>
      <c r="I1035" t="str">
        <f t="shared" si="84"/>
        <v>331</v>
      </c>
      <c r="J1035" t="str">
        <f t="shared" si="85"/>
        <v>33147</v>
      </c>
      <c r="K1035" t="str">
        <f t="shared" si="81"/>
        <v>3314720</v>
      </c>
    </row>
    <row r="1036" spans="3:11" x14ac:dyDescent="0.25">
      <c r="C1036" t="s">
        <v>1864</v>
      </c>
      <c r="D1036" t="s">
        <v>1864</v>
      </c>
      <c r="E1036" t="s">
        <v>2896</v>
      </c>
      <c r="F1036" t="s">
        <v>813</v>
      </c>
      <c r="G1036" t="str">
        <f t="shared" si="82"/>
        <v>C</v>
      </c>
      <c r="H1036">
        <f t="shared" si="83"/>
        <v>33</v>
      </c>
      <c r="I1036" t="str">
        <f t="shared" si="84"/>
        <v>331</v>
      </c>
      <c r="J1036" t="str">
        <f t="shared" si="85"/>
        <v>33147</v>
      </c>
      <c r="K1036" t="str">
        <f t="shared" si="81"/>
        <v>3314721</v>
      </c>
    </row>
    <row r="1037" spans="3:11" x14ac:dyDescent="0.25">
      <c r="C1037" t="s">
        <v>1864</v>
      </c>
      <c r="D1037" t="s">
        <v>1864</v>
      </c>
      <c r="E1037" t="s">
        <v>2897</v>
      </c>
      <c r="F1037" t="s">
        <v>814</v>
      </c>
      <c r="G1037" t="str">
        <f t="shared" si="82"/>
        <v>C</v>
      </c>
      <c r="H1037">
        <f t="shared" si="83"/>
        <v>33</v>
      </c>
      <c r="I1037" t="str">
        <f t="shared" si="84"/>
        <v>331</v>
      </c>
      <c r="J1037" t="str">
        <f t="shared" si="85"/>
        <v>33147</v>
      </c>
      <c r="K1037" t="str">
        <f t="shared" si="81"/>
        <v>3314722</v>
      </c>
    </row>
    <row r="1038" spans="3:11" x14ac:dyDescent="0.25">
      <c r="C1038" t="s">
        <v>1864</v>
      </c>
      <c r="D1038" t="s">
        <v>1864</v>
      </c>
      <c r="E1038" t="s">
        <v>2898</v>
      </c>
      <c r="F1038" t="s">
        <v>815</v>
      </c>
      <c r="G1038" t="str">
        <f t="shared" si="82"/>
        <v>C</v>
      </c>
      <c r="H1038">
        <f t="shared" si="83"/>
        <v>33</v>
      </c>
      <c r="I1038" t="str">
        <f t="shared" si="84"/>
        <v>331</v>
      </c>
      <c r="J1038" t="str">
        <f t="shared" si="85"/>
        <v>33147</v>
      </c>
      <c r="K1038" t="str">
        <f t="shared" si="81"/>
        <v>3314799</v>
      </c>
    </row>
    <row r="1039" spans="3:11" x14ac:dyDescent="0.25">
      <c r="C1039" t="s">
        <v>1864</v>
      </c>
      <c r="D1039" t="s">
        <v>2899</v>
      </c>
      <c r="E1039" t="s">
        <v>1864</v>
      </c>
      <c r="F1039" t="s">
        <v>816</v>
      </c>
      <c r="G1039" t="str">
        <f t="shared" si="82"/>
        <v>C</v>
      </c>
      <c r="H1039">
        <f t="shared" si="83"/>
        <v>33</v>
      </c>
      <c r="I1039" t="str">
        <f t="shared" si="84"/>
        <v>331</v>
      </c>
      <c r="J1039" t="str">
        <f t="shared" si="85"/>
        <v>33155</v>
      </c>
      <c r="K1039" t="str">
        <f t="shared" si="81"/>
        <v/>
      </c>
    </row>
    <row r="1040" spans="3:11" x14ac:dyDescent="0.25">
      <c r="C1040" t="s">
        <v>1864</v>
      </c>
      <c r="D1040" t="s">
        <v>1864</v>
      </c>
      <c r="E1040" t="s">
        <v>2900</v>
      </c>
      <c r="F1040" t="s">
        <v>816</v>
      </c>
      <c r="G1040" t="str">
        <f t="shared" si="82"/>
        <v>C</v>
      </c>
      <c r="H1040">
        <f t="shared" si="83"/>
        <v>33</v>
      </c>
      <c r="I1040" t="str">
        <f t="shared" si="84"/>
        <v>331</v>
      </c>
      <c r="J1040" t="str">
        <f t="shared" si="85"/>
        <v>33155</v>
      </c>
      <c r="K1040" t="str">
        <f t="shared" si="81"/>
        <v>3315500</v>
      </c>
    </row>
    <row r="1041" spans="1:11" x14ac:dyDescent="0.25">
      <c r="C1041" t="s">
        <v>1864</v>
      </c>
      <c r="D1041" t="s">
        <v>2901</v>
      </c>
      <c r="E1041" t="s">
        <v>1864</v>
      </c>
      <c r="F1041" t="s">
        <v>817</v>
      </c>
      <c r="G1041" t="str">
        <f t="shared" si="82"/>
        <v>C</v>
      </c>
      <c r="H1041">
        <f t="shared" si="83"/>
        <v>33</v>
      </c>
      <c r="I1041" t="str">
        <f t="shared" si="84"/>
        <v>331</v>
      </c>
      <c r="J1041" t="str">
        <f t="shared" si="85"/>
        <v>33163</v>
      </c>
      <c r="K1041" t="str">
        <f t="shared" si="81"/>
        <v/>
      </c>
    </row>
    <row r="1042" spans="1:11" x14ac:dyDescent="0.25">
      <c r="C1042" t="s">
        <v>1864</v>
      </c>
      <c r="D1042" t="s">
        <v>1864</v>
      </c>
      <c r="E1042" t="s">
        <v>2902</v>
      </c>
      <c r="F1042" t="s">
        <v>818</v>
      </c>
      <c r="G1042" t="str">
        <f t="shared" si="82"/>
        <v>C</v>
      </c>
      <c r="H1042">
        <f t="shared" si="83"/>
        <v>33</v>
      </c>
      <c r="I1042" t="str">
        <f t="shared" si="84"/>
        <v>331</v>
      </c>
      <c r="J1042" t="str">
        <f t="shared" si="85"/>
        <v>33163</v>
      </c>
      <c r="K1042" t="str">
        <f t="shared" si="81"/>
        <v>3316301</v>
      </c>
    </row>
    <row r="1043" spans="1:11" x14ac:dyDescent="0.25">
      <c r="C1043" t="s">
        <v>1864</v>
      </c>
      <c r="D1043" t="s">
        <v>1864</v>
      </c>
      <c r="E1043" t="s">
        <v>2903</v>
      </c>
      <c r="F1043" t="s">
        <v>819</v>
      </c>
      <c r="G1043" t="str">
        <f t="shared" si="82"/>
        <v>C</v>
      </c>
      <c r="H1043">
        <f t="shared" si="83"/>
        <v>33</v>
      </c>
      <c r="I1043" t="str">
        <f t="shared" si="84"/>
        <v>331</v>
      </c>
      <c r="J1043" t="str">
        <f t="shared" si="85"/>
        <v>33163</v>
      </c>
      <c r="K1043" t="str">
        <f t="shared" si="81"/>
        <v>3316302</v>
      </c>
    </row>
    <row r="1044" spans="1:11" x14ac:dyDescent="0.25">
      <c r="C1044" t="s">
        <v>1864</v>
      </c>
      <c r="D1044" t="s">
        <v>2904</v>
      </c>
      <c r="E1044" t="s">
        <v>1864</v>
      </c>
      <c r="F1044" t="s">
        <v>820</v>
      </c>
      <c r="G1044" t="str">
        <f t="shared" si="82"/>
        <v>C</v>
      </c>
      <c r="H1044">
        <f t="shared" si="83"/>
        <v>33</v>
      </c>
      <c r="I1044" t="str">
        <f t="shared" si="84"/>
        <v>331</v>
      </c>
      <c r="J1044" t="str">
        <f t="shared" si="85"/>
        <v>33171</v>
      </c>
      <c r="K1044" t="str">
        <f t="shared" si="81"/>
        <v/>
      </c>
    </row>
    <row r="1045" spans="1:11" x14ac:dyDescent="0.25">
      <c r="C1045" t="s">
        <v>1864</v>
      </c>
      <c r="D1045" t="s">
        <v>1864</v>
      </c>
      <c r="E1045" t="s">
        <v>2905</v>
      </c>
      <c r="F1045" t="s">
        <v>821</v>
      </c>
      <c r="G1045" t="str">
        <f t="shared" si="82"/>
        <v>C</v>
      </c>
      <c r="H1045">
        <f t="shared" si="83"/>
        <v>33</v>
      </c>
      <c r="I1045" t="str">
        <f t="shared" si="84"/>
        <v>331</v>
      </c>
      <c r="J1045" t="str">
        <f t="shared" si="85"/>
        <v>33171</v>
      </c>
      <c r="K1045" t="str">
        <f t="shared" si="81"/>
        <v>3317101</v>
      </c>
    </row>
    <row r="1046" spans="1:11" x14ac:dyDescent="0.25">
      <c r="C1046" t="s">
        <v>1864</v>
      </c>
      <c r="D1046" t="s">
        <v>1864</v>
      </c>
      <c r="E1046" t="s">
        <v>2906</v>
      </c>
      <c r="F1046" t="s">
        <v>822</v>
      </c>
      <c r="G1046" t="str">
        <f t="shared" si="82"/>
        <v>C</v>
      </c>
      <c r="H1046">
        <f t="shared" si="83"/>
        <v>33</v>
      </c>
      <c r="I1046" t="str">
        <f t="shared" si="84"/>
        <v>331</v>
      </c>
      <c r="J1046" t="str">
        <f t="shared" si="85"/>
        <v>33171</v>
      </c>
      <c r="K1046" t="str">
        <f t="shared" si="81"/>
        <v>3317102</v>
      </c>
    </row>
    <row r="1047" spans="1:11" x14ac:dyDescent="0.25">
      <c r="C1047" t="s">
        <v>1864</v>
      </c>
      <c r="D1047" t="s">
        <v>2907</v>
      </c>
      <c r="E1047" t="s">
        <v>1864</v>
      </c>
      <c r="F1047" t="s">
        <v>823</v>
      </c>
      <c r="G1047" t="str">
        <f t="shared" si="82"/>
        <v>C</v>
      </c>
      <c r="H1047">
        <f t="shared" si="83"/>
        <v>33</v>
      </c>
      <c r="I1047" t="str">
        <f t="shared" si="84"/>
        <v>331</v>
      </c>
      <c r="J1047" t="str">
        <f t="shared" si="85"/>
        <v>33198</v>
      </c>
      <c r="K1047" t="str">
        <f t="shared" si="81"/>
        <v/>
      </c>
    </row>
    <row r="1048" spans="1:11" x14ac:dyDescent="0.25">
      <c r="C1048" t="s">
        <v>1864</v>
      </c>
      <c r="D1048" t="s">
        <v>1864</v>
      </c>
      <c r="E1048" t="s">
        <v>2908</v>
      </c>
      <c r="F1048" t="s">
        <v>823</v>
      </c>
      <c r="G1048" t="str">
        <f t="shared" si="82"/>
        <v>C</v>
      </c>
      <c r="H1048">
        <f t="shared" si="83"/>
        <v>33</v>
      </c>
      <c r="I1048" t="str">
        <f t="shared" si="84"/>
        <v>331</v>
      </c>
      <c r="J1048" t="str">
        <f t="shared" si="85"/>
        <v>33198</v>
      </c>
      <c r="K1048" t="str">
        <f t="shared" si="81"/>
        <v>3319800</v>
      </c>
    </row>
    <row r="1049" spans="1:11" x14ac:dyDescent="0.25">
      <c r="C1049" t="s">
        <v>2909</v>
      </c>
      <c r="D1049" t="s">
        <v>1864</v>
      </c>
      <c r="E1049" t="s">
        <v>1864</v>
      </c>
      <c r="F1049" t="s">
        <v>824</v>
      </c>
      <c r="G1049" t="str">
        <f t="shared" si="82"/>
        <v>C</v>
      </c>
      <c r="H1049">
        <f t="shared" si="83"/>
        <v>33</v>
      </c>
      <c r="I1049" t="str">
        <f t="shared" si="84"/>
        <v>332</v>
      </c>
      <c r="J1049" t="str">
        <f t="shared" si="85"/>
        <v>33198</v>
      </c>
      <c r="K1049" t="str">
        <f t="shared" si="81"/>
        <v/>
      </c>
    </row>
    <row r="1050" spans="1:11" x14ac:dyDescent="0.25">
      <c r="C1050" t="s">
        <v>1864</v>
      </c>
      <c r="D1050" t="s">
        <v>2910</v>
      </c>
      <c r="E1050" t="s">
        <v>1864</v>
      </c>
      <c r="F1050" t="s">
        <v>825</v>
      </c>
      <c r="G1050" t="str">
        <f t="shared" si="82"/>
        <v>C</v>
      </c>
      <c r="H1050">
        <f t="shared" si="83"/>
        <v>33</v>
      </c>
      <c r="I1050" t="str">
        <f t="shared" si="84"/>
        <v>332</v>
      </c>
      <c r="J1050" t="str">
        <f t="shared" si="85"/>
        <v>33210</v>
      </c>
      <c r="K1050" t="str">
        <f t="shared" si="81"/>
        <v/>
      </c>
    </row>
    <row r="1051" spans="1:11" x14ac:dyDescent="0.25">
      <c r="C1051" t="s">
        <v>1864</v>
      </c>
      <c r="D1051" t="s">
        <v>1864</v>
      </c>
      <c r="E1051" t="s">
        <v>2911</v>
      </c>
      <c r="F1051" t="s">
        <v>825</v>
      </c>
      <c r="G1051" t="str">
        <f t="shared" si="82"/>
        <v>C</v>
      </c>
      <c r="H1051">
        <f t="shared" si="83"/>
        <v>33</v>
      </c>
      <c r="I1051" t="str">
        <f t="shared" si="84"/>
        <v>332</v>
      </c>
      <c r="J1051" t="str">
        <f t="shared" si="85"/>
        <v>33210</v>
      </c>
      <c r="K1051" t="str">
        <f t="shared" si="81"/>
        <v>3321000</v>
      </c>
    </row>
    <row r="1052" spans="1:11" x14ac:dyDescent="0.25">
      <c r="C1052" t="s">
        <v>1864</v>
      </c>
      <c r="D1052" t="s">
        <v>2912</v>
      </c>
      <c r="E1052" t="s">
        <v>1864</v>
      </c>
      <c r="F1052" t="s">
        <v>826</v>
      </c>
      <c r="G1052" t="str">
        <f t="shared" si="82"/>
        <v>C</v>
      </c>
      <c r="H1052">
        <f t="shared" si="83"/>
        <v>33</v>
      </c>
      <c r="I1052" t="str">
        <f t="shared" si="84"/>
        <v>332</v>
      </c>
      <c r="J1052" t="str">
        <f t="shared" si="85"/>
        <v>33295</v>
      </c>
      <c r="K1052" t="str">
        <f t="shared" si="81"/>
        <v/>
      </c>
    </row>
    <row r="1053" spans="1:11" x14ac:dyDescent="0.25">
      <c r="C1053" t="s">
        <v>1864</v>
      </c>
      <c r="D1053" t="s">
        <v>1864</v>
      </c>
      <c r="E1053" t="s">
        <v>2913</v>
      </c>
      <c r="F1053" t="s">
        <v>827</v>
      </c>
      <c r="G1053" t="str">
        <f t="shared" si="82"/>
        <v>C</v>
      </c>
      <c r="H1053">
        <f t="shared" si="83"/>
        <v>33</v>
      </c>
      <c r="I1053" t="str">
        <f t="shared" si="84"/>
        <v>332</v>
      </c>
      <c r="J1053" t="str">
        <f t="shared" si="85"/>
        <v>33295</v>
      </c>
      <c r="K1053" t="str">
        <f t="shared" si="81"/>
        <v>3329501</v>
      </c>
    </row>
    <row r="1054" spans="1:11" x14ac:dyDescent="0.25">
      <c r="C1054" t="s">
        <v>1864</v>
      </c>
      <c r="D1054" t="s">
        <v>1864</v>
      </c>
      <c r="E1054" t="s">
        <v>2914</v>
      </c>
      <c r="F1054" t="s">
        <v>828</v>
      </c>
      <c r="G1054" t="str">
        <f t="shared" si="82"/>
        <v>C</v>
      </c>
      <c r="H1054">
        <f t="shared" si="83"/>
        <v>33</v>
      </c>
      <c r="I1054" t="str">
        <f t="shared" si="84"/>
        <v>332</v>
      </c>
      <c r="J1054" t="str">
        <f t="shared" si="85"/>
        <v>33295</v>
      </c>
      <c r="K1054" t="str">
        <f t="shared" si="81"/>
        <v>3329599</v>
      </c>
    </row>
    <row r="1055" spans="1:11" x14ac:dyDescent="0.25">
      <c r="A1055" t="s">
        <v>2915</v>
      </c>
      <c r="C1055" t="s">
        <v>1864</v>
      </c>
      <c r="D1055" t="s">
        <v>1864</v>
      </c>
      <c r="E1055" t="s">
        <v>1864</v>
      </c>
      <c r="F1055" t="s">
        <v>829</v>
      </c>
      <c r="G1055" t="str">
        <f t="shared" si="82"/>
        <v>D</v>
      </c>
      <c r="H1055">
        <f t="shared" si="83"/>
        <v>33</v>
      </c>
      <c r="I1055" t="str">
        <f t="shared" si="84"/>
        <v>332</v>
      </c>
      <c r="J1055" t="str">
        <f t="shared" si="85"/>
        <v>33295</v>
      </c>
      <c r="K1055" t="str">
        <f t="shared" si="81"/>
        <v/>
      </c>
    </row>
    <row r="1056" spans="1:11" x14ac:dyDescent="0.25">
      <c r="B1056">
        <v>35</v>
      </c>
      <c r="C1056" t="s">
        <v>1864</v>
      </c>
      <c r="D1056" t="s">
        <v>1864</v>
      </c>
      <c r="E1056" t="s">
        <v>1864</v>
      </c>
      <c r="F1056" t="s">
        <v>830</v>
      </c>
      <c r="G1056" t="str">
        <f t="shared" si="82"/>
        <v>D</v>
      </c>
      <c r="H1056">
        <f t="shared" si="83"/>
        <v>35</v>
      </c>
      <c r="I1056" t="str">
        <f t="shared" si="84"/>
        <v>332</v>
      </c>
      <c r="J1056" t="str">
        <f t="shared" si="85"/>
        <v>33295</v>
      </c>
      <c r="K1056" t="str">
        <f t="shared" si="81"/>
        <v/>
      </c>
    </row>
    <row r="1057" spans="3:11" x14ac:dyDescent="0.25">
      <c r="C1057" t="s">
        <v>2916</v>
      </c>
      <c r="D1057" t="s">
        <v>1864</v>
      </c>
      <c r="E1057" t="s">
        <v>1864</v>
      </c>
      <c r="F1057" t="s">
        <v>831</v>
      </c>
      <c r="G1057" t="str">
        <f t="shared" si="82"/>
        <v>D</v>
      </c>
      <c r="H1057">
        <f t="shared" si="83"/>
        <v>35</v>
      </c>
      <c r="I1057" t="str">
        <f t="shared" si="84"/>
        <v>351</v>
      </c>
      <c r="J1057" t="str">
        <f t="shared" si="85"/>
        <v>33295</v>
      </c>
      <c r="K1057" t="str">
        <f t="shared" si="81"/>
        <v/>
      </c>
    </row>
    <row r="1058" spans="3:11" x14ac:dyDescent="0.25">
      <c r="C1058" t="s">
        <v>1864</v>
      </c>
      <c r="D1058" t="s">
        <v>2917</v>
      </c>
      <c r="E1058" t="s">
        <v>1864</v>
      </c>
      <c r="F1058" t="s">
        <v>832</v>
      </c>
      <c r="G1058" t="str">
        <f t="shared" si="82"/>
        <v>D</v>
      </c>
      <c r="H1058">
        <f t="shared" si="83"/>
        <v>35</v>
      </c>
      <c r="I1058" t="str">
        <f t="shared" si="84"/>
        <v>351</v>
      </c>
      <c r="J1058" t="str">
        <f t="shared" si="85"/>
        <v>35115</v>
      </c>
      <c r="K1058" t="str">
        <f t="shared" si="81"/>
        <v/>
      </c>
    </row>
    <row r="1059" spans="3:11" x14ac:dyDescent="0.25">
      <c r="C1059" t="s">
        <v>1864</v>
      </c>
      <c r="D1059" t="s">
        <v>1864</v>
      </c>
      <c r="E1059" t="s">
        <v>2918</v>
      </c>
      <c r="F1059" t="s">
        <v>832</v>
      </c>
      <c r="G1059" t="str">
        <f t="shared" si="82"/>
        <v>D</v>
      </c>
      <c r="H1059">
        <f t="shared" si="83"/>
        <v>35</v>
      </c>
      <c r="I1059" t="str">
        <f t="shared" si="84"/>
        <v>351</v>
      </c>
      <c r="J1059" t="str">
        <f t="shared" si="85"/>
        <v>35115</v>
      </c>
      <c r="K1059" t="str">
        <f t="shared" si="81"/>
        <v>3511501</v>
      </c>
    </row>
    <row r="1060" spans="3:11" x14ac:dyDescent="0.25">
      <c r="C1060" t="s">
        <v>1864</v>
      </c>
      <c r="D1060" t="s">
        <v>1864</v>
      </c>
      <c r="E1060" t="s">
        <v>2919</v>
      </c>
      <c r="F1060" t="s">
        <v>833</v>
      </c>
      <c r="G1060" t="str">
        <f t="shared" si="82"/>
        <v>D</v>
      </c>
      <c r="H1060">
        <f t="shared" si="83"/>
        <v>35</v>
      </c>
      <c r="I1060" t="str">
        <f t="shared" si="84"/>
        <v>351</v>
      </c>
      <c r="J1060" t="str">
        <f t="shared" si="85"/>
        <v>35115</v>
      </c>
      <c r="K1060" t="str">
        <f t="shared" si="81"/>
        <v>3511502</v>
      </c>
    </row>
    <row r="1061" spans="3:11" x14ac:dyDescent="0.25">
      <c r="C1061" t="s">
        <v>1864</v>
      </c>
      <c r="D1061" t="s">
        <v>2920</v>
      </c>
      <c r="E1061" t="s">
        <v>1864</v>
      </c>
      <c r="F1061" t="s">
        <v>834</v>
      </c>
      <c r="G1061" t="str">
        <f t="shared" si="82"/>
        <v>D</v>
      </c>
      <c r="H1061">
        <f t="shared" si="83"/>
        <v>35</v>
      </c>
      <c r="I1061" t="str">
        <f t="shared" si="84"/>
        <v>351</v>
      </c>
      <c r="J1061" t="str">
        <f t="shared" si="85"/>
        <v>35123</v>
      </c>
      <c r="K1061" t="str">
        <f t="shared" si="81"/>
        <v/>
      </c>
    </row>
    <row r="1062" spans="3:11" x14ac:dyDescent="0.25">
      <c r="C1062" t="s">
        <v>1864</v>
      </c>
      <c r="D1062" t="s">
        <v>1864</v>
      </c>
      <c r="E1062" t="s">
        <v>2921</v>
      </c>
      <c r="F1062" t="s">
        <v>834</v>
      </c>
      <c r="G1062" t="str">
        <f t="shared" si="82"/>
        <v>D</v>
      </c>
      <c r="H1062">
        <f t="shared" si="83"/>
        <v>35</v>
      </c>
      <c r="I1062" t="str">
        <f t="shared" si="84"/>
        <v>351</v>
      </c>
      <c r="J1062" t="str">
        <f t="shared" si="85"/>
        <v>35123</v>
      </c>
      <c r="K1062" t="str">
        <f t="shared" si="81"/>
        <v>3512300</v>
      </c>
    </row>
    <row r="1063" spans="3:11" x14ac:dyDescent="0.25">
      <c r="C1063" t="s">
        <v>1864</v>
      </c>
      <c r="D1063" t="s">
        <v>2922</v>
      </c>
      <c r="E1063" t="s">
        <v>1864</v>
      </c>
      <c r="F1063" t="s">
        <v>835</v>
      </c>
      <c r="G1063" t="str">
        <f t="shared" si="82"/>
        <v>D</v>
      </c>
      <c r="H1063">
        <f t="shared" si="83"/>
        <v>35</v>
      </c>
      <c r="I1063" t="str">
        <f t="shared" si="84"/>
        <v>351</v>
      </c>
      <c r="J1063" t="str">
        <f t="shared" si="85"/>
        <v>35131</v>
      </c>
      <c r="K1063" t="str">
        <f t="shared" si="81"/>
        <v/>
      </c>
    </row>
    <row r="1064" spans="3:11" x14ac:dyDescent="0.25">
      <c r="C1064" t="s">
        <v>1864</v>
      </c>
      <c r="D1064" t="s">
        <v>1864</v>
      </c>
      <c r="E1064" t="s">
        <v>2923</v>
      </c>
      <c r="F1064" t="s">
        <v>835</v>
      </c>
      <c r="G1064" t="str">
        <f t="shared" si="82"/>
        <v>D</v>
      </c>
      <c r="H1064">
        <f t="shared" si="83"/>
        <v>35</v>
      </c>
      <c r="I1064" t="str">
        <f t="shared" si="84"/>
        <v>351</v>
      </c>
      <c r="J1064" t="str">
        <f t="shared" si="85"/>
        <v>35131</v>
      </c>
      <c r="K1064" t="str">
        <f t="shared" si="81"/>
        <v>3513100</v>
      </c>
    </row>
    <row r="1065" spans="3:11" x14ac:dyDescent="0.25">
      <c r="C1065" t="s">
        <v>1864</v>
      </c>
      <c r="D1065" t="s">
        <v>2924</v>
      </c>
      <c r="E1065" t="s">
        <v>1864</v>
      </c>
      <c r="F1065" t="s">
        <v>836</v>
      </c>
      <c r="G1065" t="str">
        <f t="shared" si="82"/>
        <v>D</v>
      </c>
      <c r="H1065">
        <f t="shared" si="83"/>
        <v>35</v>
      </c>
      <c r="I1065" t="str">
        <f t="shared" si="84"/>
        <v>351</v>
      </c>
      <c r="J1065" t="str">
        <f t="shared" si="85"/>
        <v>35140</v>
      </c>
      <c r="K1065" t="str">
        <f t="shared" si="81"/>
        <v/>
      </c>
    </row>
    <row r="1066" spans="3:11" x14ac:dyDescent="0.25">
      <c r="C1066" t="s">
        <v>1864</v>
      </c>
      <c r="D1066" t="s">
        <v>1864</v>
      </c>
      <c r="E1066" t="s">
        <v>2925</v>
      </c>
      <c r="F1066" t="s">
        <v>836</v>
      </c>
      <c r="G1066" t="str">
        <f t="shared" si="82"/>
        <v>D</v>
      </c>
      <c r="H1066">
        <f t="shared" si="83"/>
        <v>35</v>
      </c>
      <c r="I1066" t="str">
        <f t="shared" si="84"/>
        <v>351</v>
      </c>
      <c r="J1066" t="str">
        <f t="shared" si="85"/>
        <v>35140</v>
      </c>
      <c r="K1066" t="str">
        <f t="shared" si="81"/>
        <v>3514000</v>
      </c>
    </row>
    <row r="1067" spans="3:11" x14ac:dyDescent="0.25">
      <c r="C1067" t="s">
        <v>2926</v>
      </c>
      <c r="D1067" t="s">
        <v>1864</v>
      </c>
      <c r="E1067" t="s">
        <v>1864</v>
      </c>
      <c r="F1067" t="s">
        <v>837</v>
      </c>
      <c r="G1067" t="str">
        <f t="shared" si="82"/>
        <v>D</v>
      </c>
      <c r="H1067">
        <f t="shared" si="83"/>
        <v>35</v>
      </c>
      <c r="I1067" t="str">
        <f t="shared" si="84"/>
        <v>352</v>
      </c>
      <c r="J1067" t="str">
        <f t="shared" si="85"/>
        <v>35140</v>
      </c>
      <c r="K1067" t="str">
        <f t="shared" si="81"/>
        <v/>
      </c>
    </row>
    <row r="1068" spans="3:11" x14ac:dyDescent="0.25">
      <c r="C1068" t="s">
        <v>1864</v>
      </c>
      <c r="D1068" t="s">
        <v>2927</v>
      </c>
      <c r="E1068" t="s">
        <v>1864</v>
      </c>
      <c r="F1068" t="s">
        <v>838</v>
      </c>
      <c r="G1068" t="str">
        <f t="shared" si="82"/>
        <v>D</v>
      </c>
      <c r="H1068">
        <f t="shared" si="83"/>
        <v>35</v>
      </c>
      <c r="I1068" t="str">
        <f t="shared" si="84"/>
        <v>352</v>
      </c>
      <c r="J1068" t="str">
        <f t="shared" si="85"/>
        <v>35204</v>
      </c>
      <c r="K1068" t="str">
        <f t="shared" si="81"/>
        <v/>
      </c>
    </row>
    <row r="1069" spans="3:11" x14ac:dyDescent="0.25">
      <c r="C1069" t="s">
        <v>1864</v>
      </c>
      <c r="D1069" t="s">
        <v>1864</v>
      </c>
      <c r="E1069" t="s">
        <v>2928</v>
      </c>
      <c r="F1069" t="s">
        <v>839</v>
      </c>
      <c r="G1069" t="str">
        <f t="shared" si="82"/>
        <v>D</v>
      </c>
      <c r="H1069">
        <f t="shared" si="83"/>
        <v>35</v>
      </c>
      <c r="I1069" t="str">
        <f t="shared" si="84"/>
        <v>352</v>
      </c>
      <c r="J1069" t="str">
        <f t="shared" si="85"/>
        <v>35204</v>
      </c>
      <c r="K1069" t="str">
        <f t="shared" si="81"/>
        <v>3520401</v>
      </c>
    </row>
    <row r="1070" spans="3:11" x14ac:dyDescent="0.25">
      <c r="C1070" t="s">
        <v>1864</v>
      </c>
      <c r="D1070" t="s">
        <v>1864</v>
      </c>
      <c r="E1070" t="s">
        <v>2929</v>
      </c>
      <c r="F1070" t="s">
        <v>840</v>
      </c>
      <c r="G1070" t="str">
        <f t="shared" si="82"/>
        <v>D</v>
      </c>
      <c r="H1070">
        <f t="shared" si="83"/>
        <v>35</v>
      </c>
      <c r="I1070" t="str">
        <f t="shared" si="84"/>
        <v>352</v>
      </c>
      <c r="J1070" t="str">
        <f t="shared" si="85"/>
        <v>35204</v>
      </c>
      <c r="K1070" t="str">
        <f t="shared" si="81"/>
        <v>3520402</v>
      </c>
    </row>
    <row r="1071" spans="3:11" x14ac:dyDescent="0.25">
      <c r="C1071" t="s">
        <v>2930</v>
      </c>
      <c r="D1071" t="s">
        <v>1864</v>
      </c>
      <c r="E1071" t="s">
        <v>1864</v>
      </c>
      <c r="F1071" t="s">
        <v>841</v>
      </c>
      <c r="G1071" t="str">
        <f t="shared" si="82"/>
        <v>D</v>
      </c>
      <c r="H1071">
        <f t="shared" si="83"/>
        <v>35</v>
      </c>
      <c r="I1071" t="str">
        <f t="shared" si="84"/>
        <v>353</v>
      </c>
      <c r="J1071" t="str">
        <f t="shared" si="85"/>
        <v>35204</v>
      </c>
      <c r="K1071" t="str">
        <f t="shared" si="81"/>
        <v/>
      </c>
    </row>
    <row r="1072" spans="3:11" x14ac:dyDescent="0.25">
      <c r="C1072" t="s">
        <v>1864</v>
      </c>
      <c r="D1072" t="s">
        <v>2931</v>
      </c>
      <c r="E1072" t="s">
        <v>1864</v>
      </c>
      <c r="F1072" t="s">
        <v>841</v>
      </c>
      <c r="G1072" t="str">
        <f t="shared" si="82"/>
        <v>D</v>
      </c>
      <c r="H1072">
        <f t="shared" si="83"/>
        <v>35</v>
      </c>
      <c r="I1072" t="str">
        <f t="shared" si="84"/>
        <v>353</v>
      </c>
      <c r="J1072" t="str">
        <f t="shared" si="85"/>
        <v>35301</v>
      </c>
      <c r="K1072" t="str">
        <f t="shared" si="81"/>
        <v/>
      </c>
    </row>
    <row r="1073" spans="1:11" x14ac:dyDescent="0.25">
      <c r="C1073" t="s">
        <v>1864</v>
      </c>
      <c r="D1073" t="s">
        <v>1864</v>
      </c>
      <c r="E1073" t="s">
        <v>2932</v>
      </c>
      <c r="F1073" t="s">
        <v>842</v>
      </c>
      <c r="G1073" t="str">
        <f t="shared" si="82"/>
        <v>D</v>
      </c>
      <c r="H1073">
        <f t="shared" si="83"/>
        <v>35</v>
      </c>
      <c r="I1073" t="str">
        <f t="shared" si="84"/>
        <v>353</v>
      </c>
      <c r="J1073" t="str">
        <f t="shared" si="85"/>
        <v>35301</v>
      </c>
      <c r="K1073" t="str">
        <f t="shared" si="81"/>
        <v>3530100</v>
      </c>
    </row>
    <row r="1074" spans="1:11" x14ac:dyDescent="0.25">
      <c r="A1074" t="s">
        <v>2933</v>
      </c>
      <c r="C1074" t="s">
        <v>1864</v>
      </c>
      <c r="D1074" t="s">
        <v>1864</v>
      </c>
      <c r="E1074" t="s">
        <v>1864</v>
      </c>
      <c r="F1074" t="s">
        <v>843</v>
      </c>
      <c r="G1074" t="str">
        <f t="shared" si="82"/>
        <v>E</v>
      </c>
      <c r="H1074">
        <f t="shared" si="83"/>
        <v>35</v>
      </c>
      <c r="I1074" t="str">
        <f t="shared" si="84"/>
        <v>353</v>
      </c>
      <c r="J1074" t="str">
        <f t="shared" si="85"/>
        <v>35301</v>
      </c>
      <c r="K1074" t="str">
        <f t="shared" si="81"/>
        <v/>
      </c>
    </row>
    <row r="1075" spans="1:11" x14ac:dyDescent="0.25">
      <c r="B1075">
        <v>36</v>
      </c>
      <c r="C1075" t="s">
        <v>1864</v>
      </c>
      <c r="D1075" t="s">
        <v>1864</v>
      </c>
      <c r="E1075" t="s">
        <v>1864</v>
      </c>
      <c r="F1075" t="s">
        <v>844</v>
      </c>
      <c r="G1075" t="str">
        <f t="shared" si="82"/>
        <v>E</v>
      </c>
      <c r="H1075">
        <f t="shared" si="83"/>
        <v>36</v>
      </c>
      <c r="I1075" t="str">
        <f t="shared" si="84"/>
        <v>353</v>
      </c>
      <c r="J1075" t="str">
        <f t="shared" si="85"/>
        <v>35301</v>
      </c>
      <c r="K1075" t="str">
        <f t="shared" si="81"/>
        <v/>
      </c>
    </row>
    <row r="1076" spans="1:11" x14ac:dyDescent="0.25">
      <c r="C1076" t="s">
        <v>2934</v>
      </c>
      <c r="D1076" t="s">
        <v>1864</v>
      </c>
      <c r="E1076" t="s">
        <v>1864</v>
      </c>
      <c r="F1076" t="s">
        <v>845</v>
      </c>
      <c r="G1076" t="str">
        <f t="shared" si="82"/>
        <v>E</v>
      </c>
      <c r="H1076">
        <f t="shared" si="83"/>
        <v>36</v>
      </c>
      <c r="I1076" t="str">
        <f t="shared" si="84"/>
        <v>360</v>
      </c>
      <c r="J1076" t="str">
        <f t="shared" si="85"/>
        <v>35301</v>
      </c>
      <c r="K1076" t="str">
        <f t="shared" si="81"/>
        <v/>
      </c>
    </row>
    <row r="1077" spans="1:11" x14ac:dyDescent="0.25">
      <c r="C1077" t="s">
        <v>1864</v>
      </c>
      <c r="D1077" t="s">
        <v>2935</v>
      </c>
      <c r="E1077" t="s">
        <v>1864</v>
      </c>
      <c r="F1077" t="s">
        <v>845</v>
      </c>
      <c r="G1077" t="str">
        <f t="shared" si="82"/>
        <v>E</v>
      </c>
      <c r="H1077">
        <f t="shared" si="83"/>
        <v>36</v>
      </c>
      <c r="I1077" t="str">
        <f t="shared" si="84"/>
        <v>360</v>
      </c>
      <c r="J1077" t="str">
        <f t="shared" si="85"/>
        <v>36006</v>
      </c>
      <c r="K1077" t="str">
        <f t="shared" si="81"/>
        <v/>
      </c>
    </row>
    <row r="1078" spans="1:11" x14ac:dyDescent="0.25">
      <c r="C1078" t="s">
        <v>1864</v>
      </c>
      <c r="D1078" t="s">
        <v>1864</v>
      </c>
      <c r="E1078" t="s">
        <v>2936</v>
      </c>
      <c r="F1078" t="s">
        <v>845</v>
      </c>
      <c r="G1078" t="str">
        <f t="shared" si="82"/>
        <v>E</v>
      </c>
      <c r="H1078">
        <f t="shared" si="83"/>
        <v>36</v>
      </c>
      <c r="I1078" t="str">
        <f t="shared" si="84"/>
        <v>360</v>
      </c>
      <c r="J1078" t="str">
        <f t="shared" si="85"/>
        <v>36006</v>
      </c>
      <c r="K1078" t="str">
        <f t="shared" si="81"/>
        <v>3600601</v>
      </c>
    </row>
    <row r="1079" spans="1:11" x14ac:dyDescent="0.25">
      <c r="C1079" t="s">
        <v>1864</v>
      </c>
      <c r="D1079" t="s">
        <v>1864</v>
      </c>
      <c r="E1079" t="s">
        <v>2937</v>
      </c>
      <c r="F1079" t="s">
        <v>846</v>
      </c>
      <c r="G1079" t="str">
        <f t="shared" si="82"/>
        <v>E</v>
      </c>
      <c r="H1079">
        <f t="shared" si="83"/>
        <v>36</v>
      </c>
      <c r="I1079" t="str">
        <f t="shared" si="84"/>
        <v>360</v>
      </c>
      <c r="J1079" t="str">
        <f t="shared" si="85"/>
        <v>36006</v>
      </c>
      <c r="K1079" t="str">
        <f t="shared" si="81"/>
        <v>3600602</v>
      </c>
    </row>
    <row r="1080" spans="1:11" x14ac:dyDescent="0.25">
      <c r="B1080">
        <v>37</v>
      </c>
      <c r="C1080" t="s">
        <v>1864</v>
      </c>
      <c r="D1080" t="s">
        <v>1864</v>
      </c>
      <c r="E1080" t="s">
        <v>1864</v>
      </c>
      <c r="F1080" t="s">
        <v>847</v>
      </c>
      <c r="G1080" t="str">
        <f t="shared" si="82"/>
        <v>E</v>
      </c>
      <c r="H1080">
        <f t="shared" si="83"/>
        <v>37</v>
      </c>
      <c r="I1080" t="str">
        <f t="shared" si="84"/>
        <v>360</v>
      </c>
      <c r="J1080" t="str">
        <f t="shared" si="85"/>
        <v>36006</v>
      </c>
      <c r="K1080" t="str">
        <f t="shared" si="81"/>
        <v/>
      </c>
    </row>
    <row r="1081" spans="1:11" x14ac:dyDescent="0.25">
      <c r="C1081" t="s">
        <v>2938</v>
      </c>
      <c r="D1081" t="s">
        <v>1864</v>
      </c>
      <c r="E1081" t="s">
        <v>1864</v>
      </c>
      <c r="F1081" t="s">
        <v>848</v>
      </c>
      <c r="G1081" t="str">
        <f t="shared" si="82"/>
        <v>E</v>
      </c>
      <c r="H1081">
        <f t="shared" si="83"/>
        <v>37</v>
      </c>
      <c r="I1081" t="str">
        <f t="shared" si="84"/>
        <v>370</v>
      </c>
      <c r="J1081" t="str">
        <f t="shared" si="85"/>
        <v>36006</v>
      </c>
      <c r="K1081" t="str">
        <f t="shared" si="81"/>
        <v/>
      </c>
    </row>
    <row r="1082" spans="1:11" x14ac:dyDescent="0.25">
      <c r="C1082" t="s">
        <v>1864</v>
      </c>
      <c r="D1082" t="s">
        <v>2939</v>
      </c>
      <c r="E1082" t="s">
        <v>1864</v>
      </c>
      <c r="F1082" t="s">
        <v>849</v>
      </c>
      <c r="G1082" t="str">
        <f t="shared" si="82"/>
        <v>E</v>
      </c>
      <c r="H1082">
        <f t="shared" si="83"/>
        <v>37</v>
      </c>
      <c r="I1082" t="str">
        <f t="shared" si="84"/>
        <v>370</v>
      </c>
      <c r="J1082" t="str">
        <f t="shared" si="85"/>
        <v>37011</v>
      </c>
      <c r="K1082" t="str">
        <f t="shared" si="81"/>
        <v/>
      </c>
    </row>
    <row r="1083" spans="1:11" x14ac:dyDescent="0.25">
      <c r="C1083" t="s">
        <v>1864</v>
      </c>
      <c r="D1083" t="s">
        <v>1864</v>
      </c>
      <c r="E1083" t="s">
        <v>2940</v>
      </c>
      <c r="F1083" t="s">
        <v>849</v>
      </c>
      <c r="G1083" t="str">
        <f t="shared" si="82"/>
        <v>E</v>
      </c>
      <c r="H1083">
        <f t="shared" si="83"/>
        <v>37</v>
      </c>
      <c r="I1083" t="str">
        <f t="shared" si="84"/>
        <v>370</v>
      </c>
      <c r="J1083" t="str">
        <f t="shared" si="85"/>
        <v>37011</v>
      </c>
      <c r="K1083" t="str">
        <f t="shared" si="81"/>
        <v>3701100</v>
      </c>
    </row>
    <row r="1084" spans="1:11" x14ac:dyDescent="0.25">
      <c r="C1084" t="s">
        <v>1864</v>
      </c>
      <c r="D1084" t="s">
        <v>2941</v>
      </c>
      <c r="E1084" t="s">
        <v>1864</v>
      </c>
      <c r="F1084" t="s">
        <v>850</v>
      </c>
      <c r="G1084" t="str">
        <f t="shared" si="82"/>
        <v>E</v>
      </c>
      <c r="H1084">
        <f t="shared" si="83"/>
        <v>37</v>
      </c>
      <c r="I1084" t="str">
        <f t="shared" si="84"/>
        <v>370</v>
      </c>
      <c r="J1084" t="str">
        <f t="shared" si="85"/>
        <v>37029</v>
      </c>
      <c r="K1084" t="str">
        <f t="shared" si="81"/>
        <v/>
      </c>
    </row>
    <row r="1085" spans="1:11" x14ac:dyDescent="0.25">
      <c r="C1085" t="s">
        <v>1864</v>
      </c>
      <c r="D1085" t="s">
        <v>1864</v>
      </c>
      <c r="E1085" t="s">
        <v>2942</v>
      </c>
      <c r="F1085" t="s">
        <v>850</v>
      </c>
      <c r="G1085" t="str">
        <f t="shared" si="82"/>
        <v>E</v>
      </c>
      <c r="H1085">
        <f t="shared" si="83"/>
        <v>37</v>
      </c>
      <c r="I1085" t="str">
        <f t="shared" si="84"/>
        <v>370</v>
      </c>
      <c r="J1085" t="str">
        <f t="shared" si="85"/>
        <v>37029</v>
      </c>
      <c r="K1085" t="str">
        <f t="shared" si="81"/>
        <v>3702900</v>
      </c>
    </row>
    <row r="1086" spans="1:11" x14ac:dyDescent="0.25">
      <c r="B1086">
        <v>38</v>
      </c>
      <c r="C1086" t="s">
        <v>1864</v>
      </c>
      <c r="D1086" t="s">
        <v>1864</v>
      </c>
      <c r="E1086" t="s">
        <v>1864</v>
      </c>
      <c r="F1086" t="s">
        <v>851</v>
      </c>
      <c r="G1086" t="str">
        <f t="shared" si="82"/>
        <v>E</v>
      </c>
      <c r="H1086">
        <f t="shared" si="83"/>
        <v>38</v>
      </c>
      <c r="I1086" t="str">
        <f t="shared" si="84"/>
        <v>370</v>
      </c>
      <c r="J1086" t="str">
        <f t="shared" si="85"/>
        <v>37029</v>
      </c>
      <c r="K1086" t="str">
        <f t="shared" si="81"/>
        <v/>
      </c>
    </row>
    <row r="1087" spans="1:11" x14ac:dyDescent="0.25">
      <c r="C1087" t="s">
        <v>2943</v>
      </c>
      <c r="D1087" t="s">
        <v>1864</v>
      </c>
      <c r="E1087" t="s">
        <v>1864</v>
      </c>
      <c r="F1087" t="s">
        <v>852</v>
      </c>
      <c r="G1087" t="str">
        <f t="shared" si="82"/>
        <v>E</v>
      </c>
      <c r="H1087">
        <f t="shared" si="83"/>
        <v>38</v>
      </c>
      <c r="I1087" t="str">
        <f t="shared" si="84"/>
        <v>381</v>
      </c>
      <c r="J1087" t="str">
        <f t="shared" si="85"/>
        <v>37029</v>
      </c>
      <c r="K1087" t="str">
        <f t="shared" si="81"/>
        <v/>
      </c>
    </row>
    <row r="1088" spans="1:11" x14ac:dyDescent="0.25">
      <c r="C1088" t="s">
        <v>1864</v>
      </c>
      <c r="D1088" t="s">
        <v>2944</v>
      </c>
      <c r="E1088" t="s">
        <v>1864</v>
      </c>
      <c r="F1088" t="s">
        <v>853</v>
      </c>
      <c r="G1088" t="str">
        <f t="shared" si="82"/>
        <v>E</v>
      </c>
      <c r="H1088">
        <f t="shared" si="83"/>
        <v>38</v>
      </c>
      <c r="I1088" t="str">
        <f t="shared" si="84"/>
        <v>381</v>
      </c>
      <c r="J1088" t="str">
        <f t="shared" si="85"/>
        <v>38114</v>
      </c>
      <c r="K1088" t="str">
        <f t="shared" si="81"/>
        <v/>
      </c>
    </row>
    <row r="1089" spans="3:11" x14ac:dyDescent="0.25">
      <c r="C1089" t="s">
        <v>1864</v>
      </c>
      <c r="D1089" t="s">
        <v>1864</v>
      </c>
      <c r="E1089" t="s">
        <v>2945</v>
      </c>
      <c r="F1089" t="s">
        <v>853</v>
      </c>
      <c r="G1089" t="str">
        <f t="shared" si="82"/>
        <v>E</v>
      </c>
      <c r="H1089">
        <f t="shared" si="83"/>
        <v>38</v>
      </c>
      <c r="I1089" t="str">
        <f t="shared" si="84"/>
        <v>381</v>
      </c>
      <c r="J1089" t="str">
        <f t="shared" si="85"/>
        <v>38114</v>
      </c>
      <c r="K1089" t="str">
        <f t="shared" si="81"/>
        <v>3811400</v>
      </c>
    </row>
    <row r="1090" spans="3:11" x14ac:dyDescent="0.25">
      <c r="C1090" t="s">
        <v>1864</v>
      </c>
      <c r="D1090" t="s">
        <v>2946</v>
      </c>
      <c r="E1090" t="s">
        <v>1864</v>
      </c>
      <c r="F1090" t="s">
        <v>854</v>
      </c>
      <c r="G1090" t="str">
        <f t="shared" si="82"/>
        <v>E</v>
      </c>
      <c r="H1090">
        <f t="shared" si="83"/>
        <v>38</v>
      </c>
      <c r="I1090" t="str">
        <f t="shared" si="84"/>
        <v>381</v>
      </c>
      <c r="J1090" t="str">
        <f t="shared" si="85"/>
        <v>38122</v>
      </c>
      <c r="K1090" t="str">
        <f t="shared" si="81"/>
        <v/>
      </c>
    </row>
    <row r="1091" spans="3:11" x14ac:dyDescent="0.25">
      <c r="C1091" t="s">
        <v>1864</v>
      </c>
      <c r="D1091" t="s">
        <v>1864</v>
      </c>
      <c r="E1091" t="s">
        <v>2947</v>
      </c>
      <c r="F1091" t="s">
        <v>854</v>
      </c>
      <c r="G1091" t="str">
        <f t="shared" si="82"/>
        <v>E</v>
      </c>
      <c r="H1091">
        <f t="shared" si="83"/>
        <v>38</v>
      </c>
      <c r="I1091" t="str">
        <f t="shared" si="84"/>
        <v>381</v>
      </c>
      <c r="J1091" t="str">
        <f t="shared" si="85"/>
        <v>38122</v>
      </c>
      <c r="K1091" t="str">
        <f t="shared" si="81"/>
        <v>3812200</v>
      </c>
    </row>
    <row r="1092" spans="3:11" x14ac:dyDescent="0.25">
      <c r="C1092" t="s">
        <v>2948</v>
      </c>
      <c r="D1092" t="s">
        <v>1864</v>
      </c>
      <c r="E1092" t="s">
        <v>1864</v>
      </c>
      <c r="F1092" t="s">
        <v>855</v>
      </c>
      <c r="G1092" t="str">
        <f t="shared" si="82"/>
        <v>E</v>
      </c>
      <c r="H1092">
        <f t="shared" si="83"/>
        <v>38</v>
      </c>
      <c r="I1092" t="str">
        <f t="shared" si="84"/>
        <v>382</v>
      </c>
      <c r="J1092" t="str">
        <f t="shared" si="85"/>
        <v>38122</v>
      </c>
      <c r="K1092" t="str">
        <f t="shared" si="81"/>
        <v/>
      </c>
    </row>
    <row r="1093" spans="3:11" x14ac:dyDescent="0.25">
      <c r="C1093" t="s">
        <v>1864</v>
      </c>
      <c r="D1093" t="s">
        <v>2949</v>
      </c>
      <c r="E1093" t="s">
        <v>1864</v>
      </c>
      <c r="F1093" t="s">
        <v>856</v>
      </c>
      <c r="G1093" t="str">
        <f t="shared" si="82"/>
        <v>E</v>
      </c>
      <c r="H1093">
        <f t="shared" si="83"/>
        <v>38</v>
      </c>
      <c r="I1093" t="str">
        <f t="shared" si="84"/>
        <v>382</v>
      </c>
      <c r="J1093" t="str">
        <f t="shared" si="85"/>
        <v>38211</v>
      </c>
      <c r="K1093" t="str">
        <f t="shared" si="81"/>
        <v/>
      </c>
    </row>
    <row r="1094" spans="3:11" x14ac:dyDescent="0.25">
      <c r="C1094" t="s">
        <v>1864</v>
      </c>
      <c r="D1094" t="s">
        <v>1864</v>
      </c>
      <c r="E1094" t="s">
        <v>2950</v>
      </c>
      <c r="F1094" t="s">
        <v>856</v>
      </c>
      <c r="G1094" t="str">
        <f t="shared" si="82"/>
        <v>E</v>
      </c>
      <c r="H1094">
        <f t="shared" si="83"/>
        <v>38</v>
      </c>
      <c r="I1094" t="str">
        <f t="shared" si="84"/>
        <v>382</v>
      </c>
      <c r="J1094" t="str">
        <f t="shared" si="85"/>
        <v>38211</v>
      </c>
      <c r="K1094" t="str">
        <f t="shared" si="81"/>
        <v>3821100</v>
      </c>
    </row>
    <row r="1095" spans="3:11" x14ac:dyDescent="0.25">
      <c r="C1095" t="s">
        <v>1864</v>
      </c>
      <c r="D1095" t="s">
        <v>2951</v>
      </c>
      <c r="E1095" t="s">
        <v>1864</v>
      </c>
      <c r="F1095" t="s">
        <v>857</v>
      </c>
      <c r="G1095" t="str">
        <f t="shared" si="82"/>
        <v>E</v>
      </c>
      <c r="H1095">
        <f t="shared" si="83"/>
        <v>38</v>
      </c>
      <c r="I1095" t="str">
        <f t="shared" si="84"/>
        <v>382</v>
      </c>
      <c r="J1095" t="str">
        <f t="shared" si="85"/>
        <v>38220</v>
      </c>
      <c r="K1095" t="str">
        <f t="shared" si="81"/>
        <v/>
      </c>
    </row>
    <row r="1096" spans="3:11" x14ac:dyDescent="0.25">
      <c r="C1096" t="s">
        <v>1864</v>
      </c>
      <c r="D1096" t="s">
        <v>1864</v>
      </c>
      <c r="E1096" t="s">
        <v>2952</v>
      </c>
      <c r="F1096" t="s">
        <v>857</v>
      </c>
      <c r="G1096" t="str">
        <f t="shared" si="82"/>
        <v>E</v>
      </c>
      <c r="H1096">
        <f t="shared" si="83"/>
        <v>38</v>
      </c>
      <c r="I1096" t="str">
        <f t="shared" si="84"/>
        <v>382</v>
      </c>
      <c r="J1096" t="str">
        <f t="shared" si="85"/>
        <v>38220</v>
      </c>
      <c r="K1096" t="str">
        <f t="shared" ref="K1096:K1159" si="86">E1096</f>
        <v>3822000</v>
      </c>
    </row>
    <row r="1097" spans="3:11" x14ac:dyDescent="0.25">
      <c r="C1097" t="s">
        <v>2953</v>
      </c>
      <c r="D1097" t="s">
        <v>1864</v>
      </c>
      <c r="E1097" t="s">
        <v>1864</v>
      </c>
      <c r="F1097" t="s">
        <v>858</v>
      </c>
      <c r="G1097" t="str">
        <f t="shared" ref="G1097:G1160" si="87">IF(A1097="",G1096,A1097)</f>
        <v>E</v>
      </c>
      <c r="H1097">
        <f t="shared" ref="H1097:H1160" si="88">IF(B1097="",H1096,B1097)</f>
        <v>38</v>
      </c>
      <c r="I1097" t="str">
        <f t="shared" ref="I1097:I1160" si="89">IF(C1097="",I1096,C1097)</f>
        <v>383</v>
      </c>
      <c r="J1097" t="str">
        <f t="shared" ref="J1097:J1160" si="90">IF(D1097="",J1096,D1097)</f>
        <v>38220</v>
      </c>
      <c r="K1097" t="str">
        <f t="shared" si="86"/>
        <v/>
      </c>
    </row>
    <row r="1098" spans="3:11" x14ac:dyDescent="0.25">
      <c r="C1098" t="s">
        <v>1864</v>
      </c>
      <c r="D1098" t="s">
        <v>2954</v>
      </c>
      <c r="E1098" t="s">
        <v>1864</v>
      </c>
      <c r="F1098" t="s">
        <v>859</v>
      </c>
      <c r="G1098" t="str">
        <f t="shared" si="87"/>
        <v>E</v>
      </c>
      <c r="H1098">
        <f t="shared" si="88"/>
        <v>38</v>
      </c>
      <c r="I1098" t="str">
        <f t="shared" si="89"/>
        <v>383</v>
      </c>
      <c r="J1098" t="str">
        <f t="shared" si="90"/>
        <v>38319</v>
      </c>
      <c r="K1098" t="str">
        <f t="shared" si="86"/>
        <v/>
      </c>
    </row>
    <row r="1099" spans="3:11" x14ac:dyDescent="0.25">
      <c r="C1099" t="s">
        <v>1864</v>
      </c>
      <c r="D1099" t="s">
        <v>1864</v>
      </c>
      <c r="E1099" t="s">
        <v>2955</v>
      </c>
      <c r="F1099" t="s">
        <v>860</v>
      </c>
      <c r="G1099" t="str">
        <f t="shared" si="87"/>
        <v>E</v>
      </c>
      <c r="H1099">
        <f t="shared" si="88"/>
        <v>38</v>
      </c>
      <c r="I1099" t="str">
        <f t="shared" si="89"/>
        <v>383</v>
      </c>
      <c r="J1099" t="str">
        <f t="shared" si="90"/>
        <v>38319</v>
      </c>
      <c r="K1099" t="str">
        <f t="shared" si="86"/>
        <v>3831901</v>
      </c>
    </row>
    <row r="1100" spans="3:11" x14ac:dyDescent="0.25">
      <c r="C1100" t="s">
        <v>1864</v>
      </c>
      <c r="D1100" t="s">
        <v>1864</v>
      </c>
      <c r="E1100" t="s">
        <v>2956</v>
      </c>
      <c r="F1100" t="s">
        <v>861</v>
      </c>
      <c r="G1100" t="str">
        <f t="shared" si="87"/>
        <v>E</v>
      </c>
      <c r="H1100">
        <f t="shared" si="88"/>
        <v>38</v>
      </c>
      <c r="I1100" t="str">
        <f t="shared" si="89"/>
        <v>383</v>
      </c>
      <c r="J1100" t="str">
        <f t="shared" si="90"/>
        <v>38319</v>
      </c>
      <c r="K1100" t="str">
        <f t="shared" si="86"/>
        <v>3831999</v>
      </c>
    </row>
    <row r="1101" spans="3:11" x14ac:dyDescent="0.25">
      <c r="C1101" t="s">
        <v>1864</v>
      </c>
      <c r="D1101" t="s">
        <v>2957</v>
      </c>
      <c r="E1101" t="s">
        <v>1864</v>
      </c>
      <c r="F1101" t="s">
        <v>862</v>
      </c>
      <c r="G1101" t="str">
        <f t="shared" si="87"/>
        <v>E</v>
      </c>
      <c r="H1101">
        <f t="shared" si="88"/>
        <v>38</v>
      </c>
      <c r="I1101" t="str">
        <f t="shared" si="89"/>
        <v>383</v>
      </c>
      <c r="J1101" t="str">
        <f t="shared" si="90"/>
        <v>38327</v>
      </c>
      <c r="K1101" t="str">
        <f t="shared" si="86"/>
        <v/>
      </c>
    </row>
    <row r="1102" spans="3:11" x14ac:dyDescent="0.25">
      <c r="C1102" t="s">
        <v>1864</v>
      </c>
      <c r="D1102" t="s">
        <v>1864</v>
      </c>
      <c r="E1102" t="s">
        <v>2958</v>
      </c>
      <c r="F1102" t="s">
        <v>862</v>
      </c>
      <c r="G1102" t="str">
        <f t="shared" si="87"/>
        <v>E</v>
      </c>
      <c r="H1102">
        <f t="shared" si="88"/>
        <v>38</v>
      </c>
      <c r="I1102" t="str">
        <f t="shared" si="89"/>
        <v>383</v>
      </c>
      <c r="J1102" t="str">
        <f t="shared" si="90"/>
        <v>38327</v>
      </c>
      <c r="K1102" t="str">
        <f t="shared" si="86"/>
        <v>3832700</v>
      </c>
    </row>
    <row r="1103" spans="3:11" x14ac:dyDescent="0.25">
      <c r="C1103" t="s">
        <v>1864</v>
      </c>
      <c r="D1103" t="s">
        <v>2959</v>
      </c>
      <c r="E1103" t="s">
        <v>1864</v>
      </c>
      <c r="F1103" t="s">
        <v>863</v>
      </c>
      <c r="G1103" t="str">
        <f t="shared" si="87"/>
        <v>E</v>
      </c>
      <c r="H1103">
        <f t="shared" si="88"/>
        <v>38</v>
      </c>
      <c r="I1103" t="str">
        <f t="shared" si="89"/>
        <v>383</v>
      </c>
      <c r="J1103" t="str">
        <f t="shared" si="90"/>
        <v>38394</v>
      </c>
      <c r="K1103" t="str">
        <f t="shared" si="86"/>
        <v/>
      </c>
    </row>
    <row r="1104" spans="3:11" x14ac:dyDescent="0.25">
      <c r="C1104" t="s">
        <v>1864</v>
      </c>
      <c r="D1104" t="s">
        <v>1864</v>
      </c>
      <c r="E1104" t="s">
        <v>2960</v>
      </c>
      <c r="F1104" t="s">
        <v>864</v>
      </c>
      <c r="G1104" t="str">
        <f t="shared" si="87"/>
        <v>E</v>
      </c>
      <c r="H1104">
        <f t="shared" si="88"/>
        <v>38</v>
      </c>
      <c r="I1104" t="str">
        <f t="shared" si="89"/>
        <v>383</v>
      </c>
      <c r="J1104" t="str">
        <f t="shared" si="90"/>
        <v>38394</v>
      </c>
      <c r="K1104" t="str">
        <f t="shared" si="86"/>
        <v>3839401</v>
      </c>
    </row>
    <row r="1105" spans="1:11" x14ac:dyDescent="0.25">
      <c r="C1105" t="s">
        <v>1864</v>
      </c>
      <c r="D1105" t="s">
        <v>1864</v>
      </c>
      <c r="E1105" t="s">
        <v>2961</v>
      </c>
      <c r="F1105" t="s">
        <v>863</v>
      </c>
      <c r="G1105" t="str">
        <f t="shared" si="87"/>
        <v>E</v>
      </c>
      <c r="H1105">
        <f t="shared" si="88"/>
        <v>38</v>
      </c>
      <c r="I1105" t="str">
        <f t="shared" si="89"/>
        <v>383</v>
      </c>
      <c r="J1105" t="str">
        <f t="shared" si="90"/>
        <v>38394</v>
      </c>
      <c r="K1105" t="str">
        <f t="shared" si="86"/>
        <v>3839499</v>
      </c>
    </row>
    <row r="1106" spans="1:11" x14ac:dyDescent="0.25">
      <c r="B1106">
        <v>39</v>
      </c>
      <c r="C1106" t="s">
        <v>1864</v>
      </c>
      <c r="D1106" t="s">
        <v>1864</v>
      </c>
      <c r="E1106" t="s">
        <v>1864</v>
      </c>
      <c r="F1106" t="s">
        <v>865</v>
      </c>
      <c r="G1106" t="str">
        <f t="shared" si="87"/>
        <v>E</v>
      </c>
      <c r="H1106">
        <f t="shared" si="88"/>
        <v>39</v>
      </c>
      <c r="I1106" t="str">
        <f t="shared" si="89"/>
        <v>383</v>
      </c>
      <c r="J1106" t="str">
        <f t="shared" si="90"/>
        <v>38394</v>
      </c>
      <c r="K1106" t="str">
        <f t="shared" si="86"/>
        <v/>
      </c>
    </row>
    <row r="1107" spans="1:11" x14ac:dyDescent="0.25">
      <c r="C1107" t="s">
        <v>2962</v>
      </c>
      <c r="D1107" t="s">
        <v>1864</v>
      </c>
      <c r="E1107" t="s">
        <v>1864</v>
      </c>
      <c r="F1107" t="s">
        <v>866</v>
      </c>
      <c r="G1107" t="str">
        <f t="shared" si="87"/>
        <v>E</v>
      </c>
      <c r="H1107">
        <f t="shared" si="88"/>
        <v>39</v>
      </c>
      <c r="I1107" t="str">
        <f t="shared" si="89"/>
        <v>390</v>
      </c>
      <c r="J1107" t="str">
        <f t="shared" si="90"/>
        <v>38394</v>
      </c>
      <c r="K1107" t="str">
        <f t="shared" si="86"/>
        <v/>
      </c>
    </row>
    <row r="1108" spans="1:11" x14ac:dyDescent="0.25">
      <c r="C1108" t="s">
        <v>1864</v>
      </c>
      <c r="D1108" t="s">
        <v>2963</v>
      </c>
      <c r="E1108" t="s">
        <v>1864</v>
      </c>
      <c r="F1108" t="s">
        <v>866</v>
      </c>
      <c r="G1108" t="str">
        <f t="shared" si="87"/>
        <v>E</v>
      </c>
      <c r="H1108">
        <f t="shared" si="88"/>
        <v>39</v>
      </c>
      <c r="I1108" t="str">
        <f t="shared" si="89"/>
        <v>390</v>
      </c>
      <c r="J1108" t="str">
        <f t="shared" si="90"/>
        <v>39005</v>
      </c>
      <c r="K1108" t="str">
        <f t="shared" si="86"/>
        <v/>
      </c>
    </row>
    <row r="1109" spans="1:11" x14ac:dyDescent="0.25">
      <c r="C1109" t="s">
        <v>1864</v>
      </c>
      <c r="D1109" t="s">
        <v>1864</v>
      </c>
      <c r="E1109" t="s">
        <v>2964</v>
      </c>
      <c r="F1109" t="s">
        <v>866</v>
      </c>
      <c r="G1109" t="str">
        <f t="shared" si="87"/>
        <v>E</v>
      </c>
      <c r="H1109">
        <f t="shared" si="88"/>
        <v>39</v>
      </c>
      <c r="I1109" t="str">
        <f t="shared" si="89"/>
        <v>390</v>
      </c>
      <c r="J1109" t="str">
        <f t="shared" si="90"/>
        <v>39005</v>
      </c>
      <c r="K1109" t="str">
        <f t="shared" si="86"/>
        <v>3900500</v>
      </c>
    </row>
    <row r="1110" spans="1:11" x14ac:dyDescent="0.25">
      <c r="A1110" t="s">
        <v>2965</v>
      </c>
      <c r="C1110" t="s">
        <v>1864</v>
      </c>
      <c r="D1110" t="s">
        <v>1864</v>
      </c>
      <c r="E1110" t="s">
        <v>1864</v>
      </c>
      <c r="F1110" t="s">
        <v>867</v>
      </c>
      <c r="G1110" t="str">
        <f t="shared" si="87"/>
        <v>F</v>
      </c>
      <c r="H1110">
        <f t="shared" si="88"/>
        <v>39</v>
      </c>
      <c r="I1110" t="str">
        <f t="shared" si="89"/>
        <v>390</v>
      </c>
      <c r="J1110" t="str">
        <f t="shared" si="90"/>
        <v>39005</v>
      </c>
      <c r="K1110" t="str">
        <f t="shared" si="86"/>
        <v/>
      </c>
    </row>
    <row r="1111" spans="1:11" x14ac:dyDescent="0.25">
      <c r="B1111">
        <v>41</v>
      </c>
      <c r="C1111" t="s">
        <v>1864</v>
      </c>
      <c r="D1111" t="s">
        <v>1864</v>
      </c>
      <c r="E1111" t="s">
        <v>1864</v>
      </c>
      <c r="F1111" t="s">
        <v>868</v>
      </c>
      <c r="G1111" t="str">
        <f t="shared" si="87"/>
        <v>F</v>
      </c>
      <c r="H1111">
        <f t="shared" si="88"/>
        <v>41</v>
      </c>
      <c r="I1111" t="str">
        <f t="shared" si="89"/>
        <v>390</v>
      </c>
      <c r="J1111" t="str">
        <f t="shared" si="90"/>
        <v>39005</v>
      </c>
      <c r="K1111" t="str">
        <f t="shared" si="86"/>
        <v/>
      </c>
    </row>
    <row r="1112" spans="1:11" x14ac:dyDescent="0.25">
      <c r="C1112" t="s">
        <v>2966</v>
      </c>
      <c r="D1112" t="s">
        <v>1864</v>
      </c>
      <c r="E1112" t="s">
        <v>1864</v>
      </c>
      <c r="F1112" t="s">
        <v>869</v>
      </c>
      <c r="G1112" t="str">
        <f t="shared" si="87"/>
        <v>F</v>
      </c>
      <c r="H1112">
        <f t="shared" si="88"/>
        <v>41</v>
      </c>
      <c r="I1112" t="str">
        <f t="shared" si="89"/>
        <v>411</v>
      </c>
      <c r="J1112" t="str">
        <f t="shared" si="90"/>
        <v>39005</v>
      </c>
      <c r="K1112" t="str">
        <f t="shared" si="86"/>
        <v/>
      </c>
    </row>
    <row r="1113" spans="1:11" x14ac:dyDescent="0.25">
      <c r="C1113" t="s">
        <v>1864</v>
      </c>
      <c r="D1113" t="s">
        <v>2967</v>
      </c>
      <c r="E1113" t="s">
        <v>1864</v>
      </c>
      <c r="F1113" t="s">
        <v>869</v>
      </c>
      <c r="G1113" t="str">
        <f t="shared" si="87"/>
        <v>F</v>
      </c>
      <c r="H1113">
        <f t="shared" si="88"/>
        <v>41</v>
      </c>
      <c r="I1113" t="str">
        <f t="shared" si="89"/>
        <v>411</v>
      </c>
      <c r="J1113" t="str">
        <f t="shared" si="90"/>
        <v>41107</v>
      </c>
      <c r="K1113" t="str">
        <f t="shared" si="86"/>
        <v/>
      </c>
    </row>
    <row r="1114" spans="1:11" x14ac:dyDescent="0.25">
      <c r="C1114" t="s">
        <v>1864</v>
      </c>
      <c r="D1114" t="s">
        <v>1864</v>
      </c>
      <c r="E1114" t="s">
        <v>2968</v>
      </c>
      <c r="F1114" t="s">
        <v>869</v>
      </c>
      <c r="G1114" t="str">
        <f t="shared" si="87"/>
        <v>F</v>
      </c>
      <c r="H1114">
        <f t="shared" si="88"/>
        <v>41</v>
      </c>
      <c r="I1114" t="str">
        <f t="shared" si="89"/>
        <v>411</v>
      </c>
      <c r="J1114" t="str">
        <f t="shared" si="90"/>
        <v>41107</v>
      </c>
      <c r="K1114" t="str">
        <f t="shared" si="86"/>
        <v>4110700</v>
      </c>
    </row>
    <row r="1115" spans="1:11" x14ac:dyDescent="0.25">
      <c r="C1115" t="s">
        <v>2969</v>
      </c>
      <c r="D1115" t="s">
        <v>1864</v>
      </c>
      <c r="E1115" t="s">
        <v>1864</v>
      </c>
      <c r="F1115" t="s">
        <v>870</v>
      </c>
      <c r="G1115" t="str">
        <f t="shared" si="87"/>
        <v>F</v>
      </c>
      <c r="H1115">
        <f t="shared" si="88"/>
        <v>41</v>
      </c>
      <c r="I1115" t="str">
        <f t="shared" si="89"/>
        <v>412</v>
      </c>
      <c r="J1115" t="str">
        <f t="shared" si="90"/>
        <v>41107</v>
      </c>
      <c r="K1115" t="str">
        <f t="shared" si="86"/>
        <v/>
      </c>
    </row>
    <row r="1116" spans="1:11" x14ac:dyDescent="0.25">
      <c r="C1116" t="s">
        <v>1864</v>
      </c>
      <c r="D1116" t="s">
        <v>2970</v>
      </c>
      <c r="E1116" t="s">
        <v>1864</v>
      </c>
      <c r="F1116" t="s">
        <v>870</v>
      </c>
      <c r="G1116" t="str">
        <f t="shared" si="87"/>
        <v>F</v>
      </c>
      <c r="H1116">
        <f t="shared" si="88"/>
        <v>41</v>
      </c>
      <c r="I1116" t="str">
        <f t="shared" si="89"/>
        <v>412</v>
      </c>
      <c r="J1116" t="str">
        <f t="shared" si="90"/>
        <v>41204</v>
      </c>
      <c r="K1116" t="str">
        <f t="shared" si="86"/>
        <v/>
      </c>
    </row>
    <row r="1117" spans="1:11" x14ac:dyDescent="0.25">
      <c r="C1117" t="s">
        <v>1864</v>
      </c>
      <c r="D1117" t="s">
        <v>1864</v>
      </c>
      <c r="E1117" t="s">
        <v>2971</v>
      </c>
      <c r="F1117" t="s">
        <v>870</v>
      </c>
      <c r="G1117" t="str">
        <f t="shared" si="87"/>
        <v>F</v>
      </c>
      <c r="H1117">
        <f t="shared" si="88"/>
        <v>41</v>
      </c>
      <c r="I1117" t="str">
        <f t="shared" si="89"/>
        <v>412</v>
      </c>
      <c r="J1117" t="str">
        <f t="shared" si="90"/>
        <v>41204</v>
      </c>
      <c r="K1117" t="str">
        <f t="shared" si="86"/>
        <v>4120400</v>
      </c>
    </row>
    <row r="1118" spans="1:11" x14ac:dyDescent="0.25">
      <c r="B1118">
        <v>42</v>
      </c>
      <c r="C1118" t="s">
        <v>1864</v>
      </c>
      <c r="D1118" t="s">
        <v>1864</v>
      </c>
      <c r="E1118" t="s">
        <v>1864</v>
      </c>
      <c r="F1118" t="s">
        <v>871</v>
      </c>
      <c r="G1118" t="str">
        <f t="shared" si="87"/>
        <v>F</v>
      </c>
      <c r="H1118">
        <f t="shared" si="88"/>
        <v>42</v>
      </c>
      <c r="I1118" t="str">
        <f t="shared" si="89"/>
        <v>412</v>
      </c>
      <c r="J1118" t="str">
        <f t="shared" si="90"/>
        <v>41204</v>
      </c>
      <c r="K1118" t="str">
        <f t="shared" si="86"/>
        <v/>
      </c>
    </row>
    <row r="1119" spans="1:11" x14ac:dyDescent="0.25">
      <c r="C1119" t="s">
        <v>2972</v>
      </c>
      <c r="D1119" t="s">
        <v>1864</v>
      </c>
      <c r="E1119" t="s">
        <v>1864</v>
      </c>
      <c r="F1119" t="s">
        <v>872</v>
      </c>
      <c r="G1119" t="str">
        <f t="shared" si="87"/>
        <v>F</v>
      </c>
      <c r="H1119">
        <f t="shared" si="88"/>
        <v>42</v>
      </c>
      <c r="I1119" t="str">
        <f t="shared" si="89"/>
        <v>421</v>
      </c>
      <c r="J1119" t="str">
        <f t="shared" si="90"/>
        <v>41204</v>
      </c>
      <c r="K1119" t="str">
        <f t="shared" si="86"/>
        <v/>
      </c>
    </row>
    <row r="1120" spans="1:11" x14ac:dyDescent="0.25">
      <c r="C1120" t="s">
        <v>1864</v>
      </c>
      <c r="D1120" t="s">
        <v>2973</v>
      </c>
      <c r="E1120" t="s">
        <v>1864</v>
      </c>
      <c r="F1120" t="s">
        <v>873</v>
      </c>
      <c r="G1120" t="str">
        <f t="shared" si="87"/>
        <v>F</v>
      </c>
      <c r="H1120">
        <f t="shared" si="88"/>
        <v>42</v>
      </c>
      <c r="I1120" t="str">
        <f t="shared" si="89"/>
        <v>421</v>
      </c>
      <c r="J1120" t="str">
        <f t="shared" si="90"/>
        <v>42111</v>
      </c>
      <c r="K1120" t="str">
        <f t="shared" si="86"/>
        <v/>
      </c>
    </row>
    <row r="1121" spans="3:11" x14ac:dyDescent="0.25">
      <c r="C1121" t="s">
        <v>1864</v>
      </c>
      <c r="D1121" t="s">
        <v>1864</v>
      </c>
      <c r="E1121" t="s">
        <v>2974</v>
      </c>
      <c r="F1121" t="s">
        <v>873</v>
      </c>
      <c r="G1121" t="str">
        <f t="shared" si="87"/>
        <v>F</v>
      </c>
      <c r="H1121">
        <f t="shared" si="88"/>
        <v>42</v>
      </c>
      <c r="I1121" t="str">
        <f t="shared" si="89"/>
        <v>421</v>
      </c>
      <c r="J1121" t="str">
        <f t="shared" si="90"/>
        <v>42111</v>
      </c>
      <c r="K1121" t="str">
        <f t="shared" si="86"/>
        <v>4211101</v>
      </c>
    </row>
    <row r="1122" spans="3:11" x14ac:dyDescent="0.25">
      <c r="C1122" t="s">
        <v>1864</v>
      </c>
      <c r="D1122" t="s">
        <v>1864</v>
      </c>
      <c r="E1122" t="s">
        <v>2975</v>
      </c>
      <c r="F1122" t="s">
        <v>874</v>
      </c>
      <c r="G1122" t="str">
        <f t="shared" si="87"/>
        <v>F</v>
      </c>
      <c r="H1122">
        <f t="shared" si="88"/>
        <v>42</v>
      </c>
      <c r="I1122" t="str">
        <f t="shared" si="89"/>
        <v>421</v>
      </c>
      <c r="J1122" t="str">
        <f t="shared" si="90"/>
        <v>42111</v>
      </c>
      <c r="K1122" t="str">
        <f t="shared" si="86"/>
        <v>4211102</v>
      </c>
    </row>
    <row r="1123" spans="3:11" x14ac:dyDescent="0.25">
      <c r="C1123" t="s">
        <v>1864</v>
      </c>
      <c r="D1123" t="s">
        <v>2976</v>
      </c>
      <c r="E1123" t="s">
        <v>1864</v>
      </c>
      <c r="F1123" t="s">
        <v>875</v>
      </c>
      <c r="G1123" t="str">
        <f t="shared" si="87"/>
        <v>F</v>
      </c>
      <c r="H1123">
        <f t="shared" si="88"/>
        <v>42</v>
      </c>
      <c r="I1123" t="str">
        <f t="shared" si="89"/>
        <v>421</v>
      </c>
      <c r="J1123" t="str">
        <f t="shared" si="90"/>
        <v>42120</v>
      </c>
      <c r="K1123" t="str">
        <f t="shared" si="86"/>
        <v/>
      </c>
    </row>
    <row r="1124" spans="3:11" x14ac:dyDescent="0.25">
      <c r="C1124" t="s">
        <v>1864</v>
      </c>
      <c r="D1124" t="s">
        <v>1864</v>
      </c>
      <c r="E1124" t="s">
        <v>2977</v>
      </c>
      <c r="F1124" t="s">
        <v>875</v>
      </c>
      <c r="G1124" t="str">
        <f t="shared" si="87"/>
        <v>F</v>
      </c>
      <c r="H1124">
        <f t="shared" si="88"/>
        <v>42</v>
      </c>
      <c r="I1124" t="str">
        <f t="shared" si="89"/>
        <v>421</v>
      </c>
      <c r="J1124" t="str">
        <f t="shared" si="90"/>
        <v>42120</v>
      </c>
      <c r="K1124" t="str">
        <f t="shared" si="86"/>
        <v>4212000</v>
      </c>
    </row>
    <row r="1125" spans="3:11" x14ac:dyDescent="0.25">
      <c r="C1125" t="s">
        <v>1864</v>
      </c>
      <c r="D1125" t="s">
        <v>2978</v>
      </c>
      <c r="E1125" t="s">
        <v>1864</v>
      </c>
      <c r="F1125" t="s">
        <v>876</v>
      </c>
      <c r="G1125" t="str">
        <f t="shared" si="87"/>
        <v>F</v>
      </c>
      <c r="H1125">
        <f t="shared" si="88"/>
        <v>42</v>
      </c>
      <c r="I1125" t="str">
        <f t="shared" si="89"/>
        <v>421</v>
      </c>
      <c r="J1125" t="str">
        <f t="shared" si="90"/>
        <v>42138</v>
      </c>
      <c r="K1125" t="str">
        <f t="shared" si="86"/>
        <v/>
      </c>
    </row>
    <row r="1126" spans="3:11" x14ac:dyDescent="0.25">
      <c r="C1126" t="s">
        <v>1864</v>
      </c>
      <c r="D1126" t="s">
        <v>1864</v>
      </c>
      <c r="E1126" t="s">
        <v>2979</v>
      </c>
      <c r="F1126" t="s">
        <v>876</v>
      </c>
      <c r="G1126" t="str">
        <f t="shared" si="87"/>
        <v>F</v>
      </c>
      <c r="H1126">
        <f t="shared" si="88"/>
        <v>42</v>
      </c>
      <c r="I1126" t="str">
        <f t="shared" si="89"/>
        <v>421</v>
      </c>
      <c r="J1126" t="str">
        <f t="shared" si="90"/>
        <v>42138</v>
      </c>
      <c r="K1126" t="str">
        <f t="shared" si="86"/>
        <v>4213800</v>
      </c>
    </row>
    <row r="1127" spans="3:11" x14ac:dyDescent="0.25">
      <c r="C1127" t="s">
        <v>2980</v>
      </c>
      <c r="D1127" t="s">
        <v>1864</v>
      </c>
      <c r="E1127" t="s">
        <v>1864</v>
      </c>
      <c r="F1127" t="s">
        <v>877</v>
      </c>
      <c r="G1127" t="str">
        <f t="shared" si="87"/>
        <v>F</v>
      </c>
      <c r="H1127">
        <f t="shared" si="88"/>
        <v>42</v>
      </c>
      <c r="I1127" t="str">
        <f t="shared" si="89"/>
        <v>422</v>
      </c>
      <c r="J1127" t="str">
        <f t="shared" si="90"/>
        <v>42138</v>
      </c>
      <c r="K1127" t="str">
        <f t="shared" si="86"/>
        <v/>
      </c>
    </row>
    <row r="1128" spans="3:11" x14ac:dyDescent="0.25">
      <c r="C1128" t="s">
        <v>1864</v>
      </c>
      <c r="D1128" t="s">
        <v>2981</v>
      </c>
      <c r="E1128" t="s">
        <v>1864</v>
      </c>
      <c r="F1128" t="s">
        <v>878</v>
      </c>
      <c r="G1128" t="str">
        <f t="shared" si="87"/>
        <v>F</v>
      </c>
      <c r="H1128">
        <f t="shared" si="88"/>
        <v>42</v>
      </c>
      <c r="I1128" t="str">
        <f t="shared" si="89"/>
        <v>422</v>
      </c>
      <c r="J1128" t="str">
        <f t="shared" si="90"/>
        <v>42219</v>
      </c>
      <c r="K1128" t="str">
        <f t="shared" si="86"/>
        <v/>
      </c>
    </row>
    <row r="1129" spans="3:11" x14ac:dyDescent="0.25">
      <c r="C1129" t="s">
        <v>1864</v>
      </c>
      <c r="D1129" t="s">
        <v>1864</v>
      </c>
      <c r="E1129" t="s">
        <v>2982</v>
      </c>
      <c r="F1129" t="s">
        <v>879</v>
      </c>
      <c r="G1129" t="str">
        <f t="shared" si="87"/>
        <v>F</v>
      </c>
      <c r="H1129">
        <f t="shared" si="88"/>
        <v>42</v>
      </c>
      <c r="I1129" t="str">
        <f t="shared" si="89"/>
        <v>422</v>
      </c>
      <c r="J1129" t="str">
        <f t="shared" si="90"/>
        <v>42219</v>
      </c>
      <c r="K1129" t="str">
        <f t="shared" si="86"/>
        <v>4221901</v>
      </c>
    </row>
    <row r="1130" spans="3:11" x14ac:dyDescent="0.25">
      <c r="C1130" t="s">
        <v>1864</v>
      </c>
      <c r="D1130" t="s">
        <v>1864</v>
      </c>
      <c r="E1130" t="s">
        <v>2983</v>
      </c>
      <c r="F1130" t="s">
        <v>880</v>
      </c>
      <c r="G1130" t="str">
        <f t="shared" si="87"/>
        <v>F</v>
      </c>
      <c r="H1130">
        <f t="shared" si="88"/>
        <v>42</v>
      </c>
      <c r="I1130" t="str">
        <f t="shared" si="89"/>
        <v>422</v>
      </c>
      <c r="J1130" t="str">
        <f t="shared" si="90"/>
        <v>42219</v>
      </c>
      <c r="K1130" t="str">
        <f t="shared" si="86"/>
        <v>4221902</v>
      </c>
    </row>
    <row r="1131" spans="3:11" x14ac:dyDescent="0.25">
      <c r="C1131" t="s">
        <v>1864</v>
      </c>
      <c r="D1131" t="s">
        <v>1864</v>
      </c>
      <c r="E1131" t="s">
        <v>2984</v>
      </c>
      <c r="F1131" t="s">
        <v>881</v>
      </c>
      <c r="G1131" t="str">
        <f t="shared" si="87"/>
        <v>F</v>
      </c>
      <c r="H1131">
        <f t="shared" si="88"/>
        <v>42</v>
      </c>
      <c r="I1131" t="str">
        <f t="shared" si="89"/>
        <v>422</v>
      </c>
      <c r="J1131" t="str">
        <f t="shared" si="90"/>
        <v>42219</v>
      </c>
      <c r="K1131" t="str">
        <f t="shared" si="86"/>
        <v>4221903</v>
      </c>
    </row>
    <row r="1132" spans="3:11" x14ac:dyDescent="0.25">
      <c r="C1132" t="s">
        <v>1864</v>
      </c>
      <c r="D1132" t="s">
        <v>1864</v>
      </c>
      <c r="E1132" t="s">
        <v>2985</v>
      </c>
      <c r="F1132" t="s">
        <v>882</v>
      </c>
      <c r="G1132" t="str">
        <f t="shared" si="87"/>
        <v>F</v>
      </c>
      <c r="H1132">
        <f t="shared" si="88"/>
        <v>42</v>
      </c>
      <c r="I1132" t="str">
        <f t="shared" si="89"/>
        <v>422</v>
      </c>
      <c r="J1132" t="str">
        <f t="shared" si="90"/>
        <v>42219</v>
      </c>
      <c r="K1132" t="str">
        <f t="shared" si="86"/>
        <v>4221904</v>
      </c>
    </row>
    <row r="1133" spans="3:11" x14ac:dyDescent="0.25">
      <c r="C1133" t="s">
        <v>1864</v>
      </c>
      <c r="D1133" t="s">
        <v>1864</v>
      </c>
      <c r="E1133" t="s">
        <v>2986</v>
      </c>
      <c r="F1133" t="s">
        <v>883</v>
      </c>
      <c r="G1133" t="str">
        <f t="shared" si="87"/>
        <v>F</v>
      </c>
      <c r="H1133">
        <f t="shared" si="88"/>
        <v>42</v>
      </c>
      <c r="I1133" t="str">
        <f t="shared" si="89"/>
        <v>422</v>
      </c>
      <c r="J1133" t="str">
        <f t="shared" si="90"/>
        <v>42219</v>
      </c>
      <c r="K1133" t="str">
        <f t="shared" si="86"/>
        <v>4221905</v>
      </c>
    </row>
    <row r="1134" spans="3:11" x14ac:dyDescent="0.25">
      <c r="C1134" t="s">
        <v>1864</v>
      </c>
      <c r="D1134" t="s">
        <v>2987</v>
      </c>
      <c r="E1134" t="s">
        <v>1864</v>
      </c>
      <c r="F1134" t="s">
        <v>884</v>
      </c>
      <c r="G1134" t="str">
        <f t="shared" si="87"/>
        <v>F</v>
      </c>
      <c r="H1134">
        <f t="shared" si="88"/>
        <v>42</v>
      </c>
      <c r="I1134" t="str">
        <f t="shared" si="89"/>
        <v>422</v>
      </c>
      <c r="J1134" t="str">
        <f t="shared" si="90"/>
        <v>42227</v>
      </c>
      <c r="K1134" t="str">
        <f t="shared" si="86"/>
        <v/>
      </c>
    </row>
    <row r="1135" spans="3:11" x14ac:dyDescent="0.25">
      <c r="C1135" t="s">
        <v>1864</v>
      </c>
      <c r="D1135" t="s">
        <v>1864</v>
      </c>
      <c r="E1135" t="s">
        <v>2988</v>
      </c>
      <c r="F1135" t="s">
        <v>885</v>
      </c>
      <c r="G1135" t="str">
        <f t="shared" si="87"/>
        <v>F</v>
      </c>
      <c r="H1135">
        <f t="shared" si="88"/>
        <v>42</v>
      </c>
      <c r="I1135" t="str">
        <f t="shared" si="89"/>
        <v>422</v>
      </c>
      <c r="J1135" t="str">
        <f t="shared" si="90"/>
        <v>42227</v>
      </c>
      <c r="K1135" t="str">
        <f t="shared" si="86"/>
        <v>4222701</v>
      </c>
    </row>
    <row r="1136" spans="3:11" x14ac:dyDescent="0.25">
      <c r="C1136" t="s">
        <v>1864</v>
      </c>
      <c r="D1136" t="s">
        <v>1864</v>
      </c>
      <c r="E1136" t="s">
        <v>2989</v>
      </c>
      <c r="F1136" t="s">
        <v>886</v>
      </c>
      <c r="G1136" t="str">
        <f t="shared" si="87"/>
        <v>F</v>
      </c>
      <c r="H1136">
        <f t="shared" si="88"/>
        <v>42</v>
      </c>
      <c r="I1136" t="str">
        <f t="shared" si="89"/>
        <v>422</v>
      </c>
      <c r="J1136" t="str">
        <f t="shared" si="90"/>
        <v>42227</v>
      </c>
      <c r="K1136" t="str">
        <f t="shared" si="86"/>
        <v>4222702</v>
      </c>
    </row>
    <row r="1137" spans="2:11" x14ac:dyDescent="0.25">
      <c r="C1137" t="s">
        <v>1864</v>
      </c>
      <c r="D1137" t="s">
        <v>2990</v>
      </c>
      <c r="E1137" t="s">
        <v>1864</v>
      </c>
      <c r="F1137" t="s">
        <v>887</v>
      </c>
      <c r="G1137" t="str">
        <f t="shared" si="87"/>
        <v>F</v>
      </c>
      <c r="H1137">
        <f t="shared" si="88"/>
        <v>42</v>
      </c>
      <c r="I1137" t="str">
        <f t="shared" si="89"/>
        <v>422</v>
      </c>
      <c r="J1137" t="str">
        <f t="shared" si="90"/>
        <v>42235</v>
      </c>
      <c r="K1137" t="str">
        <f t="shared" si="86"/>
        <v/>
      </c>
    </row>
    <row r="1138" spans="2:11" x14ac:dyDescent="0.25">
      <c r="C1138" t="s">
        <v>1864</v>
      </c>
      <c r="D1138" t="s">
        <v>1864</v>
      </c>
      <c r="E1138" t="s">
        <v>2991</v>
      </c>
      <c r="F1138" t="s">
        <v>887</v>
      </c>
      <c r="G1138" t="str">
        <f t="shared" si="87"/>
        <v>F</v>
      </c>
      <c r="H1138">
        <f t="shared" si="88"/>
        <v>42</v>
      </c>
      <c r="I1138" t="str">
        <f t="shared" si="89"/>
        <v>422</v>
      </c>
      <c r="J1138" t="str">
        <f t="shared" si="90"/>
        <v>42235</v>
      </c>
      <c r="K1138" t="str">
        <f t="shared" si="86"/>
        <v>4223500</v>
      </c>
    </row>
    <row r="1139" spans="2:11" x14ac:dyDescent="0.25">
      <c r="C1139" t="s">
        <v>2992</v>
      </c>
      <c r="D1139" t="s">
        <v>1864</v>
      </c>
      <c r="E1139" t="s">
        <v>1864</v>
      </c>
      <c r="F1139" t="s">
        <v>888</v>
      </c>
      <c r="G1139" t="str">
        <f t="shared" si="87"/>
        <v>F</v>
      </c>
      <c r="H1139">
        <f t="shared" si="88"/>
        <v>42</v>
      </c>
      <c r="I1139" t="str">
        <f t="shared" si="89"/>
        <v>429</v>
      </c>
      <c r="J1139" t="str">
        <f t="shared" si="90"/>
        <v>42235</v>
      </c>
      <c r="K1139" t="str">
        <f t="shared" si="86"/>
        <v/>
      </c>
    </row>
    <row r="1140" spans="2:11" x14ac:dyDescent="0.25">
      <c r="C1140" t="s">
        <v>1864</v>
      </c>
      <c r="D1140" t="s">
        <v>2993</v>
      </c>
      <c r="E1140" t="s">
        <v>1864</v>
      </c>
      <c r="F1140" t="s">
        <v>889</v>
      </c>
      <c r="G1140" t="str">
        <f t="shared" si="87"/>
        <v>F</v>
      </c>
      <c r="H1140">
        <f t="shared" si="88"/>
        <v>42</v>
      </c>
      <c r="I1140" t="str">
        <f t="shared" si="89"/>
        <v>429</v>
      </c>
      <c r="J1140" t="str">
        <f t="shared" si="90"/>
        <v>42910</v>
      </c>
      <c r="K1140" t="str">
        <f t="shared" si="86"/>
        <v/>
      </c>
    </row>
    <row r="1141" spans="2:11" x14ac:dyDescent="0.25">
      <c r="C1141" t="s">
        <v>1864</v>
      </c>
      <c r="D1141" t="s">
        <v>1864</v>
      </c>
      <c r="E1141" t="s">
        <v>2994</v>
      </c>
      <c r="F1141" t="s">
        <v>889</v>
      </c>
      <c r="G1141" t="str">
        <f t="shared" si="87"/>
        <v>F</v>
      </c>
      <c r="H1141">
        <f t="shared" si="88"/>
        <v>42</v>
      </c>
      <c r="I1141" t="str">
        <f t="shared" si="89"/>
        <v>429</v>
      </c>
      <c r="J1141" t="str">
        <f t="shared" si="90"/>
        <v>42910</v>
      </c>
      <c r="K1141" t="str">
        <f t="shared" si="86"/>
        <v>4291000</v>
      </c>
    </row>
    <row r="1142" spans="2:11" x14ac:dyDescent="0.25">
      <c r="C1142" t="s">
        <v>1864</v>
      </c>
      <c r="D1142" t="s">
        <v>2995</v>
      </c>
      <c r="E1142" t="s">
        <v>1864</v>
      </c>
      <c r="F1142" t="s">
        <v>890</v>
      </c>
      <c r="G1142" t="str">
        <f t="shared" si="87"/>
        <v>F</v>
      </c>
      <c r="H1142">
        <f t="shared" si="88"/>
        <v>42</v>
      </c>
      <c r="I1142" t="str">
        <f t="shared" si="89"/>
        <v>429</v>
      </c>
      <c r="J1142" t="str">
        <f t="shared" si="90"/>
        <v>42928</v>
      </c>
      <c r="K1142" t="str">
        <f t="shared" si="86"/>
        <v/>
      </c>
    </row>
    <row r="1143" spans="2:11" x14ac:dyDescent="0.25">
      <c r="C1143" t="s">
        <v>1864</v>
      </c>
      <c r="D1143" t="s">
        <v>1864</v>
      </c>
      <c r="E1143" t="s">
        <v>2996</v>
      </c>
      <c r="F1143" t="s">
        <v>891</v>
      </c>
      <c r="G1143" t="str">
        <f t="shared" si="87"/>
        <v>F</v>
      </c>
      <c r="H1143">
        <f t="shared" si="88"/>
        <v>42</v>
      </c>
      <c r="I1143" t="str">
        <f t="shared" si="89"/>
        <v>429</v>
      </c>
      <c r="J1143" t="str">
        <f t="shared" si="90"/>
        <v>42928</v>
      </c>
      <c r="K1143" t="str">
        <f t="shared" si="86"/>
        <v>4292801</v>
      </c>
    </row>
    <row r="1144" spans="2:11" x14ac:dyDescent="0.25">
      <c r="C1144" t="s">
        <v>1864</v>
      </c>
      <c r="D1144" t="s">
        <v>1864</v>
      </c>
      <c r="E1144" t="s">
        <v>2997</v>
      </c>
      <c r="F1144" t="s">
        <v>892</v>
      </c>
      <c r="G1144" t="str">
        <f t="shared" si="87"/>
        <v>F</v>
      </c>
      <c r="H1144">
        <f t="shared" si="88"/>
        <v>42</v>
      </c>
      <c r="I1144" t="str">
        <f t="shared" si="89"/>
        <v>429</v>
      </c>
      <c r="J1144" t="str">
        <f t="shared" si="90"/>
        <v>42928</v>
      </c>
      <c r="K1144" t="str">
        <f t="shared" si="86"/>
        <v>4292802</v>
      </c>
    </row>
    <row r="1145" spans="2:11" x14ac:dyDescent="0.25">
      <c r="C1145" t="s">
        <v>1864</v>
      </c>
      <c r="D1145" t="s">
        <v>2998</v>
      </c>
      <c r="E1145" t="s">
        <v>1864</v>
      </c>
      <c r="F1145" t="s">
        <v>893</v>
      </c>
      <c r="G1145" t="str">
        <f t="shared" si="87"/>
        <v>F</v>
      </c>
      <c r="H1145">
        <f t="shared" si="88"/>
        <v>42</v>
      </c>
      <c r="I1145" t="str">
        <f t="shared" si="89"/>
        <v>429</v>
      </c>
      <c r="J1145" t="str">
        <f t="shared" si="90"/>
        <v>42995</v>
      </c>
      <c r="K1145" t="str">
        <f t="shared" si="86"/>
        <v/>
      </c>
    </row>
    <row r="1146" spans="2:11" x14ac:dyDescent="0.25">
      <c r="C1146" t="s">
        <v>1864</v>
      </c>
      <c r="D1146" t="s">
        <v>1864</v>
      </c>
      <c r="E1146" t="s">
        <v>2999</v>
      </c>
      <c r="F1146" t="s">
        <v>894</v>
      </c>
      <c r="G1146" t="str">
        <f t="shared" si="87"/>
        <v>F</v>
      </c>
      <c r="H1146">
        <f t="shared" si="88"/>
        <v>42</v>
      </c>
      <c r="I1146" t="str">
        <f t="shared" si="89"/>
        <v>429</v>
      </c>
      <c r="J1146" t="str">
        <f t="shared" si="90"/>
        <v>42995</v>
      </c>
      <c r="K1146" t="str">
        <f t="shared" si="86"/>
        <v>4299501</v>
      </c>
    </row>
    <row r="1147" spans="2:11" x14ac:dyDescent="0.25">
      <c r="C1147" t="s">
        <v>1864</v>
      </c>
      <c r="D1147" t="s">
        <v>1864</v>
      </c>
      <c r="E1147" t="s">
        <v>3000</v>
      </c>
      <c r="F1147" t="s">
        <v>895</v>
      </c>
      <c r="G1147" t="str">
        <f t="shared" si="87"/>
        <v>F</v>
      </c>
      <c r="H1147">
        <f t="shared" si="88"/>
        <v>42</v>
      </c>
      <c r="I1147" t="str">
        <f t="shared" si="89"/>
        <v>429</v>
      </c>
      <c r="J1147" t="str">
        <f t="shared" si="90"/>
        <v>42995</v>
      </c>
      <c r="K1147" t="str">
        <f t="shared" si="86"/>
        <v>4299599</v>
      </c>
    </row>
    <row r="1148" spans="2:11" x14ac:dyDescent="0.25">
      <c r="B1148">
        <v>43</v>
      </c>
      <c r="C1148" t="s">
        <v>1864</v>
      </c>
      <c r="D1148" t="s">
        <v>1864</v>
      </c>
      <c r="E1148" t="s">
        <v>1864</v>
      </c>
      <c r="F1148" t="s">
        <v>896</v>
      </c>
      <c r="G1148" t="str">
        <f t="shared" si="87"/>
        <v>F</v>
      </c>
      <c r="H1148">
        <f t="shared" si="88"/>
        <v>43</v>
      </c>
      <c r="I1148" t="str">
        <f t="shared" si="89"/>
        <v>429</v>
      </c>
      <c r="J1148" t="str">
        <f t="shared" si="90"/>
        <v>42995</v>
      </c>
      <c r="K1148" t="str">
        <f t="shared" si="86"/>
        <v/>
      </c>
    </row>
    <row r="1149" spans="2:11" x14ac:dyDescent="0.25">
      <c r="C1149" t="s">
        <v>3001</v>
      </c>
      <c r="D1149" t="s">
        <v>1864</v>
      </c>
      <c r="E1149" t="s">
        <v>1864</v>
      </c>
      <c r="F1149" t="s">
        <v>897</v>
      </c>
      <c r="G1149" t="str">
        <f t="shared" si="87"/>
        <v>F</v>
      </c>
      <c r="H1149">
        <f t="shared" si="88"/>
        <v>43</v>
      </c>
      <c r="I1149" t="str">
        <f t="shared" si="89"/>
        <v>431</v>
      </c>
      <c r="J1149" t="str">
        <f t="shared" si="90"/>
        <v>42995</v>
      </c>
      <c r="K1149" t="str">
        <f t="shared" si="86"/>
        <v/>
      </c>
    </row>
    <row r="1150" spans="2:11" x14ac:dyDescent="0.25">
      <c r="C1150" t="s">
        <v>1864</v>
      </c>
      <c r="D1150" t="s">
        <v>3002</v>
      </c>
      <c r="E1150" t="s">
        <v>1864</v>
      </c>
      <c r="F1150" t="s">
        <v>898</v>
      </c>
      <c r="G1150" t="str">
        <f t="shared" si="87"/>
        <v>F</v>
      </c>
      <c r="H1150">
        <f t="shared" si="88"/>
        <v>43</v>
      </c>
      <c r="I1150" t="str">
        <f t="shared" si="89"/>
        <v>431</v>
      </c>
      <c r="J1150" t="str">
        <f t="shared" si="90"/>
        <v>43118</v>
      </c>
      <c r="K1150" t="str">
        <f t="shared" si="86"/>
        <v/>
      </c>
    </row>
    <row r="1151" spans="2:11" x14ac:dyDescent="0.25">
      <c r="C1151" t="s">
        <v>1864</v>
      </c>
      <c r="D1151" t="s">
        <v>1864</v>
      </c>
      <c r="E1151" t="s">
        <v>3003</v>
      </c>
      <c r="F1151" t="s">
        <v>899</v>
      </c>
      <c r="G1151" t="str">
        <f t="shared" si="87"/>
        <v>F</v>
      </c>
      <c r="H1151">
        <f t="shared" si="88"/>
        <v>43</v>
      </c>
      <c r="I1151" t="str">
        <f t="shared" si="89"/>
        <v>431</v>
      </c>
      <c r="J1151" t="str">
        <f t="shared" si="90"/>
        <v>43118</v>
      </c>
      <c r="K1151" t="str">
        <f t="shared" si="86"/>
        <v>4311801</v>
      </c>
    </row>
    <row r="1152" spans="2:11" x14ac:dyDescent="0.25">
      <c r="C1152" t="s">
        <v>1864</v>
      </c>
      <c r="D1152" t="s">
        <v>1864</v>
      </c>
      <c r="E1152" t="s">
        <v>3004</v>
      </c>
      <c r="F1152" t="s">
        <v>900</v>
      </c>
      <c r="G1152" t="str">
        <f t="shared" si="87"/>
        <v>F</v>
      </c>
      <c r="H1152">
        <f t="shared" si="88"/>
        <v>43</v>
      </c>
      <c r="I1152" t="str">
        <f t="shared" si="89"/>
        <v>431</v>
      </c>
      <c r="J1152" t="str">
        <f t="shared" si="90"/>
        <v>43118</v>
      </c>
      <c r="K1152" t="str">
        <f t="shared" si="86"/>
        <v>4311802</v>
      </c>
    </row>
    <row r="1153" spans="3:11" x14ac:dyDescent="0.25">
      <c r="C1153" t="s">
        <v>1864</v>
      </c>
      <c r="D1153" t="s">
        <v>3005</v>
      </c>
      <c r="E1153" t="s">
        <v>1864</v>
      </c>
      <c r="F1153" t="s">
        <v>901</v>
      </c>
      <c r="G1153" t="str">
        <f t="shared" si="87"/>
        <v>F</v>
      </c>
      <c r="H1153">
        <f t="shared" si="88"/>
        <v>43</v>
      </c>
      <c r="I1153" t="str">
        <f t="shared" si="89"/>
        <v>431</v>
      </c>
      <c r="J1153" t="str">
        <f t="shared" si="90"/>
        <v>43126</v>
      </c>
      <c r="K1153" t="str">
        <f t="shared" si="86"/>
        <v/>
      </c>
    </row>
    <row r="1154" spans="3:11" x14ac:dyDescent="0.25">
      <c r="C1154" t="s">
        <v>1864</v>
      </c>
      <c r="D1154" t="s">
        <v>1864</v>
      </c>
      <c r="E1154" t="s">
        <v>3006</v>
      </c>
      <c r="F1154" t="s">
        <v>901</v>
      </c>
      <c r="G1154" t="str">
        <f t="shared" si="87"/>
        <v>F</v>
      </c>
      <c r="H1154">
        <f t="shared" si="88"/>
        <v>43</v>
      </c>
      <c r="I1154" t="str">
        <f t="shared" si="89"/>
        <v>431</v>
      </c>
      <c r="J1154" t="str">
        <f t="shared" si="90"/>
        <v>43126</v>
      </c>
      <c r="K1154" t="str">
        <f t="shared" si="86"/>
        <v>4312600</v>
      </c>
    </row>
    <row r="1155" spans="3:11" x14ac:dyDescent="0.25">
      <c r="C1155" t="s">
        <v>1864</v>
      </c>
      <c r="D1155" t="s">
        <v>3007</v>
      </c>
      <c r="E1155" t="s">
        <v>1864</v>
      </c>
      <c r="F1155" t="s">
        <v>902</v>
      </c>
      <c r="G1155" t="str">
        <f t="shared" si="87"/>
        <v>F</v>
      </c>
      <c r="H1155">
        <f t="shared" si="88"/>
        <v>43</v>
      </c>
      <c r="I1155" t="str">
        <f t="shared" si="89"/>
        <v>431</v>
      </c>
      <c r="J1155" t="str">
        <f t="shared" si="90"/>
        <v>43134</v>
      </c>
      <c r="K1155" t="str">
        <f t="shared" si="86"/>
        <v/>
      </c>
    </row>
    <row r="1156" spans="3:11" x14ac:dyDescent="0.25">
      <c r="C1156" t="s">
        <v>1864</v>
      </c>
      <c r="D1156" t="s">
        <v>1864</v>
      </c>
      <c r="E1156" t="s">
        <v>3008</v>
      </c>
      <c r="F1156" t="s">
        <v>902</v>
      </c>
      <c r="G1156" t="str">
        <f t="shared" si="87"/>
        <v>F</v>
      </c>
      <c r="H1156">
        <f t="shared" si="88"/>
        <v>43</v>
      </c>
      <c r="I1156" t="str">
        <f t="shared" si="89"/>
        <v>431</v>
      </c>
      <c r="J1156" t="str">
        <f t="shared" si="90"/>
        <v>43134</v>
      </c>
      <c r="K1156" t="str">
        <f t="shared" si="86"/>
        <v>4313400</v>
      </c>
    </row>
    <row r="1157" spans="3:11" x14ac:dyDescent="0.25">
      <c r="C1157" t="s">
        <v>1864</v>
      </c>
      <c r="D1157" t="s">
        <v>3009</v>
      </c>
      <c r="E1157" t="s">
        <v>1864</v>
      </c>
      <c r="F1157" t="s">
        <v>903</v>
      </c>
      <c r="G1157" t="str">
        <f t="shared" si="87"/>
        <v>F</v>
      </c>
      <c r="H1157">
        <f t="shared" si="88"/>
        <v>43</v>
      </c>
      <c r="I1157" t="str">
        <f t="shared" si="89"/>
        <v>431</v>
      </c>
      <c r="J1157" t="str">
        <f t="shared" si="90"/>
        <v>43193</v>
      </c>
      <c r="K1157" t="str">
        <f t="shared" si="86"/>
        <v/>
      </c>
    </row>
    <row r="1158" spans="3:11" x14ac:dyDescent="0.25">
      <c r="C1158" t="s">
        <v>1864</v>
      </c>
      <c r="D1158" t="s">
        <v>1864</v>
      </c>
      <c r="E1158" t="s">
        <v>3010</v>
      </c>
      <c r="F1158" t="s">
        <v>903</v>
      </c>
      <c r="G1158" t="str">
        <f t="shared" si="87"/>
        <v>F</v>
      </c>
      <c r="H1158">
        <f t="shared" si="88"/>
        <v>43</v>
      </c>
      <c r="I1158" t="str">
        <f t="shared" si="89"/>
        <v>431</v>
      </c>
      <c r="J1158" t="str">
        <f t="shared" si="90"/>
        <v>43193</v>
      </c>
      <c r="K1158" t="str">
        <f t="shared" si="86"/>
        <v>4319300</v>
      </c>
    </row>
    <row r="1159" spans="3:11" x14ac:dyDescent="0.25">
      <c r="C1159" t="s">
        <v>3011</v>
      </c>
      <c r="D1159" t="s">
        <v>1864</v>
      </c>
      <c r="E1159" t="s">
        <v>1864</v>
      </c>
      <c r="F1159" t="s">
        <v>904</v>
      </c>
      <c r="G1159" t="str">
        <f t="shared" si="87"/>
        <v>F</v>
      </c>
      <c r="H1159">
        <f t="shared" si="88"/>
        <v>43</v>
      </c>
      <c r="I1159" t="str">
        <f t="shared" si="89"/>
        <v>432</v>
      </c>
      <c r="J1159" t="str">
        <f t="shared" si="90"/>
        <v>43193</v>
      </c>
      <c r="K1159" t="str">
        <f t="shared" si="86"/>
        <v/>
      </c>
    </row>
    <row r="1160" spans="3:11" x14ac:dyDescent="0.25">
      <c r="C1160" t="s">
        <v>1864</v>
      </c>
      <c r="D1160" t="s">
        <v>3012</v>
      </c>
      <c r="E1160" t="s">
        <v>1864</v>
      </c>
      <c r="F1160" t="s">
        <v>905</v>
      </c>
      <c r="G1160" t="str">
        <f t="shared" si="87"/>
        <v>F</v>
      </c>
      <c r="H1160">
        <f t="shared" si="88"/>
        <v>43</v>
      </c>
      <c r="I1160" t="str">
        <f t="shared" si="89"/>
        <v>432</v>
      </c>
      <c r="J1160" t="str">
        <f t="shared" si="90"/>
        <v>43215</v>
      </c>
      <c r="K1160" t="str">
        <f t="shared" ref="K1160:K1223" si="91">E1160</f>
        <v/>
      </c>
    </row>
    <row r="1161" spans="3:11" x14ac:dyDescent="0.25">
      <c r="C1161" t="s">
        <v>1864</v>
      </c>
      <c r="D1161" t="s">
        <v>1864</v>
      </c>
      <c r="E1161" t="s">
        <v>3013</v>
      </c>
      <c r="F1161" t="s">
        <v>906</v>
      </c>
      <c r="G1161" t="str">
        <f t="shared" ref="G1161:G1224" si="92">IF(A1161="",G1160,A1161)</f>
        <v>F</v>
      </c>
      <c r="H1161">
        <f t="shared" ref="H1161:H1224" si="93">IF(B1161="",H1160,B1161)</f>
        <v>43</v>
      </c>
      <c r="I1161" t="str">
        <f t="shared" ref="I1161:I1224" si="94">IF(C1161="",I1160,C1161)</f>
        <v>432</v>
      </c>
      <c r="J1161" t="str">
        <f t="shared" ref="J1161:J1224" si="95">IF(D1161="",J1160,D1161)</f>
        <v>43215</v>
      </c>
      <c r="K1161" t="str">
        <f t="shared" si="91"/>
        <v>4321500</v>
      </c>
    </row>
    <row r="1162" spans="3:11" x14ac:dyDescent="0.25">
      <c r="C1162" t="s">
        <v>1864</v>
      </c>
      <c r="D1162" t="s">
        <v>3014</v>
      </c>
      <c r="E1162" t="s">
        <v>1864</v>
      </c>
      <c r="F1162" t="s">
        <v>907</v>
      </c>
      <c r="G1162" t="str">
        <f t="shared" si="92"/>
        <v>F</v>
      </c>
      <c r="H1162">
        <f t="shared" si="93"/>
        <v>43</v>
      </c>
      <c r="I1162" t="str">
        <f t="shared" si="94"/>
        <v>432</v>
      </c>
      <c r="J1162" t="str">
        <f t="shared" si="95"/>
        <v>43223</v>
      </c>
      <c r="K1162" t="str">
        <f t="shared" si="91"/>
        <v/>
      </c>
    </row>
    <row r="1163" spans="3:11" x14ac:dyDescent="0.25">
      <c r="C1163" t="s">
        <v>1864</v>
      </c>
      <c r="D1163" t="s">
        <v>1864</v>
      </c>
      <c r="E1163" t="s">
        <v>3015</v>
      </c>
      <c r="F1163" t="s">
        <v>908</v>
      </c>
      <c r="G1163" t="str">
        <f t="shared" si="92"/>
        <v>F</v>
      </c>
      <c r="H1163">
        <f t="shared" si="93"/>
        <v>43</v>
      </c>
      <c r="I1163" t="str">
        <f t="shared" si="94"/>
        <v>432</v>
      </c>
      <c r="J1163" t="str">
        <f t="shared" si="95"/>
        <v>43223</v>
      </c>
      <c r="K1163" t="str">
        <f t="shared" si="91"/>
        <v>4322301</v>
      </c>
    </row>
    <row r="1164" spans="3:11" x14ac:dyDescent="0.25">
      <c r="C1164" t="s">
        <v>1864</v>
      </c>
      <c r="D1164" t="s">
        <v>1864</v>
      </c>
      <c r="E1164" t="s">
        <v>3016</v>
      </c>
      <c r="F1164" t="s">
        <v>909</v>
      </c>
      <c r="G1164" t="str">
        <f t="shared" si="92"/>
        <v>F</v>
      </c>
      <c r="H1164">
        <f t="shared" si="93"/>
        <v>43</v>
      </c>
      <c r="I1164" t="str">
        <f t="shared" si="94"/>
        <v>432</v>
      </c>
      <c r="J1164" t="str">
        <f t="shared" si="95"/>
        <v>43223</v>
      </c>
      <c r="K1164" t="str">
        <f t="shared" si="91"/>
        <v>4322302</v>
      </c>
    </row>
    <row r="1165" spans="3:11" x14ac:dyDescent="0.25">
      <c r="C1165" t="s">
        <v>1864</v>
      </c>
      <c r="D1165" t="s">
        <v>1864</v>
      </c>
      <c r="E1165" t="s">
        <v>3017</v>
      </c>
      <c r="F1165" t="s">
        <v>910</v>
      </c>
      <c r="G1165" t="str">
        <f t="shared" si="92"/>
        <v>F</v>
      </c>
      <c r="H1165">
        <f t="shared" si="93"/>
        <v>43</v>
      </c>
      <c r="I1165" t="str">
        <f t="shared" si="94"/>
        <v>432</v>
      </c>
      <c r="J1165" t="str">
        <f t="shared" si="95"/>
        <v>43223</v>
      </c>
      <c r="K1165" t="str">
        <f t="shared" si="91"/>
        <v>4322303</v>
      </c>
    </row>
    <row r="1166" spans="3:11" x14ac:dyDescent="0.25">
      <c r="C1166" t="s">
        <v>1864</v>
      </c>
      <c r="D1166" t="s">
        <v>3018</v>
      </c>
      <c r="E1166" t="s">
        <v>1864</v>
      </c>
      <c r="F1166" t="s">
        <v>911</v>
      </c>
      <c r="G1166" t="str">
        <f t="shared" si="92"/>
        <v>F</v>
      </c>
      <c r="H1166">
        <f t="shared" si="93"/>
        <v>43</v>
      </c>
      <c r="I1166" t="str">
        <f t="shared" si="94"/>
        <v>432</v>
      </c>
      <c r="J1166" t="str">
        <f t="shared" si="95"/>
        <v>43291</v>
      </c>
      <c r="K1166" t="str">
        <f t="shared" si="91"/>
        <v/>
      </c>
    </row>
    <row r="1167" spans="3:11" x14ac:dyDescent="0.25">
      <c r="C1167" t="s">
        <v>1864</v>
      </c>
      <c r="D1167" t="s">
        <v>1864</v>
      </c>
      <c r="E1167" t="s">
        <v>3019</v>
      </c>
      <c r="F1167" t="s">
        <v>912</v>
      </c>
      <c r="G1167" t="str">
        <f t="shared" si="92"/>
        <v>F</v>
      </c>
      <c r="H1167">
        <f t="shared" si="93"/>
        <v>43</v>
      </c>
      <c r="I1167" t="str">
        <f t="shared" si="94"/>
        <v>432</v>
      </c>
      <c r="J1167" t="str">
        <f t="shared" si="95"/>
        <v>43291</v>
      </c>
      <c r="K1167" t="str">
        <f t="shared" si="91"/>
        <v>4329101</v>
      </c>
    </row>
    <row r="1168" spans="3:11" x14ac:dyDescent="0.25">
      <c r="C1168" t="s">
        <v>1864</v>
      </c>
      <c r="D1168" t="s">
        <v>1864</v>
      </c>
      <c r="E1168" t="s">
        <v>3020</v>
      </c>
      <c r="F1168" t="s">
        <v>913</v>
      </c>
      <c r="G1168" t="str">
        <f t="shared" si="92"/>
        <v>F</v>
      </c>
      <c r="H1168">
        <f t="shared" si="93"/>
        <v>43</v>
      </c>
      <c r="I1168" t="str">
        <f t="shared" si="94"/>
        <v>432</v>
      </c>
      <c r="J1168" t="str">
        <f t="shared" si="95"/>
        <v>43291</v>
      </c>
      <c r="K1168" t="str">
        <f t="shared" si="91"/>
        <v>4329102</v>
      </c>
    </row>
    <row r="1169" spans="3:11" x14ac:dyDescent="0.25">
      <c r="C1169" t="s">
        <v>1864</v>
      </c>
      <c r="D1169" t="s">
        <v>1864</v>
      </c>
      <c r="E1169" t="s">
        <v>3021</v>
      </c>
      <c r="F1169" t="s">
        <v>914</v>
      </c>
      <c r="G1169" t="str">
        <f t="shared" si="92"/>
        <v>F</v>
      </c>
      <c r="H1169">
        <f t="shared" si="93"/>
        <v>43</v>
      </c>
      <c r="I1169" t="str">
        <f t="shared" si="94"/>
        <v>432</v>
      </c>
      <c r="J1169" t="str">
        <f t="shared" si="95"/>
        <v>43291</v>
      </c>
      <c r="K1169" t="str">
        <f t="shared" si="91"/>
        <v>4329103</v>
      </c>
    </row>
    <row r="1170" spans="3:11" x14ac:dyDescent="0.25">
      <c r="C1170" t="s">
        <v>1864</v>
      </c>
      <c r="D1170" t="s">
        <v>1864</v>
      </c>
      <c r="E1170" t="s">
        <v>3022</v>
      </c>
      <c r="F1170" t="s">
        <v>915</v>
      </c>
      <c r="G1170" t="str">
        <f t="shared" si="92"/>
        <v>F</v>
      </c>
      <c r="H1170">
        <f t="shared" si="93"/>
        <v>43</v>
      </c>
      <c r="I1170" t="str">
        <f t="shared" si="94"/>
        <v>432</v>
      </c>
      <c r="J1170" t="str">
        <f t="shared" si="95"/>
        <v>43291</v>
      </c>
      <c r="K1170" t="str">
        <f t="shared" si="91"/>
        <v>4329104</v>
      </c>
    </row>
    <row r="1171" spans="3:11" x14ac:dyDescent="0.25">
      <c r="C1171" t="s">
        <v>1864</v>
      </c>
      <c r="D1171" t="s">
        <v>1864</v>
      </c>
      <c r="E1171" t="s">
        <v>3023</v>
      </c>
      <c r="F1171" t="s">
        <v>916</v>
      </c>
      <c r="G1171" t="str">
        <f t="shared" si="92"/>
        <v>F</v>
      </c>
      <c r="H1171">
        <f t="shared" si="93"/>
        <v>43</v>
      </c>
      <c r="I1171" t="str">
        <f t="shared" si="94"/>
        <v>432</v>
      </c>
      <c r="J1171" t="str">
        <f t="shared" si="95"/>
        <v>43291</v>
      </c>
      <c r="K1171" t="str">
        <f t="shared" si="91"/>
        <v>4329105</v>
      </c>
    </row>
    <row r="1172" spans="3:11" x14ac:dyDescent="0.25">
      <c r="C1172" t="s">
        <v>1864</v>
      </c>
      <c r="D1172" t="s">
        <v>1864</v>
      </c>
      <c r="E1172" t="s">
        <v>3024</v>
      </c>
      <c r="F1172" t="s">
        <v>917</v>
      </c>
      <c r="G1172" t="str">
        <f t="shared" si="92"/>
        <v>F</v>
      </c>
      <c r="H1172">
        <f t="shared" si="93"/>
        <v>43</v>
      </c>
      <c r="I1172" t="str">
        <f t="shared" si="94"/>
        <v>432</v>
      </c>
      <c r="J1172" t="str">
        <f t="shared" si="95"/>
        <v>43291</v>
      </c>
      <c r="K1172" t="str">
        <f t="shared" si="91"/>
        <v>4329199</v>
      </c>
    </row>
    <row r="1173" spans="3:11" x14ac:dyDescent="0.25">
      <c r="C1173" t="s">
        <v>3025</v>
      </c>
      <c r="D1173" t="s">
        <v>1864</v>
      </c>
      <c r="E1173" t="s">
        <v>1864</v>
      </c>
      <c r="F1173" t="s">
        <v>918</v>
      </c>
      <c r="G1173" t="str">
        <f t="shared" si="92"/>
        <v>F</v>
      </c>
      <c r="H1173">
        <f t="shared" si="93"/>
        <v>43</v>
      </c>
      <c r="I1173" t="str">
        <f t="shared" si="94"/>
        <v>433</v>
      </c>
      <c r="J1173" t="str">
        <f t="shared" si="95"/>
        <v>43291</v>
      </c>
      <c r="K1173" t="str">
        <f t="shared" si="91"/>
        <v/>
      </c>
    </row>
    <row r="1174" spans="3:11" x14ac:dyDescent="0.25">
      <c r="C1174" t="s">
        <v>1864</v>
      </c>
      <c r="D1174" t="s">
        <v>3026</v>
      </c>
      <c r="E1174" t="s">
        <v>1864</v>
      </c>
      <c r="F1174" t="s">
        <v>918</v>
      </c>
      <c r="G1174" t="str">
        <f t="shared" si="92"/>
        <v>F</v>
      </c>
      <c r="H1174">
        <f t="shared" si="93"/>
        <v>43</v>
      </c>
      <c r="I1174" t="str">
        <f t="shared" si="94"/>
        <v>433</v>
      </c>
      <c r="J1174" t="str">
        <f t="shared" si="95"/>
        <v>43304</v>
      </c>
      <c r="K1174" t="str">
        <f t="shared" si="91"/>
        <v/>
      </c>
    </row>
    <row r="1175" spans="3:11" x14ac:dyDescent="0.25">
      <c r="C1175" t="s">
        <v>1864</v>
      </c>
      <c r="D1175" t="s">
        <v>1864</v>
      </c>
      <c r="E1175" t="s">
        <v>3027</v>
      </c>
      <c r="F1175" t="s">
        <v>919</v>
      </c>
      <c r="G1175" t="str">
        <f t="shared" si="92"/>
        <v>F</v>
      </c>
      <c r="H1175">
        <f t="shared" si="93"/>
        <v>43</v>
      </c>
      <c r="I1175" t="str">
        <f t="shared" si="94"/>
        <v>433</v>
      </c>
      <c r="J1175" t="str">
        <f t="shared" si="95"/>
        <v>43304</v>
      </c>
      <c r="K1175" t="str">
        <f t="shared" si="91"/>
        <v>4330401</v>
      </c>
    </row>
    <row r="1176" spans="3:11" x14ac:dyDescent="0.25">
      <c r="C1176" t="s">
        <v>1864</v>
      </c>
      <c r="D1176" t="s">
        <v>1864</v>
      </c>
      <c r="E1176" t="s">
        <v>3028</v>
      </c>
      <c r="F1176" t="s">
        <v>920</v>
      </c>
      <c r="G1176" t="str">
        <f t="shared" si="92"/>
        <v>F</v>
      </c>
      <c r="H1176">
        <f t="shared" si="93"/>
        <v>43</v>
      </c>
      <c r="I1176" t="str">
        <f t="shared" si="94"/>
        <v>433</v>
      </c>
      <c r="J1176" t="str">
        <f t="shared" si="95"/>
        <v>43304</v>
      </c>
      <c r="K1176" t="str">
        <f t="shared" si="91"/>
        <v>4330402</v>
      </c>
    </row>
    <row r="1177" spans="3:11" x14ac:dyDescent="0.25">
      <c r="C1177" t="s">
        <v>1864</v>
      </c>
      <c r="D1177" t="s">
        <v>1864</v>
      </c>
      <c r="E1177" t="s">
        <v>3029</v>
      </c>
      <c r="F1177" t="s">
        <v>921</v>
      </c>
      <c r="G1177" t="str">
        <f t="shared" si="92"/>
        <v>F</v>
      </c>
      <c r="H1177">
        <f t="shared" si="93"/>
        <v>43</v>
      </c>
      <c r="I1177" t="str">
        <f t="shared" si="94"/>
        <v>433</v>
      </c>
      <c r="J1177" t="str">
        <f t="shared" si="95"/>
        <v>43304</v>
      </c>
      <c r="K1177" t="str">
        <f t="shared" si="91"/>
        <v>4330403</v>
      </c>
    </row>
    <row r="1178" spans="3:11" x14ac:dyDescent="0.25">
      <c r="C1178" t="s">
        <v>1864</v>
      </c>
      <c r="D1178" t="s">
        <v>1864</v>
      </c>
      <c r="E1178" t="s">
        <v>3030</v>
      </c>
      <c r="F1178" t="s">
        <v>922</v>
      </c>
      <c r="G1178" t="str">
        <f t="shared" si="92"/>
        <v>F</v>
      </c>
      <c r="H1178">
        <f t="shared" si="93"/>
        <v>43</v>
      </c>
      <c r="I1178" t="str">
        <f t="shared" si="94"/>
        <v>433</v>
      </c>
      <c r="J1178" t="str">
        <f t="shared" si="95"/>
        <v>43304</v>
      </c>
      <c r="K1178" t="str">
        <f t="shared" si="91"/>
        <v>4330404</v>
      </c>
    </row>
    <row r="1179" spans="3:11" x14ac:dyDescent="0.25">
      <c r="C1179" t="s">
        <v>1864</v>
      </c>
      <c r="D1179" t="s">
        <v>1864</v>
      </c>
      <c r="E1179" t="s">
        <v>3031</v>
      </c>
      <c r="F1179" t="s">
        <v>923</v>
      </c>
      <c r="G1179" t="str">
        <f t="shared" si="92"/>
        <v>F</v>
      </c>
      <c r="H1179">
        <f t="shared" si="93"/>
        <v>43</v>
      </c>
      <c r="I1179" t="str">
        <f t="shared" si="94"/>
        <v>433</v>
      </c>
      <c r="J1179" t="str">
        <f t="shared" si="95"/>
        <v>43304</v>
      </c>
      <c r="K1179" t="str">
        <f t="shared" si="91"/>
        <v>4330405</v>
      </c>
    </row>
    <row r="1180" spans="3:11" x14ac:dyDescent="0.25">
      <c r="C1180" t="s">
        <v>1864</v>
      </c>
      <c r="D1180" t="s">
        <v>1864</v>
      </c>
      <c r="E1180" t="s">
        <v>3032</v>
      </c>
      <c r="F1180" t="s">
        <v>924</v>
      </c>
      <c r="G1180" t="str">
        <f t="shared" si="92"/>
        <v>F</v>
      </c>
      <c r="H1180">
        <f t="shared" si="93"/>
        <v>43</v>
      </c>
      <c r="I1180" t="str">
        <f t="shared" si="94"/>
        <v>433</v>
      </c>
      <c r="J1180" t="str">
        <f t="shared" si="95"/>
        <v>43304</v>
      </c>
      <c r="K1180" t="str">
        <f t="shared" si="91"/>
        <v>4330499</v>
      </c>
    </row>
    <row r="1181" spans="3:11" x14ac:dyDescent="0.25">
      <c r="C1181" t="s">
        <v>3033</v>
      </c>
      <c r="D1181" t="s">
        <v>1864</v>
      </c>
      <c r="E1181" t="s">
        <v>1864</v>
      </c>
      <c r="F1181" t="s">
        <v>925</v>
      </c>
      <c r="G1181" t="str">
        <f t="shared" si="92"/>
        <v>F</v>
      </c>
      <c r="H1181">
        <f t="shared" si="93"/>
        <v>43</v>
      </c>
      <c r="I1181" t="str">
        <f t="shared" si="94"/>
        <v>439</v>
      </c>
      <c r="J1181" t="str">
        <f t="shared" si="95"/>
        <v>43304</v>
      </c>
      <c r="K1181" t="str">
        <f t="shared" si="91"/>
        <v/>
      </c>
    </row>
    <row r="1182" spans="3:11" x14ac:dyDescent="0.25">
      <c r="C1182" t="s">
        <v>1864</v>
      </c>
      <c r="D1182" t="s">
        <v>3034</v>
      </c>
      <c r="E1182" t="s">
        <v>1864</v>
      </c>
      <c r="F1182" t="s">
        <v>926</v>
      </c>
      <c r="G1182" t="str">
        <f t="shared" si="92"/>
        <v>F</v>
      </c>
      <c r="H1182">
        <f t="shared" si="93"/>
        <v>43</v>
      </c>
      <c r="I1182" t="str">
        <f t="shared" si="94"/>
        <v>439</v>
      </c>
      <c r="J1182" t="str">
        <f t="shared" si="95"/>
        <v>43916</v>
      </c>
      <c r="K1182" t="str">
        <f t="shared" si="91"/>
        <v/>
      </c>
    </row>
    <row r="1183" spans="3:11" x14ac:dyDescent="0.25">
      <c r="C1183" t="s">
        <v>1864</v>
      </c>
      <c r="D1183" t="s">
        <v>1864</v>
      </c>
      <c r="E1183" t="s">
        <v>3035</v>
      </c>
      <c r="F1183" t="s">
        <v>926</v>
      </c>
      <c r="G1183" t="str">
        <f t="shared" si="92"/>
        <v>F</v>
      </c>
      <c r="H1183">
        <f t="shared" si="93"/>
        <v>43</v>
      </c>
      <c r="I1183" t="str">
        <f t="shared" si="94"/>
        <v>439</v>
      </c>
      <c r="J1183" t="str">
        <f t="shared" si="95"/>
        <v>43916</v>
      </c>
      <c r="K1183" t="str">
        <f t="shared" si="91"/>
        <v>4391600</v>
      </c>
    </row>
    <row r="1184" spans="3:11" x14ac:dyDescent="0.25">
      <c r="C1184" t="s">
        <v>1864</v>
      </c>
      <c r="D1184" t="s">
        <v>3036</v>
      </c>
      <c r="E1184" t="s">
        <v>1864</v>
      </c>
      <c r="F1184" t="s">
        <v>927</v>
      </c>
      <c r="G1184" t="str">
        <f t="shared" si="92"/>
        <v>F</v>
      </c>
      <c r="H1184">
        <f t="shared" si="93"/>
        <v>43</v>
      </c>
      <c r="I1184" t="str">
        <f t="shared" si="94"/>
        <v>439</v>
      </c>
      <c r="J1184" t="str">
        <f t="shared" si="95"/>
        <v>43991</v>
      </c>
      <c r="K1184" t="str">
        <f t="shared" si="91"/>
        <v/>
      </c>
    </row>
    <row r="1185" spans="1:11" x14ac:dyDescent="0.25">
      <c r="C1185" t="s">
        <v>1864</v>
      </c>
      <c r="D1185" t="s">
        <v>1864</v>
      </c>
      <c r="E1185" t="s">
        <v>3037</v>
      </c>
      <c r="F1185" t="s">
        <v>928</v>
      </c>
      <c r="G1185" t="str">
        <f t="shared" si="92"/>
        <v>F</v>
      </c>
      <c r="H1185">
        <f t="shared" si="93"/>
        <v>43</v>
      </c>
      <c r="I1185" t="str">
        <f t="shared" si="94"/>
        <v>439</v>
      </c>
      <c r="J1185" t="str">
        <f t="shared" si="95"/>
        <v>43991</v>
      </c>
      <c r="K1185" t="str">
        <f t="shared" si="91"/>
        <v>4399101</v>
      </c>
    </row>
    <row r="1186" spans="1:11" x14ac:dyDescent="0.25">
      <c r="C1186" t="s">
        <v>1864</v>
      </c>
      <c r="D1186" t="s">
        <v>1864</v>
      </c>
      <c r="E1186" t="s">
        <v>3038</v>
      </c>
      <c r="F1186" t="s">
        <v>929</v>
      </c>
      <c r="G1186" t="str">
        <f t="shared" si="92"/>
        <v>F</v>
      </c>
      <c r="H1186">
        <f t="shared" si="93"/>
        <v>43</v>
      </c>
      <c r="I1186" t="str">
        <f t="shared" si="94"/>
        <v>439</v>
      </c>
      <c r="J1186" t="str">
        <f t="shared" si="95"/>
        <v>43991</v>
      </c>
      <c r="K1186" t="str">
        <f t="shared" si="91"/>
        <v>4399102</v>
      </c>
    </row>
    <row r="1187" spans="1:11" x14ac:dyDescent="0.25">
      <c r="C1187" t="s">
        <v>1864</v>
      </c>
      <c r="D1187" t="s">
        <v>1864</v>
      </c>
      <c r="E1187" t="s">
        <v>3039</v>
      </c>
      <c r="F1187" t="s">
        <v>930</v>
      </c>
      <c r="G1187" t="str">
        <f t="shared" si="92"/>
        <v>F</v>
      </c>
      <c r="H1187">
        <f t="shared" si="93"/>
        <v>43</v>
      </c>
      <c r="I1187" t="str">
        <f t="shared" si="94"/>
        <v>439</v>
      </c>
      <c r="J1187" t="str">
        <f t="shared" si="95"/>
        <v>43991</v>
      </c>
      <c r="K1187" t="str">
        <f t="shared" si="91"/>
        <v>4399103</v>
      </c>
    </row>
    <row r="1188" spans="1:11" x14ac:dyDescent="0.25">
      <c r="C1188" t="s">
        <v>1864</v>
      </c>
      <c r="D1188" t="s">
        <v>1864</v>
      </c>
      <c r="E1188" t="s">
        <v>3040</v>
      </c>
      <c r="F1188" t="s">
        <v>931</v>
      </c>
      <c r="G1188" t="str">
        <f t="shared" si="92"/>
        <v>F</v>
      </c>
      <c r="H1188">
        <f t="shared" si="93"/>
        <v>43</v>
      </c>
      <c r="I1188" t="str">
        <f t="shared" si="94"/>
        <v>439</v>
      </c>
      <c r="J1188" t="str">
        <f t="shared" si="95"/>
        <v>43991</v>
      </c>
      <c r="K1188" t="str">
        <f t="shared" si="91"/>
        <v>4399104</v>
      </c>
    </row>
    <row r="1189" spans="1:11" x14ac:dyDescent="0.25">
      <c r="C1189" t="s">
        <v>1864</v>
      </c>
      <c r="D1189" t="s">
        <v>1864</v>
      </c>
      <c r="E1189" t="s">
        <v>3041</v>
      </c>
      <c r="F1189" t="s">
        <v>932</v>
      </c>
      <c r="G1189" t="str">
        <f t="shared" si="92"/>
        <v>F</v>
      </c>
      <c r="H1189">
        <f t="shared" si="93"/>
        <v>43</v>
      </c>
      <c r="I1189" t="str">
        <f t="shared" si="94"/>
        <v>439</v>
      </c>
      <c r="J1189" t="str">
        <f t="shared" si="95"/>
        <v>43991</v>
      </c>
      <c r="K1189" t="str">
        <f t="shared" si="91"/>
        <v>4399105</v>
      </c>
    </row>
    <row r="1190" spans="1:11" x14ac:dyDescent="0.25">
      <c r="C1190" t="s">
        <v>1864</v>
      </c>
      <c r="D1190" t="s">
        <v>1864</v>
      </c>
      <c r="E1190" t="s">
        <v>3042</v>
      </c>
      <c r="F1190" t="s">
        <v>927</v>
      </c>
      <c r="G1190" t="str">
        <f t="shared" si="92"/>
        <v>F</v>
      </c>
      <c r="H1190">
        <f t="shared" si="93"/>
        <v>43</v>
      </c>
      <c r="I1190" t="str">
        <f t="shared" si="94"/>
        <v>439</v>
      </c>
      <c r="J1190" t="str">
        <f t="shared" si="95"/>
        <v>43991</v>
      </c>
      <c r="K1190" t="str">
        <f t="shared" si="91"/>
        <v>4399199</v>
      </c>
    </row>
    <row r="1191" spans="1:11" x14ac:dyDescent="0.25">
      <c r="A1191" t="s">
        <v>3043</v>
      </c>
      <c r="C1191" t="s">
        <v>1864</v>
      </c>
      <c r="D1191" t="s">
        <v>1864</v>
      </c>
      <c r="E1191" t="s">
        <v>1864</v>
      </c>
      <c r="F1191" t="s">
        <v>933</v>
      </c>
      <c r="G1191" t="str">
        <f t="shared" si="92"/>
        <v>G</v>
      </c>
      <c r="H1191">
        <f t="shared" si="93"/>
        <v>43</v>
      </c>
      <c r="I1191" t="str">
        <f t="shared" si="94"/>
        <v>439</v>
      </c>
      <c r="J1191" t="str">
        <f t="shared" si="95"/>
        <v>43991</v>
      </c>
      <c r="K1191" t="str">
        <f t="shared" si="91"/>
        <v/>
      </c>
    </row>
    <row r="1192" spans="1:11" x14ac:dyDescent="0.25">
      <c r="B1192">
        <v>45</v>
      </c>
      <c r="C1192" t="s">
        <v>1864</v>
      </c>
      <c r="D1192" t="s">
        <v>1864</v>
      </c>
      <c r="E1192" t="s">
        <v>1864</v>
      </c>
      <c r="F1192" t="s">
        <v>934</v>
      </c>
      <c r="G1192" t="str">
        <f t="shared" si="92"/>
        <v>G</v>
      </c>
      <c r="H1192">
        <f t="shared" si="93"/>
        <v>45</v>
      </c>
      <c r="I1192" t="str">
        <f t="shared" si="94"/>
        <v>439</v>
      </c>
      <c r="J1192" t="str">
        <f t="shared" si="95"/>
        <v>43991</v>
      </c>
      <c r="K1192" t="str">
        <f t="shared" si="91"/>
        <v/>
      </c>
    </row>
    <row r="1193" spans="1:11" x14ac:dyDescent="0.25">
      <c r="C1193" t="s">
        <v>3044</v>
      </c>
      <c r="D1193" t="s">
        <v>1864</v>
      </c>
      <c r="E1193" t="s">
        <v>1864</v>
      </c>
      <c r="F1193" t="s">
        <v>935</v>
      </c>
      <c r="G1193" t="str">
        <f t="shared" si="92"/>
        <v>G</v>
      </c>
      <c r="H1193">
        <f t="shared" si="93"/>
        <v>45</v>
      </c>
      <c r="I1193" t="str">
        <f t="shared" si="94"/>
        <v>451</v>
      </c>
      <c r="J1193" t="str">
        <f t="shared" si="95"/>
        <v>43991</v>
      </c>
      <c r="K1193" t="str">
        <f t="shared" si="91"/>
        <v/>
      </c>
    </row>
    <row r="1194" spans="1:11" x14ac:dyDescent="0.25">
      <c r="C1194" t="s">
        <v>1864</v>
      </c>
      <c r="D1194" t="s">
        <v>3045</v>
      </c>
      <c r="E1194" t="s">
        <v>1864</v>
      </c>
      <c r="F1194" t="s">
        <v>936</v>
      </c>
      <c r="G1194" t="str">
        <f t="shared" si="92"/>
        <v>G</v>
      </c>
      <c r="H1194">
        <f t="shared" si="93"/>
        <v>45</v>
      </c>
      <c r="I1194" t="str">
        <f t="shared" si="94"/>
        <v>451</v>
      </c>
      <c r="J1194" t="str">
        <f t="shared" si="95"/>
        <v>45111</v>
      </c>
      <c r="K1194" t="str">
        <f t="shared" si="91"/>
        <v/>
      </c>
    </row>
    <row r="1195" spans="1:11" x14ac:dyDescent="0.25">
      <c r="C1195" t="s">
        <v>1864</v>
      </c>
      <c r="D1195" t="s">
        <v>1864</v>
      </c>
      <c r="E1195" t="s">
        <v>3046</v>
      </c>
      <c r="F1195" t="s">
        <v>937</v>
      </c>
      <c r="G1195" t="str">
        <f t="shared" si="92"/>
        <v>G</v>
      </c>
      <c r="H1195">
        <f t="shared" si="93"/>
        <v>45</v>
      </c>
      <c r="I1195" t="str">
        <f t="shared" si="94"/>
        <v>451</v>
      </c>
      <c r="J1195" t="str">
        <f t="shared" si="95"/>
        <v>45111</v>
      </c>
      <c r="K1195" t="str">
        <f t="shared" si="91"/>
        <v>4511101</v>
      </c>
    </row>
    <row r="1196" spans="1:11" x14ac:dyDescent="0.25">
      <c r="C1196" t="s">
        <v>1864</v>
      </c>
      <c r="D1196" t="s">
        <v>1864</v>
      </c>
      <c r="E1196" t="s">
        <v>3047</v>
      </c>
      <c r="F1196" t="s">
        <v>938</v>
      </c>
      <c r="G1196" t="str">
        <f t="shared" si="92"/>
        <v>G</v>
      </c>
      <c r="H1196">
        <f t="shared" si="93"/>
        <v>45</v>
      </c>
      <c r="I1196" t="str">
        <f t="shared" si="94"/>
        <v>451</v>
      </c>
      <c r="J1196" t="str">
        <f t="shared" si="95"/>
        <v>45111</v>
      </c>
      <c r="K1196" t="str">
        <f t="shared" si="91"/>
        <v>4511102</v>
      </c>
    </row>
    <row r="1197" spans="1:11" x14ac:dyDescent="0.25">
      <c r="C1197" t="s">
        <v>1864</v>
      </c>
      <c r="D1197" t="s">
        <v>1864</v>
      </c>
      <c r="E1197" t="s">
        <v>3048</v>
      </c>
      <c r="F1197" t="s">
        <v>939</v>
      </c>
      <c r="G1197" t="str">
        <f t="shared" si="92"/>
        <v>G</v>
      </c>
      <c r="H1197">
        <f t="shared" si="93"/>
        <v>45</v>
      </c>
      <c r="I1197" t="str">
        <f t="shared" si="94"/>
        <v>451</v>
      </c>
      <c r="J1197" t="str">
        <f t="shared" si="95"/>
        <v>45111</v>
      </c>
      <c r="K1197" t="str">
        <f t="shared" si="91"/>
        <v>4511103</v>
      </c>
    </row>
    <row r="1198" spans="1:11" x14ac:dyDescent="0.25">
      <c r="C1198" t="s">
        <v>1864</v>
      </c>
      <c r="D1198" t="s">
        <v>1864</v>
      </c>
      <c r="E1198" t="s">
        <v>3049</v>
      </c>
      <c r="F1198" t="s">
        <v>940</v>
      </c>
      <c r="G1198" t="str">
        <f t="shared" si="92"/>
        <v>G</v>
      </c>
      <c r="H1198">
        <f t="shared" si="93"/>
        <v>45</v>
      </c>
      <c r="I1198" t="str">
        <f t="shared" si="94"/>
        <v>451</v>
      </c>
      <c r="J1198" t="str">
        <f t="shared" si="95"/>
        <v>45111</v>
      </c>
      <c r="K1198" t="str">
        <f t="shared" si="91"/>
        <v>4511104</v>
      </c>
    </row>
    <row r="1199" spans="1:11" x14ac:dyDescent="0.25">
      <c r="C1199" t="s">
        <v>1864</v>
      </c>
      <c r="D1199" t="s">
        <v>1864</v>
      </c>
      <c r="E1199" t="s">
        <v>3050</v>
      </c>
      <c r="F1199" t="s">
        <v>941</v>
      </c>
      <c r="G1199" t="str">
        <f t="shared" si="92"/>
        <v>G</v>
      </c>
      <c r="H1199">
        <f t="shared" si="93"/>
        <v>45</v>
      </c>
      <c r="I1199" t="str">
        <f t="shared" si="94"/>
        <v>451</v>
      </c>
      <c r="J1199" t="str">
        <f t="shared" si="95"/>
        <v>45111</v>
      </c>
      <c r="K1199" t="str">
        <f t="shared" si="91"/>
        <v>4511105</v>
      </c>
    </row>
    <row r="1200" spans="1:11" x14ac:dyDescent="0.25">
      <c r="C1200" t="s">
        <v>1864</v>
      </c>
      <c r="D1200" t="s">
        <v>1864</v>
      </c>
      <c r="E1200" t="s">
        <v>3051</v>
      </c>
      <c r="F1200" t="s">
        <v>942</v>
      </c>
      <c r="G1200" t="str">
        <f t="shared" si="92"/>
        <v>G</v>
      </c>
      <c r="H1200">
        <f t="shared" si="93"/>
        <v>45</v>
      </c>
      <c r="I1200" t="str">
        <f t="shared" si="94"/>
        <v>451</v>
      </c>
      <c r="J1200" t="str">
        <f t="shared" si="95"/>
        <v>45111</v>
      </c>
      <c r="K1200" t="str">
        <f t="shared" si="91"/>
        <v>4511106</v>
      </c>
    </row>
    <row r="1201" spans="3:11" x14ac:dyDescent="0.25">
      <c r="C1201" t="s">
        <v>1864</v>
      </c>
      <c r="D1201" t="s">
        <v>3052</v>
      </c>
      <c r="E1201" t="s">
        <v>1864</v>
      </c>
      <c r="F1201" t="s">
        <v>943</v>
      </c>
      <c r="G1201" t="str">
        <f t="shared" si="92"/>
        <v>G</v>
      </c>
      <c r="H1201">
        <f t="shared" si="93"/>
        <v>45</v>
      </c>
      <c r="I1201" t="str">
        <f t="shared" si="94"/>
        <v>451</v>
      </c>
      <c r="J1201" t="str">
        <f t="shared" si="95"/>
        <v>45129</v>
      </c>
      <c r="K1201" t="str">
        <f t="shared" si="91"/>
        <v/>
      </c>
    </row>
    <row r="1202" spans="3:11" x14ac:dyDescent="0.25">
      <c r="C1202" t="s">
        <v>1864</v>
      </c>
      <c r="D1202" t="s">
        <v>1864</v>
      </c>
      <c r="E1202" t="s">
        <v>3053</v>
      </c>
      <c r="F1202" t="s">
        <v>943</v>
      </c>
      <c r="G1202" t="str">
        <f t="shared" si="92"/>
        <v>G</v>
      </c>
      <c r="H1202">
        <f t="shared" si="93"/>
        <v>45</v>
      </c>
      <c r="I1202" t="str">
        <f t="shared" si="94"/>
        <v>451</v>
      </c>
      <c r="J1202" t="str">
        <f t="shared" si="95"/>
        <v>45129</v>
      </c>
      <c r="K1202" t="str">
        <f t="shared" si="91"/>
        <v>4512901</v>
      </c>
    </row>
    <row r="1203" spans="3:11" x14ac:dyDescent="0.25">
      <c r="C1203" t="s">
        <v>1864</v>
      </c>
      <c r="D1203" t="s">
        <v>1864</v>
      </c>
      <c r="E1203" t="s">
        <v>3054</v>
      </c>
      <c r="F1203" t="s">
        <v>944</v>
      </c>
      <c r="G1203" t="str">
        <f t="shared" si="92"/>
        <v>G</v>
      </c>
      <c r="H1203">
        <f t="shared" si="93"/>
        <v>45</v>
      </c>
      <c r="I1203" t="str">
        <f t="shared" si="94"/>
        <v>451</v>
      </c>
      <c r="J1203" t="str">
        <f t="shared" si="95"/>
        <v>45129</v>
      </c>
      <c r="K1203" t="str">
        <f t="shared" si="91"/>
        <v>4512902</v>
      </c>
    </row>
    <row r="1204" spans="3:11" x14ac:dyDescent="0.25">
      <c r="C1204" t="s">
        <v>3055</v>
      </c>
      <c r="D1204" t="s">
        <v>1864</v>
      </c>
      <c r="E1204" t="s">
        <v>1864</v>
      </c>
      <c r="F1204" t="s">
        <v>945</v>
      </c>
      <c r="G1204" t="str">
        <f t="shared" si="92"/>
        <v>G</v>
      </c>
      <c r="H1204">
        <f t="shared" si="93"/>
        <v>45</v>
      </c>
      <c r="I1204" t="str">
        <f t="shared" si="94"/>
        <v>452</v>
      </c>
      <c r="J1204" t="str">
        <f t="shared" si="95"/>
        <v>45129</v>
      </c>
      <c r="K1204" t="str">
        <f t="shared" si="91"/>
        <v/>
      </c>
    </row>
    <row r="1205" spans="3:11" x14ac:dyDescent="0.25">
      <c r="C1205" t="s">
        <v>1864</v>
      </c>
      <c r="D1205" t="s">
        <v>3056</v>
      </c>
      <c r="E1205" t="s">
        <v>1864</v>
      </c>
      <c r="F1205" t="s">
        <v>945</v>
      </c>
      <c r="G1205" t="str">
        <f t="shared" si="92"/>
        <v>G</v>
      </c>
      <c r="H1205">
        <f t="shared" si="93"/>
        <v>45</v>
      </c>
      <c r="I1205" t="str">
        <f t="shared" si="94"/>
        <v>452</v>
      </c>
      <c r="J1205" t="str">
        <f t="shared" si="95"/>
        <v>45200</v>
      </c>
      <c r="K1205" t="str">
        <f t="shared" si="91"/>
        <v/>
      </c>
    </row>
    <row r="1206" spans="3:11" x14ac:dyDescent="0.25">
      <c r="C1206" t="s">
        <v>1864</v>
      </c>
      <c r="D1206" t="s">
        <v>1864</v>
      </c>
      <c r="E1206" t="s">
        <v>3057</v>
      </c>
      <c r="F1206" t="s">
        <v>946</v>
      </c>
      <c r="G1206" t="str">
        <f t="shared" si="92"/>
        <v>G</v>
      </c>
      <c r="H1206">
        <f t="shared" si="93"/>
        <v>45</v>
      </c>
      <c r="I1206" t="str">
        <f t="shared" si="94"/>
        <v>452</v>
      </c>
      <c r="J1206" t="str">
        <f t="shared" si="95"/>
        <v>45200</v>
      </c>
      <c r="K1206" t="str">
        <f t="shared" si="91"/>
        <v>4520001</v>
      </c>
    </row>
    <row r="1207" spans="3:11" x14ac:dyDescent="0.25">
      <c r="C1207" t="s">
        <v>1864</v>
      </c>
      <c r="D1207" t="s">
        <v>1864</v>
      </c>
      <c r="E1207" t="s">
        <v>3058</v>
      </c>
      <c r="F1207" t="s">
        <v>947</v>
      </c>
      <c r="G1207" t="str">
        <f t="shared" si="92"/>
        <v>G</v>
      </c>
      <c r="H1207">
        <f t="shared" si="93"/>
        <v>45</v>
      </c>
      <c r="I1207" t="str">
        <f t="shared" si="94"/>
        <v>452</v>
      </c>
      <c r="J1207" t="str">
        <f t="shared" si="95"/>
        <v>45200</v>
      </c>
      <c r="K1207" t="str">
        <f t="shared" si="91"/>
        <v>4520002</v>
      </c>
    </row>
    <row r="1208" spans="3:11" x14ac:dyDescent="0.25">
      <c r="C1208" t="s">
        <v>1864</v>
      </c>
      <c r="D1208" t="s">
        <v>1864</v>
      </c>
      <c r="E1208" t="s">
        <v>3059</v>
      </c>
      <c r="F1208" t="s">
        <v>948</v>
      </c>
      <c r="G1208" t="str">
        <f t="shared" si="92"/>
        <v>G</v>
      </c>
      <c r="H1208">
        <f t="shared" si="93"/>
        <v>45</v>
      </c>
      <c r="I1208" t="str">
        <f t="shared" si="94"/>
        <v>452</v>
      </c>
      <c r="J1208" t="str">
        <f t="shared" si="95"/>
        <v>45200</v>
      </c>
      <c r="K1208" t="str">
        <f t="shared" si="91"/>
        <v>4520003</v>
      </c>
    </row>
    <row r="1209" spans="3:11" x14ac:dyDescent="0.25">
      <c r="C1209" t="s">
        <v>1864</v>
      </c>
      <c r="D1209" t="s">
        <v>1864</v>
      </c>
      <c r="E1209" t="s">
        <v>3060</v>
      </c>
      <c r="F1209" t="s">
        <v>949</v>
      </c>
      <c r="G1209" t="str">
        <f t="shared" si="92"/>
        <v>G</v>
      </c>
      <c r="H1209">
        <f t="shared" si="93"/>
        <v>45</v>
      </c>
      <c r="I1209" t="str">
        <f t="shared" si="94"/>
        <v>452</v>
      </c>
      <c r="J1209" t="str">
        <f t="shared" si="95"/>
        <v>45200</v>
      </c>
      <c r="K1209" t="str">
        <f t="shared" si="91"/>
        <v>4520004</v>
      </c>
    </row>
    <row r="1210" spans="3:11" x14ac:dyDescent="0.25">
      <c r="C1210" t="s">
        <v>1864</v>
      </c>
      <c r="D1210" t="s">
        <v>1864</v>
      </c>
      <c r="E1210" t="s">
        <v>3061</v>
      </c>
      <c r="F1210" t="s">
        <v>950</v>
      </c>
      <c r="G1210" t="str">
        <f t="shared" si="92"/>
        <v>G</v>
      </c>
      <c r="H1210">
        <f t="shared" si="93"/>
        <v>45</v>
      </c>
      <c r="I1210" t="str">
        <f t="shared" si="94"/>
        <v>452</v>
      </c>
      <c r="J1210" t="str">
        <f t="shared" si="95"/>
        <v>45200</v>
      </c>
      <c r="K1210" t="str">
        <f t="shared" si="91"/>
        <v>4520005</v>
      </c>
    </row>
    <row r="1211" spans="3:11" x14ac:dyDescent="0.25">
      <c r="C1211" t="s">
        <v>1864</v>
      </c>
      <c r="D1211" t="s">
        <v>1864</v>
      </c>
      <c r="E1211" t="s">
        <v>3062</v>
      </c>
      <c r="F1211" t="s">
        <v>951</v>
      </c>
      <c r="G1211" t="str">
        <f t="shared" si="92"/>
        <v>G</v>
      </c>
      <c r="H1211">
        <f t="shared" si="93"/>
        <v>45</v>
      </c>
      <c r="I1211" t="str">
        <f t="shared" si="94"/>
        <v>452</v>
      </c>
      <c r="J1211" t="str">
        <f t="shared" si="95"/>
        <v>45200</v>
      </c>
      <c r="K1211" t="str">
        <f t="shared" si="91"/>
        <v>4520006</v>
      </c>
    </row>
    <row r="1212" spans="3:11" x14ac:dyDescent="0.25">
      <c r="C1212" t="s">
        <v>1864</v>
      </c>
      <c r="D1212" t="s">
        <v>1864</v>
      </c>
      <c r="E1212" t="s">
        <v>3063</v>
      </c>
      <c r="F1212" t="s">
        <v>952</v>
      </c>
      <c r="G1212" t="str">
        <f t="shared" si="92"/>
        <v>G</v>
      </c>
      <c r="H1212">
        <f t="shared" si="93"/>
        <v>45</v>
      </c>
      <c r="I1212" t="str">
        <f t="shared" si="94"/>
        <v>452</v>
      </c>
      <c r="J1212" t="str">
        <f t="shared" si="95"/>
        <v>45200</v>
      </c>
      <c r="K1212" t="str">
        <f t="shared" si="91"/>
        <v>4520007</v>
      </c>
    </row>
    <row r="1213" spans="3:11" x14ac:dyDescent="0.25">
      <c r="C1213" t="s">
        <v>1864</v>
      </c>
      <c r="D1213" t="s">
        <v>1864</v>
      </c>
      <c r="E1213" t="s">
        <v>3064</v>
      </c>
      <c r="F1213" t="s">
        <v>953</v>
      </c>
      <c r="G1213" t="str">
        <f t="shared" si="92"/>
        <v>G</v>
      </c>
      <c r="H1213">
        <f t="shared" si="93"/>
        <v>45</v>
      </c>
      <c r="I1213" t="str">
        <f t="shared" si="94"/>
        <v>452</v>
      </c>
      <c r="J1213" t="str">
        <f t="shared" si="95"/>
        <v>45200</v>
      </c>
      <c r="K1213" t="str">
        <f t="shared" si="91"/>
        <v>4520008</v>
      </c>
    </row>
    <row r="1214" spans="3:11" x14ac:dyDescent="0.25">
      <c r="C1214" t="s">
        <v>3065</v>
      </c>
      <c r="D1214" t="s">
        <v>1864</v>
      </c>
      <c r="E1214" t="s">
        <v>1864</v>
      </c>
      <c r="F1214" t="s">
        <v>954</v>
      </c>
      <c r="G1214" t="str">
        <f t="shared" si="92"/>
        <v>G</v>
      </c>
      <c r="H1214">
        <f t="shared" si="93"/>
        <v>45</v>
      </c>
      <c r="I1214" t="str">
        <f t="shared" si="94"/>
        <v>453</v>
      </c>
      <c r="J1214" t="str">
        <f t="shared" si="95"/>
        <v>45200</v>
      </c>
      <c r="K1214" t="str">
        <f t="shared" si="91"/>
        <v/>
      </c>
    </row>
    <row r="1215" spans="3:11" x14ac:dyDescent="0.25">
      <c r="C1215" t="s">
        <v>1864</v>
      </c>
      <c r="D1215" t="s">
        <v>3066</v>
      </c>
      <c r="E1215" t="s">
        <v>1864</v>
      </c>
      <c r="F1215" t="s">
        <v>954</v>
      </c>
      <c r="G1215" t="str">
        <f t="shared" si="92"/>
        <v>G</v>
      </c>
      <c r="H1215">
        <f t="shared" si="93"/>
        <v>45</v>
      </c>
      <c r="I1215" t="str">
        <f t="shared" si="94"/>
        <v>453</v>
      </c>
      <c r="J1215" t="str">
        <f t="shared" si="95"/>
        <v>45307</v>
      </c>
      <c r="K1215" t="str">
        <f t="shared" si="91"/>
        <v/>
      </c>
    </row>
    <row r="1216" spans="3:11" x14ac:dyDescent="0.25">
      <c r="C1216" t="s">
        <v>1864</v>
      </c>
      <c r="D1216" t="s">
        <v>1864</v>
      </c>
      <c r="E1216" t="s">
        <v>3067</v>
      </c>
      <c r="F1216" t="s">
        <v>955</v>
      </c>
      <c r="G1216" t="str">
        <f t="shared" si="92"/>
        <v>G</v>
      </c>
      <c r="H1216">
        <f t="shared" si="93"/>
        <v>45</v>
      </c>
      <c r="I1216" t="str">
        <f t="shared" si="94"/>
        <v>453</v>
      </c>
      <c r="J1216" t="str">
        <f t="shared" si="95"/>
        <v>45307</v>
      </c>
      <c r="K1216" t="str">
        <f t="shared" si="91"/>
        <v>4530701</v>
      </c>
    </row>
    <row r="1217" spans="3:11" x14ac:dyDescent="0.25">
      <c r="C1217" t="s">
        <v>1864</v>
      </c>
      <c r="D1217" t="s">
        <v>1864</v>
      </c>
      <c r="E1217" t="s">
        <v>3068</v>
      </c>
      <c r="F1217" t="s">
        <v>956</v>
      </c>
      <c r="G1217" t="str">
        <f t="shared" si="92"/>
        <v>G</v>
      </c>
      <c r="H1217">
        <f t="shared" si="93"/>
        <v>45</v>
      </c>
      <c r="I1217" t="str">
        <f t="shared" si="94"/>
        <v>453</v>
      </c>
      <c r="J1217" t="str">
        <f t="shared" si="95"/>
        <v>45307</v>
      </c>
      <c r="K1217" t="str">
        <f t="shared" si="91"/>
        <v>4530702</v>
      </c>
    </row>
    <row r="1218" spans="3:11" x14ac:dyDescent="0.25">
      <c r="C1218" t="s">
        <v>1864</v>
      </c>
      <c r="D1218" t="s">
        <v>1864</v>
      </c>
      <c r="E1218" t="s">
        <v>3069</v>
      </c>
      <c r="F1218" t="s">
        <v>957</v>
      </c>
      <c r="G1218" t="str">
        <f t="shared" si="92"/>
        <v>G</v>
      </c>
      <c r="H1218">
        <f t="shared" si="93"/>
        <v>45</v>
      </c>
      <c r="I1218" t="str">
        <f t="shared" si="94"/>
        <v>453</v>
      </c>
      <c r="J1218" t="str">
        <f t="shared" si="95"/>
        <v>45307</v>
      </c>
      <c r="K1218" t="str">
        <f t="shared" si="91"/>
        <v>4530703</v>
      </c>
    </row>
    <row r="1219" spans="3:11" x14ac:dyDescent="0.25">
      <c r="C1219" t="s">
        <v>1864</v>
      </c>
      <c r="D1219" t="s">
        <v>1864</v>
      </c>
      <c r="E1219" t="s">
        <v>3070</v>
      </c>
      <c r="F1219" t="s">
        <v>958</v>
      </c>
      <c r="G1219" t="str">
        <f t="shared" si="92"/>
        <v>G</v>
      </c>
      <c r="H1219">
        <f t="shared" si="93"/>
        <v>45</v>
      </c>
      <c r="I1219" t="str">
        <f t="shared" si="94"/>
        <v>453</v>
      </c>
      <c r="J1219" t="str">
        <f t="shared" si="95"/>
        <v>45307</v>
      </c>
      <c r="K1219" t="str">
        <f t="shared" si="91"/>
        <v>4530704</v>
      </c>
    </row>
    <row r="1220" spans="3:11" x14ac:dyDescent="0.25">
      <c r="C1220" t="s">
        <v>1864</v>
      </c>
      <c r="D1220" t="s">
        <v>1864</v>
      </c>
      <c r="E1220" t="s">
        <v>3071</v>
      </c>
      <c r="F1220" t="s">
        <v>959</v>
      </c>
      <c r="G1220" t="str">
        <f t="shared" si="92"/>
        <v>G</v>
      </c>
      <c r="H1220">
        <f t="shared" si="93"/>
        <v>45</v>
      </c>
      <c r="I1220" t="str">
        <f t="shared" si="94"/>
        <v>453</v>
      </c>
      <c r="J1220" t="str">
        <f t="shared" si="95"/>
        <v>45307</v>
      </c>
      <c r="K1220" t="str">
        <f t="shared" si="91"/>
        <v>4530705</v>
      </c>
    </row>
    <row r="1221" spans="3:11" x14ac:dyDescent="0.25">
      <c r="C1221" t="s">
        <v>1864</v>
      </c>
      <c r="D1221" t="s">
        <v>1864</v>
      </c>
      <c r="E1221" t="s">
        <v>3072</v>
      </c>
      <c r="F1221" t="s">
        <v>960</v>
      </c>
      <c r="G1221" t="str">
        <f t="shared" si="92"/>
        <v>G</v>
      </c>
      <c r="H1221">
        <f t="shared" si="93"/>
        <v>45</v>
      </c>
      <c r="I1221" t="str">
        <f t="shared" si="94"/>
        <v>453</v>
      </c>
      <c r="J1221" t="str">
        <f t="shared" si="95"/>
        <v>45307</v>
      </c>
      <c r="K1221" t="str">
        <f t="shared" si="91"/>
        <v>4530706</v>
      </c>
    </row>
    <row r="1222" spans="3:11" x14ac:dyDescent="0.25">
      <c r="C1222" t="s">
        <v>3073</v>
      </c>
      <c r="D1222" t="s">
        <v>1864</v>
      </c>
      <c r="E1222" t="s">
        <v>1864</v>
      </c>
      <c r="F1222" t="s">
        <v>961</v>
      </c>
      <c r="G1222" t="str">
        <f t="shared" si="92"/>
        <v>G</v>
      </c>
      <c r="H1222">
        <f t="shared" si="93"/>
        <v>45</v>
      </c>
      <c r="I1222" t="str">
        <f t="shared" si="94"/>
        <v>454</v>
      </c>
      <c r="J1222" t="str">
        <f t="shared" si="95"/>
        <v>45307</v>
      </c>
      <c r="K1222" t="str">
        <f t="shared" si="91"/>
        <v/>
      </c>
    </row>
    <row r="1223" spans="3:11" x14ac:dyDescent="0.25">
      <c r="C1223" t="s">
        <v>1864</v>
      </c>
      <c r="D1223" t="s">
        <v>3074</v>
      </c>
      <c r="E1223" t="s">
        <v>1864</v>
      </c>
      <c r="F1223" t="s">
        <v>962</v>
      </c>
      <c r="G1223" t="str">
        <f t="shared" si="92"/>
        <v>G</v>
      </c>
      <c r="H1223">
        <f t="shared" si="93"/>
        <v>45</v>
      </c>
      <c r="I1223" t="str">
        <f t="shared" si="94"/>
        <v>454</v>
      </c>
      <c r="J1223" t="str">
        <f t="shared" si="95"/>
        <v>45412</v>
      </c>
      <c r="K1223" t="str">
        <f t="shared" si="91"/>
        <v/>
      </c>
    </row>
    <row r="1224" spans="3:11" x14ac:dyDescent="0.25">
      <c r="C1224" t="s">
        <v>1864</v>
      </c>
      <c r="D1224" t="s">
        <v>1864</v>
      </c>
      <c r="E1224" t="s">
        <v>3075</v>
      </c>
      <c r="F1224" t="s">
        <v>963</v>
      </c>
      <c r="G1224" t="str">
        <f t="shared" si="92"/>
        <v>G</v>
      </c>
      <c r="H1224">
        <f t="shared" si="93"/>
        <v>45</v>
      </c>
      <c r="I1224" t="str">
        <f t="shared" si="94"/>
        <v>454</v>
      </c>
      <c r="J1224" t="str">
        <f t="shared" si="95"/>
        <v>45412</v>
      </c>
      <c r="K1224" t="str">
        <f t="shared" ref="K1224:K1287" si="96">E1224</f>
        <v>4541201</v>
      </c>
    </row>
    <row r="1225" spans="3:11" x14ac:dyDescent="0.25">
      <c r="C1225" t="s">
        <v>1864</v>
      </c>
      <c r="D1225" t="s">
        <v>1864</v>
      </c>
      <c r="E1225" t="s">
        <v>3076</v>
      </c>
      <c r="F1225" t="s">
        <v>964</v>
      </c>
      <c r="G1225" t="str">
        <f t="shared" ref="G1225:G1288" si="97">IF(A1225="",G1224,A1225)</f>
        <v>G</v>
      </c>
      <c r="H1225">
        <f t="shared" ref="H1225:H1288" si="98">IF(B1225="",H1224,B1225)</f>
        <v>45</v>
      </c>
      <c r="I1225" t="str">
        <f t="shared" ref="I1225:I1288" si="99">IF(C1225="",I1224,C1225)</f>
        <v>454</v>
      </c>
      <c r="J1225" t="str">
        <f t="shared" ref="J1225:J1288" si="100">IF(D1225="",J1224,D1225)</f>
        <v>45412</v>
      </c>
      <c r="K1225" t="str">
        <f t="shared" si="96"/>
        <v>4541202</v>
      </c>
    </row>
    <row r="1226" spans="3:11" x14ac:dyDescent="0.25">
      <c r="C1226" t="s">
        <v>1864</v>
      </c>
      <c r="D1226" t="s">
        <v>1864</v>
      </c>
      <c r="E1226" t="s">
        <v>3077</v>
      </c>
      <c r="F1226" t="s">
        <v>965</v>
      </c>
      <c r="G1226" t="str">
        <f t="shared" si="97"/>
        <v>G</v>
      </c>
      <c r="H1226">
        <f t="shared" si="98"/>
        <v>45</v>
      </c>
      <c r="I1226" t="str">
        <f t="shared" si="99"/>
        <v>454</v>
      </c>
      <c r="J1226" t="str">
        <f t="shared" si="100"/>
        <v>45412</v>
      </c>
      <c r="K1226" t="str">
        <f t="shared" si="96"/>
        <v>4541203</v>
      </c>
    </row>
    <row r="1227" spans="3:11" x14ac:dyDescent="0.25">
      <c r="C1227" t="s">
        <v>1864</v>
      </c>
      <c r="D1227" t="s">
        <v>1864</v>
      </c>
      <c r="E1227" t="s">
        <v>3078</v>
      </c>
      <c r="F1227" t="s">
        <v>966</v>
      </c>
      <c r="G1227" t="str">
        <f t="shared" si="97"/>
        <v>G</v>
      </c>
      <c r="H1227">
        <f t="shared" si="98"/>
        <v>45</v>
      </c>
      <c r="I1227" t="str">
        <f t="shared" si="99"/>
        <v>454</v>
      </c>
      <c r="J1227" t="str">
        <f t="shared" si="100"/>
        <v>45412</v>
      </c>
      <c r="K1227" t="str">
        <f t="shared" si="96"/>
        <v>4541204</v>
      </c>
    </row>
    <row r="1228" spans="3:11" x14ac:dyDescent="0.25">
      <c r="C1228" t="s">
        <v>1864</v>
      </c>
      <c r="D1228" t="s">
        <v>1864</v>
      </c>
      <c r="E1228" t="s">
        <v>3079</v>
      </c>
      <c r="F1228" t="s">
        <v>967</v>
      </c>
      <c r="G1228" t="str">
        <f t="shared" si="97"/>
        <v>G</v>
      </c>
      <c r="H1228">
        <f t="shared" si="98"/>
        <v>45</v>
      </c>
      <c r="I1228" t="str">
        <f t="shared" si="99"/>
        <v>454</v>
      </c>
      <c r="J1228" t="str">
        <f t="shared" si="100"/>
        <v>45412</v>
      </c>
      <c r="K1228" t="str">
        <f t="shared" si="96"/>
        <v>4541206</v>
      </c>
    </row>
    <row r="1229" spans="3:11" x14ac:dyDescent="0.25">
      <c r="C1229" t="s">
        <v>1864</v>
      </c>
      <c r="D1229" t="s">
        <v>1864</v>
      </c>
      <c r="E1229" t="s">
        <v>3080</v>
      </c>
      <c r="F1229" t="s">
        <v>968</v>
      </c>
      <c r="G1229" t="str">
        <f t="shared" si="97"/>
        <v>G</v>
      </c>
      <c r="H1229">
        <f t="shared" si="98"/>
        <v>45</v>
      </c>
      <c r="I1229" t="str">
        <f t="shared" si="99"/>
        <v>454</v>
      </c>
      <c r="J1229" t="str">
        <f t="shared" si="100"/>
        <v>45412</v>
      </c>
      <c r="K1229" t="str">
        <f t="shared" si="96"/>
        <v>4541207</v>
      </c>
    </row>
    <row r="1230" spans="3:11" x14ac:dyDescent="0.25">
      <c r="C1230" t="s">
        <v>1864</v>
      </c>
      <c r="D1230" t="s">
        <v>3081</v>
      </c>
      <c r="E1230" t="s">
        <v>1864</v>
      </c>
      <c r="F1230" t="s">
        <v>969</v>
      </c>
      <c r="G1230" t="str">
        <f t="shared" si="97"/>
        <v>G</v>
      </c>
      <c r="H1230">
        <f t="shared" si="98"/>
        <v>45</v>
      </c>
      <c r="I1230" t="str">
        <f t="shared" si="99"/>
        <v>454</v>
      </c>
      <c r="J1230" t="str">
        <f t="shared" si="100"/>
        <v>45421</v>
      </c>
      <c r="K1230" t="str">
        <f t="shared" si="96"/>
        <v/>
      </c>
    </row>
    <row r="1231" spans="3:11" x14ac:dyDescent="0.25">
      <c r="C1231" t="s">
        <v>1864</v>
      </c>
      <c r="D1231" t="s">
        <v>1864</v>
      </c>
      <c r="E1231" t="s">
        <v>3082</v>
      </c>
      <c r="F1231" t="s">
        <v>970</v>
      </c>
      <c r="G1231" t="str">
        <f t="shared" si="97"/>
        <v>G</v>
      </c>
      <c r="H1231">
        <f t="shared" si="98"/>
        <v>45</v>
      </c>
      <c r="I1231" t="str">
        <f t="shared" si="99"/>
        <v>454</v>
      </c>
      <c r="J1231" t="str">
        <f t="shared" si="100"/>
        <v>45421</v>
      </c>
      <c r="K1231" t="str">
        <f t="shared" si="96"/>
        <v>4542101</v>
      </c>
    </row>
    <row r="1232" spans="3:11" x14ac:dyDescent="0.25">
      <c r="C1232" t="s">
        <v>1864</v>
      </c>
      <c r="D1232" t="s">
        <v>1864</v>
      </c>
      <c r="E1232" t="s">
        <v>3083</v>
      </c>
      <c r="F1232" t="s">
        <v>971</v>
      </c>
      <c r="G1232" t="str">
        <f t="shared" si="97"/>
        <v>G</v>
      </c>
      <c r="H1232">
        <f t="shared" si="98"/>
        <v>45</v>
      </c>
      <c r="I1232" t="str">
        <f t="shared" si="99"/>
        <v>454</v>
      </c>
      <c r="J1232" t="str">
        <f t="shared" si="100"/>
        <v>45421</v>
      </c>
      <c r="K1232" t="str">
        <f t="shared" si="96"/>
        <v>4542102</v>
      </c>
    </row>
    <row r="1233" spans="2:11" x14ac:dyDescent="0.25">
      <c r="C1233" t="s">
        <v>1864</v>
      </c>
      <c r="D1233" t="s">
        <v>3084</v>
      </c>
      <c r="E1233" t="s">
        <v>1864</v>
      </c>
      <c r="F1233" t="s">
        <v>972</v>
      </c>
      <c r="G1233" t="str">
        <f t="shared" si="97"/>
        <v>G</v>
      </c>
      <c r="H1233">
        <f t="shared" si="98"/>
        <v>45</v>
      </c>
      <c r="I1233" t="str">
        <f t="shared" si="99"/>
        <v>454</v>
      </c>
      <c r="J1233" t="str">
        <f t="shared" si="100"/>
        <v>45439</v>
      </c>
      <c r="K1233" t="str">
        <f t="shared" si="96"/>
        <v/>
      </c>
    </row>
    <row r="1234" spans="2:11" x14ac:dyDescent="0.25">
      <c r="C1234" t="s">
        <v>1864</v>
      </c>
      <c r="D1234" t="s">
        <v>1864</v>
      </c>
      <c r="E1234" t="s">
        <v>3085</v>
      </c>
      <c r="F1234" t="s">
        <v>973</v>
      </c>
      <c r="G1234" t="str">
        <f t="shared" si="97"/>
        <v>G</v>
      </c>
      <c r="H1234">
        <f t="shared" si="98"/>
        <v>45</v>
      </c>
      <c r="I1234" t="str">
        <f t="shared" si="99"/>
        <v>454</v>
      </c>
      <c r="J1234" t="str">
        <f t="shared" si="100"/>
        <v>45439</v>
      </c>
      <c r="K1234" t="str">
        <f t="shared" si="96"/>
        <v>4543900</v>
      </c>
    </row>
    <row r="1235" spans="2:11" x14ac:dyDescent="0.25">
      <c r="B1235" t="s">
        <v>3086</v>
      </c>
      <c r="C1235" t="s">
        <v>1864</v>
      </c>
      <c r="D1235" t="s">
        <v>1864</v>
      </c>
      <c r="E1235" t="s">
        <v>1864</v>
      </c>
      <c r="F1235" t="s">
        <v>974</v>
      </c>
      <c r="G1235" t="str">
        <f t="shared" si="97"/>
        <v>G</v>
      </c>
      <c r="H1235" t="str">
        <f t="shared" si="98"/>
        <v>46</v>
      </c>
      <c r="I1235" t="str">
        <f t="shared" si="99"/>
        <v>454</v>
      </c>
      <c r="J1235" t="str">
        <f t="shared" si="100"/>
        <v>45439</v>
      </c>
      <c r="K1235" t="str">
        <f t="shared" si="96"/>
        <v/>
      </c>
    </row>
    <row r="1236" spans="2:11" x14ac:dyDescent="0.25">
      <c r="C1236" t="s">
        <v>3087</v>
      </c>
      <c r="D1236" t="s">
        <v>1864</v>
      </c>
      <c r="E1236" t="s">
        <v>1864</v>
      </c>
      <c r="F1236" t="s">
        <v>975</v>
      </c>
      <c r="G1236" t="str">
        <f t="shared" si="97"/>
        <v>G</v>
      </c>
      <c r="H1236" t="str">
        <f t="shared" si="98"/>
        <v>46</v>
      </c>
      <c r="I1236" t="str">
        <f t="shared" si="99"/>
        <v>461</v>
      </c>
      <c r="J1236" t="str">
        <f t="shared" si="100"/>
        <v>45439</v>
      </c>
      <c r="K1236" t="str">
        <f t="shared" si="96"/>
        <v/>
      </c>
    </row>
    <row r="1237" spans="2:11" x14ac:dyDescent="0.25">
      <c r="C1237" t="s">
        <v>1864</v>
      </c>
      <c r="D1237" t="s">
        <v>3088</v>
      </c>
      <c r="E1237" t="s">
        <v>1864</v>
      </c>
      <c r="F1237" t="s">
        <v>976</v>
      </c>
      <c r="G1237" t="str">
        <f t="shared" si="97"/>
        <v>G</v>
      </c>
      <c r="H1237" t="str">
        <f t="shared" si="98"/>
        <v>46</v>
      </c>
      <c r="I1237" t="str">
        <f t="shared" si="99"/>
        <v>461</v>
      </c>
      <c r="J1237" t="str">
        <f t="shared" si="100"/>
        <v>46117</v>
      </c>
      <c r="K1237" t="str">
        <f t="shared" si="96"/>
        <v/>
      </c>
    </row>
    <row r="1238" spans="2:11" x14ac:dyDescent="0.25">
      <c r="C1238" t="s">
        <v>1864</v>
      </c>
      <c r="D1238" t="s">
        <v>1864</v>
      </c>
      <c r="E1238" t="s">
        <v>3089</v>
      </c>
      <c r="F1238" t="s">
        <v>976</v>
      </c>
      <c r="G1238" t="str">
        <f t="shared" si="97"/>
        <v>G</v>
      </c>
      <c r="H1238" t="str">
        <f t="shared" si="98"/>
        <v>46</v>
      </c>
      <c r="I1238" t="str">
        <f t="shared" si="99"/>
        <v>461</v>
      </c>
      <c r="J1238" t="str">
        <f t="shared" si="100"/>
        <v>46117</v>
      </c>
      <c r="K1238" t="str">
        <f t="shared" si="96"/>
        <v>4611700</v>
      </c>
    </row>
    <row r="1239" spans="2:11" x14ac:dyDescent="0.25">
      <c r="C1239" t="s">
        <v>1864</v>
      </c>
      <c r="D1239" t="s">
        <v>3090</v>
      </c>
      <c r="E1239" t="s">
        <v>1864</v>
      </c>
      <c r="F1239" t="s">
        <v>977</v>
      </c>
      <c r="G1239" t="str">
        <f t="shared" si="97"/>
        <v>G</v>
      </c>
      <c r="H1239" t="str">
        <f t="shared" si="98"/>
        <v>46</v>
      </c>
      <c r="I1239" t="str">
        <f t="shared" si="99"/>
        <v>461</v>
      </c>
      <c r="J1239" t="str">
        <f t="shared" si="100"/>
        <v>46125</v>
      </c>
      <c r="K1239" t="str">
        <f t="shared" si="96"/>
        <v/>
      </c>
    </row>
    <row r="1240" spans="2:11" x14ac:dyDescent="0.25">
      <c r="C1240" t="s">
        <v>1864</v>
      </c>
      <c r="D1240" t="s">
        <v>1864</v>
      </c>
      <c r="E1240" t="s">
        <v>3091</v>
      </c>
      <c r="F1240" t="s">
        <v>977</v>
      </c>
      <c r="G1240" t="str">
        <f t="shared" si="97"/>
        <v>G</v>
      </c>
      <c r="H1240" t="str">
        <f t="shared" si="98"/>
        <v>46</v>
      </c>
      <c r="I1240" t="str">
        <f t="shared" si="99"/>
        <v>461</v>
      </c>
      <c r="J1240" t="str">
        <f t="shared" si="100"/>
        <v>46125</v>
      </c>
      <c r="K1240" t="str">
        <f t="shared" si="96"/>
        <v>4612500</v>
      </c>
    </row>
    <row r="1241" spans="2:11" x14ac:dyDescent="0.25">
      <c r="C1241" t="s">
        <v>1864</v>
      </c>
      <c r="D1241" t="s">
        <v>3092</v>
      </c>
      <c r="E1241" t="s">
        <v>1864</v>
      </c>
      <c r="F1241" t="s">
        <v>978</v>
      </c>
      <c r="G1241" t="str">
        <f t="shared" si="97"/>
        <v>G</v>
      </c>
      <c r="H1241" t="str">
        <f t="shared" si="98"/>
        <v>46</v>
      </c>
      <c r="I1241" t="str">
        <f t="shared" si="99"/>
        <v>461</v>
      </c>
      <c r="J1241" t="str">
        <f t="shared" si="100"/>
        <v>46133</v>
      </c>
      <c r="K1241" t="str">
        <f t="shared" si="96"/>
        <v/>
      </c>
    </row>
    <row r="1242" spans="2:11" x14ac:dyDescent="0.25">
      <c r="C1242" t="s">
        <v>1864</v>
      </c>
      <c r="D1242" t="s">
        <v>1864</v>
      </c>
      <c r="E1242" t="s">
        <v>3093</v>
      </c>
      <c r="F1242" t="s">
        <v>978</v>
      </c>
      <c r="G1242" t="str">
        <f t="shared" si="97"/>
        <v>G</v>
      </c>
      <c r="H1242" t="str">
        <f t="shared" si="98"/>
        <v>46</v>
      </c>
      <c r="I1242" t="str">
        <f t="shared" si="99"/>
        <v>461</v>
      </c>
      <c r="J1242" t="str">
        <f t="shared" si="100"/>
        <v>46133</v>
      </c>
      <c r="K1242" t="str">
        <f t="shared" si="96"/>
        <v>4613300</v>
      </c>
    </row>
    <row r="1243" spans="2:11" x14ac:dyDescent="0.25">
      <c r="C1243" t="s">
        <v>1864</v>
      </c>
      <c r="D1243" t="s">
        <v>3094</v>
      </c>
      <c r="E1243" t="s">
        <v>1864</v>
      </c>
      <c r="F1243" t="s">
        <v>979</v>
      </c>
      <c r="G1243" t="str">
        <f t="shared" si="97"/>
        <v>G</v>
      </c>
      <c r="H1243" t="str">
        <f t="shared" si="98"/>
        <v>46</v>
      </c>
      <c r="I1243" t="str">
        <f t="shared" si="99"/>
        <v>461</v>
      </c>
      <c r="J1243" t="str">
        <f t="shared" si="100"/>
        <v>46141</v>
      </c>
      <c r="K1243" t="str">
        <f t="shared" si="96"/>
        <v/>
      </c>
    </row>
    <row r="1244" spans="2:11" x14ac:dyDescent="0.25">
      <c r="C1244" t="s">
        <v>1864</v>
      </c>
      <c r="D1244" t="s">
        <v>1864</v>
      </c>
      <c r="E1244" t="s">
        <v>3095</v>
      </c>
      <c r="F1244" t="s">
        <v>979</v>
      </c>
      <c r="G1244" t="str">
        <f t="shared" si="97"/>
        <v>G</v>
      </c>
      <c r="H1244" t="str">
        <f t="shared" si="98"/>
        <v>46</v>
      </c>
      <c r="I1244" t="str">
        <f t="shared" si="99"/>
        <v>461</v>
      </c>
      <c r="J1244" t="str">
        <f t="shared" si="100"/>
        <v>46141</v>
      </c>
      <c r="K1244" t="str">
        <f t="shared" si="96"/>
        <v>4614100</v>
      </c>
    </row>
    <row r="1245" spans="2:11" x14ac:dyDescent="0.25">
      <c r="C1245" t="s">
        <v>1864</v>
      </c>
      <c r="D1245" t="s">
        <v>3096</v>
      </c>
      <c r="E1245" t="s">
        <v>1864</v>
      </c>
      <c r="F1245" t="s">
        <v>980</v>
      </c>
      <c r="G1245" t="str">
        <f t="shared" si="97"/>
        <v>G</v>
      </c>
      <c r="H1245" t="str">
        <f t="shared" si="98"/>
        <v>46</v>
      </c>
      <c r="I1245" t="str">
        <f t="shared" si="99"/>
        <v>461</v>
      </c>
      <c r="J1245" t="str">
        <f t="shared" si="100"/>
        <v>46150</v>
      </c>
      <c r="K1245" t="str">
        <f t="shared" si="96"/>
        <v/>
      </c>
    </row>
    <row r="1246" spans="2:11" x14ac:dyDescent="0.25">
      <c r="C1246" t="s">
        <v>1864</v>
      </c>
      <c r="D1246" t="s">
        <v>1864</v>
      </c>
      <c r="E1246" t="s">
        <v>3097</v>
      </c>
      <c r="F1246" t="s">
        <v>980</v>
      </c>
      <c r="G1246" t="str">
        <f t="shared" si="97"/>
        <v>G</v>
      </c>
      <c r="H1246" t="str">
        <f t="shared" si="98"/>
        <v>46</v>
      </c>
      <c r="I1246" t="str">
        <f t="shared" si="99"/>
        <v>461</v>
      </c>
      <c r="J1246" t="str">
        <f t="shared" si="100"/>
        <v>46150</v>
      </c>
      <c r="K1246" t="str">
        <f t="shared" si="96"/>
        <v>4615000</v>
      </c>
    </row>
    <row r="1247" spans="2:11" x14ac:dyDescent="0.25">
      <c r="C1247" t="s">
        <v>1864</v>
      </c>
      <c r="D1247" t="s">
        <v>3098</v>
      </c>
      <c r="E1247" t="s">
        <v>1864</v>
      </c>
      <c r="F1247" t="s">
        <v>981</v>
      </c>
      <c r="G1247" t="str">
        <f t="shared" si="97"/>
        <v>G</v>
      </c>
      <c r="H1247" t="str">
        <f t="shared" si="98"/>
        <v>46</v>
      </c>
      <c r="I1247" t="str">
        <f t="shared" si="99"/>
        <v>461</v>
      </c>
      <c r="J1247" t="str">
        <f t="shared" si="100"/>
        <v>46168</v>
      </c>
      <c r="K1247" t="str">
        <f t="shared" si="96"/>
        <v/>
      </c>
    </row>
    <row r="1248" spans="2:11" x14ac:dyDescent="0.25">
      <c r="C1248" t="s">
        <v>1864</v>
      </c>
      <c r="D1248" t="s">
        <v>1864</v>
      </c>
      <c r="E1248" t="s">
        <v>3099</v>
      </c>
      <c r="F1248" t="s">
        <v>981</v>
      </c>
      <c r="G1248" t="str">
        <f t="shared" si="97"/>
        <v>G</v>
      </c>
      <c r="H1248" t="str">
        <f t="shared" si="98"/>
        <v>46</v>
      </c>
      <c r="I1248" t="str">
        <f t="shared" si="99"/>
        <v>461</v>
      </c>
      <c r="J1248" t="str">
        <f t="shared" si="100"/>
        <v>46168</v>
      </c>
      <c r="K1248" t="str">
        <f t="shared" si="96"/>
        <v>4616800</v>
      </c>
    </row>
    <row r="1249" spans="3:11" x14ac:dyDescent="0.25">
      <c r="C1249" t="s">
        <v>1864</v>
      </c>
      <c r="D1249" t="s">
        <v>3100</v>
      </c>
      <c r="E1249" t="s">
        <v>1864</v>
      </c>
      <c r="F1249" t="s">
        <v>982</v>
      </c>
      <c r="G1249" t="str">
        <f t="shared" si="97"/>
        <v>G</v>
      </c>
      <c r="H1249" t="str">
        <f t="shared" si="98"/>
        <v>46</v>
      </c>
      <c r="I1249" t="str">
        <f t="shared" si="99"/>
        <v>461</v>
      </c>
      <c r="J1249" t="str">
        <f t="shared" si="100"/>
        <v>46176</v>
      </c>
      <c r="K1249" t="str">
        <f t="shared" si="96"/>
        <v/>
      </c>
    </row>
    <row r="1250" spans="3:11" x14ac:dyDescent="0.25">
      <c r="C1250" t="s">
        <v>1864</v>
      </c>
      <c r="D1250" t="s">
        <v>1864</v>
      </c>
      <c r="E1250" t="s">
        <v>3101</v>
      </c>
      <c r="F1250" t="s">
        <v>982</v>
      </c>
      <c r="G1250" t="str">
        <f t="shared" si="97"/>
        <v>G</v>
      </c>
      <c r="H1250" t="str">
        <f t="shared" si="98"/>
        <v>46</v>
      </c>
      <c r="I1250" t="str">
        <f t="shared" si="99"/>
        <v>461</v>
      </c>
      <c r="J1250" t="str">
        <f t="shared" si="100"/>
        <v>46176</v>
      </c>
      <c r="K1250" t="str">
        <f t="shared" si="96"/>
        <v>4617600</v>
      </c>
    </row>
    <row r="1251" spans="3:11" x14ac:dyDescent="0.25">
      <c r="C1251" t="s">
        <v>1864</v>
      </c>
      <c r="D1251" t="s">
        <v>3102</v>
      </c>
      <c r="E1251" t="s">
        <v>1864</v>
      </c>
      <c r="F1251" t="s">
        <v>983</v>
      </c>
      <c r="G1251" t="str">
        <f t="shared" si="97"/>
        <v>G</v>
      </c>
      <c r="H1251" t="str">
        <f t="shared" si="98"/>
        <v>46</v>
      </c>
      <c r="I1251" t="str">
        <f t="shared" si="99"/>
        <v>461</v>
      </c>
      <c r="J1251" t="str">
        <f t="shared" si="100"/>
        <v>46184</v>
      </c>
      <c r="K1251" t="str">
        <f t="shared" si="96"/>
        <v/>
      </c>
    </row>
    <row r="1252" spans="3:11" x14ac:dyDescent="0.25">
      <c r="C1252" t="s">
        <v>1864</v>
      </c>
      <c r="D1252" t="s">
        <v>1864</v>
      </c>
      <c r="E1252" t="s">
        <v>3103</v>
      </c>
      <c r="F1252" t="s">
        <v>984</v>
      </c>
      <c r="G1252" t="str">
        <f t="shared" si="97"/>
        <v>G</v>
      </c>
      <c r="H1252" t="str">
        <f t="shared" si="98"/>
        <v>46</v>
      </c>
      <c r="I1252" t="str">
        <f t="shared" si="99"/>
        <v>461</v>
      </c>
      <c r="J1252" t="str">
        <f t="shared" si="100"/>
        <v>46184</v>
      </c>
      <c r="K1252" t="str">
        <f t="shared" si="96"/>
        <v>4618401</v>
      </c>
    </row>
    <row r="1253" spans="3:11" x14ac:dyDescent="0.25">
      <c r="C1253" t="s">
        <v>1864</v>
      </c>
      <c r="D1253" t="s">
        <v>1864</v>
      </c>
      <c r="E1253" t="s">
        <v>3104</v>
      </c>
      <c r="F1253" t="s">
        <v>985</v>
      </c>
      <c r="G1253" t="str">
        <f t="shared" si="97"/>
        <v>G</v>
      </c>
      <c r="H1253" t="str">
        <f t="shared" si="98"/>
        <v>46</v>
      </c>
      <c r="I1253" t="str">
        <f t="shared" si="99"/>
        <v>461</v>
      </c>
      <c r="J1253" t="str">
        <f t="shared" si="100"/>
        <v>46184</v>
      </c>
      <c r="K1253" t="str">
        <f t="shared" si="96"/>
        <v>4618402</v>
      </c>
    </row>
    <row r="1254" spans="3:11" x14ac:dyDescent="0.25">
      <c r="C1254" t="s">
        <v>1864</v>
      </c>
      <c r="D1254" t="s">
        <v>1864</v>
      </c>
      <c r="E1254" t="s">
        <v>3105</v>
      </c>
      <c r="F1254" t="s">
        <v>986</v>
      </c>
      <c r="G1254" t="str">
        <f t="shared" si="97"/>
        <v>G</v>
      </c>
      <c r="H1254" t="str">
        <f t="shared" si="98"/>
        <v>46</v>
      </c>
      <c r="I1254" t="str">
        <f t="shared" si="99"/>
        <v>461</v>
      </c>
      <c r="J1254" t="str">
        <f t="shared" si="100"/>
        <v>46184</v>
      </c>
      <c r="K1254" t="str">
        <f t="shared" si="96"/>
        <v>4618403</v>
      </c>
    </row>
    <row r="1255" spans="3:11" x14ac:dyDescent="0.25">
      <c r="C1255" t="s">
        <v>1864</v>
      </c>
      <c r="D1255" t="s">
        <v>1864</v>
      </c>
      <c r="E1255" t="s">
        <v>3106</v>
      </c>
      <c r="F1255" t="s">
        <v>987</v>
      </c>
      <c r="G1255" t="str">
        <f t="shared" si="97"/>
        <v>G</v>
      </c>
      <c r="H1255" t="str">
        <f t="shared" si="98"/>
        <v>46</v>
      </c>
      <c r="I1255" t="str">
        <f t="shared" si="99"/>
        <v>461</v>
      </c>
      <c r="J1255" t="str">
        <f t="shared" si="100"/>
        <v>46184</v>
      </c>
      <c r="K1255" t="str">
        <f t="shared" si="96"/>
        <v>4618499</v>
      </c>
    </row>
    <row r="1256" spans="3:11" x14ac:dyDescent="0.25">
      <c r="C1256" t="s">
        <v>1864</v>
      </c>
      <c r="D1256" t="s">
        <v>3107</v>
      </c>
      <c r="E1256" t="s">
        <v>1864</v>
      </c>
      <c r="F1256" t="s">
        <v>988</v>
      </c>
      <c r="G1256" t="str">
        <f t="shared" si="97"/>
        <v>G</v>
      </c>
      <c r="H1256" t="str">
        <f t="shared" si="98"/>
        <v>46</v>
      </c>
      <c r="I1256" t="str">
        <f t="shared" si="99"/>
        <v>461</v>
      </c>
      <c r="J1256" t="str">
        <f t="shared" si="100"/>
        <v>46192</v>
      </c>
      <c r="K1256" t="str">
        <f t="shared" si="96"/>
        <v/>
      </c>
    </row>
    <row r="1257" spans="3:11" x14ac:dyDescent="0.25">
      <c r="C1257" t="s">
        <v>1864</v>
      </c>
      <c r="D1257" t="s">
        <v>1864</v>
      </c>
      <c r="E1257" t="s">
        <v>3108</v>
      </c>
      <c r="F1257" t="s">
        <v>988</v>
      </c>
      <c r="G1257" t="str">
        <f t="shared" si="97"/>
        <v>G</v>
      </c>
      <c r="H1257" t="str">
        <f t="shared" si="98"/>
        <v>46</v>
      </c>
      <c r="I1257" t="str">
        <f t="shared" si="99"/>
        <v>461</v>
      </c>
      <c r="J1257" t="str">
        <f t="shared" si="100"/>
        <v>46192</v>
      </c>
      <c r="K1257" t="str">
        <f t="shared" si="96"/>
        <v>4619200</v>
      </c>
    </row>
    <row r="1258" spans="3:11" x14ac:dyDescent="0.25">
      <c r="C1258" t="s">
        <v>3109</v>
      </c>
      <c r="D1258" t="s">
        <v>1864</v>
      </c>
      <c r="E1258" t="s">
        <v>1864</v>
      </c>
      <c r="F1258" t="s">
        <v>989</v>
      </c>
      <c r="G1258" t="str">
        <f t="shared" si="97"/>
        <v>G</v>
      </c>
      <c r="H1258" t="str">
        <f t="shared" si="98"/>
        <v>46</v>
      </c>
      <c r="I1258" t="str">
        <f t="shared" si="99"/>
        <v>462</v>
      </c>
      <c r="J1258" t="str">
        <f t="shared" si="100"/>
        <v>46192</v>
      </c>
      <c r="K1258" t="str">
        <f t="shared" si="96"/>
        <v/>
      </c>
    </row>
    <row r="1259" spans="3:11" x14ac:dyDescent="0.25">
      <c r="C1259" t="s">
        <v>1864</v>
      </c>
      <c r="D1259" t="s">
        <v>3110</v>
      </c>
      <c r="E1259" t="s">
        <v>1864</v>
      </c>
      <c r="F1259" t="s">
        <v>990</v>
      </c>
      <c r="G1259" t="str">
        <f t="shared" si="97"/>
        <v>G</v>
      </c>
      <c r="H1259" t="str">
        <f t="shared" si="98"/>
        <v>46</v>
      </c>
      <c r="I1259" t="str">
        <f t="shared" si="99"/>
        <v>462</v>
      </c>
      <c r="J1259" t="str">
        <f t="shared" si="100"/>
        <v>46214</v>
      </c>
      <c r="K1259" t="str">
        <f t="shared" si="96"/>
        <v/>
      </c>
    </row>
    <row r="1260" spans="3:11" x14ac:dyDescent="0.25">
      <c r="C1260" t="s">
        <v>1864</v>
      </c>
      <c r="D1260" t="s">
        <v>1864</v>
      </c>
      <c r="E1260" t="s">
        <v>3111</v>
      </c>
      <c r="F1260" t="s">
        <v>990</v>
      </c>
      <c r="G1260" t="str">
        <f t="shared" si="97"/>
        <v>G</v>
      </c>
      <c r="H1260" t="str">
        <f t="shared" si="98"/>
        <v>46</v>
      </c>
      <c r="I1260" t="str">
        <f t="shared" si="99"/>
        <v>462</v>
      </c>
      <c r="J1260" t="str">
        <f t="shared" si="100"/>
        <v>46214</v>
      </c>
      <c r="K1260" t="str">
        <f t="shared" si="96"/>
        <v>4621400</v>
      </c>
    </row>
    <row r="1261" spans="3:11" x14ac:dyDescent="0.25">
      <c r="C1261" t="s">
        <v>1864</v>
      </c>
      <c r="D1261" t="s">
        <v>3112</v>
      </c>
      <c r="E1261" t="s">
        <v>1864</v>
      </c>
      <c r="F1261" t="s">
        <v>991</v>
      </c>
      <c r="G1261" t="str">
        <f t="shared" si="97"/>
        <v>G</v>
      </c>
      <c r="H1261" t="str">
        <f t="shared" si="98"/>
        <v>46</v>
      </c>
      <c r="I1261" t="str">
        <f t="shared" si="99"/>
        <v>462</v>
      </c>
      <c r="J1261" t="str">
        <f t="shared" si="100"/>
        <v>46222</v>
      </c>
      <c r="K1261" t="str">
        <f t="shared" si="96"/>
        <v/>
      </c>
    </row>
    <row r="1262" spans="3:11" x14ac:dyDescent="0.25">
      <c r="C1262" t="s">
        <v>1864</v>
      </c>
      <c r="D1262" t="s">
        <v>1864</v>
      </c>
      <c r="E1262" t="s">
        <v>3113</v>
      </c>
      <c r="F1262" t="s">
        <v>991</v>
      </c>
      <c r="G1262" t="str">
        <f t="shared" si="97"/>
        <v>G</v>
      </c>
      <c r="H1262" t="str">
        <f t="shared" si="98"/>
        <v>46</v>
      </c>
      <c r="I1262" t="str">
        <f t="shared" si="99"/>
        <v>462</v>
      </c>
      <c r="J1262" t="str">
        <f t="shared" si="100"/>
        <v>46222</v>
      </c>
      <c r="K1262" t="str">
        <f t="shared" si="96"/>
        <v>4622200</v>
      </c>
    </row>
    <row r="1263" spans="3:11" x14ac:dyDescent="0.25">
      <c r="C1263" t="s">
        <v>1864</v>
      </c>
      <c r="D1263" t="s">
        <v>3114</v>
      </c>
      <c r="E1263" t="s">
        <v>1864</v>
      </c>
      <c r="F1263" t="s">
        <v>992</v>
      </c>
      <c r="G1263" t="str">
        <f t="shared" si="97"/>
        <v>G</v>
      </c>
      <c r="H1263" t="str">
        <f t="shared" si="98"/>
        <v>46</v>
      </c>
      <c r="I1263" t="str">
        <f t="shared" si="99"/>
        <v>462</v>
      </c>
      <c r="J1263" t="str">
        <f t="shared" si="100"/>
        <v>46231</v>
      </c>
      <c r="K1263" t="str">
        <f t="shared" si="96"/>
        <v/>
      </c>
    </row>
    <row r="1264" spans="3:11" x14ac:dyDescent="0.25">
      <c r="C1264" t="s">
        <v>1864</v>
      </c>
      <c r="D1264" t="s">
        <v>1864</v>
      </c>
      <c r="E1264" t="s">
        <v>3115</v>
      </c>
      <c r="F1264" t="s">
        <v>993</v>
      </c>
      <c r="G1264" t="str">
        <f t="shared" si="97"/>
        <v>G</v>
      </c>
      <c r="H1264" t="str">
        <f t="shared" si="98"/>
        <v>46</v>
      </c>
      <c r="I1264" t="str">
        <f t="shared" si="99"/>
        <v>462</v>
      </c>
      <c r="J1264" t="str">
        <f t="shared" si="100"/>
        <v>46231</v>
      </c>
      <c r="K1264" t="str">
        <f t="shared" si="96"/>
        <v>4623101</v>
      </c>
    </row>
    <row r="1265" spans="3:11" x14ac:dyDescent="0.25">
      <c r="C1265" t="s">
        <v>1864</v>
      </c>
      <c r="D1265" t="s">
        <v>1864</v>
      </c>
      <c r="E1265" t="s">
        <v>3116</v>
      </c>
      <c r="F1265" t="s">
        <v>994</v>
      </c>
      <c r="G1265" t="str">
        <f t="shared" si="97"/>
        <v>G</v>
      </c>
      <c r="H1265" t="str">
        <f t="shared" si="98"/>
        <v>46</v>
      </c>
      <c r="I1265" t="str">
        <f t="shared" si="99"/>
        <v>462</v>
      </c>
      <c r="J1265" t="str">
        <f t="shared" si="100"/>
        <v>46231</v>
      </c>
      <c r="K1265" t="str">
        <f t="shared" si="96"/>
        <v>4623102</v>
      </c>
    </row>
    <row r="1266" spans="3:11" x14ac:dyDescent="0.25">
      <c r="C1266" t="s">
        <v>1864</v>
      </c>
      <c r="D1266" t="s">
        <v>1864</v>
      </c>
      <c r="E1266" t="s">
        <v>3117</v>
      </c>
      <c r="F1266" t="s">
        <v>995</v>
      </c>
      <c r="G1266" t="str">
        <f t="shared" si="97"/>
        <v>G</v>
      </c>
      <c r="H1266" t="str">
        <f t="shared" si="98"/>
        <v>46</v>
      </c>
      <c r="I1266" t="str">
        <f t="shared" si="99"/>
        <v>462</v>
      </c>
      <c r="J1266" t="str">
        <f t="shared" si="100"/>
        <v>46231</v>
      </c>
      <c r="K1266" t="str">
        <f t="shared" si="96"/>
        <v>4623103</v>
      </c>
    </row>
    <row r="1267" spans="3:11" x14ac:dyDescent="0.25">
      <c r="C1267" t="s">
        <v>1864</v>
      </c>
      <c r="D1267" t="s">
        <v>1864</v>
      </c>
      <c r="E1267" t="s">
        <v>3118</v>
      </c>
      <c r="F1267" t="s">
        <v>996</v>
      </c>
      <c r="G1267" t="str">
        <f t="shared" si="97"/>
        <v>G</v>
      </c>
      <c r="H1267" t="str">
        <f t="shared" si="98"/>
        <v>46</v>
      </c>
      <c r="I1267" t="str">
        <f t="shared" si="99"/>
        <v>462</v>
      </c>
      <c r="J1267" t="str">
        <f t="shared" si="100"/>
        <v>46231</v>
      </c>
      <c r="K1267" t="str">
        <f t="shared" si="96"/>
        <v>4623104</v>
      </c>
    </row>
    <row r="1268" spans="3:11" x14ac:dyDescent="0.25">
      <c r="C1268" t="s">
        <v>1864</v>
      </c>
      <c r="D1268" t="s">
        <v>1864</v>
      </c>
      <c r="E1268" t="s">
        <v>3119</v>
      </c>
      <c r="F1268" t="s">
        <v>997</v>
      </c>
      <c r="G1268" t="str">
        <f t="shared" si="97"/>
        <v>G</v>
      </c>
      <c r="H1268" t="str">
        <f t="shared" si="98"/>
        <v>46</v>
      </c>
      <c r="I1268" t="str">
        <f t="shared" si="99"/>
        <v>462</v>
      </c>
      <c r="J1268" t="str">
        <f t="shared" si="100"/>
        <v>46231</v>
      </c>
      <c r="K1268" t="str">
        <f t="shared" si="96"/>
        <v>4623105</v>
      </c>
    </row>
    <row r="1269" spans="3:11" x14ac:dyDescent="0.25">
      <c r="C1269" t="s">
        <v>1864</v>
      </c>
      <c r="D1269" t="s">
        <v>1864</v>
      </c>
      <c r="E1269" t="s">
        <v>3120</v>
      </c>
      <c r="F1269" t="s">
        <v>998</v>
      </c>
      <c r="G1269" t="str">
        <f t="shared" si="97"/>
        <v>G</v>
      </c>
      <c r="H1269" t="str">
        <f t="shared" si="98"/>
        <v>46</v>
      </c>
      <c r="I1269" t="str">
        <f t="shared" si="99"/>
        <v>462</v>
      </c>
      <c r="J1269" t="str">
        <f t="shared" si="100"/>
        <v>46231</v>
      </c>
      <c r="K1269" t="str">
        <f t="shared" si="96"/>
        <v>4623106</v>
      </c>
    </row>
    <row r="1270" spans="3:11" x14ac:dyDescent="0.25">
      <c r="C1270" t="s">
        <v>1864</v>
      </c>
      <c r="D1270" t="s">
        <v>1864</v>
      </c>
      <c r="E1270" t="s">
        <v>3121</v>
      </c>
      <c r="F1270" t="s">
        <v>999</v>
      </c>
      <c r="G1270" t="str">
        <f t="shared" si="97"/>
        <v>G</v>
      </c>
      <c r="H1270" t="str">
        <f t="shared" si="98"/>
        <v>46</v>
      </c>
      <c r="I1270" t="str">
        <f t="shared" si="99"/>
        <v>462</v>
      </c>
      <c r="J1270" t="str">
        <f t="shared" si="100"/>
        <v>46231</v>
      </c>
      <c r="K1270" t="str">
        <f t="shared" si="96"/>
        <v>4623107</v>
      </c>
    </row>
    <row r="1271" spans="3:11" x14ac:dyDescent="0.25">
      <c r="C1271" t="s">
        <v>1864</v>
      </c>
      <c r="D1271" t="s">
        <v>1864</v>
      </c>
      <c r="E1271" t="s">
        <v>3122</v>
      </c>
      <c r="F1271" t="s">
        <v>1000</v>
      </c>
      <c r="G1271" t="str">
        <f t="shared" si="97"/>
        <v>G</v>
      </c>
      <c r="H1271" t="str">
        <f t="shared" si="98"/>
        <v>46</v>
      </c>
      <c r="I1271" t="str">
        <f t="shared" si="99"/>
        <v>462</v>
      </c>
      <c r="J1271" t="str">
        <f t="shared" si="100"/>
        <v>46231</v>
      </c>
      <c r="K1271" t="str">
        <f t="shared" si="96"/>
        <v>4623108</v>
      </c>
    </row>
    <row r="1272" spans="3:11" x14ac:dyDescent="0.25">
      <c r="C1272" t="s">
        <v>1864</v>
      </c>
      <c r="D1272" t="s">
        <v>1864</v>
      </c>
      <c r="E1272" t="s">
        <v>3123</v>
      </c>
      <c r="F1272" t="s">
        <v>1001</v>
      </c>
      <c r="G1272" t="str">
        <f t="shared" si="97"/>
        <v>G</v>
      </c>
      <c r="H1272" t="str">
        <f t="shared" si="98"/>
        <v>46</v>
      </c>
      <c r="I1272" t="str">
        <f t="shared" si="99"/>
        <v>462</v>
      </c>
      <c r="J1272" t="str">
        <f t="shared" si="100"/>
        <v>46231</v>
      </c>
      <c r="K1272" t="str">
        <f t="shared" si="96"/>
        <v>4623109</v>
      </c>
    </row>
    <row r="1273" spans="3:11" x14ac:dyDescent="0.25">
      <c r="C1273" t="s">
        <v>1864</v>
      </c>
      <c r="D1273" t="s">
        <v>1864</v>
      </c>
      <c r="E1273" t="s">
        <v>3124</v>
      </c>
      <c r="F1273" t="s">
        <v>1002</v>
      </c>
      <c r="G1273" t="str">
        <f t="shared" si="97"/>
        <v>G</v>
      </c>
      <c r="H1273" t="str">
        <f t="shared" si="98"/>
        <v>46</v>
      </c>
      <c r="I1273" t="str">
        <f t="shared" si="99"/>
        <v>462</v>
      </c>
      <c r="J1273" t="str">
        <f t="shared" si="100"/>
        <v>46231</v>
      </c>
      <c r="K1273" t="str">
        <f t="shared" si="96"/>
        <v>4623199</v>
      </c>
    </row>
    <row r="1274" spans="3:11" x14ac:dyDescent="0.25">
      <c r="C1274" t="s">
        <v>3125</v>
      </c>
      <c r="D1274" t="s">
        <v>1864</v>
      </c>
      <c r="E1274" t="s">
        <v>1864</v>
      </c>
      <c r="F1274" t="s">
        <v>1003</v>
      </c>
      <c r="G1274" t="str">
        <f t="shared" si="97"/>
        <v>G</v>
      </c>
      <c r="H1274" t="str">
        <f t="shared" si="98"/>
        <v>46</v>
      </c>
      <c r="I1274" t="str">
        <f t="shared" si="99"/>
        <v>463</v>
      </c>
      <c r="J1274" t="str">
        <f t="shared" si="100"/>
        <v>46231</v>
      </c>
      <c r="K1274" t="str">
        <f t="shared" si="96"/>
        <v/>
      </c>
    </row>
    <row r="1275" spans="3:11" x14ac:dyDescent="0.25">
      <c r="C1275" t="s">
        <v>1864</v>
      </c>
      <c r="D1275" t="s">
        <v>3126</v>
      </c>
      <c r="E1275" t="s">
        <v>1864</v>
      </c>
      <c r="F1275" t="s">
        <v>1004</v>
      </c>
      <c r="G1275" t="str">
        <f t="shared" si="97"/>
        <v>G</v>
      </c>
      <c r="H1275" t="str">
        <f t="shared" si="98"/>
        <v>46</v>
      </c>
      <c r="I1275" t="str">
        <f t="shared" si="99"/>
        <v>463</v>
      </c>
      <c r="J1275" t="str">
        <f t="shared" si="100"/>
        <v>46311</v>
      </c>
      <c r="K1275" t="str">
        <f t="shared" si="96"/>
        <v/>
      </c>
    </row>
    <row r="1276" spans="3:11" x14ac:dyDescent="0.25">
      <c r="C1276" t="s">
        <v>1864</v>
      </c>
      <c r="D1276" t="s">
        <v>1864</v>
      </c>
      <c r="E1276" t="s">
        <v>3127</v>
      </c>
      <c r="F1276" t="s">
        <v>1004</v>
      </c>
      <c r="G1276" t="str">
        <f t="shared" si="97"/>
        <v>G</v>
      </c>
      <c r="H1276" t="str">
        <f t="shared" si="98"/>
        <v>46</v>
      </c>
      <c r="I1276" t="str">
        <f t="shared" si="99"/>
        <v>463</v>
      </c>
      <c r="J1276" t="str">
        <f t="shared" si="100"/>
        <v>46311</v>
      </c>
      <c r="K1276" t="str">
        <f t="shared" si="96"/>
        <v>4631100</v>
      </c>
    </row>
    <row r="1277" spans="3:11" x14ac:dyDescent="0.25">
      <c r="C1277" t="s">
        <v>1864</v>
      </c>
      <c r="D1277" t="s">
        <v>3128</v>
      </c>
      <c r="E1277" t="s">
        <v>1864</v>
      </c>
      <c r="F1277" t="s">
        <v>1005</v>
      </c>
      <c r="G1277" t="str">
        <f t="shared" si="97"/>
        <v>G</v>
      </c>
      <c r="H1277" t="str">
        <f t="shared" si="98"/>
        <v>46</v>
      </c>
      <c r="I1277" t="str">
        <f t="shared" si="99"/>
        <v>463</v>
      </c>
      <c r="J1277" t="str">
        <f t="shared" si="100"/>
        <v>46320</v>
      </c>
      <c r="K1277" t="str">
        <f t="shared" si="96"/>
        <v/>
      </c>
    </row>
    <row r="1278" spans="3:11" x14ac:dyDescent="0.25">
      <c r="C1278" t="s">
        <v>1864</v>
      </c>
      <c r="D1278" t="s">
        <v>1864</v>
      </c>
      <c r="E1278" t="s">
        <v>3129</v>
      </c>
      <c r="F1278" t="s">
        <v>1006</v>
      </c>
      <c r="G1278" t="str">
        <f t="shared" si="97"/>
        <v>G</v>
      </c>
      <c r="H1278" t="str">
        <f t="shared" si="98"/>
        <v>46</v>
      </c>
      <c r="I1278" t="str">
        <f t="shared" si="99"/>
        <v>463</v>
      </c>
      <c r="J1278" t="str">
        <f t="shared" si="100"/>
        <v>46320</v>
      </c>
      <c r="K1278" t="str">
        <f t="shared" si="96"/>
        <v>4632001</v>
      </c>
    </row>
    <row r="1279" spans="3:11" x14ac:dyDescent="0.25">
      <c r="C1279" t="s">
        <v>1864</v>
      </c>
      <c r="D1279" t="s">
        <v>1864</v>
      </c>
      <c r="E1279" t="s">
        <v>3130</v>
      </c>
      <c r="F1279" t="s">
        <v>1007</v>
      </c>
      <c r="G1279" t="str">
        <f t="shared" si="97"/>
        <v>G</v>
      </c>
      <c r="H1279" t="str">
        <f t="shared" si="98"/>
        <v>46</v>
      </c>
      <c r="I1279" t="str">
        <f t="shared" si="99"/>
        <v>463</v>
      </c>
      <c r="J1279" t="str">
        <f t="shared" si="100"/>
        <v>46320</v>
      </c>
      <c r="K1279" t="str">
        <f t="shared" si="96"/>
        <v>4632002</v>
      </c>
    </row>
    <row r="1280" spans="3:11" x14ac:dyDescent="0.25">
      <c r="C1280" t="s">
        <v>1864</v>
      </c>
      <c r="D1280" t="s">
        <v>1864</v>
      </c>
      <c r="E1280" t="s">
        <v>3131</v>
      </c>
      <c r="F1280" t="s">
        <v>1008</v>
      </c>
      <c r="G1280" t="str">
        <f t="shared" si="97"/>
        <v>G</v>
      </c>
      <c r="H1280" t="str">
        <f t="shared" si="98"/>
        <v>46</v>
      </c>
      <c r="I1280" t="str">
        <f t="shared" si="99"/>
        <v>463</v>
      </c>
      <c r="J1280" t="str">
        <f t="shared" si="100"/>
        <v>46320</v>
      </c>
      <c r="K1280" t="str">
        <f t="shared" si="96"/>
        <v>4632003</v>
      </c>
    </row>
    <row r="1281" spans="3:11" x14ac:dyDescent="0.25">
      <c r="C1281" t="s">
        <v>1864</v>
      </c>
      <c r="D1281" t="s">
        <v>3132</v>
      </c>
      <c r="E1281" t="s">
        <v>1864</v>
      </c>
      <c r="F1281" t="s">
        <v>1009</v>
      </c>
      <c r="G1281" t="str">
        <f t="shared" si="97"/>
        <v>G</v>
      </c>
      <c r="H1281" t="str">
        <f t="shared" si="98"/>
        <v>46</v>
      </c>
      <c r="I1281" t="str">
        <f t="shared" si="99"/>
        <v>463</v>
      </c>
      <c r="J1281" t="str">
        <f t="shared" si="100"/>
        <v>46338</v>
      </c>
      <c r="K1281" t="str">
        <f t="shared" si="96"/>
        <v/>
      </c>
    </row>
    <row r="1282" spans="3:11" x14ac:dyDescent="0.25">
      <c r="C1282" t="s">
        <v>1864</v>
      </c>
      <c r="D1282" t="s">
        <v>1864</v>
      </c>
      <c r="E1282" t="s">
        <v>3133</v>
      </c>
      <c r="F1282" t="s">
        <v>1010</v>
      </c>
      <c r="G1282" t="str">
        <f t="shared" si="97"/>
        <v>G</v>
      </c>
      <c r="H1282" t="str">
        <f t="shared" si="98"/>
        <v>46</v>
      </c>
      <c r="I1282" t="str">
        <f t="shared" si="99"/>
        <v>463</v>
      </c>
      <c r="J1282" t="str">
        <f t="shared" si="100"/>
        <v>46338</v>
      </c>
      <c r="K1282" t="str">
        <f t="shared" si="96"/>
        <v>4633801</v>
      </c>
    </row>
    <row r="1283" spans="3:11" x14ac:dyDescent="0.25">
      <c r="C1283" t="s">
        <v>1864</v>
      </c>
      <c r="D1283" t="s">
        <v>1864</v>
      </c>
      <c r="E1283" t="s">
        <v>3134</v>
      </c>
      <c r="F1283" t="s">
        <v>1011</v>
      </c>
      <c r="G1283" t="str">
        <f t="shared" si="97"/>
        <v>G</v>
      </c>
      <c r="H1283" t="str">
        <f t="shared" si="98"/>
        <v>46</v>
      </c>
      <c r="I1283" t="str">
        <f t="shared" si="99"/>
        <v>463</v>
      </c>
      <c r="J1283" t="str">
        <f t="shared" si="100"/>
        <v>46338</v>
      </c>
      <c r="K1283" t="str">
        <f t="shared" si="96"/>
        <v>4633802</v>
      </c>
    </row>
    <row r="1284" spans="3:11" x14ac:dyDescent="0.25">
      <c r="C1284" t="s">
        <v>1864</v>
      </c>
      <c r="D1284" t="s">
        <v>1864</v>
      </c>
      <c r="E1284" t="s">
        <v>3135</v>
      </c>
      <c r="F1284" t="s">
        <v>1012</v>
      </c>
      <c r="G1284" t="str">
        <f t="shared" si="97"/>
        <v>G</v>
      </c>
      <c r="H1284" t="str">
        <f t="shared" si="98"/>
        <v>46</v>
      </c>
      <c r="I1284" t="str">
        <f t="shared" si="99"/>
        <v>463</v>
      </c>
      <c r="J1284" t="str">
        <f t="shared" si="100"/>
        <v>46338</v>
      </c>
      <c r="K1284" t="str">
        <f t="shared" si="96"/>
        <v>4633803</v>
      </c>
    </row>
    <row r="1285" spans="3:11" x14ac:dyDescent="0.25">
      <c r="C1285" t="s">
        <v>1864</v>
      </c>
      <c r="D1285" t="s">
        <v>3136</v>
      </c>
      <c r="E1285" t="s">
        <v>1864</v>
      </c>
      <c r="F1285" t="s">
        <v>1013</v>
      </c>
      <c r="G1285" t="str">
        <f t="shared" si="97"/>
        <v>G</v>
      </c>
      <c r="H1285" t="str">
        <f t="shared" si="98"/>
        <v>46</v>
      </c>
      <c r="I1285" t="str">
        <f t="shared" si="99"/>
        <v>463</v>
      </c>
      <c r="J1285" t="str">
        <f t="shared" si="100"/>
        <v>46346</v>
      </c>
      <c r="K1285" t="str">
        <f t="shared" si="96"/>
        <v/>
      </c>
    </row>
    <row r="1286" spans="3:11" x14ac:dyDescent="0.25">
      <c r="C1286" t="s">
        <v>1864</v>
      </c>
      <c r="D1286" t="s">
        <v>1864</v>
      </c>
      <c r="E1286" t="s">
        <v>3137</v>
      </c>
      <c r="F1286" t="s">
        <v>1014</v>
      </c>
      <c r="G1286" t="str">
        <f t="shared" si="97"/>
        <v>G</v>
      </c>
      <c r="H1286" t="str">
        <f t="shared" si="98"/>
        <v>46</v>
      </c>
      <c r="I1286" t="str">
        <f t="shared" si="99"/>
        <v>463</v>
      </c>
      <c r="J1286" t="str">
        <f t="shared" si="100"/>
        <v>46346</v>
      </c>
      <c r="K1286" t="str">
        <f t="shared" si="96"/>
        <v>4634601</v>
      </c>
    </row>
    <row r="1287" spans="3:11" x14ac:dyDescent="0.25">
      <c r="C1287" t="s">
        <v>1864</v>
      </c>
      <c r="D1287" t="s">
        <v>1864</v>
      </c>
      <c r="E1287" t="s">
        <v>3138</v>
      </c>
      <c r="F1287" t="s">
        <v>1015</v>
      </c>
      <c r="G1287" t="str">
        <f t="shared" si="97"/>
        <v>G</v>
      </c>
      <c r="H1287" t="str">
        <f t="shared" si="98"/>
        <v>46</v>
      </c>
      <c r="I1287" t="str">
        <f t="shared" si="99"/>
        <v>463</v>
      </c>
      <c r="J1287" t="str">
        <f t="shared" si="100"/>
        <v>46346</v>
      </c>
      <c r="K1287" t="str">
        <f t="shared" si="96"/>
        <v>4634602</v>
      </c>
    </row>
    <row r="1288" spans="3:11" x14ac:dyDescent="0.25">
      <c r="C1288" t="s">
        <v>1864</v>
      </c>
      <c r="D1288" t="s">
        <v>1864</v>
      </c>
      <c r="E1288" t="s">
        <v>3139</v>
      </c>
      <c r="F1288" t="s">
        <v>1016</v>
      </c>
      <c r="G1288" t="str">
        <f t="shared" si="97"/>
        <v>G</v>
      </c>
      <c r="H1288" t="str">
        <f t="shared" si="98"/>
        <v>46</v>
      </c>
      <c r="I1288" t="str">
        <f t="shared" si="99"/>
        <v>463</v>
      </c>
      <c r="J1288" t="str">
        <f t="shared" si="100"/>
        <v>46346</v>
      </c>
      <c r="K1288" t="str">
        <f t="shared" ref="K1288:K1351" si="101">E1288</f>
        <v>4634603</v>
      </c>
    </row>
    <row r="1289" spans="3:11" x14ac:dyDescent="0.25">
      <c r="C1289" t="s">
        <v>1864</v>
      </c>
      <c r="D1289" t="s">
        <v>1864</v>
      </c>
      <c r="E1289" t="s">
        <v>3140</v>
      </c>
      <c r="F1289" t="s">
        <v>1017</v>
      </c>
      <c r="G1289" t="str">
        <f t="shared" ref="G1289:G1352" si="102">IF(A1289="",G1288,A1289)</f>
        <v>G</v>
      </c>
      <c r="H1289" t="str">
        <f t="shared" ref="H1289:H1352" si="103">IF(B1289="",H1288,B1289)</f>
        <v>46</v>
      </c>
      <c r="I1289" t="str">
        <f t="shared" ref="I1289:I1352" si="104">IF(C1289="",I1288,C1289)</f>
        <v>463</v>
      </c>
      <c r="J1289" t="str">
        <f t="shared" ref="J1289:J1352" si="105">IF(D1289="",J1288,D1289)</f>
        <v>46346</v>
      </c>
      <c r="K1289" t="str">
        <f t="shared" si="101"/>
        <v>4634699</v>
      </c>
    </row>
    <row r="1290" spans="3:11" x14ac:dyDescent="0.25">
      <c r="C1290" t="s">
        <v>1864</v>
      </c>
      <c r="D1290" t="s">
        <v>3141</v>
      </c>
      <c r="E1290" t="s">
        <v>1864</v>
      </c>
      <c r="F1290" t="s">
        <v>1018</v>
      </c>
      <c r="G1290" t="str">
        <f t="shared" si="102"/>
        <v>G</v>
      </c>
      <c r="H1290" t="str">
        <f t="shared" si="103"/>
        <v>46</v>
      </c>
      <c r="I1290" t="str">
        <f t="shared" si="104"/>
        <v>463</v>
      </c>
      <c r="J1290" t="str">
        <f t="shared" si="105"/>
        <v>46354</v>
      </c>
      <c r="K1290" t="str">
        <f t="shared" si="101"/>
        <v/>
      </c>
    </row>
    <row r="1291" spans="3:11" x14ac:dyDescent="0.25">
      <c r="C1291" t="s">
        <v>1864</v>
      </c>
      <c r="D1291" t="s">
        <v>1864</v>
      </c>
      <c r="E1291" t="s">
        <v>3142</v>
      </c>
      <c r="F1291" t="s">
        <v>1019</v>
      </c>
      <c r="G1291" t="str">
        <f t="shared" si="102"/>
        <v>G</v>
      </c>
      <c r="H1291" t="str">
        <f t="shared" si="103"/>
        <v>46</v>
      </c>
      <c r="I1291" t="str">
        <f t="shared" si="104"/>
        <v>463</v>
      </c>
      <c r="J1291" t="str">
        <f t="shared" si="105"/>
        <v>46354</v>
      </c>
      <c r="K1291" t="str">
        <f t="shared" si="101"/>
        <v>4635401</v>
      </c>
    </row>
    <row r="1292" spans="3:11" x14ac:dyDescent="0.25">
      <c r="C1292" t="s">
        <v>1864</v>
      </c>
      <c r="D1292" t="s">
        <v>1864</v>
      </c>
      <c r="E1292" t="s">
        <v>3143</v>
      </c>
      <c r="F1292" t="s">
        <v>1020</v>
      </c>
      <c r="G1292" t="str">
        <f t="shared" si="102"/>
        <v>G</v>
      </c>
      <c r="H1292" t="str">
        <f t="shared" si="103"/>
        <v>46</v>
      </c>
      <c r="I1292" t="str">
        <f t="shared" si="104"/>
        <v>463</v>
      </c>
      <c r="J1292" t="str">
        <f t="shared" si="105"/>
        <v>46354</v>
      </c>
      <c r="K1292" t="str">
        <f t="shared" si="101"/>
        <v>4635402</v>
      </c>
    </row>
    <row r="1293" spans="3:11" x14ac:dyDescent="0.25">
      <c r="C1293" t="s">
        <v>1864</v>
      </c>
      <c r="D1293" t="s">
        <v>1864</v>
      </c>
      <c r="E1293" t="s">
        <v>3144</v>
      </c>
      <c r="F1293" t="s">
        <v>1021</v>
      </c>
      <c r="G1293" t="str">
        <f t="shared" si="102"/>
        <v>G</v>
      </c>
      <c r="H1293" t="str">
        <f t="shared" si="103"/>
        <v>46</v>
      </c>
      <c r="I1293" t="str">
        <f t="shared" si="104"/>
        <v>463</v>
      </c>
      <c r="J1293" t="str">
        <f t="shared" si="105"/>
        <v>46354</v>
      </c>
      <c r="K1293" t="str">
        <f t="shared" si="101"/>
        <v>4635403</v>
      </c>
    </row>
    <row r="1294" spans="3:11" x14ac:dyDescent="0.25">
      <c r="C1294" t="s">
        <v>1864</v>
      </c>
      <c r="D1294" t="s">
        <v>1864</v>
      </c>
      <c r="E1294" t="s">
        <v>3145</v>
      </c>
      <c r="F1294" t="s">
        <v>1022</v>
      </c>
      <c r="G1294" t="str">
        <f t="shared" si="102"/>
        <v>G</v>
      </c>
      <c r="H1294" t="str">
        <f t="shared" si="103"/>
        <v>46</v>
      </c>
      <c r="I1294" t="str">
        <f t="shared" si="104"/>
        <v>463</v>
      </c>
      <c r="J1294" t="str">
        <f t="shared" si="105"/>
        <v>46354</v>
      </c>
      <c r="K1294" t="str">
        <f t="shared" si="101"/>
        <v>4635499</v>
      </c>
    </row>
    <row r="1295" spans="3:11" x14ac:dyDescent="0.25">
      <c r="C1295" t="s">
        <v>1864</v>
      </c>
      <c r="D1295" t="s">
        <v>3146</v>
      </c>
      <c r="E1295" t="s">
        <v>1864</v>
      </c>
      <c r="F1295" t="s">
        <v>1023</v>
      </c>
      <c r="G1295" t="str">
        <f t="shared" si="102"/>
        <v>G</v>
      </c>
      <c r="H1295" t="str">
        <f t="shared" si="103"/>
        <v>46</v>
      </c>
      <c r="I1295" t="str">
        <f t="shared" si="104"/>
        <v>463</v>
      </c>
      <c r="J1295" t="str">
        <f t="shared" si="105"/>
        <v>46362</v>
      </c>
      <c r="K1295" t="str">
        <f t="shared" si="101"/>
        <v/>
      </c>
    </row>
    <row r="1296" spans="3:11" x14ac:dyDescent="0.25">
      <c r="C1296" t="s">
        <v>1864</v>
      </c>
      <c r="D1296" t="s">
        <v>1864</v>
      </c>
      <c r="E1296" t="s">
        <v>3147</v>
      </c>
      <c r="F1296" t="s">
        <v>1024</v>
      </c>
      <c r="G1296" t="str">
        <f t="shared" si="102"/>
        <v>G</v>
      </c>
      <c r="H1296" t="str">
        <f t="shared" si="103"/>
        <v>46</v>
      </c>
      <c r="I1296" t="str">
        <f t="shared" si="104"/>
        <v>463</v>
      </c>
      <c r="J1296" t="str">
        <f t="shared" si="105"/>
        <v>46362</v>
      </c>
      <c r="K1296" t="str">
        <f t="shared" si="101"/>
        <v>4636201</v>
      </c>
    </row>
    <row r="1297" spans="3:11" x14ac:dyDescent="0.25">
      <c r="C1297" t="s">
        <v>1864</v>
      </c>
      <c r="D1297" t="s">
        <v>1864</v>
      </c>
      <c r="E1297" t="s">
        <v>3148</v>
      </c>
      <c r="F1297" t="s">
        <v>1025</v>
      </c>
      <c r="G1297" t="str">
        <f t="shared" si="102"/>
        <v>G</v>
      </c>
      <c r="H1297" t="str">
        <f t="shared" si="103"/>
        <v>46</v>
      </c>
      <c r="I1297" t="str">
        <f t="shared" si="104"/>
        <v>463</v>
      </c>
      <c r="J1297" t="str">
        <f t="shared" si="105"/>
        <v>46362</v>
      </c>
      <c r="K1297" t="str">
        <f t="shared" si="101"/>
        <v>4636202</v>
      </c>
    </row>
    <row r="1298" spans="3:11" x14ac:dyDescent="0.25">
      <c r="C1298" t="s">
        <v>1864</v>
      </c>
      <c r="D1298" t="s">
        <v>3149</v>
      </c>
      <c r="E1298" t="s">
        <v>1864</v>
      </c>
      <c r="F1298" t="s">
        <v>1026</v>
      </c>
      <c r="G1298" t="str">
        <f t="shared" si="102"/>
        <v>G</v>
      </c>
      <c r="H1298" t="str">
        <f t="shared" si="103"/>
        <v>46</v>
      </c>
      <c r="I1298" t="str">
        <f t="shared" si="104"/>
        <v>463</v>
      </c>
      <c r="J1298" t="str">
        <f t="shared" si="105"/>
        <v>46371</v>
      </c>
      <c r="K1298" t="str">
        <f t="shared" si="101"/>
        <v/>
      </c>
    </row>
    <row r="1299" spans="3:11" x14ac:dyDescent="0.25">
      <c r="C1299" t="s">
        <v>1864</v>
      </c>
      <c r="D1299" t="s">
        <v>1864</v>
      </c>
      <c r="E1299" t="s">
        <v>3150</v>
      </c>
      <c r="F1299" t="s">
        <v>1027</v>
      </c>
      <c r="G1299" t="str">
        <f t="shared" si="102"/>
        <v>G</v>
      </c>
      <c r="H1299" t="str">
        <f t="shared" si="103"/>
        <v>46</v>
      </c>
      <c r="I1299" t="str">
        <f t="shared" si="104"/>
        <v>463</v>
      </c>
      <c r="J1299" t="str">
        <f t="shared" si="105"/>
        <v>46371</v>
      </c>
      <c r="K1299" t="str">
        <f t="shared" si="101"/>
        <v>4637101</v>
      </c>
    </row>
    <row r="1300" spans="3:11" x14ac:dyDescent="0.25">
      <c r="C1300" t="s">
        <v>1864</v>
      </c>
      <c r="D1300" t="s">
        <v>1864</v>
      </c>
      <c r="E1300" t="s">
        <v>3151</v>
      </c>
      <c r="F1300" t="s">
        <v>1028</v>
      </c>
      <c r="G1300" t="str">
        <f t="shared" si="102"/>
        <v>G</v>
      </c>
      <c r="H1300" t="str">
        <f t="shared" si="103"/>
        <v>46</v>
      </c>
      <c r="I1300" t="str">
        <f t="shared" si="104"/>
        <v>463</v>
      </c>
      <c r="J1300" t="str">
        <f t="shared" si="105"/>
        <v>46371</v>
      </c>
      <c r="K1300" t="str">
        <f t="shared" si="101"/>
        <v>4637102</v>
      </c>
    </row>
    <row r="1301" spans="3:11" x14ac:dyDescent="0.25">
      <c r="C1301" t="s">
        <v>1864</v>
      </c>
      <c r="D1301" t="s">
        <v>1864</v>
      </c>
      <c r="E1301" t="s">
        <v>3152</v>
      </c>
      <c r="F1301" t="s">
        <v>1029</v>
      </c>
      <c r="G1301" t="str">
        <f t="shared" si="102"/>
        <v>G</v>
      </c>
      <c r="H1301" t="str">
        <f t="shared" si="103"/>
        <v>46</v>
      </c>
      <c r="I1301" t="str">
        <f t="shared" si="104"/>
        <v>463</v>
      </c>
      <c r="J1301" t="str">
        <f t="shared" si="105"/>
        <v>46371</v>
      </c>
      <c r="K1301" t="str">
        <f t="shared" si="101"/>
        <v>4637103</v>
      </c>
    </row>
    <row r="1302" spans="3:11" x14ac:dyDescent="0.25">
      <c r="C1302" t="s">
        <v>1864</v>
      </c>
      <c r="D1302" t="s">
        <v>1864</v>
      </c>
      <c r="E1302" t="s">
        <v>3153</v>
      </c>
      <c r="F1302" t="s">
        <v>1030</v>
      </c>
      <c r="G1302" t="str">
        <f t="shared" si="102"/>
        <v>G</v>
      </c>
      <c r="H1302" t="str">
        <f t="shared" si="103"/>
        <v>46</v>
      </c>
      <c r="I1302" t="str">
        <f t="shared" si="104"/>
        <v>463</v>
      </c>
      <c r="J1302" t="str">
        <f t="shared" si="105"/>
        <v>46371</v>
      </c>
      <c r="K1302" t="str">
        <f t="shared" si="101"/>
        <v>4637104</v>
      </c>
    </row>
    <row r="1303" spans="3:11" x14ac:dyDescent="0.25">
      <c r="C1303" t="s">
        <v>1864</v>
      </c>
      <c r="D1303" t="s">
        <v>1864</v>
      </c>
      <c r="E1303" t="s">
        <v>3154</v>
      </c>
      <c r="F1303" t="s">
        <v>1031</v>
      </c>
      <c r="G1303" t="str">
        <f t="shared" si="102"/>
        <v>G</v>
      </c>
      <c r="H1303" t="str">
        <f t="shared" si="103"/>
        <v>46</v>
      </c>
      <c r="I1303" t="str">
        <f t="shared" si="104"/>
        <v>463</v>
      </c>
      <c r="J1303" t="str">
        <f t="shared" si="105"/>
        <v>46371</v>
      </c>
      <c r="K1303" t="str">
        <f t="shared" si="101"/>
        <v>4637105</v>
      </c>
    </row>
    <row r="1304" spans="3:11" x14ac:dyDescent="0.25">
      <c r="C1304" t="s">
        <v>1864</v>
      </c>
      <c r="D1304" t="s">
        <v>1864</v>
      </c>
      <c r="E1304" t="s">
        <v>3155</v>
      </c>
      <c r="F1304" t="s">
        <v>1032</v>
      </c>
      <c r="G1304" t="str">
        <f t="shared" si="102"/>
        <v>G</v>
      </c>
      <c r="H1304" t="str">
        <f t="shared" si="103"/>
        <v>46</v>
      </c>
      <c r="I1304" t="str">
        <f t="shared" si="104"/>
        <v>463</v>
      </c>
      <c r="J1304" t="str">
        <f t="shared" si="105"/>
        <v>46371</v>
      </c>
      <c r="K1304" t="str">
        <f t="shared" si="101"/>
        <v>4637106</v>
      </c>
    </row>
    <row r="1305" spans="3:11" x14ac:dyDescent="0.25">
      <c r="C1305" t="s">
        <v>1864</v>
      </c>
      <c r="D1305" t="s">
        <v>1864</v>
      </c>
      <c r="E1305" t="s">
        <v>3156</v>
      </c>
      <c r="F1305" t="s">
        <v>1033</v>
      </c>
      <c r="G1305" t="str">
        <f t="shared" si="102"/>
        <v>G</v>
      </c>
      <c r="H1305" t="str">
        <f t="shared" si="103"/>
        <v>46</v>
      </c>
      <c r="I1305" t="str">
        <f t="shared" si="104"/>
        <v>463</v>
      </c>
      <c r="J1305" t="str">
        <f t="shared" si="105"/>
        <v>46371</v>
      </c>
      <c r="K1305" t="str">
        <f t="shared" si="101"/>
        <v>4637107</v>
      </c>
    </row>
    <row r="1306" spans="3:11" x14ac:dyDescent="0.25">
      <c r="C1306" t="s">
        <v>1864</v>
      </c>
      <c r="D1306" t="s">
        <v>1864</v>
      </c>
      <c r="E1306" t="s">
        <v>3157</v>
      </c>
      <c r="F1306" t="s">
        <v>1034</v>
      </c>
      <c r="G1306" t="str">
        <f t="shared" si="102"/>
        <v>G</v>
      </c>
      <c r="H1306" t="str">
        <f t="shared" si="103"/>
        <v>46</v>
      </c>
      <c r="I1306" t="str">
        <f t="shared" si="104"/>
        <v>463</v>
      </c>
      <c r="J1306" t="str">
        <f t="shared" si="105"/>
        <v>46371</v>
      </c>
      <c r="K1306" t="str">
        <f t="shared" si="101"/>
        <v>4637199</v>
      </c>
    </row>
    <row r="1307" spans="3:11" x14ac:dyDescent="0.25">
      <c r="C1307" t="s">
        <v>1864</v>
      </c>
      <c r="D1307" t="s">
        <v>3158</v>
      </c>
      <c r="E1307" t="s">
        <v>1864</v>
      </c>
      <c r="F1307" t="s">
        <v>1035</v>
      </c>
      <c r="G1307" t="str">
        <f t="shared" si="102"/>
        <v>G</v>
      </c>
      <c r="H1307" t="str">
        <f t="shared" si="103"/>
        <v>46</v>
      </c>
      <c r="I1307" t="str">
        <f t="shared" si="104"/>
        <v>463</v>
      </c>
      <c r="J1307" t="str">
        <f t="shared" si="105"/>
        <v>46397</v>
      </c>
      <c r="K1307" t="str">
        <f t="shared" si="101"/>
        <v/>
      </c>
    </row>
    <row r="1308" spans="3:11" x14ac:dyDescent="0.25">
      <c r="C1308" t="s">
        <v>1864</v>
      </c>
      <c r="D1308" t="s">
        <v>1864</v>
      </c>
      <c r="E1308" t="s">
        <v>3159</v>
      </c>
      <c r="F1308" t="s">
        <v>1035</v>
      </c>
      <c r="G1308" t="str">
        <f t="shared" si="102"/>
        <v>G</v>
      </c>
      <c r="H1308" t="str">
        <f t="shared" si="103"/>
        <v>46</v>
      </c>
      <c r="I1308" t="str">
        <f t="shared" si="104"/>
        <v>463</v>
      </c>
      <c r="J1308" t="str">
        <f t="shared" si="105"/>
        <v>46397</v>
      </c>
      <c r="K1308" t="str">
        <f t="shared" si="101"/>
        <v>4639701</v>
      </c>
    </row>
    <row r="1309" spans="3:11" x14ac:dyDescent="0.25">
      <c r="C1309" t="s">
        <v>1864</v>
      </c>
      <c r="D1309" t="s">
        <v>1864</v>
      </c>
      <c r="E1309" t="s">
        <v>3160</v>
      </c>
      <c r="F1309" t="s">
        <v>1036</v>
      </c>
      <c r="G1309" t="str">
        <f t="shared" si="102"/>
        <v>G</v>
      </c>
      <c r="H1309" t="str">
        <f t="shared" si="103"/>
        <v>46</v>
      </c>
      <c r="I1309" t="str">
        <f t="shared" si="104"/>
        <v>463</v>
      </c>
      <c r="J1309" t="str">
        <f t="shared" si="105"/>
        <v>46397</v>
      </c>
      <c r="K1309" t="str">
        <f t="shared" si="101"/>
        <v>4639702</v>
      </c>
    </row>
    <row r="1310" spans="3:11" x14ac:dyDescent="0.25">
      <c r="C1310" t="s">
        <v>3161</v>
      </c>
      <c r="D1310" t="s">
        <v>1864</v>
      </c>
      <c r="E1310" t="s">
        <v>1864</v>
      </c>
      <c r="F1310" t="s">
        <v>1037</v>
      </c>
      <c r="G1310" t="str">
        <f t="shared" si="102"/>
        <v>G</v>
      </c>
      <c r="H1310" t="str">
        <f t="shared" si="103"/>
        <v>46</v>
      </c>
      <c r="I1310" t="str">
        <f t="shared" si="104"/>
        <v>464</v>
      </c>
      <c r="J1310" t="str">
        <f t="shared" si="105"/>
        <v>46397</v>
      </c>
      <c r="K1310" t="str">
        <f t="shared" si="101"/>
        <v/>
      </c>
    </row>
    <row r="1311" spans="3:11" x14ac:dyDescent="0.25">
      <c r="C1311" t="s">
        <v>1864</v>
      </c>
      <c r="D1311" t="s">
        <v>3162</v>
      </c>
      <c r="E1311" t="s">
        <v>1864</v>
      </c>
      <c r="F1311" t="s">
        <v>1038</v>
      </c>
      <c r="G1311" t="str">
        <f t="shared" si="102"/>
        <v>G</v>
      </c>
      <c r="H1311" t="str">
        <f t="shared" si="103"/>
        <v>46</v>
      </c>
      <c r="I1311" t="str">
        <f t="shared" si="104"/>
        <v>464</v>
      </c>
      <c r="J1311" t="str">
        <f t="shared" si="105"/>
        <v>46419</v>
      </c>
      <c r="K1311" t="str">
        <f t="shared" si="101"/>
        <v/>
      </c>
    </row>
    <row r="1312" spans="3:11" x14ac:dyDescent="0.25">
      <c r="C1312" t="s">
        <v>1864</v>
      </c>
      <c r="D1312" t="s">
        <v>1864</v>
      </c>
      <c r="E1312" t="s">
        <v>3163</v>
      </c>
      <c r="F1312" t="s">
        <v>1039</v>
      </c>
      <c r="G1312" t="str">
        <f t="shared" si="102"/>
        <v>G</v>
      </c>
      <c r="H1312" t="str">
        <f t="shared" si="103"/>
        <v>46</v>
      </c>
      <c r="I1312" t="str">
        <f t="shared" si="104"/>
        <v>464</v>
      </c>
      <c r="J1312" t="str">
        <f t="shared" si="105"/>
        <v>46419</v>
      </c>
      <c r="K1312" t="str">
        <f t="shared" si="101"/>
        <v>4641901</v>
      </c>
    </row>
    <row r="1313" spans="3:11" x14ac:dyDescent="0.25">
      <c r="C1313" t="s">
        <v>1864</v>
      </c>
      <c r="D1313" t="s">
        <v>1864</v>
      </c>
      <c r="E1313" t="s">
        <v>3164</v>
      </c>
      <c r="F1313" t="s">
        <v>1040</v>
      </c>
      <c r="G1313" t="str">
        <f t="shared" si="102"/>
        <v>G</v>
      </c>
      <c r="H1313" t="str">
        <f t="shared" si="103"/>
        <v>46</v>
      </c>
      <c r="I1313" t="str">
        <f t="shared" si="104"/>
        <v>464</v>
      </c>
      <c r="J1313" t="str">
        <f t="shared" si="105"/>
        <v>46419</v>
      </c>
      <c r="K1313" t="str">
        <f t="shared" si="101"/>
        <v>4641902</v>
      </c>
    </row>
    <row r="1314" spans="3:11" x14ac:dyDescent="0.25">
      <c r="C1314" t="s">
        <v>1864</v>
      </c>
      <c r="D1314" t="s">
        <v>1864</v>
      </c>
      <c r="E1314" t="s">
        <v>3165</v>
      </c>
      <c r="F1314" t="s">
        <v>1041</v>
      </c>
      <c r="G1314" t="str">
        <f t="shared" si="102"/>
        <v>G</v>
      </c>
      <c r="H1314" t="str">
        <f t="shared" si="103"/>
        <v>46</v>
      </c>
      <c r="I1314" t="str">
        <f t="shared" si="104"/>
        <v>464</v>
      </c>
      <c r="J1314" t="str">
        <f t="shared" si="105"/>
        <v>46419</v>
      </c>
      <c r="K1314" t="str">
        <f t="shared" si="101"/>
        <v>4641903</v>
      </c>
    </row>
    <row r="1315" spans="3:11" x14ac:dyDescent="0.25">
      <c r="C1315" t="s">
        <v>1864</v>
      </c>
      <c r="D1315" t="s">
        <v>3166</v>
      </c>
      <c r="E1315" t="s">
        <v>1864</v>
      </c>
      <c r="F1315" t="s">
        <v>1042</v>
      </c>
      <c r="G1315" t="str">
        <f t="shared" si="102"/>
        <v>G</v>
      </c>
      <c r="H1315" t="str">
        <f t="shared" si="103"/>
        <v>46</v>
      </c>
      <c r="I1315" t="str">
        <f t="shared" si="104"/>
        <v>464</v>
      </c>
      <c r="J1315" t="str">
        <f t="shared" si="105"/>
        <v>46427</v>
      </c>
      <c r="K1315" t="str">
        <f t="shared" si="101"/>
        <v/>
      </c>
    </row>
    <row r="1316" spans="3:11" x14ac:dyDescent="0.25">
      <c r="C1316" t="s">
        <v>1864</v>
      </c>
      <c r="D1316" t="s">
        <v>1864</v>
      </c>
      <c r="E1316" t="s">
        <v>3167</v>
      </c>
      <c r="F1316" t="s">
        <v>1043</v>
      </c>
      <c r="G1316" t="str">
        <f t="shared" si="102"/>
        <v>G</v>
      </c>
      <c r="H1316" t="str">
        <f t="shared" si="103"/>
        <v>46</v>
      </c>
      <c r="I1316" t="str">
        <f t="shared" si="104"/>
        <v>464</v>
      </c>
      <c r="J1316" t="str">
        <f t="shared" si="105"/>
        <v>46427</v>
      </c>
      <c r="K1316" t="str">
        <f t="shared" si="101"/>
        <v>4642701</v>
      </c>
    </row>
    <row r="1317" spans="3:11" x14ac:dyDescent="0.25">
      <c r="C1317" t="s">
        <v>1864</v>
      </c>
      <c r="D1317" t="s">
        <v>1864</v>
      </c>
      <c r="E1317" t="s">
        <v>3168</v>
      </c>
      <c r="F1317" t="s">
        <v>1044</v>
      </c>
      <c r="G1317" t="str">
        <f t="shared" si="102"/>
        <v>G</v>
      </c>
      <c r="H1317" t="str">
        <f t="shared" si="103"/>
        <v>46</v>
      </c>
      <c r="I1317" t="str">
        <f t="shared" si="104"/>
        <v>464</v>
      </c>
      <c r="J1317" t="str">
        <f t="shared" si="105"/>
        <v>46427</v>
      </c>
      <c r="K1317" t="str">
        <f t="shared" si="101"/>
        <v>4642702</v>
      </c>
    </row>
    <row r="1318" spans="3:11" x14ac:dyDescent="0.25">
      <c r="C1318" t="s">
        <v>1864</v>
      </c>
      <c r="D1318" t="s">
        <v>3169</v>
      </c>
      <c r="E1318" t="s">
        <v>1864</v>
      </c>
      <c r="F1318" t="s">
        <v>1045</v>
      </c>
      <c r="G1318" t="str">
        <f t="shared" si="102"/>
        <v>G</v>
      </c>
      <c r="H1318" t="str">
        <f t="shared" si="103"/>
        <v>46</v>
      </c>
      <c r="I1318" t="str">
        <f t="shared" si="104"/>
        <v>464</v>
      </c>
      <c r="J1318" t="str">
        <f t="shared" si="105"/>
        <v>46435</v>
      </c>
      <c r="K1318" t="str">
        <f t="shared" si="101"/>
        <v/>
      </c>
    </row>
    <row r="1319" spans="3:11" x14ac:dyDescent="0.25">
      <c r="C1319" t="s">
        <v>1864</v>
      </c>
      <c r="D1319" t="s">
        <v>1864</v>
      </c>
      <c r="E1319" t="s">
        <v>3170</v>
      </c>
      <c r="F1319" t="s">
        <v>1046</v>
      </c>
      <c r="G1319" t="str">
        <f t="shared" si="102"/>
        <v>G</v>
      </c>
      <c r="H1319" t="str">
        <f t="shared" si="103"/>
        <v>46</v>
      </c>
      <c r="I1319" t="str">
        <f t="shared" si="104"/>
        <v>464</v>
      </c>
      <c r="J1319" t="str">
        <f t="shared" si="105"/>
        <v>46435</v>
      </c>
      <c r="K1319" t="str">
        <f t="shared" si="101"/>
        <v>4643501</v>
      </c>
    </row>
    <row r="1320" spans="3:11" x14ac:dyDescent="0.25">
      <c r="C1320" t="s">
        <v>1864</v>
      </c>
      <c r="D1320" t="s">
        <v>1864</v>
      </c>
      <c r="E1320" t="s">
        <v>3171</v>
      </c>
      <c r="F1320" t="s">
        <v>1047</v>
      </c>
      <c r="G1320" t="str">
        <f t="shared" si="102"/>
        <v>G</v>
      </c>
      <c r="H1320" t="str">
        <f t="shared" si="103"/>
        <v>46</v>
      </c>
      <c r="I1320" t="str">
        <f t="shared" si="104"/>
        <v>464</v>
      </c>
      <c r="J1320" t="str">
        <f t="shared" si="105"/>
        <v>46435</v>
      </c>
      <c r="K1320" t="str">
        <f t="shared" si="101"/>
        <v>4643502</v>
      </c>
    </row>
    <row r="1321" spans="3:11" x14ac:dyDescent="0.25">
      <c r="C1321" t="s">
        <v>1864</v>
      </c>
      <c r="D1321" t="s">
        <v>3172</v>
      </c>
      <c r="E1321" t="s">
        <v>1864</v>
      </c>
      <c r="F1321" t="s">
        <v>1048</v>
      </c>
      <c r="G1321" t="str">
        <f t="shared" si="102"/>
        <v>G</v>
      </c>
      <c r="H1321" t="str">
        <f t="shared" si="103"/>
        <v>46</v>
      </c>
      <c r="I1321" t="str">
        <f t="shared" si="104"/>
        <v>464</v>
      </c>
      <c r="J1321" t="str">
        <f t="shared" si="105"/>
        <v>46443</v>
      </c>
      <c r="K1321" t="str">
        <f t="shared" si="101"/>
        <v/>
      </c>
    </row>
    <row r="1322" spans="3:11" x14ac:dyDescent="0.25">
      <c r="C1322" t="s">
        <v>1864</v>
      </c>
      <c r="D1322" t="s">
        <v>1864</v>
      </c>
      <c r="E1322" t="s">
        <v>3173</v>
      </c>
      <c r="F1322" t="s">
        <v>1049</v>
      </c>
      <c r="G1322" t="str">
        <f t="shared" si="102"/>
        <v>G</v>
      </c>
      <c r="H1322" t="str">
        <f t="shared" si="103"/>
        <v>46</v>
      </c>
      <c r="I1322" t="str">
        <f t="shared" si="104"/>
        <v>464</v>
      </c>
      <c r="J1322" t="str">
        <f t="shared" si="105"/>
        <v>46443</v>
      </c>
      <c r="K1322" t="str">
        <f t="shared" si="101"/>
        <v>4644301</v>
      </c>
    </row>
    <row r="1323" spans="3:11" x14ac:dyDescent="0.25">
      <c r="C1323" t="s">
        <v>1864</v>
      </c>
      <c r="D1323" t="s">
        <v>1864</v>
      </c>
      <c r="E1323" t="s">
        <v>3174</v>
      </c>
      <c r="F1323" t="s">
        <v>1050</v>
      </c>
      <c r="G1323" t="str">
        <f t="shared" si="102"/>
        <v>G</v>
      </c>
      <c r="H1323" t="str">
        <f t="shared" si="103"/>
        <v>46</v>
      </c>
      <c r="I1323" t="str">
        <f t="shared" si="104"/>
        <v>464</v>
      </c>
      <c r="J1323" t="str">
        <f t="shared" si="105"/>
        <v>46443</v>
      </c>
      <c r="K1323" t="str">
        <f t="shared" si="101"/>
        <v>4644302</v>
      </c>
    </row>
    <row r="1324" spans="3:11" x14ac:dyDescent="0.25">
      <c r="C1324" t="s">
        <v>1864</v>
      </c>
      <c r="D1324" t="s">
        <v>3175</v>
      </c>
      <c r="E1324" t="s">
        <v>1864</v>
      </c>
      <c r="F1324" t="s">
        <v>1051</v>
      </c>
      <c r="G1324" t="str">
        <f t="shared" si="102"/>
        <v>G</v>
      </c>
      <c r="H1324" t="str">
        <f t="shared" si="103"/>
        <v>46</v>
      </c>
      <c r="I1324" t="str">
        <f t="shared" si="104"/>
        <v>464</v>
      </c>
      <c r="J1324" t="str">
        <f t="shared" si="105"/>
        <v>46451</v>
      </c>
      <c r="K1324" t="str">
        <f t="shared" si="101"/>
        <v/>
      </c>
    </row>
    <row r="1325" spans="3:11" x14ac:dyDescent="0.25">
      <c r="C1325" t="s">
        <v>1864</v>
      </c>
      <c r="D1325" t="s">
        <v>1864</v>
      </c>
      <c r="E1325" t="s">
        <v>3176</v>
      </c>
      <c r="F1325" t="s">
        <v>1052</v>
      </c>
      <c r="G1325" t="str">
        <f t="shared" si="102"/>
        <v>G</v>
      </c>
      <c r="H1325" t="str">
        <f t="shared" si="103"/>
        <v>46</v>
      </c>
      <c r="I1325" t="str">
        <f t="shared" si="104"/>
        <v>464</v>
      </c>
      <c r="J1325" t="str">
        <f t="shared" si="105"/>
        <v>46451</v>
      </c>
      <c r="K1325" t="str">
        <f t="shared" si="101"/>
        <v>4645101</v>
      </c>
    </row>
    <row r="1326" spans="3:11" x14ac:dyDescent="0.25">
      <c r="C1326" t="s">
        <v>1864</v>
      </c>
      <c r="D1326" t="s">
        <v>1864</v>
      </c>
      <c r="E1326" t="s">
        <v>3177</v>
      </c>
      <c r="F1326" t="s">
        <v>1053</v>
      </c>
      <c r="G1326" t="str">
        <f t="shared" si="102"/>
        <v>G</v>
      </c>
      <c r="H1326" t="str">
        <f t="shared" si="103"/>
        <v>46</v>
      </c>
      <c r="I1326" t="str">
        <f t="shared" si="104"/>
        <v>464</v>
      </c>
      <c r="J1326" t="str">
        <f t="shared" si="105"/>
        <v>46451</v>
      </c>
      <c r="K1326" t="str">
        <f t="shared" si="101"/>
        <v>4645102</v>
      </c>
    </row>
    <row r="1327" spans="3:11" x14ac:dyDescent="0.25">
      <c r="C1327" t="s">
        <v>1864</v>
      </c>
      <c r="D1327" t="s">
        <v>1864</v>
      </c>
      <c r="E1327" t="s">
        <v>3178</v>
      </c>
      <c r="F1327" t="s">
        <v>1054</v>
      </c>
      <c r="G1327" t="str">
        <f t="shared" si="102"/>
        <v>G</v>
      </c>
      <c r="H1327" t="str">
        <f t="shared" si="103"/>
        <v>46</v>
      </c>
      <c r="I1327" t="str">
        <f t="shared" si="104"/>
        <v>464</v>
      </c>
      <c r="J1327" t="str">
        <f t="shared" si="105"/>
        <v>46451</v>
      </c>
      <c r="K1327" t="str">
        <f t="shared" si="101"/>
        <v>4645103</v>
      </c>
    </row>
    <row r="1328" spans="3:11" x14ac:dyDescent="0.25">
      <c r="C1328" t="s">
        <v>1864</v>
      </c>
      <c r="D1328" t="s">
        <v>3179</v>
      </c>
      <c r="E1328" t="s">
        <v>1864</v>
      </c>
      <c r="F1328" t="s">
        <v>1055</v>
      </c>
      <c r="G1328" t="str">
        <f t="shared" si="102"/>
        <v>G</v>
      </c>
      <c r="H1328" t="str">
        <f t="shared" si="103"/>
        <v>46</v>
      </c>
      <c r="I1328" t="str">
        <f t="shared" si="104"/>
        <v>464</v>
      </c>
      <c r="J1328" t="str">
        <f t="shared" si="105"/>
        <v>46460</v>
      </c>
      <c r="K1328" t="str">
        <f t="shared" si="101"/>
        <v/>
      </c>
    </row>
    <row r="1329" spans="3:11" x14ac:dyDescent="0.25">
      <c r="C1329" t="s">
        <v>1864</v>
      </c>
      <c r="D1329" t="s">
        <v>1864</v>
      </c>
      <c r="E1329" t="s">
        <v>3180</v>
      </c>
      <c r="F1329" t="s">
        <v>1056</v>
      </c>
      <c r="G1329" t="str">
        <f t="shared" si="102"/>
        <v>G</v>
      </c>
      <c r="H1329" t="str">
        <f t="shared" si="103"/>
        <v>46</v>
      </c>
      <c r="I1329" t="str">
        <f t="shared" si="104"/>
        <v>464</v>
      </c>
      <c r="J1329" t="str">
        <f t="shared" si="105"/>
        <v>46460</v>
      </c>
      <c r="K1329" t="str">
        <f t="shared" si="101"/>
        <v>4646001</v>
      </c>
    </row>
    <row r="1330" spans="3:11" x14ac:dyDescent="0.25">
      <c r="C1330" t="s">
        <v>1864</v>
      </c>
      <c r="D1330" t="s">
        <v>1864</v>
      </c>
      <c r="E1330" t="s">
        <v>3181</v>
      </c>
      <c r="F1330" t="s">
        <v>1057</v>
      </c>
      <c r="G1330" t="str">
        <f t="shared" si="102"/>
        <v>G</v>
      </c>
      <c r="H1330" t="str">
        <f t="shared" si="103"/>
        <v>46</v>
      </c>
      <c r="I1330" t="str">
        <f t="shared" si="104"/>
        <v>464</v>
      </c>
      <c r="J1330" t="str">
        <f t="shared" si="105"/>
        <v>46460</v>
      </c>
      <c r="K1330" t="str">
        <f t="shared" si="101"/>
        <v>4646002</v>
      </c>
    </row>
    <row r="1331" spans="3:11" x14ac:dyDescent="0.25">
      <c r="C1331" t="s">
        <v>1864</v>
      </c>
      <c r="D1331" t="s">
        <v>3182</v>
      </c>
      <c r="E1331" t="s">
        <v>1864</v>
      </c>
      <c r="F1331" t="s">
        <v>1058</v>
      </c>
      <c r="G1331" t="str">
        <f t="shared" si="102"/>
        <v>G</v>
      </c>
      <c r="H1331" t="str">
        <f t="shared" si="103"/>
        <v>46</v>
      </c>
      <c r="I1331" t="str">
        <f t="shared" si="104"/>
        <v>464</v>
      </c>
      <c r="J1331" t="str">
        <f t="shared" si="105"/>
        <v>46478</v>
      </c>
      <c r="K1331" t="str">
        <f t="shared" si="101"/>
        <v/>
      </c>
    </row>
    <row r="1332" spans="3:11" x14ac:dyDescent="0.25">
      <c r="C1332" t="s">
        <v>1864</v>
      </c>
      <c r="D1332" t="s">
        <v>1864</v>
      </c>
      <c r="E1332" t="s">
        <v>3183</v>
      </c>
      <c r="F1332" t="s">
        <v>1059</v>
      </c>
      <c r="G1332" t="str">
        <f t="shared" si="102"/>
        <v>G</v>
      </c>
      <c r="H1332" t="str">
        <f t="shared" si="103"/>
        <v>46</v>
      </c>
      <c r="I1332" t="str">
        <f t="shared" si="104"/>
        <v>464</v>
      </c>
      <c r="J1332" t="str">
        <f t="shared" si="105"/>
        <v>46478</v>
      </c>
      <c r="K1332" t="str">
        <f t="shared" si="101"/>
        <v>4647801</v>
      </c>
    </row>
    <row r="1333" spans="3:11" x14ac:dyDescent="0.25">
      <c r="C1333" t="s">
        <v>1864</v>
      </c>
      <c r="D1333" t="s">
        <v>1864</v>
      </c>
      <c r="E1333" t="s">
        <v>3184</v>
      </c>
      <c r="F1333" t="s">
        <v>1060</v>
      </c>
      <c r="G1333" t="str">
        <f t="shared" si="102"/>
        <v>G</v>
      </c>
      <c r="H1333" t="str">
        <f t="shared" si="103"/>
        <v>46</v>
      </c>
      <c r="I1333" t="str">
        <f t="shared" si="104"/>
        <v>464</v>
      </c>
      <c r="J1333" t="str">
        <f t="shared" si="105"/>
        <v>46478</v>
      </c>
      <c r="K1333" t="str">
        <f t="shared" si="101"/>
        <v>4647802</v>
      </c>
    </row>
    <row r="1334" spans="3:11" x14ac:dyDescent="0.25">
      <c r="C1334" t="s">
        <v>1864</v>
      </c>
      <c r="D1334" t="s">
        <v>3185</v>
      </c>
      <c r="E1334" t="s">
        <v>1864</v>
      </c>
      <c r="F1334" t="s">
        <v>1061</v>
      </c>
      <c r="G1334" t="str">
        <f t="shared" si="102"/>
        <v>G</v>
      </c>
      <c r="H1334" t="str">
        <f t="shared" si="103"/>
        <v>46</v>
      </c>
      <c r="I1334" t="str">
        <f t="shared" si="104"/>
        <v>464</v>
      </c>
      <c r="J1334" t="str">
        <f t="shared" si="105"/>
        <v>46494</v>
      </c>
      <c r="K1334" t="str">
        <f t="shared" si="101"/>
        <v/>
      </c>
    </row>
    <row r="1335" spans="3:11" x14ac:dyDescent="0.25">
      <c r="C1335" t="s">
        <v>1864</v>
      </c>
      <c r="D1335" t="s">
        <v>1864</v>
      </c>
      <c r="E1335" t="s">
        <v>3186</v>
      </c>
      <c r="F1335" t="s">
        <v>1062</v>
      </c>
      <c r="G1335" t="str">
        <f t="shared" si="102"/>
        <v>G</v>
      </c>
      <c r="H1335" t="str">
        <f t="shared" si="103"/>
        <v>46</v>
      </c>
      <c r="I1335" t="str">
        <f t="shared" si="104"/>
        <v>464</v>
      </c>
      <c r="J1335" t="str">
        <f t="shared" si="105"/>
        <v>46494</v>
      </c>
      <c r="K1335" t="str">
        <f t="shared" si="101"/>
        <v>4649401</v>
      </c>
    </row>
    <row r="1336" spans="3:11" x14ac:dyDescent="0.25">
      <c r="C1336" t="s">
        <v>1864</v>
      </c>
      <c r="D1336" t="s">
        <v>1864</v>
      </c>
      <c r="E1336" t="s">
        <v>3187</v>
      </c>
      <c r="F1336" t="s">
        <v>1063</v>
      </c>
      <c r="G1336" t="str">
        <f t="shared" si="102"/>
        <v>G</v>
      </c>
      <c r="H1336" t="str">
        <f t="shared" si="103"/>
        <v>46</v>
      </c>
      <c r="I1336" t="str">
        <f t="shared" si="104"/>
        <v>464</v>
      </c>
      <c r="J1336" t="str">
        <f t="shared" si="105"/>
        <v>46494</v>
      </c>
      <c r="K1336" t="str">
        <f t="shared" si="101"/>
        <v>4649402</v>
      </c>
    </row>
    <row r="1337" spans="3:11" x14ac:dyDescent="0.25">
      <c r="C1337" t="s">
        <v>1864</v>
      </c>
      <c r="D1337" t="s">
        <v>1864</v>
      </c>
      <c r="E1337" t="s">
        <v>3188</v>
      </c>
      <c r="F1337" t="s">
        <v>1064</v>
      </c>
      <c r="G1337" t="str">
        <f t="shared" si="102"/>
        <v>G</v>
      </c>
      <c r="H1337" t="str">
        <f t="shared" si="103"/>
        <v>46</v>
      </c>
      <c r="I1337" t="str">
        <f t="shared" si="104"/>
        <v>464</v>
      </c>
      <c r="J1337" t="str">
        <f t="shared" si="105"/>
        <v>46494</v>
      </c>
      <c r="K1337" t="str">
        <f t="shared" si="101"/>
        <v>4649403</v>
      </c>
    </row>
    <row r="1338" spans="3:11" x14ac:dyDescent="0.25">
      <c r="C1338" t="s">
        <v>1864</v>
      </c>
      <c r="D1338" t="s">
        <v>1864</v>
      </c>
      <c r="E1338" t="s">
        <v>3189</v>
      </c>
      <c r="F1338" t="s">
        <v>1065</v>
      </c>
      <c r="G1338" t="str">
        <f t="shared" si="102"/>
        <v>G</v>
      </c>
      <c r="H1338" t="str">
        <f t="shared" si="103"/>
        <v>46</v>
      </c>
      <c r="I1338" t="str">
        <f t="shared" si="104"/>
        <v>464</v>
      </c>
      <c r="J1338" t="str">
        <f t="shared" si="105"/>
        <v>46494</v>
      </c>
      <c r="K1338" t="str">
        <f t="shared" si="101"/>
        <v>4649404</v>
      </c>
    </row>
    <row r="1339" spans="3:11" x14ac:dyDescent="0.25">
      <c r="C1339" t="s">
        <v>1864</v>
      </c>
      <c r="D1339" t="s">
        <v>1864</v>
      </c>
      <c r="E1339" t="s">
        <v>3190</v>
      </c>
      <c r="F1339" t="s">
        <v>1066</v>
      </c>
      <c r="G1339" t="str">
        <f t="shared" si="102"/>
        <v>G</v>
      </c>
      <c r="H1339" t="str">
        <f t="shared" si="103"/>
        <v>46</v>
      </c>
      <c r="I1339" t="str">
        <f t="shared" si="104"/>
        <v>464</v>
      </c>
      <c r="J1339" t="str">
        <f t="shared" si="105"/>
        <v>46494</v>
      </c>
      <c r="K1339" t="str">
        <f t="shared" si="101"/>
        <v>4649405</v>
      </c>
    </row>
    <row r="1340" spans="3:11" x14ac:dyDescent="0.25">
      <c r="C1340" t="s">
        <v>1864</v>
      </c>
      <c r="D1340" t="s">
        <v>1864</v>
      </c>
      <c r="E1340" t="s">
        <v>3191</v>
      </c>
      <c r="F1340" t="s">
        <v>1067</v>
      </c>
      <c r="G1340" t="str">
        <f t="shared" si="102"/>
        <v>G</v>
      </c>
      <c r="H1340" t="str">
        <f t="shared" si="103"/>
        <v>46</v>
      </c>
      <c r="I1340" t="str">
        <f t="shared" si="104"/>
        <v>464</v>
      </c>
      <c r="J1340" t="str">
        <f t="shared" si="105"/>
        <v>46494</v>
      </c>
      <c r="K1340" t="str">
        <f t="shared" si="101"/>
        <v>4649406</v>
      </c>
    </row>
    <row r="1341" spans="3:11" x14ac:dyDescent="0.25">
      <c r="C1341" t="s">
        <v>1864</v>
      </c>
      <c r="D1341" t="s">
        <v>1864</v>
      </c>
      <c r="E1341" t="s">
        <v>3192</v>
      </c>
      <c r="F1341" t="s">
        <v>1068</v>
      </c>
      <c r="G1341" t="str">
        <f t="shared" si="102"/>
        <v>G</v>
      </c>
      <c r="H1341" t="str">
        <f t="shared" si="103"/>
        <v>46</v>
      </c>
      <c r="I1341" t="str">
        <f t="shared" si="104"/>
        <v>464</v>
      </c>
      <c r="J1341" t="str">
        <f t="shared" si="105"/>
        <v>46494</v>
      </c>
      <c r="K1341" t="str">
        <f t="shared" si="101"/>
        <v>4649407</v>
      </c>
    </row>
    <row r="1342" spans="3:11" x14ac:dyDescent="0.25">
      <c r="C1342" t="s">
        <v>1864</v>
      </c>
      <c r="D1342" t="s">
        <v>1864</v>
      </c>
      <c r="E1342" t="s">
        <v>3193</v>
      </c>
      <c r="F1342" t="s">
        <v>1069</v>
      </c>
      <c r="G1342" t="str">
        <f t="shared" si="102"/>
        <v>G</v>
      </c>
      <c r="H1342" t="str">
        <f t="shared" si="103"/>
        <v>46</v>
      </c>
      <c r="I1342" t="str">
        <f t="shared" si="104"/>
        <v>464</v>
      </c>
      <c r="J1342" t="str">
        <f t="shared" si="105"/>
        <v>46494</v>
      </c>
      <c r="K1342" t="str">
        <f t="shared" si="101"/>
        <v>4649408</v>
      </c>
    </row>
    <row r="1343" spans="3:11" x14ac:dyDescent="0.25">
      <c r="C1343" t="s">
        <v>1864</v>
      </c>
      <c r="D1343" t="s">
        <v>1864</v>
      </c>
      <c r="E1343" t="s">
        <v>3194</v>
      </c>
      <c r="F1343" t="s">
        <v>1070</v>
      </c>
      <c r="G1343" t="str">
        <f t="shared" si="102"/>
        <v>G</v>
      </c>
      <c r="H1343" t="str">
        <f t="shared" si="103"/>
        <v>46</v>
      </c>
      <c r="I1343" t="str">
        <f t="shared" si="104"/>
        <v>464</v>
      </c>
      <c r="J1343" t="str">
        <f t="shared" si="105"/>
        <v>46494</v>
      </c>
      <c r="K1343" t="str">
        <f t="shared" si="101"/>
        <v>4649409</v>
      </c>
    </row>
    <row r="1344" spans="3:11" x14ac:dyDescent="0.25">
      <c r="C1344" t="s">
        <v>1864</v>
      </c>
      <c r="D1344" t="s">
        <v>1864</v>
      </c>
      <c r="E1344" t="s">
        <v>3195</v>
      </c>
      <c r="F1344" t="s">
        <v>1071</v>
      </c>
      <c r="G1344" t="str">
        <f t="shared" si="102"/>
        <v>G</v>
      </c>
      <c r="H1344" t="str">
        <f t="shared" si="103"/>
        <v>46</v>
      </c>
      <c r="I1344" t="str">
        <f t="shared" si="104"/>
        <v>464</v>
      </c>
      <c r="J1344" t="str">
        <f t="shared" si="105"/>
        <v>46494</v>
      </c>
      <c r="K1344" t="str">
        <f t="shared" si="101"/>
        <v>4649410</v>
      </c>
    </row>
    <row r="1345" spans="3:11" x14ac:dyDescent="0.25">
      <c r="C1345" t="s">
        <v>1864</v>
      </c>
      <c r="D1345" t="s">
        <v>1864</v>
      </c>
      <c r="E1345" t="s">
        <v>3196</v>
      </c>
      <c r="F1345" t="s">
        <v>1072</v>
      </c>
      <c r="G1345" t="str">
        <f t="shared" si="102"/>
        <v>G</v>
      </c>
      <c r="H1345" t="str">
        <f t="shared" si="103"/>
        <v>46</v>
      </c>
      <c r="I1345" t="str">
        <f t="shared" si="104"/>
        <v>464</v>
      </c>
      <c r="J1345" t="str">
        <f t="shared" si="105"/>
        <v>46494</v>
      </c>
      <c r="K1345" t="str">
        <f t="shared" si="101"/>
        <v>4649499</v>
      </c>
    </row>
    <row r="1346" spans="3:11" x14ac:dyDescent="0.25">
      <c r="C1346" t="s">
        <v>3197</v>
      </c>
      <c r="D1346" t="s">
        <v>1864</v>
      </c>
      <c r="E1346" t="s">
        <v>1864</v>
      </c>
      <c r="F1346" t="s">
        <v>1073</v>
      </c>
      <c r="G1346" t="str">
        <f t="shared" si="102"/>
        <v>G</v>
      </c>
      <c r="H1346" t="str">
        <f t="shared" si="103"/>
        <v>46</v>
      </c>
      <c r="I1346" t="str">
        <f t="shared" si="104"/>
        <v>465</v>
      </c>
      <c r="J1346" t="str">
        <f t="shared" si="105"/>
        <v>46494</v>
      </c>
      <c r="K1346" t="str">
        <f t="shared" si="101"/>
        <v/>
      </c>
    </row>
    <row r="1347" spans="3:11" x14ac:dyDescent="0.25">
      <c r="C1347" t="s">
        <v>1864</v>
      </c>
      <c r="D1347" t="s">
        <v>3198</v>
      </c>
      <c r="E1347" t="s">
        <v>1864</v>
      </c>
      <c r="F1347" t="s">
        <v>1074</v>
      </c>
      <c r="G1347" t="str">
        <f t="shared" si="102"/>
        <v>G</v>
      </c>
      <c r="H1347" t="str">
        <f t="shared" si="103"/>
        <v>46</v>
      </c>
      <c r="I1347" t="str">
        <f t="shared" si="104"/>
        <v>465</v>
      </c>
      <c r="J1347" t="str">
        <f t="shared" si="105"/>
        <v>46516</v>
      </c>
      <c r="K1347" t="str">
        <f t="shared" si="101"/>
        <v/>
      </c>
    </row>
    <row r="1348" spans="3:11" x14ac:dyDescent="0.25">
      <c r="C1348" t="s">
        <v>1864</v>
      </c>
      <c r="D1348" t="s">
        <v>1864</v>
      </c>
      <c r="E1348" t="s">
        <v>3199</v>
      </c>
      <c r="F1348" t="s">
        <v>1075</v>
      </c>
      <c r="G1348" t="str">
        <f t="shared" si="102"/>
        <v>G</v>
      </c>
      <c r="H1348" t="str">
        <f t="shared" si="103"/>
        <v>46</v>
      </c>
      <c r="I1348" t="str">
        <f t="shared" si="104"/>
        <v>465</v>
      </c>
      <c r="J1348" t="str">
        <f t="shared" si="105"/>
        <v>46516</v>
      </c>
      <c r="K1348" t="str">
        <f t="shared" si="101"/>
        <v>4651601</v>
      </c>
    </row>
    <row r="1349" spans="3:11" x14ac:dyDescent="0.25">
      <c r="C1349" t="s">
        <v>1864</v>
      </c>
      <c r="D1349" t="s">
        <v>1864</v>
      </c>
      <c r="E1349" t="s">
        <v>3200</v>
      </c>
      <c r="F1349" t="s">
        <v>1076</v>
      </c>
      <c r="G1349" t="str">
        <f t="shared" si="102"/>
        <v>G</v>
      </c>
      <c r="H1349" t="str">
        <f t="shared" si="103"/>
        <v>46</v>
      </c>
      <c r="I1349" t="str">
        <f t="shared" si="104"/>
        <v>465</v>
      </c>
      <c r="J1349" t="str">
        <f t="shared" si="105"/>
        <v>46516</v>
      </c>
      <c r="K1349" t="str">
        <f t="shared" si="101"/>
        <v>4651602</v>
      </c>
    </row>
    <row r="1350" spans="3:11" x14ac:dyDescent="0.25">
      <c r="C1350" t="s">
        <v>1864</v>
      </c>
      <c r="D1350" t="s">
        <v>3201</v>
      </c>
      <c r="E1350" t="s">
        <v>1864</v>
      </c>
      <c r="F1350" t="s">
        <v>1077</v>
      </c>
      <c r="G1350" t="str">
        <f t="shared" si="102"/>
        <v>G</v>
      </c>
      <c r="H1350" t="str">
        <f t="shared" si="103"/>
        <v>46</v>
      </c>
      <c r="I1350" t="str">
        <f t="shared" si="104"/>
        <v>465</v>
      </c>
      <c r="J1350" t="str">
        <f t="shared" si="105"/>
        <v>46524</v>
      </c>
      <c r="K1350" t="str">
        <f t="shared" si="101"/>
        <v/>
      </c>
    </row>
    <row r="1351" spans="3:11" x14ac:dyDescent="0.25">
      <c r="C1351" t="s">
        <v>1864</v>
      </c>
      <c r="D1351" t="s">
        <v>1864</v>
      </c>
      <c r="E1351" t="s">
        <v>3202</v>
      </c>
      <c r="F1351" t="s">
        <v>1077</v>
      </c>
      <c r="G1351" t="str">
        <f t="shared" si="102"/>
        <v>G</v>
      </c>
      <c r="H1351" t="str">
        <f t="shared" si="103"/>
        <v>46</v>
      </c>
      <c r="I1351" t="str">
        <f t="shared" si="104"/>
        <v>465</v>
      </c>
      <c r="J1351" t="str">
        <f t="shared" si="105"/>
        <v>46524</v>
      </c>
      <c r="K1351" t="str">
        <f t="shared" si="101"/>
        <v>4652400</v>
      </c>
    </row>
    <row r="1352" spans="3:11" x14ac:dyDescent="0.25">
      <c r="C1352" t="s">
        <v>3203</v>
      </c>
      <c r="D1352" t="s">
        <v>1864</v>
      </c>
      <c r="E1352" t="s">
        <v>1864</v>
      </c>
      <c r="F1352" t="s">
        <v>1078</v>
      </c>
      <c r="G1352" t="str">
        <f t="shared" si="102"/>
        <v>G</v>
      </c>
      <c r="H1352" t="str">
        <f t="shared" si="103"/>
        <v>46</v>
      </c>
      <c r="I1352" t="str">
        <f t="shared" si="104"/>
        <v>466</v>
      </c>
      <c r="J1352" t="str">
        <f t="shared" si="105"/>
        <v>46524</v>
      </c>
      <c r="K1352" t="str">
        <f t="shared" ref="K1352:K1415" si="106">E1352</f>
        <v/>
      </c>
    </row>
    <row r="1353" spans="3:11" x14ac:dyDescent="0.25">
      <c r="C1353" t="s">
        <v>1864</v>
      </c>
      <c r="D1353" t="s">
        <v>3204</v>
      </c>
      <c r="E1353" t="s">
        <v>1864</v>
      </c>
      <c r="F1353" t="s">
        <v>1079</v>
      </c>
      <c r="G1353" t="str">
        <f t="shared" ref="G1353:G1416" si="107">IF(A1353="",G1352,A1353)</f>
        <v>G</v>
      </c>
      <c r="H1353" t="str">
        <f t="shared" ref="H1353:H1416" si="108">IF(B1353="",H1352,B1353)</f>
        <v>46</v>
      </c>
      <c r="I1353" t="str">
        <f t="shared" ref="I1353:I1416" si="109">IF(C1353="",I1352,C1353)</f>
        <v>466</v>
      </c>
      <c r="J1353" t="str">
        <f t="shared" ref="J1353:J1416" si="110">IF(D1353="",J1352,D1353)</f>
        <v>46613</v>
      </c>
      <c r="K1353" t="str">
        <f t="shared" si="106"/>
        <v/>
      </c>
    </row>
    <row r="1354" spans="3:11" x14ac:dyDescent="0.25">
      <c r="C1354" t="s">
        <v>1864</v>
      </c>
      <c r="D1354" t="s">
        <v>1864</v>
      </c>
      <c r="E1354" t="s">
        <v>3205</v>
      </c>
      <c r="F1354" t="s">
        <v>1079</v>
      </c>
      <c r="G1354" t="str">
        <f t="shared" si="107"/>
        <v>G</v>
      </c>
      <c r="H1354" t="str">
        <f t="shared" si="108"/>
        <v>46</v>
      </c>
      <c r="I1354" t="str">
        <f t="shared" si="109"/>
        <v>466</v>
      </c>
      <c r="J1354" t="str">
        <f t="shared" si="110"/>
        <v>46613</v>
      </c>
      <c r="K1354" t="str">
        <f t="shared" si="106"/>
        <v>4661300</v>
      </c>
    </row>
    <row r="1355" spans="3:11" x14ac:dyDescent="0.25">
      <c r="C1355" t="s">
        <v>1864</v>
      </c>
      <c r="D1355" t="s">
        <v>3206</v>
      </c>
      <c r="E1355" t="s">
        <v>1864</v>
      </c>
      <c r="F1355" t="s">
        <v>1080</v>
      </c>
      <c r="G1355" t="str">
        <f t="shared" si="107"/>
        <v>G</v>
      </c>
      <c r="H1355" t="str">
        <f t="shared" si="108"/>
        <v>46</v>
      </c>
      <c r="I1355" t="str">
        <f t="shared" si="109"/>
        <v>466</v>
      </c>
      <c r="J1355" t="str">
        <f t="shared" si="110"/>
        <v>46621</v>
      </c>
      <c r="K1355" t="str">
        <f t="shared" si="106"/>
        <v/>
      </c>
    </row>
    <row r="1356" spans="3:11" x14ac:dyDescent="0.25">
      <c r="C1356" t="s">
        <v>1864</v>
      </c>
      <c r="D1356" t="s">
        <v>1864</v>
      </c>
      <c r="E1356" t="s">
        <v>3207</v>
      </c>
      <c r="F1356" t="s">
        <v>1080</v>
      </c>
      <c r="G1356" t="str">
        <f t="shared" si="107"/>
        <v>G</v>
      </c>
      <c r="H1356" t="str">
        <f t="shared" si="108"/>
        <v>46</v>
      </c>
      <c r="I1356" t="str">
        <f t="shared" si="109"/>
        <v>466</v>
      </c>
      <c r="J1356" t="str">
        <f t="shared" si="110"/>
        <v>46621</v>
      </c>
      <c r="K1356" t="str">
        <f t="shared" si="106"/>
        <v>4662100</v>
      </c>
    </row>
    <row r="1357" spans="3:11" x14ac:dyDescent="0.25">
      <c r="C1357" t="s">
        <v>1864</v>
      </c>
      <c r="D1357" t="s">
        <v>3208</v>
      </c>
      <c r="E1357" t="s">
        <v>1864</v>
      </c>
      <c r="F1357" t="s">
        <v>1081</v>
      </c>
      <c r="G1357" t="str">
        <f t="shared" si="107"/>
        <v>G</v>
      </c>
      <c r="H1357" t="str">
        <f t="shared" si="108"/>
        <v>46</v>
      </c>
      <c r="I1357" t="str">
        <f t="shared" si="109"/>
        <v>466</v>
      </c>
      <c r="J1357" t="str">
        <f t="shared" si="110"/>
        <v>46630</v>
      </c>
      <c r="K1357" t="str">
        <f t="shared" si="106"/>
        <v/>
      </c>
    </row>
    <row r="1358" spans="3:11" x14ac:dyDescent="0.25">
      <c r="C1358" t="s">
        <v>1864</v>
      </c>
      <c r="D1358" t="s">
        <v>1864</v>
      </c>
      <c r="E1358" t="s">
        <v>3209</v>
      </c>
      <c r="F1358" t="s">
        <v>1081</v>
      </c>
      <c r="G1358" t="str">
        <f t="shared" si="107"/>
        <v>G</v>
      </c>
      <c r="H1358" t="str">
        <f t="shared" si="108"/>
        <v>46</v>
      </c>
      <c r="I1358" t="str">
        <f t="shared" si="109"/>
        <v>466</v>
      </c>
      <c r="J1358" t="str">
        <f t="shared" si="110"/>
        <v>46630</v>
      </c>
      <c r="K1358" t="str">
        <f t="shared" si="106"/>
        <v>4663000</v>
      </c>
    </row>
    <row r="1359" spans="3:11" x14ac:dyDescent="0.25">
      <c r="C1359" t="s">
        <v>1864</v>
      </c>
      <c r="D1359" t="s">
        <v>3210</v>
      </c>
      <c r="E1359" t="s">
        <v>1864</v>
      </c>
      <c r="F1359" t="s">
        <v>1082</v>
      </c>
      <c r="G1359" t="str">
        <f t="shared" si="107"/>
        <v>G</v>
      </c>
      <c r="H1359" t="str">
        <f t="shared" si="108"/>
        <v>46</v>
      </c>
      <c r="I1359" t="str">
        <f t="shared" si="109"/>
        <v>466</v>
      </c>
      <c r="J1359" t="str">
        <f t="shared" si="110"/>
        <v>46648</v>
      </c>
      <c r="K1359" t="str">
        <f t="shared" si="106"/>
        <v/>
      </c>
    </row>
    <row r="1360" spans="3:11" x14ac:dyDescent="0.25">
      <c r="C1360" t="s">
        <v>1864</v>
      </c>
      <c r="D1360" t="s">
        <v>1864</v>
      </c>
      <c r="E1360" t="s">
        <v>3211</v>
      </c>
      <c r="F1360" t="s">
        <v>1082</v>
      </c>
      <c r="G1360" t="str">
        <f t="shared" si="107"/>
        <v>G</v>
      </c>
      <c r="H1360" t="str">
        <f t="shared" si="108"/>
        <v>46</v>
      </c>
      <c r="I1360" t="str">
        <f t="shared" si="109"/>
        <v>466</v>
      </c>
      <c r="J1360" t="str">
        <f t="shared" si="110"/>
        <v>46648</v>
      </c>
      <c r="K1360" t="str">
        <f t="shared" si="106"/>
        <v>4664800</v>
      </c>
    </row>
    <row r="1361" spans="3:11" x14ac:dyDescent="0.25">
      <c r="C1361" t="s">
        <v>1864</v>
      </c>
      <c r="D1361" t="s">
        <v>3212</v>
      </c>
      <c r="E1361" t="s">
        <v>1864</v>
      </c>
      <c r="F1361" t="s">
        <v>1083</v>
      </c>
      <c r="G1361" t="str">
        <f t="shared" si="107"/>
        <v>G</v>
      </c>
      <c r="H1361" t="str">
        <f t="shared" si="108"/>
        <v>46</v>
      </c>
      <c r="I1361" t="str">
        <f t="shared" si="109"/>
        <v>466</v>
      </c>
      <c r="J1361" t="str">
        <f t="shared" si="110"/>
        <v>46656</v>
      </c>
      <c r="K1361" t="str">
        <f t="shared" si="106"/>
        <v/>
      </c>
    </row>
    <row r="1362" spans="3:11" x14ac:dyDescent="0.25">
      <c r="C1362" t="s">
        <v>1864</v>
      </c>
      <c r="D1362" t="s">
        <v>1864</v>
      </c>
      <c r="E1362" t="s">
        <v>3213</v>
      </c>
      <c r="F1362" t="s">
        <v>1083</v>
      </c>
      <c r="G1362" t="str">
        <f t="shared" si="107"/>
        <v>G</v>
      </c>
      <c r="H1362" t="str">
        <f t="shared" si="108"/>
        <v>46</v>
      </c>
      <c r="I1362" t="str">
        <f t="shared" si="109"/>
        <v>466</v>
      </c>
      <c r="J1362" t="str">
        <f t="shared" si="110"/>
        <v>46656</v>
      </c>
      <c r="K1362" t="str">
        <f t="shared" si="106"/>
        <v>4665600</v>
      </c>
    </row>
    <row r="1363" spans="3:11" x14ac:dyDescent="0.25">
      <c r="C1363" t="s">
        <v>1864</v>
      </c>
      <c r="D1363" t="s">
        <v>3214</v>
      </c>
      <c r="E1363" t="s">
        <v>1864</v>
      </c>
      <c r="F1363" t="s">
        <v>1084</v>
      </c>
      <c r="G1363" t="str">
        <f t="shared" si="107"/>
        <v>G</v>
      </c>
      <c r="H1363" t="str">
        <f t="shared" si="108"/>
        <v>46</v>
      </c>
      <c r="I1363" t="str">
        <f t="shared" si="109"/>
        <v>466</v>
      </c>
      <c r="J1363" t="str">
        <f t="shared" si="110"/>
        <v>46699</v>
      </c>
      <c r="K1363" t="str">
        <f t="shared" si="106"/>
        <v/>
      </c>
    </row>
    <row r="1364" spans="3:11" x14ac:dyDescent="0.25">
      <c r="C1364" t="s">
        <v>1864</v>
      </c>
      <c r="D1364" t="s">
        <v>1864</v>
      </c>
      <c r="E1364" t="s">
        <v>3215</v>
      </c>
      <c r="F1364" t="s">
        <v>1085</v>
      </c>
      <c r="G1364" t="str">
        <f t="shared" si="107"/>
        <v>G</v>
      </c>
      <c r="H1364" t="str">
        <f t="shared" si="108"/>
        <v>46</v>
      </c>
      <c r="I1364" t="str">
        <f t="shared" si="109"/>
        <v>466</v>
      </c>
      <c r="J1364" t="str">
        <f t="shared" si="110"/>
        <v>46699</v>
      </c>
      <c r="K1364" t="str">
        <f t="shared" si="106"/>
        <v>4669901</v>
      </c>
    </row>
    <row r="1365" spans="3:11" x14ac:dyDescent="0.25">
      <c r="C1365" t="s">
        <v>1864</v>
      </c>
      <c r="D1365" t="s">
        <v>1864</v>
      </c>
      <c r="E1365" t="s">
        <v>3216</v>
      </c>
      <c r="F1365" t="s">
        <v>1086</v>
      </c>
      <c r="G1365" t="str">
        <f t="shared" si="107"/>
        <v>G</v>
      </c>
      <c r="H1365" t="str">
        <f t="shared" si="108"/>
        <v>46</v>
      </c>
      <c r="I1365" t="str">
        <f t="shared" si="109"/>
        <v>466</v>
      </c>
      <c r="J1365" t="str">
        <f t="shared" si="110"/>
        <v>46699</v>
      </c>
      <c r="K1365" t="str">
        <f t="shared" si="106"/>
        <v>4669999</v>
      </c>
    </row>
    <row r="1366" spans="3:11" x14ac:dyDescent="0.25">
      <c r="C1366" t="s">
        <v>3217</v>
      </c>
      <c r="D1366" t="s">
        <v>1864</v>
      </c>
      <c r="E1366" t="s">
        <v>1864</v>
      </c>
      <c r="F1366" t="s">
        <v>1087</v>
      </c>
      <c r="G1366" t="str">
        <f t="shared" si="107"/>
        <v>G</v>
      </c>
      <c r="H1366" t="str">
        <f t="shared" si="108"/>
        <v>46</v>
      </c>
      <c r="I1366" t="str">
        <f t="shared" si="109"/>
        <v>467</v>
      </c>
      <c r="J1366" t="str">
        <f t="shared" si="110"/>
        <v>46699</v>
      </c>
      <c r="K1366" t="str">
        <f t="shared" si="106"/>
        <v/>
      </c>
    </row>
    <row r="1367" spans="3:11" x14ac:dyDescent="0.25">
      <c r="C1367" t="s">
        <v>1864</v>
      </c>
      <c r="D1367" t="s">
        <v>3218</v>
      </c>
      <c r="E1367" t="s">
        <v>1864</v>
      </c>
      <c r="F1367" t="s">
        <v>1088</v>
      </c>
      <c r="G1367" t="str">
        <f t="shared" si="107"/>
        <v>G</v>
      </c>
      <c r="H1367" t="str">
        <f t="shared" si="108"/>
        <v>46</v>
      </c>
      <c r="I1367" t="str">
        <f t="shared" si="109"/>
        <v>467</v>
      </c>
      <c r="J1367" t="str">
        <f t="shared" si="110"/>
        <v>46711</v>
      </c>
      <c r="K1367" t="str">
        <f t="shared" si="106"/>
        <v/>
      </c>
    </row>
    <row r="1368" spans="3:11" x14ac:dyDescent="0.25">
      <c r="C1368" t="s">
        <v>1864</v>
      </c>
      <c r="D1368" t="s">
        <v>1864</v>
      </c>
      <c r="E1368" t="s">
        <v>3219</v>
      </c>
      <c r="F1368" t="s">
        <v>1088</v>
      </c>
      <c r="G1368" t="str">
        <f t="shared" si="107"/>
        <v>G</v>
      </c>
      <c r="H1368" t="str">
        <f t="shared" si="108"/>
        <v>46</v>
      </c>
      <c r="I1368" t="str">
        <f t="shared" si="109"/>
        <v>467</v>
      </c>
      <c r="J1368" t="str">
        <f t="shared" si="110"/>
        <v>46711</v>
      </c>
      <c r="K1368" t="str">
        <f t="shared" si="106"/>
        <v>4671100</v>
      </c>
    </row>
    <row r="1369" spans="3:11" x14ac:dyDescent="0.25">
      <c r="C1369" t="s">
        <v>1864</v>
      </c>
      <c r="D1369" t="s">
        <v>3220</v>
      </c>
      <c r="E1369" t="s">
        <v>1864</v>
      </c>
      <c r="F1369" t="s">
        <v>1089</v>
      </c>
      <c r="G1369" t="str">
        <f t="shared" si="107"/>
        <v>G</v>
      </c>
      <c r="H1369" t="str">
        <f t="shared" si="108"/>
        <v>46</v>
      </c>
      <c r="I1369" t="str">
        <f t="shared" si="109"/>
        <v>467</v>
      </c>
      <c r="J1369" t="str">
        <f t="shared" si="110"/>
        <v>46729</v>
      </c>
      <c r="K1369" t="str">
        <f t="shared" si="106"/>
        <v/>
      </c>
    </row>
    <row r="1370" spans="3:11" x14ac:dyDescent="0.25">
      <c r="C1370" t="s">
        <v>1864</v>
      </c>
      <c r="D1370" t="s">
        <v>1864</v>
      </c>
      <c r="E1370" t="s">
        <v>3221</v>
      </c>
      <c r="F1370" t="s">
        <v>1089</v>
      </c>
      <c r="G1370" t="str">
        <f t="shared" si="107"/>
        <v>G</v>
      </c>
      <c r="H1370" t="str">
        <f t="shared" si="108"/>
        <v>46</v>
      </c>
      <c r="I1370" t="str">
        <f t="shared" si="109"/>
        <v>467</v>
      </c>
      <c r="J1370" t="str">
        <f t="shared" si="110"/>
        <v>46729</v>
      </c>
      <c r="K1370" t="str">
        <f t="shared" si="106"/>
        <v>4672900</v>
      </c>
    </row>
    <row r="1371" spans="3:11" x14ac:dyDescent="0.25">
      <c r="C1371" t="s">
        <v>1864</v>
      </c>
      <c r="D1371" t="s">
        <v>3222</v>
      </c>
      <c r="E1371" t="s">
        <v>1864</v>
      </c>
      <c r="F1371" t="s">
        <v>1090</v>
      </c>
      <c r="G1371" t="str">
        <f t="shared" si="107"/>
        <v>G</v>
      </c>
      <c r="H1371" t="str">
        <f t="shared" si="108"/>
        <v>46</v>
      </c>
      <c r="I1371" t="str">
        <f t="shared" si="109"/>
        <v>467</v>
      </c>
      <c r="J1371" t="str">
        <f t="shared" si="110"/>
        <v>46737</v>
      </c>
      <c r="K1371" t="str">
        <f t="shared" si="106"/>
        <v/>
      </c>
    </row>
    <row r="1372" spans="3:11" x14ac:dyDescent="0.25">
      <c r="C1372" t="s">
        <v>1864</v>
      </c>
      <c r="D1372" t="s">
        <v>1864</v>
      </c>
      <c r="E1372" t="s">
        <v>3223</v>
      </c>
      <c r="F1372" t="s">
        <v>1090</v>
      </c>
      <c r="G1372" t="str">
        <f t="shared" si="107"/>
        <v>G</v>
      </c>
      <c r="H1372" t="str">
        <f t="shared" si="108"/>
        <v>46</v>
      </c>
      <c r="I1372" t="str">
        <f t="shared" si="109"/>
        <v>467</v>
      </c>
      <c r="J1372" t="str">
        <f t="shared" si="110"/>
        <v>46737</v>
      </c>
      <c r="K1372" t="str">
        <f t="shared" si="106"/>
        <v>4673700</v>
      </c>
    </row>
    <row r="1373" spans="3:11" x14ac:dyDescent="0.25">
      <c r="C1373" t="s">
        <v>1864</v>
      </c>
      <c r="D1373" t="s">
        <v>3224</v>
      </c>
      <c r="E1373" t="s">
        <v>1864</v>
      </c>
      <c r="F1373" t="s">
        <v>1091</v>
      </c>
      <c r="G1373" t="str">
        <f t="shared" si="107"/>
        <v>G</v>
      </c>
      <c r="H1373" t="str">
        <f t="shared" si="108"/>
        <v>46</v>
      </c>
      <c r="I1373" t="str">
        <f t="shared" si="109"/>
        <v>467</v>
      </c>
      <c r="J1373" t="str">
        <f t="shared" si="110"/>
        <v>46745</v>
      </c>
      <c r="K1373" t="str">
        <f t="shared" si="106"/>
        <v/>
      </c>
    </row>
    <row r="1374" spans="3:11" x14ac:dyDescent="0.25">
      <c r="C1374" t="s">
        <v>1864</v>
      </c>
      <c r="D1374" t="s">
        <v>1864</v>
      </c>
      <c r="E1374" t="s">
        <v>3225</v>
      </c>
      <c r="F1374" t="s">
        <v>1091</v>
      </c>
      <c r="G1374" t="str">
        <f t="shared" si="107"/>
        <v>G</v>
      </c>
      <c r="H1374" t="str">
        <f t="shared" si="108"/>
        <v>46</v>
      </c>
      <c r="I1374" t="str">
        <f t="shared" si="109"/>
        <v>467</v>
      </c>
      <c r="J1374" t="str">
        <f t="shared" si="110"/>
        <v>46745</v>
      </c>
      <c r="K1374" t="str">
        <f t="shared" si="106"/>
        <v>4674500</v>
      </c>
    </row>
    <row r="1375" spans="3:11" x14ac:dyDescent="0.25">
      <c r="C1375" t="s">
        <v>1864</v>
      </c>
      <c r="D1375" t="s">
        <v>3226</v>
      </c>
      <c r="E1375" t="s">
        <v>1864</v>
      </c>
      <c r="F1375" t="s">
        <v>1092</v>
      </c>
      <c r="G1375" t="str">
        <f t="shared" si="107"/>
        <v>G</v>
      </c>
      <c r="H1375" t="str">
        <f t="shared" si="108"/>
        <v>46</v>
      </c>
      <c r="I1375" t="str">
        <f t="shared" si="109"/>
        <v>467</v>
      </c>
      <c r="J1375" t="str">
        <f t="shared" si="110"/>
        <v>46796</v>
      </c>
      <c r="K1375" t="str">
        <f t="shared" si="106"/>
        <v/>
      </c>
    </row>
    <row r="1376" spans="3:11" x14ac:dyDescent="0.25">
      <c r="C1376" t="s">
        <v>1864</v>
      </c>
      <c r="D1376" t="s">
        <v>1864</v>
      </c>
      <c r="E1376" t="s">
        <v>3227</v>
      </c>
      <c r="F1376" t="s">
        <v>1093</v>
      </c>
      <c r="G1376" t="str">
        <f t="shared" si="107"/>
        <v>G</v>
      </c>
      <c r="H1376" t="str">
        <f t="shared" si="108"/>
        <v>46</v>
      </c>
      <c r="I1376" t="str">
        <f t="shared" si="109"/>
        <v>467</v>
      </c>
      <c r="J1376" t="str">
        <f t="shared" si="110"/>
        <v>46796</v>
      </c>
      <c r="K1376" t="str">
        <f t="shared" si="106"/>
        <v>4679601</v>
      </c>
    </row>
    <row r="1377" spans="3:11" x14ac:dyDescent="0.25">
      <c r="C1377" t="s">
        <v>1864</v>
      </c>
      <c r="D1377" t="s">
        <v>1864</v>
      </c>
      <c r="E1377" t="s">
        <v>3228</v>
      </c>
      <c r="F1377" t="s">
        <v>1094</v>
      </c>
      <c r="G1377" t="str">
        <f t="shared" si="107"/>
        <v>G</v>
      </c>
      <c r="H1377" t="str">
        <f t="shared" si="108"/>
        <v>46</v>
      </c>
      <c r="I1377" t="str">
        <f t="shared" si="109"/>
        <v>467</v>
      </c>
      <c r="J1377" t="str">
        <f t="shared" si="110"/>
        <v>46796</v>
      </c>
      <c r="K1377" t="str">
        <f t="shared" si="106"/>
        <v>4679602</v>
      </c>
    </row>
    <row r="1378" spans="3:11" x14ac:dyDescent="0.25">
      <c r="C1378" t="s">
        <v>1864</v>
      </c>
      <c r="D1378" t="s">
        <v>1864</v>
      </c>
      <c r="E1378" t="s">
        <v>3229</v>
      </c>
      <c r="F1378" t="s">
        <v>1095</v>
      </c>
      <c r="G1378" t="str">
        <f t="shared" si="107"/>
        <v>G</v>
      </c>
      <c r="H1378" t="str">
        <f t="shared" si="108"/>
        <v>46</v>
      </c>
      <c r="I1378" t="str">
        <f t="shared" si="109"/>
        <v>467</v>
      </c>
      <c r="J1378" t="str">
        <f t="shared" si="110"/>
        <v>46796</v>
      </c>
      <c r="K1378" t="str">
        <f t="shared" si="106"/>
        <v>4679603</v>
      </c>
    </row>
    <row r="1379" spans="3:11" x14ac:dyDescent="0.25">
      <c r="C1379" t="s">
        <v>1864</v>
      </c>
      <c r="D1379" t="s">
        <v>1864</v>
      </c>
      <c r="E1379" t="s">
        <v>3230</v>
      </c>
      <c r="F1379" t="s">
        <v>1096</v>
      </c>
      <c r="G1379" t="str">
        <f t="shared" si="107"/>
        <v>G</v>
      </c>
      <c r="H1379" t="str">
        <f t="shared" si="108"/>
        <v>46</v>
      </c>
      <c r="I1379" t="str">
        <f t="shared" si="109"/>
        <v>467</v>
      </c>
      <c r="J1379" t="str">
        <f t="shared" si="110"/>
        <v>46796</v>
      </c>
      <c r="K1379" t="str">
        <f t="shared" si="106"/>
        <v>4679604</v>
      </c>
    </row>
    <row r="1380" spans="3:11" x14ac:dyDescent="0.25">
      <c r="C1380" t="s">
        <v>1864</v>
      </c>
      <c r="D1380" t="s">
        <v>1864</v>
      </c>
      <c r="E1380" t="s">
        <v>3231</v>
      </c>
      <c r="F1380" t="s">
        <v>1097</v>
      </c>
      <c r="G1380" t="str">
        <f t="shared" si="107"/>
        <v>G</v>
      </c>
      <c r="H1380" t="str">
        <f t="shared" si="108"/>
        <v>46</v>
      </c>
      <c r="I1380" t="str">
        <f t="shared" si="109"/>
        <v>467</v>
      </c>
      <c r="J1380" t="str">
        <f t="shared" si="110"/>
        <v>46796</v>
      </c>
      <c r="K1380" t="str">
        <f t="shared" si="106"/>
        <v>4679699</v>
      </c>
    </row>
    <row r="1381" spans="3:11" x14ac:dyDescent="0.25">
      <c r="C1381" t="s">
        <v>3232</v>
      </c>
      <c r="D1381" t="s">
        <v>1864</v>
      </c>
      <c r="E1381" t="s">
        <v>1864</v>
      </c>
      <c r="F1381" t="s">
        <v>1098</v>
      </c>
      <c r="G1381" t="str">
        <f t="shared" si="107"/>
        <v>G</v>
      </c>
      <c r="H1381" t="str">
        <f t="shared" si="108"/>
        <v>46</v>
      </c>
      <c r="I1381" t="str">
        <f t="shared" si="109"/>
        <v>468</v>
      </c>
      <c r="J1381" t="str">
        <f t="shared" si="110"/>
        <v>46796</v>
      </c>
      <c r="K1381" t="str">
        <f t="shared" si="106"/>
        <v/>
      </c>
    </row>
    <row r="1382" spans="3:11" x14ac:dyDescent="0.25">
      <c r="C1382" t="s">
        <v>1864</v>
      </c>
      <c r="D1382" t="s">
        <v>3233</v>
      </c>
      <c r="E1382" t="s">
        <v>1864</v>
      </c>
      <c r="F1382" t="s">
        <v>1099</v>
      </c>
      <c r="G1382" t="str">
        <f t="shared" si="107"/>
        <v>G</v>
      </c>
      <c r="H1382" t="str">
        <f t="shared" si="108"/>
        <v>46</v>
      </c>
      <c r="I1382" t="str">
        <f t="shared" si="109"/>
        <v>468</v>
      </c>
      <c r="J1382" t="str">
        <f t="shared" si="110"/>
        <v>46818</v>
      </c>
      <c r="K1382" t="str">
        <f t="shared" si="106"/>
        <v/>
      </c>
    </row>
    <row r="1383" spans="3:11" x14ac:dyDescent="0.25">
      <c r="C1383" t="s">
        <v>1864</v>
      </c>
      <c r="D1383" t="s">
        <v>1864</v>
      </c>
      <c r="E1383" t="s">
        <v>3234</v>
      </c>
      <c r="F1383" t="s">
        <v>1100</v>
      </c>
      <c r="G1383" t="str">
        <f t="shared" si="107"/>
        <v>G</v>
      </c>
      <c r="H1383" t="str">
        <f t="shared" si="108"/>
        <v>46</v>
      </c>
      <c r="I1383" t="str">
        <f t="shared" si="109"/>
        <v>468</v>
      </c>
      <c r="J1383" t="str">
        <f t="shared" si="110"/>
        <v>46818</v>
      </c>
      <c r="K1383" t="str">
        <f t="shared" si="106"/>
        <v>4681801</v>
      </c>
    </row>
    <row r="1384" spans="3:11" x14ac:dyDescent="0.25">
      <c r="C1384" t="s">
        <v>1864</v>
      </c>
      <c r="D1384" t="s">
        <v>1864</v>
      </c>
      <c r="E1384" t="s">
        <v>3235</v>
      </c>
      <c r="F1384" t="s">
        <v>1101</v>
      </c>
      <c r="G1384" t="str">
        <f t="shared" si="107"/>
        <v>G</v>
      </c>
      <c r="H1384" t="str">
        <f t="shared" si="108"/>
        <v>46</v>
      </c>
      <c r="I1384" t="str">
        <f t="shared" si="109"/>
        <v>468</v>
      </c>
      <c r="J1384" t="str">
        <f t="shared" si="110"/>
        <v>46818</v>
      </c>
      <c r="K1384" t="str">
        <f t="shared" si="106"/>
        <v>4681802</v>
      </c>
    </row>
    <row r="1385" spans="3:11" x14ac:dyDescent="0.25">
      <c r="C1385" t="s">
        <v>1864</v>
      </c>
      <c r="D1385" t="s">
        <v>1864</v>
      </c>
      <c r="E1385" t="s">
        <v>3236</v>
      </c>
      <c r="F1385" t="s">
        <v>1102</v>
      </c>
      <c r="G1385" t="str">
        <f t="shared" si="107"/>
        <v>G</v>
      </c>
      <c r="H1385" t="str">
        <f t="shared" si="108"/>
        <v>46</v>
      </c>
      <c r="I1385" t="str">
        <f t="shared" si="109"/>
        <v>468</v>
      </c>
      <c r="J1385" t="str">
        <f t="shared" si="110"/>
        <v>46818</v>
      </c>
      <c r="K1385" t="str">
        <f t="shared" si="106"/>
        <v>4681803</v>
      </c>
    </row>
    <row r="1386" spans="3:11" x14ac:dyDescent="0.25">
      <c r="C1386" t="s">
        <v>1864</v>
      </c>
      <c r="D1386" t="s">
        <v>1864</v>
      </c>
      <c r="E1386" t="s">
        <v>3237</v>
      </c>
      <c r="F1386" t="s">
        <v>1103</v>
      </c>
      <c r="G1386" t="str">
        <f t="shared" si="107"/>
        <v>G</v>
      </c>
      <c r="H1386" t="str">
        <f t="shared" si="108"/>
        <v>46</v>
      </c>
      <c r="I1386" t="str">
        <f t="shared" si="109"/>
        <v>468</v>
      </c>
      <c r="J1386" t="str">
        <f t="shared" si="110"/>
        <v>46818</v>
      </c>
      <c r="K1386" t="str">
        <f t="shared" si="106"/>
        <v>4681804</v>
      </c>
    </row>
    <row r="1387" spans="3:11" x14ac:dyDescent="0.25">
      <c r="C1387" t="s">
        <v>1864</v>
      </c>
      <c r="D1387" t="s">
        <v>1864</v>
      </c>
      <c r="E1387" t="s">
        <v>3238</v>
      </c>
      <c r="F1387" t="s">
        <v>1104</v>
      </c>
      <c r="G1387" t="str">
        <f t="shared" si="107"/>
        <v>G</v>
      </c>
      <c r="H1387" t="str">
        <f t="shared" si="108"/>
        <v>46</v>
      </c>
      <c r="I1387" t="str">
        <f t="shared" si="109"/>
        <v>468</v>
      </c>
      <c r="J1387" t="str">
        <f t="shared" si="110"/>
        <v>46818</v>
      </c>
      <c r="K1387" t="str">
        <f t="shared" si="106"/>
        <v>4681805</v>
      </c>
    </row>
    <row r="1388" spans="3:11" x14ac:dyDescent="0.25">
      <c r="C1388" t="s">
        <v>1864</v>
      </c>
      <c r="D1388" t="s">
        <v>3239</v>
      </c>
      <c r="E1388" t="s">
        <v>1864</v>
      </c>
      <c r="F1388" t="s">
        <v>1105</v>
      </c>
      <c r="G1388" t="str">
        <f t="shared" si="107"/>
        <v>G</v>
      </c>
      <c r="H1388" t="str">
        <f t="shared" si="108"/>
        <v>46</v>
      </c>
      <c r="I1388" t="str">
        <f t="shared" si="109"/>
        <v>468</v>
      </c>
      <c r="J1388" t="str">
        <f t="shared" si="110"/>
        <v>46826</v>
      </c>
      <c r="K1388" t="str">
        <f t="shared" si="106"/>
        <v/>
      </c>
    </row>
    <row r="1389" spans="3:11" x14ac:dyDescent="0.25">
      <c r="C1389" t="s">
        <v>1864</v>
      </c>
      <c r="D1389" t="s">
        <v>1864</v>
      </c>
      <c r="E1389" t="s">
        <v>3240</v>
      </c>
      <c r="F1389" t="s">
        <v>1105</v>
      </c>
      <c r="G1389" t="str">
        <f t="shared" si="107"/>
        <v>G</v>
      </c>
      <c r="H1389" t="str">
        <f t="shared" si="108"/>
        <v>46</v>
      </c>
      <c r="I1389" t="str">
        <f t="shared" si="109"/>
        <v>468</v>
      </c>
      <c r="J1389" t="str">
        <f t="shared" si="110"/>
        <v>46826</v>
      </c>
      <c r="K1389" t="str">
        <f t="shared" si="106"/>
        <v>4682600</v>
      </c>
    </row>
    <row r="1390" spans="3:11" x14ac:dyDescent="0.25">
      <c r="C1390" t="s">
        <v>1864</v>
      </c>
      <c r="D1390" t="s">
        <v>3241</v>
      </c>
      <c r="E1390" t="s">
        <v>1864</v>
      </c>
      <c r="F1390" t="s">
        <v>1106</v>
      </c>
      <c r="G1390" t="str">
        <f t="shared" si="107"/>
        <v>G</v>
      </c>
      <c r="H1390" t="str">
        <f t="shared" si="108"/>
        <v>46</v>
      </c>
      <c r="I1390" t="str">
        <f t="shared" si="109"/>
        <v>468</v>
      </c>
      <c r="J1390" t="str">
        <f t="shared" si="110"/>
        <v>46834</v>
      </c>
      <c r="K1390" t="str">
        <f t="shared" si="106"/>
        <v/>
      </c>
    </row>
    <row r="1391" spans="3:11" x14ac:dyDescent="0.25">
      <c r="C1391" t="s">
        <v>1864</v>
      </c>
      <c r="D1391" t="s">
        <v>1864</v>
      </c>
      <c r="E1391" t="s">
        <v>3242</v>
      </c>
      <c r="F1391" t="s">
        <v>1106</v>
      </c>
      <c r="G1391" t="str">
        <f t="shared" si="107"/>
        <v>G</v>
      </c>
      <c r="H1391" t="str">
        <f t="shared" si="108"/>
        <v>46</v>
      </c>
      <c r="I1391" t="str">
        <f t="shared" si="109"/>
        <v>468</v>
      </c>
      <c r="J1391" t="str">
        <f t="shared" si="110"/>
        <v>46834</v>
      </c>
      <c r="K1391" t="str">
        <f t="shared" si="106"/>
        <v>4683400</v>
      </c>
    </row>
    <row r="1392" spans="3:11" x14ac:dyDescent="0.25">
      <c r="C1392" t="s">
        <v>1864</v>
      </c>
      <c r="D1392" t="s">
        <v>3243</v>
      </c>
      <c r="E1392" t="s">
        <v>1864</v>
      </c>
      <c r="F1392" t="s">
        <v>1107</v>
      </c>
      <c r="G1392" t="str">
        <f t="shared" si="107"/>
        <v>G</v>
      </c>
      <c r="H1392" t="str">
        <f t="shared" si="108"/>
        <v>46</v>
      </c>
      <c r="I1392" t="str">
        <f t="shared" si="109"/>
        <v>468</v>
      </c>
      <c r="J1392" t="str">
        <f t="shared" si="110"/>
        <v>46842</v>
      </c>
      <c r="K1392" t="str">
        <f t="shared" si="106"/>
        <v/>
      </c>
    </row>
    <row r="1393" spans="3:11" x14ac:dyDescent="0.25">
      <c r="C1393" t="s">
        <v>1864</v>
      </c>
      <c r="D1393" t="s">
        <v>1864</v>
      </c>
      <c r="E1393" t="s">
        <v>3244</v>
      </c>
      <c r="F1393" t="s">
        <v>1108</v>
      </c>
      <c r="G1393" t="str">
        <f t="shared" si="107"/>
        <v>G</v>
      </c>
      <c r="H1393" t="str">
        <f t="shared" si="108"/>
        <v>46</v>
      </c>
      <c r="I1393" t="str">
        <f t="shared" si="109"/>
        <v>468</v>
      </c>
      <c r="J1393" t="str">
        <f t="shared" si="110"/>
        <v>46842</v>
      </c>
      <c r="K1393" t="str">
        <f t="shared" si="106"/>
        <v>4684201</v>
      </c>
    </row>
    <row r="1394" spans="3:11" x14ac:dyDescent="0.25">
      <c r="C1394" t="s">
        <v>1864</v>
      </c>
      <c r="D1394" t="s">
        <v>1864</v>
      </c>
      <c r="E1394" t="s">
        <v>3245</v>
      </c>
      <c r="F1394" t="s">
        <v>1109</v>
      </c>
      <c r="G1394" t="str">
        <f t="shared" si="107"/>
        <v>G</v>
      </c>
      <c r="H1394" t="str">
        <f t="shared" si="108"/>
        <v>46</v>
      </c>
      <c r="I1394" t="str">
        <f t="shared" si="109"/>
        <v>468</v>
      </c>
      <c r="J1394" t="str">
        <f t="shared" si="110"/>
        <v>46842</v>
      </c>
      <c r="K1394" t="str">
        <f t="shared" si="106"/>
        <v>4684202</v>
      </c>
    </row>
    <row r="1395" spans="3:11" x14ac:dyDescent="0.25">
      <c r="C1395" t="s">
        <v>1864</v>
      </c>
      <c r="D1395" t="s">
        <v>1864</v>
      </c>
      <c r="E1395" t="s">
        <v>3246</v>
      </c>
      <c r="F1395" t="s">
        <v>1110</v>
      </c>
      <c r="G1395" t="str">
        <f t="shared" si="107"/>
        <v>G</v>
      </c>
      <c r="H1395" t="str">
        <f t="shared" si="108"/>
        <v>46</v>
      </c>
      <c r="I1395" t="str">
        <f t="shared" si="109"/>
        <v>468</v>
      </c>
      <c r="J1395" t="str">
        <f t="shared" si="110"/>
        <v>46842</v>
      </c>
      <c r="K1395" t="str">
        <f t="shared" si="106"/>
        <v>4684299</v>
      </c>
    </row>
    <row r="1396" spans="3:11" x14ac:dyDescent="0.25">
      <c r="C1396" t="s">
        <v>1864</v>
      </c>
      <c r="D1396" t="s">
        <v>3247</v>
      </c>
      <c r="E1396" t="s">
        <v>1864</v>
      </c>
      <c r="F1396" t="s">
        <v>1111</v>
      </c>
      <c r="G1396" t="str">
        <f t="shared" si="107"/>
        <v>G</v>
      </c>
      <c r="H1396" t="str">
        <f t="shared" si="108"/>
        <v>46</v>
      </c>
      <c r="I1396" t="str">
        <f t="shared" si="109"/>
        <v>468</v>
      </c>
      <c r="J1396" t="str">
        <f t="shared" si="110"/>
        <v>46851</v>
      </c>
      <c r="K1396" t="str">
        <f t="shared" si="106"/>
        <v/>
      </c>
    </row>
    <row r="1397" spans="3:11" x14ac:dyDescent="0.25">
      <c r="C1397" t="s">
        <v>1864</v>
      </c>
      <c r="D1397" t="s">
        <v>1864</v>
      </c>
      <c r="E1397" t="s">
        <v>3248</v>
      </c>
      <c r="F1397" t="s">
        <v>1111</v>
      </c>
      <c r="G1397" t="str">
        <f t="shared" si="107"/>
        <v>G</v>
      </c>
      <c r="H1397" t="str">
        <f t="shared" si="108"/>
        <v>46</v>
      </c>
      <c r="I1397" t="str">
        <f t="shared" si="109"/>
        <v>468</v>
      </c>
      <c r="J1397" t="str">
        <f t="shared" si="110"/>
        <v>46851</v>
      </c>
      <c r="K1397" t="str">
        <f t="shared" si="106"/>
        <v>4685100</v>
      </c>
    </row>
    <row r="1398" spans="3:11" x14ac:dyDescent="0.25">
      <c r="C1398" t="s">
        <v>1864</v>
      </c>
      <c r="D1398" t="s">
        <v>3249</v>
      </c>
      <c r="E1398" t="s">
        <v>1864</v>
      </c>
      <c r="F1398" t="s">
        <v>1112</v>
      </c>
      <c r="G1398" t="str">
        <f t="shared" si="107"/>
        <v>G</v>
      </c>
      <c r="H1398" t="str">
        <f t="shared" si="108"/>
        <v>46</v>
      </c>
      <c r="I1398" t="str">
        <f t="shared" si="109"/>
        <v>468</v>
      </c>
      <c r="J1398" t="str">
        <f t="shared" si="110"/>
        <v>46869</v>
      </c>
      <c r="K1398" t="str">
        <f t="shared" si="106"/>
        <v/>
      </c>
    </row>
    <row r="1399" spans="3:11" x14ac:dyDescent="0.25">
      <c r="C1399" t="s">
        <v>1864</v>
      </c>
      <c r="D1399" t="s">
        <v>1864</v>
      </c>
      <c r="E1399" t="s">
        <v>3250</v>
      </c>
      <c r="F1399" t="s">
        <v>1113</v>
      </c>
      <c r="G1399" t="str">
        <f t="shared" si="107"/>
        <v>G</v>
      </c>
      <c r="H1399" t="str">
        <f t="shared" si="108"/>
        <v>46</v>
      </c>
      <c r="I1399" t="str">
        <f t="shared" si="109"/>
        <v>468</v>
      </c>
      <c r="J1399" t="str">
        <f t="shared" si="110"/>
        <v>46869</v>
      </c>
      <c r="K1399" t="str">
        <f t="shared" si="106"/>
        <v>4686901</v>
      </c>
    </row>
    <row r="1400" spans="3:11" x14ac:dyDescent="0.25">
      <c r="C1400" t="s">
        <v>1864</v>
      </c>
      <c r="D1400" t="s">
        <v>1864</v>
      </c>
      <c r="E1400" t="s">
        <v>3251</v>
      </c>
      <c r="F1400" t="s">
        <v>1114</v>
      </c>
      <c r="G1400" t="str">
        <f t="shared" si="107"/>
        <v>G</v>
      </c>
      <c r="H1400" t="str">
        <f t="shared" si="108"/>
        <v>46</v>
      </c>
      <c r="I1400" t="str">
        <f t="shared" si="109"/>
        <v>468</v>
      </c>
      <c r="J1400" t="str">
        <f t="shared" si="110"/>
        <v>46869</v>
      </c>
      <c r="K1400" t="str">
        <f t="shared" si="106"/>
        <v>4686902</v>
      </c>
    </row>
    <row r="1401" spans="3:11" x14ac:dyDescent="0.25">
      <c r="C1401" t="s">
        <v>1864</v>
      </c>
      <c r="D1401" t="s">
        <v>3252</v>
      </c>
      <c r="E1401" t="s">
        <v>1864</v>
      </c>
      <c r="F1401" t="s">
        <v>1115</v>
      </c>
      <c r="G1401" t="str">
        <f t="shared" si="107"/>
        <v>G</v>
      </c>
      <c r="H1401" t="str">
        <f t="shared" si="108"/>
        <v>46</v>
      </c>
      <c r="I1401" t="str">
        <f t="shared" si="109"/>
        <v>468</v>
      </c>
      <c r="J1401" t="str">
        <f t="shared" si="110"/>
        <v>46877</v>
      </c>
      <c r="K1401" t="str">
        <f t="shared" si="106"/>
        <v/>
      </c>
    </row>
    <row r="1402" spans="3:11" x14ac:dyDescent="0.25">
      <c r="C1402" t="s">
        <v>1864</v>
      </c>
      <c r="D1402" t="s">
        <v>1864</v>
      </c>
      <c r="E1402" t="s">
        <v>3253</v>
      </c>
      <c r="F1402" t="s">
        <v>1116</v>
      </c>
      <c r="G1402" t="str">
        <f t="shared" si="107"/>
        <v>G</v>
      </c>
      <c r="H1402" t="str">
        <f t="shared" si="108"/>
        <v>46</v>
      </c>
      <c r="I1402" t="str">
        <f t="shared" si="109"/>
        <v>468</v>
      </c>
      <c r="J1402" t="str">
        <f t="shared" si="110"/>
        <v>46877</v>
      </c>
      <c r="K1402" t="str">
        <f t="shared" si="106"/>
        <v>4687701</v>
      </c>
    </row>
    <row r="1403" spans="3:11" x14ac:dyDescent="0.25">
      <c r="C1403" t="s">
        <v>1864</v>
      </c>
      <c r="D1403" t="s">
        <v>1864</v>
      </c>
      <c r="E1403" t="s">
        <v>3254</v>
      </c>
      <c r="F1403" t="s">
        <v>1117</v>
      </c>
      <c r="G1403" t="str">
        <f t="shared" si="107"/>
        <v>G</v>
      </c>
      <c r="H1403" t="str">
        <f t="shared" si="108"/>
        <v>46</v>
      </c>
      <c r="I1403" t="str">
        <f t="shared" si="109"/>
        <v>468</v>
      </c>
      <c r="J1403" t="str">
        <f t="shared" si="110"/>
        <v>46877</v>
      </c>
      <c r="K1403" t="str">
        <f t="shared" si="106"/>
        <v>4687702</v>
      </c>
    </row>
    <row r="1404" spans="3:11" x14ac:dyDescent="0.25">
      <c r="C1404" t="s">
        <v>1864</v>
      </c>
      <c r="D1404" t="s">
        <v>1864</v>
      </c>
      <c r="E1404" t="s">
        <v>3255</v>
      </c>
      <c r="F1404" t="s">
        <v>1118</v>
      </c>
      <c r="G1404" t="str">
        <f t="shared" si="107"/>
        <v>G</v>
      </c>
      <c r="H1404" t="str">
        <f t="shared" si="108"/>
        <v>46</v>
      </c>
      <c r="I1404" t="str">
        <f t="shared" si="109"/>
        <v>468</v>
      </c>
      <c r="J1404" t="str">
        <f t="shared" si="110"/>
        <v>46877</v>
      </c>
      <c r="K1404" t="str">
        <f t="shared" si="106"/>
        <v>4687703</v>
      </c>
    </row>
    <row r="1405" spans="3:11" x14ac:dyDescent="0.25">
      <c r="C1405" t="s">
        <v>1864</v>
      </c>
      <c r="D1405" t="s">
        <v>3256</v>
      </c>
      <c r="E1405" t="s">
        <v>1864</v>
      </c>
      <c r="F1405" t="s">
        <v>1119</v>
      </c>
      <c r="G1405" t="str">
        <f t="shared" si="107"/>
        <v>G</v>
      </c>
      <c r="H1405" t="str">
        <f t="shared" si="108"/>
        <v>46</v>
      </c>
      <c r="I1405" t="str">
        <f t="shared" si="109"/>
        <v>468</v>
      </c>
      <c r="J1405" t="str">
        <f t="shared" si="110"/>
        <v>46893</v>
      </c>
      <c r="K1405" t="str">
        <f t="shared" si="106"/>
        <v/>
      </c>
    </row>
    <row r="1406" spans="3:11" x14ac:dyDescent="0.25">
      <c r="C1406" t="s">
        <v>1864</v>
      </c>
      <c r="D1406" t="s">
        <v>1864</v>
      </c>
      <c r="E1406" t="s">
        <v>3257</v>
      </c>
      <c r="F1406" t="s">
        <v>1120</v>
      </c>
      <c r="G1406" t="str">
        <f t="shared" si="107"/>
        <v>G</v>
      </c>
      <c r="H1406" t="str">
        <f t="shared" si="108"/>
        <v>46</v>
      </c>
      <c r="I1406" t="str">
        <f t="shared" si="109"/>
        <v>468</v>
      </c>
      <c r="J1406" t="str">
        <f t="shared" si="110"/>
        <v>46893</v>
      </c>
      <c r="K1406" t="str">
        <f t="shared" si="106"/>
        <v>4689301</v>
      </c>
    </row>
    <row r="1407" spans="3:11" x14ac:dyDescent="0.25">
      <c r="C1407" t="s">
        <v>1864</v>
      </c>
      <c r="D1407" t="s">
        <v>1864</v>
      </c>
      <c r="E1407" t="s">
        <v>3258</v>
      </c>
      <c r="F1407" t="s">
        <v>1121</v>
      </c>
      <c r="G1407" t="str">
        <f t="shared" si="107"/>
        <v>G</v>
      </c>
      <c r="H1407" t="str">
        <f t="shared" si="108"/>
        <v>46</v>
      </c>
      <c r="I1407" t="str">
        <f t="shared" si="109"/>
        <v>468</v>
      </c>
      <c r="J1407" t="str">
        <f t="shared" si="110"/>
        <v>46893</v>
      </c>
      <c r="K1407" t="str">
        <f t="shared" si="106"/>
        <v>4689302</v>
      </c>
    </row>
    <row r="1408" spans="3:11" x14ac:dyDescent="0.25">
      <c r="C1408" t="s">
        <v>1864</v>
      </c>
      <c r="D1408" t="s">
        <v>1864</v>
      </c>
      <c r="E1408" t="s">
        <v>3259</v>
      </c>
      <c r="F1408" t="s">
        <v>1122</v>
      </c>
      <c r="G1408" t="str">
        <f t="shared" si="107"/>
        <v>G</v>
      </c>
      <c r="H1408" t="str">
        <f t="shared" si="108"/>
        <v>46</v>
      </c>
      <c r="I1408" t="str">
        <f t="shared" si="109"/>
        <v>468</v>
      </c>
      <c r="J1408" t="str">
        <f t="shared" si="110"/>
        <v>46893</v>
      </c>
      <c r="K1408" t="str">
        <f t="shared" si="106"/>
        <v>4689399</v>
      </c>
    </row>
    <row r="1409" spans="2:11" x14ac:dyDescent="0.25">
      <c r="C1409" t="s">
        <v>3260</v>
      </c>
      <c r="D1409" t="s">
        <v>1864</v>
      </c>
      <c r="E1409" t="s">
        <v>1864</v>
      </c>
      <c r="F1409" t="s">
        <v>1123</v>
      </c>
      <c r="G1409" t="str">
        <f t="shared" si="107"/>
        <v>G</v>
      </c>
      <c r="H1409" t="str">
        <f t="shared" si="108"/>
        <v>46</v>
      </c>
      <c r="I1409" t="str">
        <f t="shared" si="109"/>
        <v>469</v>
      </c>
      <c r="J1409" t="str">
        <f t="shared" si="110"/>
        <v>46893</v>
      </c>
      <c r="K1409" t="str">
        <f t="shared" si="106"/>
        <v/>
      </c>
    </row>
    <row r="1410" spans="2:11" x14ac:dyDescent="0.25">
      <c r="C1410" t="s">
        <v>1864</v>
      </c>
      <c r="D1410" t="s">
        <v>3261</v>
      </c>
      <c r="E1410" t="s">
        <v>1864</v>
      </c>
      <c r="F1410" t="s">
        <v>1124</v>
      </c>
      <c r="G1410" t="str">
        <f t="shared" si="107"/>
        <v>G</v>
      </c>
      <c r="H1410" t="str">
        <f t="shared" si="108"/>
        <v>46</v>
      </c>
      <c r="I1410" t="str">
        <f t="shared" si="109"/>
        <v>469</v>
      </c>
      <c r="J1410" t="str">
        <f t="shared" si="110"/>
        <v>46915</v>
      </c>
      <c r="K1410" t="str">
        <f t="shared" si="106"/>
        <v/>
      </c>
    </row>
    <row r="1411" spans="2:11" x14ac:dyDescent="0.25">
      <c r="C1411" t="s">
        <v>1864</v>
      </c>
      <c r="D1411" t="s">
        <v>1864</v>
      </c>
      <c r="E1411" t="s">
        <v>3262</v>
      </c>
      <c r="F1411" t="s">
        <v>1124</v>
      </c>
      <c r="G1411" t="str">
        <f t="shared" si="107"/>
        <v>G</v>
      </c>
      <c r="H1411" t="str">
        <f t="shared" si="108"/>
        <v>46</v>
      </c>
      <c r="I1411" t="str">
        <f t="shared" si="109"/>
        <v>469</v>
      </c>
      <c r="J1411" t="str">
        <f t="shared" si="110"/>
        <v>46915</v>
      </c>
      <c r="K1411" t="str">
        <f t="shared" si="106"/>
        <v>4691500</v>
      </c>
    </row>
    <row r="1412" spans="2:11" x14ac:dyDescent="0.25">
      <c r="C1412" t="s">
        <v>1864</v>
      </c>
      <c r="D1412" t="s">
        <v>3263</v>
      </c>
      <c r="E1412" t="s">
        <v>1864</v>
      </c>
      <c r="F1412" t="s">
        <v>1125</v>
      </c>
      <c r="G1412" t="str">
        <f t="shared" si="107"/>
        <v>G</v>
      </c>
      <c r="H1412" t="str">
        <f t="shared" si="108"/>
        <v>46</v>
      </c>
      <c r="I1412" t="str">
        <f t="shared" si="109"/>
        <v>469</v>
      </c>
      <c r="J1412" t="str">
        <f t="shared" si="110"/>
        <v>46923</v>
      </c>
      <c r="K1412" t="str">
        <f t="shared" si="106"/>
        <v/>
      </c>
    </row>
    <row r="1413" spans="2:11" x14ac:dyDescent="0.25">
      <c r="C1413" t="s">
        <v>1864</v>
      </c>
      <c r="D1413" t="s">
        <v>1864</v>
      </c>
      <c r="E1413" t="s">
        <v>3264</v>
      </c>
      <c r="F1413" t="s">
        <v>1125</v>
      </c>
      <c r="G1413" t="str">
        <f t="shared" si="107"/>
        <v>G</v>
      </c>
      <c r="H1413" t="str">
        <f t="shared" si="108"/>
        <v>46</v>
      </c>
      <c r="I1413" t="str">
        <f t="shared" si="109"/>
        <v>469</v>
      </c>
      <c r="J1413" t="str">
        <f t="shared" si="110"/>
        <v>46923</v>
      </c>
      <c r="K1413" t="str">
        <f t="shared" si="106"/>
        <v>4692300</v>
      </c>
    </row>
    <row r="1414" spans="2:11" x14ac:dyDescent="0.25">
      <c r="C1414" t="s">
        <v>1864</v>
      </c>
      <c r="D1414" t="s">
        <v>3265</v>
      </c>
      <c r="E1414" t="s">
        <v>1864</v>
      </c>
      <c r="F1414" t="s">
        <v>1126</v>
      </c>
      <c r="G1414" t="str">
        <f t="shared" si="107"/>
        <v>G</v>
      </c>
      <c r="H1414" t="str">
        <f t="shared" si="108"/>
        <v>46</v>
      </c>
      <c r="I1414" t="str">
        <f t="shared" si="109"/>
        <v>469</v>
      </c>
      <c r="J1414" t="str">
        <f t="shared" si="110"/>
        <v>46931</v>
      </c>
      <c r="K1414" t="str">
        <f t="shared" si="106"/>
        <v/>
      </c>
    </row>
    <row r="1415" spans="2:11" x14ac:dyDescent="0.25">
      <c r="C1415" t="s">
        <v>1864</v>
      </c>
      <c r="D1415" t="s">
        <v>1864</v>
      </c>
      <c r="E1415" t="s">
        <v>3266</v>
      </c>
      <c r="F1415" t="s">
        <v>1126</v>
      </c>
      <c r="G1415" t="str">
        <f t="shared" si="107"/>
        <v>G</v>
      </c>
      <c r="H1415" t="str">
        <f t="shared" si="108"/>
        <v>46</v>
      </c>
      <c r="I1415" t="str">
        <f t="shared" si="109"/>
        <v>469</v>
      </c>
      <c r="J1415" t="str">
        <f t="shared" si="110"/>
        <v>46931</v>
      </c>
      <c r="K1415" t="str">
        <f t="shared" si="106"/>
        <v>4693100</v>
      </c>
    </row>
    <row r="1416" spans="2:11" x14ac:dyDescent="0.25">
      <c r="B1416" t="s">
        <v>3267</v>
      </c>
      <c r="C1416" t="s">
        <v>1864</v>
      </c>
      <c r="D1416" t="s">
        <v>1864</v>
      </c>
      <c r="E1416" t="s">
        <v>1864</v>
      </c>
      <c r="F1416" t="s">
        <v>1127</v>
      </c>
      <c r="G1416" t="str">
        <f t="shared" si="107"/>
        <v>G</v>
      </c>
      <c r="H1416" t="str">
        <f t="shared" si="108"/>
        <v>47</v>
      </c>
      <c r="I1416" t="str">
        <f t="shared" si="109"/>
        <v>469</v>
      </c>
      <c r="J1416" t="str">
        <f t="shared" si="110"/>
        <v>46931</v>
      </c>
      <c r="K1416" t="str">
        <f t="shared" ref="K1416:K1479" si="111">E1416</f>
        <v/>
      </c>
    </row>
    <row r="1417" spans="2:11" x14ac:dyDescent="0.25">
      <c r="C1417" t="s">
        <v>3268</v>
      </c>
      <c r="D1417" t="s">
        <v>1864</v>
      </c>
      <c r="E1417" t="s">
        <v>1864</v>
      </c>
      <c r="F1417" t="s">
        <v>1128</v>
      </c>
      <c r="G1417" t="str">
        <f t="shared" ref="G1417:G1480" si="112">IF(A1417="",G1416,A1417)</f>
        <v>G</v>
      </c>
      <c r="H1417" t="str">
        <f t="shared" ref="H1417:H1480" si="113">IF(B1417="",H1416,B1417)</f>
        <v>47</v>
      </c>
      <c r="I1417" t="str">
        <f t="shared" ref="I1417:I1480" si="114">IF(C1417="",I1416,C1417)</f>
        <v>471</v>
      </c>
      <c r="J1417" t="str">
        <f t="shared" ref="J1417:J1480" si="115">IF(D1417="",J1416,D1417)</f>
        <v>46931</v>
      </c>
      <c r="K1417" t="str">
        <f t="shared" si="111"/>
        <v/>
      </c>
    </row>
    <row r="1418" spans="2:11" x14ac:dyDescent="0.25">
      <c r="C1418" t="s">
        <v>1864</v>
      </c>
      <c r="D1418" t="s">
        <v>3269</v>
      </c>
      <c r="E1418" t="s">
        <v>1864</v>
      </c>
      <c r="F1418" t="s">
        <v>1129</v>
      </c>
      <c r="G1418" t="str">
        <f t="shared" si="112"/>
        <v>G</v>
      </c>
      <c r="H1418" t="str">
        <f t="shared" si="113"/>
        <v>47</v>
      </c>
      <c r="I1418" t="str">
        <f t="shared" si="114"/>
        <v>471</v>
      </c>
      <c r="J1418" t="str">
        <f t="shared" si="115"/>
        <v>47113</v>
      </c>
      <c r="K1418" t="str">
        <f t="shared" si="111"/>
        <v/>
      </c>
    </row>
    <row r="1419" spans="2:11" x14ac:dyDescent="0.25">
      <c r="C1419" t="s">
        <v>1864</v>
      </c>
      <c r="D1419" t="s">
        <v>1864</v>
      </c>
      <c r="E1419" t="s">
        <v>3270</v>
      </c>
      <c r="F1419" t="s">
        <v>1130</v>
      </c>
      <c r="G1419" t="str">
        <f t="shared" si="112"/>
        <v>G</v>
      </c>
      <c r="H1419" t="str">
        <f t="shared" si="113"/>
        <v>47</v>
      </c>
      <c r="I1419" t="str">
        <f t="shared" si="114"/>
        <v>471</v>
      </c>
      <c r="J1419" t="str">
        <f t="shared" si="115"/>
        <v>47113</v>
      </c>
      <c r="K1419" t="str">
        <f t="shared" si="111"/>
        <v>4711301</v>
      </c>
    </row>
    <row r="1420" spans="2:11" x14ac:dyDescent="0.25">
      <c r="C1420" t="s">
        <v>1864</v>
      </c>
      <c r="D1420" t="s">
        <v>1864</v>
      </c>
      <c r="E1420" t="s">
        <v>3271</v>
      </c>
      <c r="F1420" t="s">
        <v>1131</v>
      </c>
      <c r="G1420" t="str">
        <f t="shared" si="112"/>
        <v>G</v>
      </c>
      <c r="H1420" t="str">
        <f t="shared" si="113"/>
        <v>47</v>
      </c>
      <c r="I1420" t="str">
        <f t="shared" si="114"/>
        <v>471</v>
      </c>
      <c r="J1420" t="str">
        <f t="shared" si="115"/>
        <v>47113</v>
      </c>
      <c r="K1420" t="str">
        <f t="shared" si="111"/>
        <v>4711302</v>
      </c>
    </row>
    <row r="1421" spans="2:11" x14ac:dyDescent="0.25">
      <c r="C1421" t="s">
        <v>1864</v>
      </c>
      <c r="D1421" t="s">
        <v>3272</v>
      </c>
      <c r="E1421" t="s">
        <v>1864</v>
      </c>
      <c r="F1421" t="s">
        <v>1132</v>
      </c>
      <c r="G1421" t="str">
        <f t="shared" si="112"/>
        <v>G</v>
      </c>
      <c r="H1421" t="str">
        <f t="shared" si="113"/>
        <v>47</v>
      </c>
      <c r="I1421" t="str">
        <f t="shared" si="114"/>
        <v>471</v>
      </c>
      <c r="J1421" t="str">
        <f t="shared" si="115"/>
        <v>47121</v>
      </c>
      <c r="K1421" t="str">
        <f t="shared" si="111"/>
        <v/>
      </c>
    </row>
    <row r="1422" spans="2:11" x14ac:dyDescent="0.25">
      <c r="C1422" t="s">
        <v>1864</v>
      </c>
      <c r="D1422" t="s">
        <v>1864</v>
      </c>
      <c r="E1422" t="s">
        <v>3273</v>
      </c>
      <c r="F1422" t="s">
        <v>1133</v>
      </c>
      <c r="G1422" t="str">
        <f t="shared" si="112"/>
        <v>G</v>
      </c>
      <c r="H1422" t="str">
        <f t="shared" si="113"/>
        <v>47</v>
      </c>
      <c r="I1422" t="str">
        <f t="shared" si="114"/>
        <v>471</v>
      </c>
      <c r="J1422" t="str">
        <f t="shared" si="115"/>
        <v>47121</v>
      </c>
      <c r="K1422" t="str">
        <f t="shared" si="111"/>
        <v>4712100</v>
      </c>
    </row>
    <row r="1423" spans="2:11" x14ac:dyDescent="0.25">
      <c r="C1423" t="s">
        <v>1864</v>
      </c>
      <c r="D1423" t="s">
        <v>3274</v>
      </c>
      <c r="E1423" t="s">
        <v>1864</v>
      </c>
      <c r="F1423" t="s">
        <v>1134</v>
      </c>
      <c r="G1423" t="str">
        <f t="shared" si="112"/>
        <v>G</v>
      </c>
      <c r="H1423" t="str">
        <f t="shared" si="113"/>
        <v>47</v>
      </c>
      <c r="I1423" t="str">
        <f t="shared" si="114"/>
        <v>471</v>
      </c>
      <c r="J1423" t="str">
        <f t="shared" si="115"/>
        <v>47130</v>
      </c>
      <c r="K1423" t="str">
        <f t="shared" si="111"/>
        <v/>
      </c>
    </row>
    <row r="1424" spans="2:11" x14ac:dyDescent="0.25">
      <c r="C1424" t="s">
        <v>1864</v>
      </c>
      <c r="D1424" t="s">
        <v>1864</v>
      </c>
      <c r="E1424" t="s">
        <v>3275</v>
      </c>
      <c r="F1424" t="s">
        <v>1135</v>
      </c>
      <c r="G1424" t="str">
        <f t="shared" si="112"/>
        <v>G</v>
      </c>
      <c r="H1424" t="str">
        <f t="shared" si="113"/>
        <v>47</v>
      </c>
      <c r="I1424" t="str">
        <f t="shared" si="114"/>
        <v>471</v>
      </c>
      <c r="J1424" t="str">
        <f t="shared" si="115"/>
        <v>47130</v>
      </c>
      <c r="K1424" t="str">
        <f t="shared" si="111"/>
        <v>4713002</v>
      </c>
    </row>
    <row r="1425" spans="3:11" x14ac:dyDescent="0.25">
      <c r="C1425" t="s">
        <v>1864</v>
      </c>
      <c r="D1425" t="s">
        <v>1864</v>
      </c>
      <c r="E1425" t="s">
        <v>3276</v>
      </c>
      <c r="F1425" t="s">
        <v>3277</v>
      </c>
      <c r="G1425" t="str">
        <f t="shared" si="112"/>
        <v>G</v>
      </c>
      <c r="H1425" t="str">
        <f t="shared" si="113"/>
        <v>47</v>
      </c>
      <c r="I1425" t="str">
        <f t="shared" si="114"/>
        <v>471</v>
      </c>
      <c r="J1425" t="str">
        <f t="shared" si="115"/>
        <v>47130</v>
      </c>
      <c r="K1425" t="str">
        <f t="shared" si="111"/>
        <v>4713004</v>
      </c>
    </row>
    <row r="1426" spans="3:11" x14ac:dyDescent="0.25">
      <c r="C1426" t="s">
        <v>1864</v>
      </c>
      <c r="D1426" t="s">
        <v>1864</v>
      </c>
      <c r="E1426" t="s">
        <v>3278</v>
      </c>
      <c r="F1426" t="s">
        <v>3279</v>
      </c>
      <c r="G1426" t="str">
        <f t="shared" si="112"/>
        <v>G</v>
      </c>
      <c r="H1426" t="str">
        <f t="shared" si="113"/>
        <v>47</v>
      </c>
      <c r="I1426" t="str">
        <f t="shared" si="114"/>
        <v>471</v>
      </c>
      <c r="J1426" t="str">
        <f t="shared" si="115"/>
        <v>47130</v>
      </c>
      <c r="K1426" t="str">
        <f t="shared" si="111"/>
        <v>4713005</v>
      </c>
    </row>
    <row r="1427" spans="3:11" x14ac:dyDescent="0.25">
      <c r="C1427" t="s">
        <v>3280</v>
      </c>
      <c r="D1427" t="s">
        <v>1864</v>
      </c>
      <c r="E1427" t="s">
        <v>1864</v>
      </c>
      <c r="F1427" t="s">
        <v>1136</v>
      </c>
      <c r="G1427" t="str">
        <f t="shared" si="112"/>
        <v>G</v>
      </c>
      <c r="H1427" t="str">
        <f t="shared" si="113"/>
        <v>47</v>
      </c>
      <c r="I1427" t="str">
        <f t="shared" si="114"/>
        <v>472</v>
      </c>
      <c r="J1427" t="str">
        <f t="shared" si="115"/>
        <v>47130</v>
      </c>
      <c r="K1427" t="str">
        <f t="shared" si="111"/>
        <v/>
      </c>
    </row>
    <row r="1428" spans="3:11" x14ac:dyDescent="0.25">
      <c r="C1428" t="s">
        <v>1864</v>
      </c>
      <c r="D1428" t="s">
        <v>3281</v>
      </c>
      <c r="E1428" t="s">
        <v>1864</v>
      </c>
      <c r="F1428" t="s">
        <v>1137</v>
      </c>
      <c r="G1428" t="str">
        <f t="shared" si="112"/>
        <v>G</v>
      </c>
      <c r="H1428" t="str">
        <f t="shared" si="113"/>
        <v>47</v>
      </c>
      <c r="I1428" t="str">
        <f t="shared" si="114"/>
        <v>472</v>
      </c>
      <c r="J1428" t="str">
        <f t="shared" si="115"/>
        <v>47211</v>
      </c>
      <c r="K1428" t="str">
        <f t="shared" si="111"/>
        <v/>
      </c>
    </row>
    <row r="1429" spans="3:11" x14ac:dyDescent="0.25">
      <c r="C1429" t="s">
        <v>1864</v>
      </c>
      <c r="D1429" t="s">
        <v>1864</v>
      </c>
      <c r="E1429" t="s">
        <v>3282</v>
      </c>
      <c r="F1429" t="s">
        <v>1138</v>
      </c>
      <c r="G1429" t="str">
        <f t="shared" si="112"/>
        <v>G</v>
      </c>
      <c r="H1429" t="str">
        <f t="shared" si="113"/>
        <v>47</v>
      </c>
      <c r="I1429" t="str">
        <f t="shared" si="114"/>
        <v>472</v>
      </c>
      <c r="J1429" t="str">
        <f t="shared" si="115"/>
        <v>47211</v>
      </c>
      <c r="K1429" t="str">
        <f t="shared" si="111"/>
        <v>4721102</v>
      </c>
    </row>
    <row r="1430" spans="3:11" x14ac:dyDescent="0.25">
      <c r="C1430" t="s">
        <v>1864</v>
      </c>
      <c r="D1430" t="s">
        <v>1864</v>
      </c>
      <c r="E1430" t="s">
        <v>3283</v>
      </c>
      <c r="F1430" t="s">
        <v>1139</v>
      </c>
      <c r="G1430" t="str">
        <f t="shared" si="112"/>
        <v>G</v>
      </c>
      <c r="H1430" t="str">
        <f t="shared" si="113"/>
        <v>47</v>
      </c>
      <c r="I1430" t="str">
        <f t="shared" si="114"/>
        <v>472</v>
      </c>
      <c r="J1430" t="str">
        <f t="shared" si="115"/>
        <v>47211</v>
      </c>
      <c r="K1430" t="str">
        <f t="shared" si="111"/>
        <v>4721103</v>
      </c>
    </row>
    <row r="1431" spans="3:11" x14ac:dyDescent="0.25">
      <c r="C1431" t="s">
        <v>1864</v>
      </c>
      <c r="D1431" t="s">
        <v>1864</v>
      </c>
      <c r="E1431" t="s">
        <v>3284</v>
      </c>
      <c r="F1431" t="s">
        <v>1140</v>
      </c>
      <c r="G1431" t="str">
        <f t="shared" si="112"/>
        <v>G</v>
      </c>
      <c r="H1431" t="str">
        <f t="shared" si="113"/>
        <v>47</v>
      </c>
      <c r="I1431" t="str">
        <f t="shared" si="114"/>
        <v>472</v>
      </c>
      <c r="J1431" t="str">
        <f t="shared" si="115"/>
        <v>47211</v>
      </c>
      <c r="K1431" t="str">
        <f t="shared" si="111"/>
        <v>4721104</v>
      </c>
    </row>
    <row r="1432" spans="3:11" x14ac:dyDescent="0.25">
      <c r="C1432" t="s">
        <v>1864</v>
      </c>
      <c r="D1432" t="s">
        <v>3285</v>
      </c>
      <c r="E1432" t="s">
        <v>1864</v>
      </c>
      <c r="F1432" t="s">
        <v>1141</v>
      </c>
      <c r="G1432" t="str">
        <f t="shared" si="112"/>
        <v>G</v>
      </c>
      <c r="H1432" t="str">
        <f t="shared" si="113"/>
        <v>47</v>
      </c>
      <c r="I1432" t="str">
        <f t="shared" si="114"/>
        <v>472</v>
      </c>
      <c r="J1432" t="str">
        <f t="shared" si="115"/>
        <v>47229</v>
      </c>
      <c r="K1432" t="str">
        <f t="shared" si="111"/>
        <v/>
      </c>
    </row>
    <row r="1433" spans="3:11" x14ac:dyDescent="0.25">
      <c r="C1433" t="s">
        <v>1864</v>
      </c>
      <c r="D1433" t="s">
        <v>1864</v>
      </c>
      <c r="E1433" t="s">
        <v>3286</v>
      </c>
      <c r="F1433" t="s">
        <v>1142</v>
      </c>
      <c r="G1433" t="str">
        <f t="shared" si="112"/>
        <v>G</v>
      </c>
      <c r="H1433" t="str">
        <f t="shared" si="113"/>
        <v>47</v>
      </c>
      <c r="I1433" t="str">
        <f t="shared" si="114"/>
        <v>472</v>
      </c>
      <c r="J1433" t="str">
        <f t="shared" si="115"/>
        <v>47229</v>
      </c>
      <c r="K1433" t="str">
        <f t="shared" si="111"/>
        <v>4722901</v>
      </c>
    </row>
    <row r="1434" spans="3:11" x14ac:dyDescent="0.25">
      <c r="C1434" t="s">
        <v>1864</v>
      </c>
      <c r="D1434" t="s">
        <v>1864</v>
      </c>
      <c r="E1434" t="s">
        <v>3287</v>
      </c>
      <c r="F1434" t="s">
        <v>1143</v>
      </c>
      <c r="G1434" t="str">
        <f t="shared" si="112"/>
        <v>G</v>
      </c>
      <c r="H1434" t="str">
        <f t="shared" si="113"/>
        <v>47</v>
      </c>
      <c r="I1434" t="str">
        <f t="shared" si="114"/>
        <v>472</v>
      </c>
      <c r="J1434" t="str">
        <f t="shared" si="115"/>
        <v>47229</v>
      </c>
      <c r="K1434" t="str">
        <f t="shared" si="111"/>
        <v>4722902</v>
      </c>
    </row>
    <row r="1435" spans="3:11" x14ac:dyDescent="0.25">
      <c r="C1435" t="s">
        <v>1864</v>
      </c>
      <c r="D1435" t="s">
        <v>3288</v>
      </c>
      <c r="E1435" t="s">
        <v>1864</v>
      </c>
      <c r="F1435" t="s">
        <v>1144</v>
      </c>
      <c r="G1435" t="str">
        <f t="shared" si="112"/>
        <v>G</v>
      </c>
      <c r="H1435" t="str">
        <f t="shared" si="113"/>
        <v>47</v>
      </c>
      <c r="I1435" t="str">
        <f t="shared" si="114"/>
        <v>472</v>
      </c>
      <c r="J1435" t="str">
        <f t="shared" si="115"/>
        <v>47237</v>
      </c>
      <c r="K1435" t="str">
        <f t="shared" si="111"/>
        <v/>
      </c>
    </row>
    <row r="1436" spans="3:11" x14ac:dyDescent="0.25">
      <c r="C1436" t="s">
        <v>1864</v>
      </c>
      <c r="D1436" t="s">
        <v>1864</v>
      </c>
      <c r="E1436" t="s">
        <v>3289</v>
      </c>
      <c r="F1436" t="s">
        <v>1144</v>
      </c>
      <c r="G1436" t="str">
        <f t="shared" si="112"/>
        <v>G</v>
      </c>
      <c r="H1436" t="str">
        <f t="shared" si="113"/>
        <v>47</v>
      </c>
      <c r="I1436" t="str">
        <f t="shared" si="114"/>
        <v>472</v>
      </c>
      <c r="J1436" t="str">
        <f t="shared" si="115"/>
        <v>47237</v>
      </c>
      <c r="K1436" t="str">
        <f t="shared" si="111"/>
        <v>4723700</v>
      </c>
    </row>
    <row r="1437" spans="3:11" x14ac:dyDescent="0.25">
      <c r="C1437" t="s">
        <v>1864</v>
      </c>
      <c r="D1437" t="s">
        <v>3290</v>
      </c>
      <c r="E1437" t="s">
        <v>1864</v>
      </c>
      <c r="F1437" t="s">
        <v>1145</v>
      </c>
      <c r="G1437" t="str">
        <f t="shared" si="112"/>
        <v>G</v>
      </c>
      <c r="H1437" t="str">
        <f t="shared" si="113"/>
        <v>47</v>
      </c>
      <c r="I1437" t="str">
        <f t="shared" si="114"/>
        <v>472</v>
      </c>
      <c r="J1437" t="str">
        <f t="shared" si="115"/>
        <v>47245</v>
      </c>
      <c r="K1437" t="str">
        <f t="shared" si="111"/>
        <v/>
      </c>
    </row>
    <row r="1438" spans="3:11" x14ac:dyDescent="0.25">
      <c r="C1438" t="s">
        <v>1864</v>
      </c>
      <c r="D1438" t="s">
        <v>1864</v>
      </c>
      <c r="E1438" t="s">
        <v>3291</v>
      </c>
      <c r="F1438" t="s">
        <v>1145</v>
      </c>
      <c r="G1438" t="str">
        <f t="shared" si="112"/>
        <v>G</v>
      </c>
      <c r="H1438" t="str">
        <f t="shared" si="113"/>
        <v>47</v>
      </c>
      <c r="I1438" t="str">
        <f t="shared" si="114"/>
        <v>472</v>
      </c>
      <c r="J1438" t="str">
        <f t="shared" si="115"/>
        <v>47245</v>
      </c>
      <c r="K1438" t="str">
        <f t="shared" si="111"/>
        <v>4724500</v>
      </c>
    </row>
    <row r="1439" spans="3:11" x14ac:dyDescent="0.25">
      <c r="C1439" t="s">
        <v>1864</v>
      </c>
      <c r="D1439" t="s">
        <v>3292</v>
      </c>
      <c r="E1439" t="s">
        <v>1864</v>
      </c>
      <c r="F1439" t="s">
        <v>1146</v>
      </c>
      <c r="G1439" t="str">
        <f t="shared" si="112"/>
        <v>G</v>
      </c>
      <c r="H1439" t="str">
        <f t="shared" si="113"/>
        <v>47</v>
      </c>
      <c r="I1439" t="str">
        <f t="shared" si="114"/>
        <v>472</v>
      </c>
      <c r="J1439" t="str">
        <f t="shared" si="115"/>
        <v>47296</v>
      </c>
      <c r="K1439" t="str">
        <f t="shared" si="111"/>
        <v/>
      </c>
    </row>
    <row r="1440" spans="3:11" x14ac:dyDescent="0.25">
      <c r="C1440" t="s">
        <v>1864</v>
      </c>
      <c r="D1440" t="s">
        <v>1864</v>
      </c>
      <c r="E1440" t="s">
        <v>3293</v>
      </c>
      <c r="F1440" t="s">
        <v>1147</v>
      </c>
      <c r="G1440" t="str">
        <f t="shared" si="112"/>
        <v>G</v>
      </c>
      <c r="H1440" t="str">
        <f t="shared" si="113"/>
        <v>47</v>
      </c>
      <c r="I1440" t="str">
        <f t="shared" si="114"/>
        <v>472</v>
      </c>
      <c r="J1440" t="str">
        <f t="shared" si="115"/>
        <v>47296</v>
      </c>
      <c r="K1440" t="str">
        <f t="shared" si="111"/>
        <v>4729601</v>
      </c>
    </row>
    <row r="1441" spans="3:11" x14ac:dyDescent="0.25">
      <c r="C1441" t="s">
        <v>1864</v>
      </c>
      <c r="D1441" t="s">
        <v>1864</v>
      </c>
      <c r="E1441" t="s">
        <v>3294</v>
      </c>
      <c r="F1441" t="s">
        <v>1148</v>
      </c>
      <c r="G1441" t="str">
        <f t="shared" si="112"/>
        <v>G</v>
      </c>
      <c r="H1441" t="str">
        <f t="shared" si="113"/>
        <v>47</v>
      </c>
      <c r="I1441" t="str">
        <f t="shared" si="114"/>
        <v>472</v>
      </c>
      <c r="J1441" t="str">
        <f t="shared" si="115"/>
        <v>47296</v>
      </c>
      <c r="K1441" t="str">
        <f t="shared" si="111"/>
        <v>4729602</v>
      </c>
    </row>
    <row r="1442" spans="3:11" x14ac:dyDescent="0.25">
      <c r="C1442" t="s">
        <v>1864</v>
      </c>
      <c r="D1442" t="s">
        <v>1864</v>
      </c>
      <c r="E1442" t="s">
        <v>3295</v>
      </c>
      <c r="F1442" t="s">
        <v>1149</v>
      </c>
      <c r="G1442" t="str">
        <f t="shared" si="112"/>
        <v>G</v>
      </c>
      <c r="H1442" t="str">
        <f t="shared" si="113"/>
        <v>47</v>
      </c>
      <c r="I1442" t="str">
        <f t="shared" si="114"/>
        <v>472</v>
      </c>
      <c r="J1442" t="str">
        <f t="shared" si="115"/>
        <v>47296</v>
      </c>
      <c r="K1442" t="str">
        <f t="shared" si="111"/>
        <v>4729699</v>
      </c>
    </row>
    <row r="1443" spans="3:11" x14ac:dyDescent="0.25">
      <c r="C1443" t="s">
        <v>3296</v>
      </c>
      <c r="D1443" t="s">
        <v>1864</v>
      </c>
      <c r="E1443" t="s">
        <v>1864</v>
      </c>
      <c r="F1443" t="s">
        <v>1150</v>
      </c>
      <c r="G1443" t="str">
        <f t="shared" si="112"/>
        <v>G</v>
      </c>
      <c r="H1443" t="str">
        <f t="shared" si="113"/>
        <v>47</v>
      </c>
      <c r="I1443" t="str">
        <f t="shared" si="114"/>
        <v>473</v>
      </c>
      <c r="J1443" t="str">
        <f t="shared" si="115"/>
        <v>47296</v>
      </c>
      <c r="K1443" t="str">
        <f t="shared" si="111"/>
        <v/>
      </c>
    </row>
    <row r="1444" spans="3:11" x14ac:dyDescent="0.25">
      <c r="C1444" t="s">
        <v>1864</v>
      </c>
      <c r="D1444" t="s">
        <v>3297</v>
      </c>
      <c r="E1444" t="s">
        <v>1864</v>
      </c>
      <c r="F1444" t="s">
        <v>1150</v>
      </c>
      <c r="G1444" t="str">
        <f t="shared" si="112"/>
        <v>G</v>
      </c>
      <c r="H1444" t="str">
        <f t="shared" si="113"/>
        <v>47</v>
      </c>
      <c r="I1444" t="str">
        <f t="shared" si="114"/>
        <v>473</v>
      </c>
      <c r="J1444" t="str">
        <f t="shared" si="115"/>
        <v>47318</v>
      </c>
      <c r="K1444" t="str">
        <f t="shared" si="111"/>
        <v/>
      </c>
    </row>
    <row r="1445" spans="3:11" x14ac:dyDescent="0.25">
      <c r="C1445" t="s">
        <v>1864</v>
      </c>
      <c r="D1445" t="s">
        <v>1864</v>
      </c>
      <c r="E1445" t="s">
        <v>3298</v>
      </c>
      <c r="F1445" t="s">
        <v>1150</v>
      </c>
      <c r="G1445" t="str">
        <f t="shared" si="112"/>
        <v>G</v>
      </c>
      <c r="H1445" t="str">
        <f t="shared" si="113"/>
        <v>47</v>
      </c>
      <c r="I1445" t="str">
        <f t="shared" si="114"/>
        <v>473</v>
      </c>
      <c r="J1445" t="str">
        <f t="shared" si="115"/>
        <v>47318</v>
      </c>
      <c r="K1445" t="str">
        <f t="shared" si="111"/>
        <v>4731800</v>
      </c>
    </row>
    <row r="1446" spans="3:11" x14ac:dyDescent="0.25">
      <c r="C1446" t="s">
        <v>1864</v>
      </c>
      <c r="D1446" t="s">
        <v>3299</v>
      </c>
      <c r="E1446" t="s">
        <v>1864</v>
      </c>
      <c r="F1446" t="s">
        <v>1151</v>
      </c>
      <c r="G1446" t="str">
        <f t="shared" si="112"/>
        <v>G</v>
      </c>
      <c r="H1446" t="str">
        <f t="shared" si="113"/>
        <v>47</v>
      </c>
      <c r="I1446" t="str">
        <f t="shared" si="114"/>
        <v>473</v>
      </c>
      <c r="J1446" t="str">
        <f t="shared" si="115"/>
        <v>47326</v>
      </c>
      <c r="K1446" t="str">
        <f t="shared" si="111"/>
        <v/>
      </c>
    </row>
    <row r="1447" spans="3:11" x14ac:dyDescent="0.25">
      <c r="C1447" t="s">
        <v>1864</v>
      </c>
      <c r="D1447" t="s">
        <v>1864</v>
      </c>
      <c r="E1447" t="s">
        <v>3300</v>
      </c>
      <c r="F1447" t="s">
        <v>1151</v>
      </c>
      <c r="G1447" t="str">
        <f t="shared" si="112"/>
        <v>G</v>
      </c>
      <c r="H1447" t="str">
        <f t="shared" si="113"/>
        <v>47</v>
      </c>
      <c r="I1447" t="str">
        <f t="shared" si="114"/>
        <v>473</v>
      </c>
      <c r="J1447" t="str">
        <f t="shared" si="115"/>
        <v>47326</v>
      </c>
      <c r="K1447" t="str">
        <f t="shared" si="111"/>
        <v>4732600</v>
      </c>
    </row>
    <row r="1448" spans="3:11" x14ac:dyDescent="0.25">
      <c r="C1448" t="s">
        <v>3301</v>
      </c>
      <c r="D1448" t="s">
        <v>1864</v>
      </c>
      <c r="E1448" t="s">
        <v>1864</v>
      </c>
      <c r="F1448" t="s">
        <v>1152</v>
      </c>
      <c r="G1448" t="str">
        <f t="shared" si="112"/>
        <v>G</v>
      </c>
      <c r="H1448" t="str">
        <f t="shared" si="113"/>
        <v>47</v>
      </c>
      <c r="I1448" t="str">
        <f t="shared" si="114"/>
        <v>474</v>
      </c>
      <c r="J1448" t="str">
        <f t="shared" si="115"/>
        <v>47326</v>
      </c>
      <c r="K1448" t="str">
        <f t="shared" si="111"/>
        <v/>
      </c>
    </row>
    <row r="1449" spans="3:11" x14ac:dyDescent="0.25">
      <c r="C1449" t="s">
        <v>1864</v>
      </c>
      <c r="D1449" t="s">
        <v>3302</v>
      </c>
      <c r="E1449" t="s">
        <v>1864</v>
      </c>
      <c r="F1449" t="s">
        <v>1153</v>
      </c>
      <c r="G1449" t="str">
        <f t="shared" si="112"/>
        <v>G</v>
      </c>
      <c r="H1449" t="str">
        <f t="shared" si="113"/>
        <v>47</v>
      </c>
      <c r="I1449" t="str">
        <f t="shared" si="114"/>
        <v>474</v>
      </c>
      <c r="J1449" t="str">
        <f t="shared" si="115"/>
        <v>47415</v>
      </c>
      <c r="K1449" t="str">
        <f t="shared" si="111"/>
        <v/>
      </c>
    </row>
    <row r="1450" spans="3:11" x14ac:dyDescent="0.25">
      <c r="C1450" t="s">
        <v>1864</v>
      </c>
      <c r="D1450" t="s">
        <v>1864</v>
      </c>
      <c r="E1450" t="s">
        <v>3303</v>
      </c>
      <c r="F1450" t="s">
        <v>1153</v>
      </c>
      <c r="G1450" t="str">
        <f t="shared" si="112"/>
        <v>G</v>
      </c>
      <c r="H1450" t="str">
        <f t="shared" si="113"/>
        <v>47</v>
      </c>
      <c r="I1450" t="str">
        <f t="shared" si="114"/>
        <v>474</v>
      </c>
      <c r="J1450" t="str">
        <f t="shared" si="115"/>
        <v>47415</v>
      </c>
      <c r="K1450" t="str">
        <f t="shared" si="111"/>
        <v>4741500</v>
      </c>
    </row>
    <row r="1451" spans="3:11" x14ac:dyDescent="0.25">
      <c r="C1451" t="s">
        <v>1864</v>
      </c>
      <c r="D1451" t="s">
        <v>3304</v>
      </c>
      <c r="E1451" t="s">
        <v>1864</v>
      </c>
      <c r="F1451" t="s">
        <v>1154</v>
      </c>
      <c r="G1451" t="str">
        <f t="shared" si="112"/>
        <v>G</v>
      </c>
      <c r="H1451" t="str">
        <f t="shared" si="113"/>
        <v>47</v>
      </c>
      <c r="I1451" t="str">
        <f t="shared" si="114"/>
        <v>474</v>
      </c>
      <c r="J1451" t="str">
        <f t="shared" si="115"/>
        <v>47423</v>
      </c>
      <c r="K1451" t="str">
        <f t="shared" si="111"/>
        <v/>
      </c>
    </row>
    <row r="1452" spans="3:11" x14ac:dyDescent="0.25">
      <c r="C1452" t="s">
        <v>1864</v>
      </c>
      <c r="D1452" t="s">
        <v>1864</v>
      </c>
      <c r="E1452" t="s">
        <v>3305</v>
      </c>
      <c r="F1452" t="s">
        <v>1154</v>
      </c>
      <c r="G1452" t="str">
        <f t="shared" si="112"/>
        <v>G</v>
      </c>
      <c r="H1452" t="str">
        <f t="shared" si="113"/>
        <v>47</v>
      </c>
      <c r="I1452" t="str">
        <f t="shared" si="114"/>
        <v>474</v>
      </c>
      <c r="J1452" t="str">
        <f t="shared" si="115"/>
        <v>47423</v>
      </c>
      <c r="K1452" t="str">
        <f t="shared" si="111"/>
        <v>4742300</v>
      </c>
    </row>
    <row r="1453" spans="3:11" x14ac:dyDescent="0.25">
      <c r="C1453" t="s">
        <v>1864</v>
      </c>
      <c r="D1453" t="s">
        <v>3306</v>
      </c>
      <c r="E1453" t="s">
        <v>1864</v>
      </c>
      <c r="F1453" t="s">
        <v>1155</v>
      </c>
      <c r="G1453" t="str">
        <f t="shared" si="112"/>
        <v>G</v>
      </c>
      <c r="H1453" t="str">
        <f t="shared" si="113"/>
        <v>47</v>
      </c>
      <c r="I1453" t="str">
        <f t="shared" si="114"/>
        <v>474</v>
      </c>
      <c r="J1453" t="str">
        <f t="shared" si="115"/>
        <v>47431</v>
      </c>
      <c r="K1453" t="str">
        <f t="shared" si="111"/>
        <v/>
      </c>
    </row>
    <row r="1454" spans="3:11" x14ac:dyDescent="0.25">
      <c r="C1454" t="s">
        <v>1864</v>
      </c>
      <c r="D1454" t="s">
        <v>1864</v>
      </c>
      <c r="E1454" t="s">
        <v>3307</v>
      </c>
      <c r="F1454" t="s">
        <v>1155</v>
      </c>
      <c r="G1454" t="str">
        <f t="shared" si="112"/>
        <v>G</v>
      </c>
      <c r="H1454" t="str">
        <f t="shared" si="113"/>
        <v>47</v>
      </c>
      <c r="I1454" t="str">
        <f t="shared" si="114"/>
        <v>474</v>
      </c>
      <c r="J1454" t="str">
        <f t="shared" si="115"/>
        <v>47431</v>
      </c>
      <c r="K1454" t="str">
        <f t="shared" si="111"/>
        <v>4743100</v>
      </c>
    </row>
    <row r="1455" spans="3:11" x14ac:dyDescent="0.25">
      <c r="C1455" t="s">
        <v>1864</v>
      </c>
      <c r="D1455" t="s">
        <v>3308</v>
      </c>
      <c r="E1455" t="s">
        <v>1864</v>
      </c>
      <c r="F1455" t="s">
        <v>1156</v>
      </c>
      <c r="G1455" t="str">
        <f t="shared" si="112"/>
        <v>G</v>
      </c>
      <c r="H1455" t="str">
        <f t="shared" si="113"/>
        <v>47</v>
      </c>
      <c r="I1455" t="str">
        <f t="shared" si="114"/>
        <v>474</v>
      </c>
      <c r="J1455" t="str">
        <f t="shared" si="115"/>
        <v>47440</v>
      </c>
      <c r="K1455" t="str">
        <f t="shared" si="111"/>
        <v/>
      </c>
    </row>
    <row r="1456" spans="3:11" x14ac:dyDescent="0.25">
      <c r="C1456" t="s">
        <v>1864</v>
      </c>
      <c r="D1456" t="s">
        <v>1864</v>
      </c>
      <c r="E1456" t="s">
        <v>3309</v>
      </c>
      <c r="F1456" t="s">
        <v>1157</v>
      </c>
      <c r="G1456" t="str">
        <f t="shared" si="112"/>
        <v>G</v>
      </c>
      <c r="H1456" t="str">
        <f t="shared" si="113"/>
        <v>47</v>
      </c>
      <c r="I1456" t="str">
        <f t="shared" si="114"/>
        <v>474</v>
      </c>
      <c r="J1456" t="str">
        <f t="shared" si="115"/>
        <v>47440</v>
      </c>
      <c r="K1456" t="str">
        <f t="shared" si="111"/>
        <v>4744001</v>
      </c>
    </row>
    <row r="1457" spans="3:11" x14ac:dyDescent="0.25">
      <c r="C1457" t="s">
        <v>1864</v>
      </c>
      <c r="D1457" t="s">
        <v>1864</v>
      </c>
      <c r="E1457" t="s">
        <v>3310</v>
      </c>
      <c r="F1457" t="s">
        <v>1158</v>
      </c>
      <c r="G1457" t="str">
        <f t="shared" si="112"/>
        <v>G</v>
      </c>
      <c r="H1457" t="str">
        <f t="shared" si="113"/>
        <v>47</v>
      </c>
      <c r="I1457" t="str">
        <f t="shared" si="114"/>
        <v>474</v>
      </c>
      <c r="J1457" t="str">
        <f t="shared" si="115"/>
        <v>47440</v>
      </c>
      <c r="K1457" t="str">
        <f t="shared" si="111"/>
        <v>4744002</v>
      </c>
    </row>
    <row r="1458" spans="3:11" x14ac:dyDescent="0.25">
      <c r="C1458" t="s">
        <v>1864</v>
      </c>
      <c r="D1458" t="s">
        <v>1864</v>
      </c>
      <c r="E1458" t="s">
        <v>3311</v>
      </c>
      <c r="F1458" t="s">
        <v>1159</v>
      </c>
      <c r="G1458" t="str">
        <f t="shared" si="112"/>
        <v>G</v>
      </c>
      <c r="H1458" t="str">
        <f t="shared" si="113"/>
        <v>47</v>
      </c>
      <c r="I1458" t="str">
        <f t="shared" si="114"/>
        <v>474</v>
      </c>
      <c r="J1458" t="str">
        <f t="shared" si="115"/>
        <v>47440</v>
      </c>
      <c r="K1458" t="str">
        <f t="shared" si="111"/>
        <v>4744003</v>
      </c>
    </row>
    <row r="1459" spans="3:11" x14ac:dyDescent="0.25">
      <c r="C1459" t="s">
        <v>1864</v>
      </c>
      <c r="D1459" t="s">
        <v>1864</v>
      </c>
      <c r="E1459" t="s">
        <v>3312</v>
      </c>
      <c r="F1459" t="s">
        <v>1160</v>
      </c>
      <c r="G1459" t="str">
        <f t="shared" si="112"/>
        <v>G</v>
      </c>
      <c r="H1459" t="str">
        <f t="shared" si="113"/>
        <v>47</v>
      </c>
      <c r="I1459" t="str">
        <f t="shared" si="114"/>
        <v>474</v>
      </c>
      <c r="J1459" t="str">
        <f t="shared" si="115"/>
        <v>47440</v>
      </c>
      <c r="K1459" t="str">
        <f t="shared" si="111"/>
        <v>4744004</v>
      </c>
    </row>
    <row r="1460" spans="3:11" x14ac:dyDescent="0.25">
      <c r="C1460" t="s">
        <v>1864</v>
      </c>
      <c r="D1460" t="s">
        <v>1864</v>
      </c>
      <c r="E1460" t="s">
        <v>3313</v>
      </c>
      <c r="F1460" t="s">
        <v>1161</v>
      </c>
      <c r="G1460" t="str">
        <f t="shared" si="112"/>
        <v>G</v>
      </c>
      <c r="H1460" t="str">
        <f t="shared" si="113"/>
        <v>47</v>
      </c>
      <c r="I1460" t="str">
        <f t="shared" si="114"/>
        <v>474</v>
      </c>
      <c r="J1460" t="str">
        <f t="shared" si="115"/>
        <v>47440</v>
      </c>
      <c r="K1460" t="str">
        <f t="shared" si="111"/>
        <v>4744005</v>
      </c>
    </row>
    <row r="1461" spans="3:11" x14ac:dyDescent="0.25">
      <c r="C1461" t="s">
        <v>1864</v>
      </c>
      <c r="D1461" t="s">
        <v>1864</v>
      </c>
      <c r="E1461" t="s">
        <v>3314</v>
      </c>
      <c r="F1461" t="s">
        <v>1162</v>
      </c>
      <c r="G1461" t="str">
        <f t="shared" si="112"/>
        <v>G</v>
      </c>
      <c r="H1461" t="str">
        <f t="shared" si="113"/>
        <v>47</v>
      </c>
      <c r="I1461" t="str">
        <f t="shared" si="114"/>
        <v>474</v>
      </c>
      <c r="J1461" t="str">
        <f t="shared" si="115"/>
        <v>47440</v>
      </c>
      <c r="K1461" t="str">
        <f t="shared" si="111"/>
        <v>4744006</v>
      </c>
    </row>
    <row r="1462" spans="3:11" x14ac:dyDescent="0.25">
      <c r="C1462" t="s">
        <v>1864</v>
      </c>
      <c r="D1462" t="s">
        <v>1864</v>
      </c>
      <c r="E1462" t="s">
        <v>3315</v>
      </c>
      <c r="F1462" t="s">
        <v>1163</v>
      </c>
      <c r="G1462" t="str">
        <f t="shared" si="112"/>
        <v>G</v>
      </c>
      <c r="H1462" t="str">
        <f t="shared" si="113"/>
        <v>47</v>
      </c>
      <c r="I1462" t="str">
        <f t="shared" si="114"/>
        <v>474</v>
      </c>
      <c r="J1462" t="str">
        <f t="shared" si="115"/>
        <v>47440</v>
      </c>
      <c r="K1462" t="str">
        <f t="shared" si="111"/>
        <v>4744099</v>
      </c>
    </row>
    <row r="1463" spans="3:11" x14ac:dyDescent="0.25">
      <c r="C1463" t="s">
        <v>3316</v>
      </c>
      <c r="D1463" t="s">
        <v>1864</v>
      </c>
      <c r="E1463" t="s">
        <v>1864</v>
      </c>
      <c r="F1463" t="s">
        <v>1164</v>
      </c>
      <c r="G1463" t="str">
        <f t="shared" si="112"/>
        <v>G</v>
      </c>
      <c r="H1463" t="str">
        <f t="shared" si="113"/>
        <v>47</v>
      </c>
      <c r="I1463" t="str">
        <f t="shared" si="114"/>
        <v>475</v>
      </c>
      <c r="J1463" t="str">
        <f t="shared" si="115"/>
        <v>47440</v>
      </c>
      <c r="K1463" t="str">
        <f t="shared" si="111"/>
        <v/>
      </c>
    </row>
    <row r="1464" spans="3:11" x14ac:dyDescent="0.25">
      <c r="C1464" t="s">
        <v>1864</v>
      </c>
      <c r="D1464" t="s">
        <v>3317</v>
      </c>
      <c r="E1464" t="s">
        <v>1864</v>
      </c>
      <c r="F1464" t="s">
        <v>1165</v>
      </c>
      <c r="G1464" t="str">
        <f t="shared" si="112"/>
        <v>G</v>
      </c>
      <c r="H1464" t="str">
        <f t="shared" si="113"/>
        <v>47</v>
      </c>
      <c r="I1464" t="str">
        <f t="shared" si="114"/>
        <v>475</v>
      </c>
      <c r="J1464" t="str">
        <f t="shared" si="115"/>
        <v>47512</v>
      </c>
      <c r="K1464" t="str">
        <f t="shared" si="111"/>
        <v/>
      </c>
    </row>
    <row r="1465" spans="3:11" x14ac:dyDescent="0.25">
      <c r="C1465" t="s">
        <v>1864</v>
      </c>
      <c r="D1465" t="s">
        <v>1864</v>
      </c>
      <c r="E1465" t="s">
        <v>3318</v>
      </c>
      <c r="F1465" t="s">
        <v>1165</v>
      </c>
      <c r="G1465" t="str">
        <f t="shared" si="112"/>
        <v>G</v>
      </c>
      <c r="H1465" t="str">
        <f t="shared" si="113"/>
        <v>47</v>
      </c>
      <c r="I1465" t="str">
        <f t="shared" si="114"/>
        <v>475</v>
      </c>
      <c r="J1465" t="str">
        <f t="shared" si="115"/>
        <v>47512</v>
      </c>
      <c r="K1465" t="str">
        <f t="shared" si="111"/>
        <v>4751201</v>
      </c>
    </row>
    <row r="1466" spans="3:11" x14ac:dyDescent="0.25">
      <c r="C1466" t="s">
        <v>1864</v>
      </c>
      <c r="D1466" t="s">
        <v>1864</v>
      </c>
      <c r="E1466" t="s">
        <v>3319</v>
      </c>
      <c r="F1466" t="s">
        <v>1166</v>
      </c>
      <c r="G1466" t="str">
        <f t="shared" si="112"/>
        <v>G</v>
      </c>
      <c r="H1466" t="str">
        <f t="shared" si="113"/>
        <v>47</v>
      </c>
      <c r="I1466" t="str">
        <f t="shared" si="114"/>
        <v>475</v>
      </c>
      <c r="J1466" t="str">
        <f t="shared" si="115"/>
        <v>47512</v>
      </c>
      <c r="K1466" t="str">
        <f t="shared" si="111"/>
        <v>4751202</v>
      </c>
    </row>
    <row r="1467" spans="3:11" x14ac:dyDescent="0.25">
      <c r="C1467" t="s">
        <v>1864</v>
      </c>
      <c r="D1467" t="s">
        <v>3320</v>
      </c>
      <c r="E1467" t="s">
        <v>1864</v>
      </c>
      <c r="F1467" t="s">
        <v>1167</v>
      </c>
      <c r="G1467" t="str">
        <f t="shared" si="112"/>
        <v>G</v>
      </c>
      <c r="H1467" t="str">
        <f t="shared" si="113"/>
        <v>47</v>
      </c>
      <c r="I1467" t="str">
        <f t="shared" si="114"/>
        <v>475</v>
      </c>
      <c r="J1467" t="str">
        <f t="shared" si="115"/>
        <v>47521</v>
      </c>
      <c r="K1467" t="str">
        <f t="shared" si="111"/>
        <v/>
      </c>
    </row>
    <row r="1468" spans="3:11" x14ac:dyDescent="0.25">
      <c r="C1468" t="s">
        <v>1864</v>
      </c>
      <c r="D1468" t="s">
        <v>1864</v>
      </c>
      <c r="E1468" t="s">
        <v>3321</v>
      </c>
      <c r="F1468" t="s">
        <v>1167</v>
      </c>
      <c r="G1468" t="str">
        <f t="shared" si="112"/>
        <v>G</v>
      </c>
      <c r="H1468" t="str">
        <f t="shared" si="113"/>
        <v>47</v>
      </c>
      <c r="I1468" t="str">
        <f t="shared" si="114"/>
        <v>475</v>
      </c>
      <c r="J1468" t="str">
        <f t="shared" si="115"/>
        <v>47521</v>
      </c>
      <c r="K1468" t="str">
        <f t="shared" si="111"/>
        <v>4752100</v>
      </c>
    </row>
    <row r="1469" spans="3:11" x14ac:dyDescent="0.25">
      <c r="C1469" t="s">
        <v>1864</v>
      </c>
      <c r="D1469" t="s">
        <v>3322</v>
      </c>
      <c r="E1469" t="s">
        <v>1864</v>
      </c>
      <c r="F1469" t="s">
        <v>1168</v>
      </c>
      <c r="G1469" t="str">
        <f t="shared" si="112"/>
        <v>G</v>
      </c>
      <c r="H1469" t="str">
        <f t="shared" si="113"/>
        <v>47</v>
      </c>
      <c r="I1469" t="str">
        <f t="shared" si="114"/>
        <v>475</v>
      </c>
      <c r="J1469" t="str">
        <f t="shared" si="115"/>
        <v>47539</v>
      </c>
      <c r="K1469" t="str">
        <f t="shared" si="111"/>
        <v/>
      </c>
    </row>
    <row r="1470" spans="3:11" x14ac:dyDescent="0.25">
      <c r="C1470" t="s">
        <v>1864</v>
      </c>
      <c r="D1470" t="s">
        <v>1864</v>
      </c>
      <c r="E1470" t="s">
        <v>3323</v>
      </c>
      <c r="F1470" t="s">
        <v>1168</v>
      </c>
      <c r="G1470" t="str">
        <f t="shared" si="112"/>
        <v>G</v>
      </c>
      <c r="H1470" t="str">
        <f t="shared" si="113"/>
        <v>47</v>
      </c>
      <c r="I1470" t="str">
        <f t="shared" si="114"/>
        <v>475</v>
      </c>
      <c r="J1470" t="str">
        <f t="shared" si="115"/>
        <v>47539</v>
      </c>
      <c r="K1470" t="str">
        <f t="shared" si="111"/>
        <v>4753900</v>
      </c>
    </row>
    <row r="1471" spans="3:11" x14ac:dyDescent="0.25">
      <c r="C1471" t="s">
        <v>1864</v>
      </c>
      <c r="D1471" t="s">
        <v>3324</v>
      </c>
      <c r="E1471" t="s">
        <v>1864</v>
      </c>
      <c r="F1471" t="s">
        <v>1169</v>
      </c>
      <c r="G1471" t="str">
        <f t="shared" si="112"/>
        <v>G</v>
      </c>
      <c r="H1471" t="str">
        <f t="shared" si="113"/>
        <v>47</v>
      </c>
      <c r="I1471" t="str">
        <f t="shared" si="114"/>
        <v>475</v>
      </c>
      <c r="J1471" t="str">
        <f t="shared" si="115"/>
        <v>47547</v>
      </c>
      <c r="K1471" t="str">
        <f t="shared" si="111"/>
        <v/>
      </c>
    </row>
    <row r="1472" spans="3:11" x14ac:dyDescent="0.25">
      <c r="C1472" t="s">
        <v>1864</v>
      </c>
      <c r="D1472" t="s">
        <v>1864</v>
      </c>
      <c r="E1472" t="s">
        <v>3325</v>
      </c>
      <c r="F1472" t="s">
        <v>1170</v>
      </c>
      <c r="G1472" t="str">
        <f t="shared" si="112"/>
        <v>G</v>
      </c>
      <c r="H1472" t="str">
        <f t="shared" si="113"/>
        <v>47</v>
      </c>
      <c r="I1472" t="str">
        <f t="shared" si="114"/>
        <v>475</v>
      </c>
      <c r="J1472" t="str">
        <f t="shared" si="115"/>
        <v>47547</v>
      </c>
      <c r="K1472" t="str">
        <f t="shared" si="111"/>
        <v>4754701</v>
      </c>
    </row>
    <row r="1473" spans="3:11" x14ac:dyDescent="0.25">
      <c r="C1473" t="s">
        <v>1864</v>
      </c>
      <c r="D1473" t="s">
        <v>1864</v>
      </c>
      <c r="E1473" t="s">
        <v>3326</v>
      </c>
      <c r="F1473" t="s">
        <v>1171</v>
      </c>
      <c r="G1473" t="str">
        <f t="shared" si="112"/>
        <v>G</v>
      </c>
      <c r="H1473" t="str">
        <f t="shared" si="113"/>
        <v>47</v>
      </c>
      <c r="I1473" t="str">
        <f t="shared" si="114"/>
        <v>475</v>
      </c>
      <c r="J1473" t="str">
        <f t="shared" si="115"/>
        <v>47547</v>
      </c>
      <c r="K1473" t="str">
        <f t="shared" si="111"/>
        <v>4754702</v>
      </c>
    </row>
    <row r="1474" spans="3:11" x14ac:dyDescent="0.25">
      <c r="C1474" t="s">
        <v>1864</v>
      </c>
      <c r="D1474" t="s">
        <v>1864</v>
      </c>
      <c r="E1474" t="s">
        <v>3327</v>
      </c>
      <c r="F1474" t="s">
        <v>1172</v>
      </c>
      <c r="G1474" t="str">
        <f t="shared" si="112"/>
        <v>G</v>
      </c>
      <c r="H1474" t="str">
        <f t="shared" si="113"/>
        <v>47</v>
      </c>
      <c r="I1474" t="str">
        <f t="shared" si="114"/>
        <v>475</v>
      </c>
      <c r="J1474" t="str">
        <f t="shared" si="115"/>
        <v>47547</v>
      </c>
      <c r="K1474" t="str">
        <f t="shared" si="111"/>
        <v>4754703</v>
      </c>
    </row>
    <row r="1475" spans="3:11" x14ac:dyDescent="0.25">
      <c r="C1475" t="s">
        <v>1864</v>
      </c>
      <c r="D1475" t="s">
        <v>3328</v>
      </c>
      <c r="E1475" t="s">
        <v>1864</v>
      </c>
      <c r="F1475" t="s">
        <v>1173</v>
      </c>
      <c r="G1475" t="str">
        <f t="shared" si="112"/>
        <v>G</v>
      </c>
      <c r="H1475" t="str">
        <f t="shared" si="113"/>
        <v>47</v>
      </c>
      <c r="I1475" t="str">
        <f t="shared" si="114"/>
        <v>475</v>
      </c>
      <c r="J1475" t="str">
        <f t="shared" si="115"/>
        <v>47555</v>
      </c>
      <c r="K1475" t="str">
        <f t="shared" si="111"/>
        <v/>
      </c>
    </row>
    <row r="1476" spans="3:11" x14ac:dyDescent="0.25">
      <c r="C1476" t="s">
        <v>1864</v>
      </c>
      <c r="D1476" t="s">
        <v>1864</v>
      </c>
      <c r="E1476" t="s">
        <v>3329</v>
      </c>
      <c r="F1476" t="s">
        <v>1174</v>
      </c>
      <c r="G1476" t="str">
        <f t="shared" si="112"/>
        <v>G</v>
      </c>
      <c r="H1476" t="str">
        <f t="shared" si="113"/>
        <v>47</v>
      </c>
      <c r="I1476" t="str">
        <f t="shared" si="114"/>
        <v>475</v>
      </c>
      <c r="J1476" t="str">
        <f t="shared" si="115"/>
        <v>47555</v>
      </c>
      <c r="K1476" t="str">
        <f t="shared" si="111"/>
        <v>4755501</v>
      </c>
    </row>
    <row r="1477" spans="3:11" x14ac:dyDescent="0.25">
      <c r="C1477" t="s">
        <v>1864</v>
      </c>
      <c r="D1477" t="s">
        <v>1864</v>
      </c>
      <c r="E1477" t="s">
        <v>3330</v>
      </c>
      <c r="F1477" t="s">
        <v>1175</v>
      </c>
      <c r="G1477" t="str">
        <f t="shared" si="112"/>
        <v>G</v>
      </c>
      <c r="H1477" t="str">
        <f t="shared" si="113"/>
        <v>47</v>
      </c>
      <c r="I1477" t="str">
        <f t="shared" si="114"/>
        <v>475</v>
      </c>
      <c r="J1477" t="str">
        <f t="shared" si="115"/>
        <v>47555</v>
      </c>
      <c r="K1477" t="str">
        <f t="shared" si="111"/>
        <v>4755502</v>
      </c>
    </row>
    <row r="1478" spans="3:11" x14ac:dyDescent="0.25">
      <c r="C1478" t="s">
        <v>1864</v>
      </c>
      <c r="D1478" t="s">
        <v>1864</v>
      </c>
      <c r="E1478" t="s">
        <v>3331</v>
      </c>
      <c r="F1478" t="s">
        <v>1176</v>
      </c>
      <c r="G1478" t="str">
        <f t="shared" si="112"/>
        <v>G</v>
      </c>
      <c r="H1478" t="str">
        <f t="shared" si="113"/>
        <v>47</v>
      </c>
      <c r="I1478" t="str">
        <f t="shared" si="114"/>
        <v>475</v>
      </c>
      <c r="J1478" t="str">
        <f t="shared" si="115"/>
        <v>47555</v>
      </c>
      <c r="K1478" t="str">
        <f t="shared" si="111"/>
        <v>4755503</v>
      </c>
    </row>
    <row r="1479" spans="3:11" x14ac:dyDescent="0.25">
      <c r="C1479" t="s">
        <v>1864</v>
      </c>
      <c r="D1479" t="s">
        <v>3332</v>
      </c>
      <c r="E1479" t="s">
        <v>1864</v>
      </c>
      <c r="F1479" t="s">
        <v>1177</v>
      </c>
      <c r="G1479" t="str">
        <f t="shared" si="112"/>
        <v>G</v>
      </c>
      <c r="H1479" t="str">
        <f t="shared" si="113"/>
        <v>47</v>
      </c>
      <c r="I1479" t="str">
        <f t="shared" si="114"/>
        <v>475</v>
      </c>
      <c r="J1479" t="str">
        <f t="shared" si="115"/>
        <v>47563</v>
      </c>
      <c r="K1479" t="str">
        <f t="shared" si="111"/>
        <v/>
      </c>
    </row>
    <row r="1480" spans="3:11" x14ac:dyDescent="0.25">
      <c r="C1480" t="s">
        <v>1864</v>
      </c>
      <c r="D1480" t="s">
        <v>1864</v>
      </c>
      <c r="E1480" t="s">
        <v>3333</v>
      </c>
      <c r="F1480" t="s">
        <v>1177</v>
      </c>
      <c r="G1480" t="str">
        <f t="shared" si="112"/>
        <v>G</v>
      </c>
      <c r="H1480" t="str">
        <f t="shared" si="113"/>
        <v>47</v>
      </c>
      <c r="I1480" t="str">
        <f t="shared" si="114"/>
        <v>475</v>
      </c>
      <c r="J1480" t="str">
        <f t="shared" si="115"/>
        <v>47563</v>
      </c>
      <c r="K1480" t="str">
        <f t="shared" ref="K1480:K1543" si="116">E1480</f>
        <v>4756300</v>
      </c>
    </row>
    <row r="1481" spans="3:11" x14ac:dyDescent="0.25">
      <c r="C1481" t="s">
        <v>1864</v>
      </c>
      <c r="D1481" t="s">
        <v>3334</v>
      </c>
      <c r="E1481" t="s">
        <v>1864</v>
      </c>
      <c r="F1481" t="s">
        <v>1178</v>
      </c>
      <c r="G1481" t="str">
        <f t="shared" ref="G1481:G1544" si="117">IF(A1481="",G1480,A1481)</f>
        <v>G</v>
      </c>
      <c r="H1481" t="str">
        <f t="shared" ref="H1481:H1544" si="118">IF(B1481="",H1480,B1481)</f>
        <v>47</v>
      </c>
      <c r="I1481" t="str">
        <f t="shared" ref="I1481:I1544" si="119">IF(C1481="",I1480,C1481)</f>
        <v>475</v>
      </c>
      <c r="J1481" t="str">
        <f t="shared" ref="J1481:J1544" si="120">IF(D1481="",J1480,D1481)</f>
        <v>47571</v>
      </c>
      <c r="K1481" t="str">
        <f t="shared" si="116"/>
        <v/>
      </c>
    </row>
    <row r="1482" spans="3:11" x14ac:dyDescent="0.25">
      <c r="C1482" t="s">
        <v>1864</v>
      </c>
      <c r="D1482" t="s">
        <v>1864</v>
      </c>
      <c r="E1482" t="s">
        <v>3335</v>
      </c>
      <c r="F1482" t="s">
        <v>1178</v>
      </c>
      <c r="G1482" t="str">
        <f t="shared" si="117"/>
        <v>G</v>
      </c>
      <c r="H1482" t="str">
        <f t="shared" si="118"/>
        <v>47</v>
      </c>
      <c r="I1482" t="str">
        <f t="shared" si="119"/>
        <v>475</v>
      </c>
      <c r="J1482" t="str">
        <f t="shared" si="120"/>
        <v>47571</v>
      </c>
      <c r="K1482" t="str">
        <f t="shared" si="116"/>
        <v>4757100</v>
      </c>
    </row>
    <row r="1483" spans="3:11" x14ac:dyDescent="0.25">
      <c r="C1483" t="s">
        <v>1864</v>
      </c>
      <c r="D1483" t="s">
        <v>3336</v>
      </c>
      <c r="E1483" t="s">
        <v>1864</v>
      </c>
      <c r="F1483" t="s">
        <v>1179</v>
      </c>
      <c r="G1483" t="str">
        <f t="shared" si="117"/>
        <v>G</v>
      </c>
      <c r="H1483" t="str">
        <f t="shared" si="118"/>
        <v>47</v>
      </c>
      <c r="I1483" t="str">
        <f t="shared" si="119"/>
        <v>475</v>
      </c>
      <c r="J1483" t="str">
        <f t="shared" si="120"/>
        <v>47598</v>
      </c>
      <c r="K1483" t="str">
        <f t="shared" si="116"/>
        <v/>
      </c>
    </row>
    <row r="1484" spans="3:11" x14ac:dyDescent="0.25">
      <c r="C1484" t="s">
        <v>1864</v>
      </c>
      <c r="D1484" t="s">
        <v>1864</v>
      </c>
      <c r="E1484" t="s">
        <v>3337</v>
      </c>
      <c r="F1484" t="s">
        <v>1180</v>
      </c>
      <c r="G1484" t="str">
        <f t="shared" si="117"/>
        <v>G</v>
      </c>
      <c r="H1484" t="str">
        <f t="shared" si="118"/>
        <v>47</v>
      </c>
      <c r="I1484" t="str">
        <f t="shared" si="119"/>
        <v>475</v>
      </c>
      <c r="J1484" t="str">
        <f t="shared" si="120"/>
        <v>47598</v>
      </c>
      <c r="K1484" t="str">
        <f t="shared" si="116"/>
        <v>4759801</v>
      </c>
    </row>
    <row r="1485" spans="3:11" x14ac:dyDescent="0.25">
      <c r="C1485" t="s">
        <v>1864</v>
      </c>
      <c r="D1485" t="s">
        <v>1864</v>
      </c>
      <c r="E1485" t="s">
        <v>3338</v>
      </c>
      <c r="F1485" t="s">
        <v>1181</v>
      </c>
      <c r="G1485" t="str">
        <f t="shared" si="117"/>
        <v>G</v>
      </c>
      <c r="H1485" t="str">
        <f t="shared" si="118"/>
        <v>47</v>
      </c>
      <c r="I1485" t="str">
        <f t="shared" si="119"/>
        <v>475</v>
      </c>
      <c r="J1485" t="str">
        <f t="shared" si="120"/>
        <v>47598</v>
      </c>
      <c r="K1485" t="str">
        <f t="shared" si="116"/>
        <v>4759899</v>
      </c>
    </row>
    <row r="1486" spans="3:11" x14ac:dyDescent="0.25">
      <c r="C1486" t="s">
        <v>3339</v>
      </c>
      <c r="D1486" t="s">
        <v>1864</v>
      </c>
      <c r="E1486" t="s">
        <v>1864</v>
      </c>
      <c r="F1486" t="s">
        <v>1182</v>
      </c>
      <c r="G1486" t="str">
        <f t="shared" si="117"/>
        <v>G</v>
      </c>
      <c r="H1486" t="str">
        <f t="shared" si="118"/>
        <v>47</v>
      </c>
      <c r="I1486" t="str">
        <f t="shared" si="119"/>
        <v>476</v>
      </c>
      <c r="J1486" t="str">
        <f t="shared" si="120"/>
        <v>47598</v>
      </c>
      <c r="K1486" t="str">
        <f t="shared" si="116"/>
        <v/>
      </c>
    </row>
    <row r="1487" spans="3:11" x14ac:dyDescent="0.25">
      <c r="C1487" t="s">
        <v>1864</v>
      </c>
      <c r="D1487" t="s">
        <v>3340</v>
      </c>
      <c r="E1487" t="s">
        <v>1864</v>
      </c>
      <c r="F1487" t="s">
        <v>1183</v>
      </c>
      <c r="G1487" t="str">
        <f t="shared" si="117"/>
        <v>G</v>
      </c>
      <c r="H1487" t="str">
        <f t="shared" si="118"/>
        <v>47</v>
      </c>
      <c r="I1487" t="str">
        <f t="shared" si="119"/>
        <v>476</v>
      </c>
      <c r="J1487" t="str">
        <f t="shared" si="120"/>
        <v>47610</v>
      </c>
      <c r="K1487" t="str">
        <f t="shared" si="116"/>
        <v/>
      </c>
    </row>
    <row r="1488" spans="3:11" x14ac:dyDescent="0.25">
      <c r="C1488" t="s">
        <v>1864</v>
      </c>
      <c r="D1488" t="s">
        <v>1864</v>
      </c>
      <c r="E1488" t="s">
        <v>3341</v>
      </c>
      <c r="F1488" t="s">
        <v>1184</v>
      </c>
      <c r="G1488" t="str">
        <f t="shared" si="117"/>
        <v>G</v>
      </c>
      <c r="H1488" t="str">
        <f t="shared" si="118"/>
        <v>47</v>
      </c>
      <c r="I1488" t="str">
        <f t="shared" si="119"/>
        <v>476</v>
      </c>
      <c r="J1488" t="str">
        <f t="shared" si="120"/>
        <v>47610</v>
      </c>
      <c r="K1488" t="str">
        <f t="shared" si="116"/>
        <v>4761001</v>
      </c>
    </row>
    <row r="1489" spans="3:11" x14ac:dyDescent="0.25">
      <c r="C1489" t="s">
        <v>1864</v>
      </c>
      <c r="D1489" t="s">
        <v>1864</v>
      </c>
      <c r="E1489" t="s">
        <v>3342</v>
      </c>
      <c r="F1489" t="s">
        <v>1185</v>
      </c>
      <c r="G1489" t="str">
        <f t="shared" si="117"/>
        <v>G</v>
      </c>
      <c r="H1489" t="str">
        <f t="shared" si="118"/>
        <v>47</v>
      </c>
      <c r="I1489" t="str">
        <f t="shared" si="119"/>
        <v>476</v>
      </c>
      <c r="J1489" t="str">
        <f t="shared" si="120"/>
        <v>47610</v>
      </c>
      <c r="K1489" t="str">
        <f t="shared" si="116"/>
        <v>4761002</v>
      </c>
    </row>
    <row r="1490" spans="3:11" x14ac:dyDescent="0.25">
      <c r="C1490" t="s">
        <v>1864</v>
      </c>
      <c r="D1490" t="s">
        <v>1864</v>
      </c>
      <c r="E1490" t="s">
        <v>3343</v>
      </c>
      <c r="F1490" t="s">
        <v>1186</v>
      </c>
      <c r="G1490" t="str">
        <f t="shared" si="117"/>
        <v>G</v>
      </c>
      <c r="H1490" t="str">
        <f t="shared" si="118"/>
        <v>47</v>
      </c>
      <c r="I1490" t="str">
        <f t="shared" si="119"/>
        <v>476</v>
      </c>
      <c r="J1490" t="str">
        <f t="shared" si="120"/>
        <v>47610</v>
      </c>
      <c r="K1490" t="str">
        <f t="shared" si="116"/>
        <v>4761003</v>
      </c>
    </row>
    <row r="1491" spans="3:11" x14ac:dyDescent="0.25">
      <c r="C1491" t="s">
        <v>1864</v>
      </c>
      <c r="D1491" t="s">
        <v>3344</v>
      </c>
      <c r="E1491" t="s">
        <v>1864</v>
      </c>
      <c r="F1491" t="s">
        <v>1187</v>
      </c>
      <c r="G1491" t="str">
        <f t="shared" si="117"/>
        <v>G</v>
      </c>
      <c r="H1491" t="str">
        <f t="shared" si="118"/>
        <v>47</v>
      </c>
      <c r="I1491" t="str">
        <f t="shared" si="119"/>
        <v>476</v>
      </c>
      <c r="J1491" t="str">
        <f t="shared" si="120"/>
        <v>47628</v>
      </c>
      <c r="K1491" t="str">
        <f t="shared" si="116"/>
        <v/>
      </c>
    </row>
    <row r="1492" spans="3:11" x14ac:dyDescent="0.25">
      <c r="C1492" t="s">
        <v>1864</v>
      </c>
      <c r="D1492" t="s">
        <v>1864</v>
      </c>
      <c r="E1492" t="s">
        <v>3345</v>
      </c>
      <c r="F1492" t="s">
        <v>1187</v>
      </c>
      <c r="G1492" t="str">
        <f t="shared" si="117"/>
        <v>G</v>
      </c>
      <c r="H1492" t="str">
        <f t="shared" si="118"/>
        <v>47</v>
      </c>
      <c r="I1492" t="str">
        <f t="shared" si="119"/>
        <v>476</v>
      </c>
      <c r="J1492" t="str">
        <f t="shared" si="120"/>
        <v>47628</v>
      </c>
      <c r="K1492" t="str">
        <f t="shared" si="116"/>
        <v>4762800</v>
      </c>
    </row>
    <row r="1493" spans="3:11" x14ac:dyDescent="0.25">
      <c r="C1493" t="s">
        <v>1864</v>
      </c>
      <c r="D1493" t="s">
        <v>3346</v>
      </c>
      <c r="E1493" t="s">
        <v>1864</v>
      </c>
      <c r="F1493" t="s">
        <v>1188</v>
      </c>
      <c r="G1493" t="str">
        <f t="shared" si="117"/>
        <v>G</v>
      </c>
      <c r="H1493" t="str">
        <f t="shared" si="118"/>
        <v>47</v>
      </c>
      <c r="I1493" t="str">
        <f t="shared" si="119"/>
        <v>476</v>
      </c>
      <c r="J1493" t="str">
        <f t="shared" si="120"/>
        <v>47636</v>
      </c>
      <c r="K1493" t="str">
        <f t="shared" si="116"/>
        <v/>
      </c>
    </row>
    <row r="1494" spans="3:11" x14ac:dyDescent="0.25">
      <c r="C1494" t="s">
        <v>1864</v>
      </c>
      <c r="D1494" t="s">
        <v>1864</v>
      </c>
      <c r="E1494" t="s">
        <v>3347</v>
      </c>
      <c r="F1494" t="s">
        <v>1189</v>
      </c>
      <c r="G1494" t="str">
        <f t="shared" si="117"/>
        <v>G</v>
      </c>
      <c r="H1494" t="str">
        <f t="shared" si="118"/>
        <v>47</v>
      </c>
      <c r="I1494" t="str">
        <f t="shared" si="119"/>
        <v>476</v>
      </c>
      <c r="J1494" t="str">
        <f t="shared" si="120"/>
        <v>47636</v>
      </c>
      <c r="K1494" t="str">
        <f t="shared" si="116"/>
        <v>4763601</v>
      </c>
    </row>
    <row r="1495" spans="3:11" x14ac:dyDescent="0.25">
      <c r="C1495" t="s">
        <v>1864</v>
      </c>
      <c r="D1495" t="s">
        <v>1864</v>
      </c>
      <c r="E1495" t="s">
        <v>3348</v>
      </c>
      <c r="F1495" t="s">
        <v>1190</v>
      </c>
      <c r="G1495" t="str">
        <f t="shared" si="117"/>
        <v>G</v>
      </c>
      <c r="H1495" t="str">
        <f t="shared" si="118"/>
        <v>47</v>
      </c>
      <c r="I1495" t="str">
        <f t="shared" si="119"/>
        <v>476</v>
      </c>
      <c r="J1495" t="str">
        <f t="shared" si="120"/>
        <v>47636</v>
      </c>
      <c r="K1495" t="str">
        <f t="shared" si="116"/>
        <v>4763602</v>
      </c>
    </row>
    <row r="1496" spans="3:11" x14ac:dyDescent="0.25">
      <c r="C1496" t="s">
        <v>1864</v>
      </c>
      <c r="D1496" t="s">
        <v>1864</v>
      </c>
      <c r="E1496" t="s">
        <v>3349</v>
      </c>
      <c r="F1496" t="s">
        <v>1191</v>
      </c>
      <c r="G1496" t="str">
        <f t="shared" si="117"/>
        <v>G</v>
      </c>
      <c r="H1496" t="str">
        <f t="shared" si="118"/>
        <v>47</v>
      </c>
      <c r="I1496" t="str">
        <f t="shared" si="119"/>
        <v>476</v>
      </c>
      <c r="J1496" t="str">
        <f t="shared" si="120"/>
        <v>47636</v>
      </c>
      <c r="K1496" t="str">
        <f t="shared" si="116"/>
        <v>4763603</v>
      </c>
    </row>
    <row r="1497" spans="3:11" x14ac:dyDescent="0.25">
      <c r="C1497" t="s">
        <v>1864</v>
      </c>
      <c r="D1497" t="s">
        <v>1864</v>
      </c>
      <c r="E1497" t="s">
        <v>3350</v>
      </c>
      <c r="F1497" t="s">
        <v>3351</v>
      </c>
      <c r="G1497" t="str">
        <f t="shared" si="117"/>
        <v>G</v>
      </c>
      <c r="H1497" t="str">
        <f t="shared" si="118"/>
        <v>47</v>
      </c>
      <c r="I1497" t="str">
        <f t="shared" si="119"/>
        <v>476</v>
      </c>
      <c r="J1497" t="str">
        <f t="shared" si="120"/>
        <v>47636</v>
      </c>
      <c r="K1497" t="str">
        <f t="shared" si="116"/>
        <v>4763604</v>
      </c>
    </row>
    <row r="1498" spans="3:11" x14ac:dyDescent="0.25">
      <c r="C1498" t="s">
        <v>1864</v>
      </c>
      <c r="D1498" t="s">
        <v>1864</v>
      </c>
      <c r="E1498" t="s">
        <v>3352</v>
      </c>
      <c r="F1498" t="s">
        <v>1192</v>
      </c>
      <c r="G1498" t="str">
        <f t="shared" si="117"/>
        <v>G</v>
      </c>
      <c r="H1498" t="str">
        <f t="shared" si="118"/>
        <v>47</v>
      </c>
      <c r="I1498" t="str">
        <f t="shared" si="119"/>
        <v>476</v>
      </c>
      <c r="J1498" t="str">
        <f t="shared" si="120"/>
        <v>47636</v>
      </c>
      <c r="K1498" t="str">
        <f t="shared" si="116"/>
        <v>4763605</v>
      </c>
    </row>
    <row r="1499" spans="3:11" x14ac:dyDescent="0.25">
      <c r="C1499" t="s">
        <v>3353</v>
      </c>
      <c r="D1499" t="s">
        <v>1864</v>
      </c>
      <c r="E1499" t="s">
        <v>1864</v>
      </c>
      <c r="F1499" t="s">
        <v>1193</v>
      </c>
      <c r="G1499" t="str">
        <f t="shared" si="117"/>
        <v>G</v>
      </c>
      <c r="H1499" t="str">
        <f t="shared" si="118"/>
        <v>47</v>
      </c>
      <c r="I1499" t="str">
        <f t="shared" si="119"/>
        <v>477</v>
      </c>
      <c r="J1499" t="str">
        <f t="shared" si="120"/>
        <v>47636</v>
      </c>
      <c r="K1499" t="str">
        <f t="shared" si="116"/>
        <v/>
      </c>
    </row>
    <row r="1500" spans="3:11" x14ac:dyDescent="0.25">
      <c r="C1500" t="s">
        <v>1864</v>
      </c>
      <c r="D1500" t="s">
        <v>3354</v>
      </c>
      <c r="E1500" t="s">
        <v>1864</v>
      </c>
      <c r="F1500" t="s">
        <v>1194</v>
      </c>
      <c r="G1500" t="str">
        <f t="shared" si="117"/>
        <v>G</v>
      </c>
      <c r="H1500" t="str">
        <f t="shared" si="118"/>
        <v>47</v>
      </c>
      <c r="I1500" t="str">
        <f t="shared" si="119"/>
        <v>477</v>
      </c>
      <c r="J1500" t="str">
        <f t="shared" si="120"/>
        <v>47717</v>
      </c>
      <c r="K1500" t="str">
        <f t="shared" si="116"/>
        <v/>
      </c>
    </row>
    <row r="1501" spans="3:11" x14ac:dyDescent="0.25">
      <c r="C1501" t="s">
        <v>1864</v>
      </c>
      <c r="D1501" t="s">
        <v>1864</v>
      </c>
      <c r="E1501" t="s">
        <v>3355</v>
      </c>
      <c r="F1501" t="s">
        <v>1195</v>
      </c>
      <c r="G1501" t="str">
        <f t="shared" si="117"/>
        <v>G</v>
      </c>
      <c r="H1501" t="str">
        <f t="shared" si="118"/>
        <v>47</v>
      </c>
      <c r="I1501" t="str">
        <f t="shared" si="119"/>
        <v>477</v>
      </c>
      <c r="J1501" t="str">
        <f t="shared" si="120"/>
        <v>47717</v>
      </c>
      <c r="K1501" t="str">
        <f t="shared" si="116"/>
        <v>4771701</v>
      </c>
    </row>
    <row r="1502" spans="3:11" x14ac:dyDescent="0.25">
      <c r="C1502" t="s">
        <v>1864</v>
      </c>
      <c r="D1502" t="s">
        <v>1864</v>
      </c>
      <c r="E1502" t="s">
        <v>3356</v>
      </c>
      <c r="F1502" t="s">
        <v>1196</v>
      </c>
      <c r="G1502" t="str">
        <f t="shared" si="117"/>
        <v>G</v>
      </c>
      <c r="H1502" t="str">
        <f t="shared" si="118"/>
        <v>47</v>
      </c>
      <c r="I1502" t="str">
        <f t="shared" si="119"/>
        <v>477</v>
      </c>
      <c r="J1502" t="str">
        <f t="shared" si="120"/>
        <v>47717</v>
      </c>
      <c r="K1502" t="str">
        <f t="shared" si="116"/>
        <v>4771702</v>
      </c>
    </row>
    <row r="1503" spans="3:11" x14ac:dyDescent="0.25">
      <c r="C1503" t="s">
        <v>1864</v>
      </c>
      <c r="D1503" t="s">
        <v>1864</v>
      </c>
      <c r="E1503" t="s">
        <v>3357</v>
      </c>
      <c r="F1503" t="s">
        <v>1197</v>
      </c>
      <c r="G1503" t="str">
        <f t="shared" si="117"/>
        <v>G</v>
      </c>
      <c r="H1503" t="str">
        <f t="shared" si="118"/>
        <v>47</v>
      </c>
      <c r="I1503" t="str">
        <f t="shared" si="119"/>
        <v>477</v>
      </c>
      <c r="J1503" t="str">
        <f t="shared" si="120"/>
        <v>47717</v>
      </c>
      <c r="K1503" t="str">
        <f t="shared" si="116"/>
        <v>4771703</v>
      </c>
    </row>
    <row r="1504" spans="3:11" x14ac:dyDescent="0.25">
      <c r="C1504" t="s">
        <v>1864</v>
      </c>
      <c r="D1504" t="s">
        <v>1864</v>
      </c>
      <c r="E1504" t="s">
        <v>3358</v>
      </c>
      <c r="F1504" t="s">
        <v>1198</v>
      </c>
      <c r="G1504" t="str">
        <f t="shared" si="117"/>
        <v>G</v>
      </c>
      <c r="H1504" t="str">
        <f t="shared" si="118"/>
        <v>47</v>
      </c>
      <c r="I1504" t="str">
        <f t="shared" si="119"/>
        <v>477</v>
      </c>
      <c r="J1504" t="str">
        <f t="shared" si="120"/>
        <v>47717</v>
      </c>
      <c r="K1504" t="str">
        <f t="shared" si="116"/>
        <v>4771704</v>
      </c>
    </row>
    <row r="1505" spans="3:11" x14ac:dyDescent="0.25">
      <c r="C1505" t="s">
        <v>1864</v>
      </c>
      <c r="D1505" t="s">
        <v>3359</v>
      </c>
      <c r="E1505" t="s">
        <v>1864</v>
      </c>
      <c r="F1505" t="s">
        <v>1199</v>
      </c>
      <c r="G1505" t="str">
        <f t="shared" si="117"/>
        <v>G</v>
      </c>
      <c r="H1505" t="str">
        <f t="shared" si="118"/>
        <v>47</v>
      </c>
      <c r="I1505" t="str">
        <f t="shared" si="119"/>
        <v>477</v>
      </c>
      <c r="J1505" t="str">
        <f t="shared" si="120"/>
        <v>47725</v>
      </c>
      <c r="K1505" t="str">
        <f t="shared" si="116"/>
        <v/>
      </c>
    </row>
    <row r="1506" spans="3:11" x14ac:dyDescent="0.25">
      <c r="C1506" t="s">
        <v>1864</v>
      </c>
      <c r="D1506" t="s">
        <v>1864</v>
      </c>
      <c r="E1506" t="s">
        <v>3360</v>
      </c>
      <c r="F1506" t="s">
        <v>1199</v>
      </c>
      <c r="G1506" t="str">
        <f t="shared" si="117"/>
        <v>G</v>
      </c>
      <c r="H1506" t="str">
        <f t="shared" si="118"/>
        <v>47</v>
      </c>
      <c r="I1506" t="str">
        <f t="shared" si="119"/>
        <v>477</v>
      </c>
      <c r="J1506" t="str">
        <f t="shared" si="120"/>
        <v>47725</v>
      </c>
      <c r="K1506" t="str">
        <f t="shared" si="116"/>
        <v>4772500</v>
      </c>
    </row>
    <row r="1507" spans="3:11" x14ac:dyDescent="0.25">
      <c r="C1507" t="s">
        <v>1864</v>
      </c>
      <c r="D1507" t="s">
        <v>3361</v>
      </c>
      <c r="E1507" t="s">
        <v>1864</v>
      </c>
      <c r="F1507" t="s">
        <v>1200</v>
      </c>
      <c r="G1507" t="str">
        <f t="shared" si="117"/>
        <v>G</v>
      </c>
      <c r="H1507" t="str">
        <f t="shared" si="118"/>
        <v>47</v>
      </c>
      <c r="I1507" t="str">
        <f t="shared" si="119"/>
        <v>477</v>
      </c>
      <c r="J1507" t="str">
        <f t="shared" si="120"/>
        <v>47733</v>
      </c>
      <c r="K1507" t="str">
        <f t="shared" si="116"/>
        <v/>
      </c>
    </row>
    <row r="1508" spans="3:11" x14ac:dyDescent="0.25">
      <c r="C1508" t="s">
        <v>1864</v>
      </c>
      <c r="D1508" t="s">
        <v>1864</v>
      </c>
      <c r="E1508" t="s">
        <v>3362</v>
      </c>
      <c r="F1508" t="s">
        <v>1200</v>
      </c>
      <c r="G1508" t="str">
        <f t="shared" si="117"/>
        <v>G</v>
      </c>
      <c r="H1508" t="str">
        <f t="shared" si="118"/>
        <v>47</v>
      </c>
      <c r="I1508" t="str">
        <f t="shared" si="119"/>
        <v>477</v>
      </c>
      <c r="J1508" t="str">
        <f t="shared" si="120"/>
        <v>47733</v>
      </c>
      <c r="K1508" t="str">
        <f t="shared" si="116"/>
        <v>4773300</v>
      </c>
    </row>
    <row r="1509" spans="3:11" x14ac:dyDescent="0.25">
      <c r="C1509" t="s">
        <v>1864</v>
      </c>
      <c r="D1509" t="s">
        <v>3363</v>
      </c>
      <c r="E1509" t="s">
        <v>1864</v>
      </c>
      <c r="F1509" t="s">
        <v>1201</v>
      </c>
      <c r="G1509" t="str">
        <f t="shared" si="117"/>
        <v>G</v>
      </c>
      <c r="H1509" t="str">
        <f t="shared" si="118"/>
        <v>47</v>
      </c>
      <c r="I1509" t="str">
        <f t="shared" si="119"/>
        <v>477</v>
      </c>
      <c r="J1509" t="str">
        <f t="shared" si="120"/>
        <v>47741</v>
      </c>
      <c r="K1509" t="str">
        <f t="shared" si="116"/>
        <v/>
      </c>
    </row>
    <row r="1510" spans="3:11" x14ac:dyDescent="0.25">
      <c r="C1510" t="s">
        <v>1864</v>
      </c>
      <c r="D1510" t="s">
        <v>1864</v>
      </c>
      <c r="E1510" t="s">
        <v>3364</v>
      </c>
      <c r="F1510" t="s">
        <v>1201</v>
      </c>
      <c r="G1510" t="str">
        <f t="shared" si="117"/>
        <v>G</v>
      </c>
      <c r="H1510" t="str">
        <f t="shared" si="118"/>
        <v>47</v>
      </c>
      <c r="I1510" t="str">
        <f t="shared" si="119"/>
        <v>477</v>
      </c>
      <c r="J1510" t="str">
        <f t="shared" si="120"/>
        <v>47741</v>
      </c>
      <c r="K1510" t="str">
        <f t="shared" si="116"/>
        <v>4774100</v>
      </c>
    </row>
    <row r="1511" spans="3:11" x14ac:dyDescent="0.25">
      <c r="C1511" t="s">
        <v>3365</v>
      </c>
      <c r="D1511" t="s">
        <v>1864</v>
      </c>
      <c r="E1511" t="s">
        <v>1864</v>
      </c>
      <c r="F1511" t="s">
        <v>1202</v>
      </c>
      <c r="G1511" t="str">
        <f t="shared" si="117"/>
        <v>G</v>
      </c>
      <c r="H1511" t="str">
        <f t="shared" si="118"/>
        <v>47</v>
      </c>
      <c r="I1511" t="str">
        <f t="shared" si="119"/>
        <v>478</v>
      </c>
      <c r="J1511" t="str">
        <f t="shared" si="120"/>
        <v>47741</v>
      </c>
      <c r="K1511" t="str">
        <f t="shared" si="116"/>
        <v/>
      </c>
    </row>
    <row r="1512" spans="3:11" x14ac:dyDescent="0.25">
      <c r="C1512" t="s">
        <v>1864</v>
      </c>
      <c r="D1512" t="s">
        <v>3366</v>
      </c>
      <c r="E1512" t="s">
        <v>1864</v>
      </c>
      <c r="F1512" t="s">
        <v>1203</v>
      </c>
      <c r="G1512" t="str">
        <f t="shared" si="117"/>
        <v>G</v>
      </c>
      <c r="H1512" t="str">
        <f t="shared" si="118"/>
        <v>47</v>
      </c>
      <c r="I1512" t="str">
        <f t="shared" si="119"/>
        <v>478</v>
      </c>
      <c r="J1512" t="str">
        <f t="shared" si="120"/>
        <v>47814</v>
      </c>
      <c r="K1512" t="str">
        <f t="shared" si="116"/>
        <v/>
      </c>
    </row>
    <row r="1513" spans="3:11" x14ac:dyDescent="0.25">
      <c r="C1513" t="s">
        <v>1864</v>
      </c>
      <c r="D1513" t="s">
        <v>1864</v>
      </c>
      <c r="E1513" t="s">
        <v>3367</v>
      </c>
      <c r="F1513" t="s">
        <v>1203</v>
      </c>
      <c r="G1513" t="str">
        <f t="shared" si="117"/>
        <v>G</v>
      </c>
      <c r="H1513" t="str">
        <f t="shared" si="118"/>
        <v>47</v>
      </c>
      <c r="I1513" t="str">
        <f t="shared" si="119"/>
        <v>478</v>
      </c>
      <c r="J1513" t="str">
        <f t="shared" si="120"/>
        <v>47814</v>
      </c>
      <c r="K1513" t="str">
        <f t="shared" si="116"/>
        <v>4781400</v>
      </c>
    </row>
    <row r="1514" spans="3:11" x14ac:dyDescent="0.25">
      <c r="C1514" t="s">
        <v>1864</v>
      </c>
      <c r="D1514" t="s">
        <v>3368</v>
      </c>
      <c r="E1514" t="s">
        <v>1864</v>
      </c>
      <c r="F1514" t="s">
        <v>1204</v>
      </c>
      <c r="G1514" t="str">
        <f t="shared" si="117"/>
        <v>G</v>
      </c>
      <c r="H1514" t="str">
        <f t="shared" si="118"/>
        <v>47</v>
      </c>
      <c r="I1514" t="str">
        <f t="shared" si="119"/>
        <v>478</v>
      </c>
      <c r="J1514" t="str">
        <f t="shared" si="120"/>
        <v>47822</v>
      </c>
      <c r="K1514" t="str">
        <f t="shared" si="116"/>
        <v/>
      </c>
    </row>
    <row r="1515" spans="3:11" x14ac:dyDescent="0.25">
      <c r="C1515" t="s">
        <v>1864</v>
      </c>
      <c r="D1515" t="s">
        <v>1864</v>
      </c>
      <c r="E1515" t="s">
        <v>3369</v>
      </c>
      <c r="F1515" t="s">
        <v>1205</v>
      </c>
      <c r="G1515" t="str">
        <f t="shared" si="117"/>
        <v>G</v>
      </c>
      <c r="H1515" t="str">
        <f t="shared" si="118"/>
        <v>47</v>
      </c>
      <c r="I1515" t="str">
        <f t="shared" si="119"/>
        <v>478</v>
      </c>
      <c r="J1515" t="str">
        <f t="shared" si="120"/>
        <v>47822</v>
      </c>
      <c r="K1515" t="str">
        <f t="shared" si="116"/>
        <v>4782201</v>
      </c>
    </row>
    <row r="1516" spans="3:11" x14ac:dyDescent="0.25">
      <c r="C1516" t="s">
        <v>1864</v>
      </c>
      <c r="D1516" t="s">
        <v>1864</v>
      </c>
      <c r="E1516" t="s">
        <v>3370</v>
      </c>
      <c r="F1516" t="s">
        <v>1206</v>
      </c>
      <c r="G1516" t="str">
        <f t="shared" si="117"/>
        <v>G</v>
      </c>
      <c r="H1516" t="str">
        <f t="shared" si="118"/>
        <v>47</v>
      </c>
      <c r="I1516" t="str">
        <f t="shared" si="119"/>
        <v>478</v>
      </c>
      <c r="J1516" t="str">
        <f t="shared" si="120"/>
        <v>47822</v>
      </c>
      <c r="K1516" t="str">
        <f t="shared" si="116"/>
        <v>4782202</v>
      </c>
    </row>
    <row r="1517" spans="3:11" x14ac:dyDescent="0.25">
      <c r="C1517" t="s">
        <v>1864</v>
      </c>
      <c r="D1517" t="s">
        <v>3371</v>
      </c>
      <c r="E1517" t="s">
        <v>1864</v>
      </c>
      <c r="F1517" t="s">
        <v>1207</v>
      </c>
      <c r="G1517" t="str">
        <f t="shared" si="117"/>
        <v>G</v>
      </c>
      <c r="H1517" t="str">
        <f t="shared" si="118"/>
        <v>47</v>
      </c>
      <c r="I1517" t="str">
        <f t="shared" si="119"/>
        <v>478</v>
      </c>
      <c r="J1517" t="str">
        <f t="shared" si="120"/>
        <v>47831</v>
      </c>
      <c r="K1517" t="str">
        <f t="shared" si="116"/>
        <v/>
      </c>
    </row>
    <row r="1518" spans="3:11" x14ac:dyDescent="0.25">
      <c r="C1518" t="s">
        <v>1864</v>
      </c>
      <c r="D1518" t="s">
        <v>1864</v>
      </c>
      <c r="E1518" t="s">
        <v>3372</v>
      </c>
      <c r="F1518" t="s">
        <v>1208</v>
      </c>
      <c r="G1518" t="str">
        <f t="shared" si="117"/>
        <v>G</v>
      </c>
      <c r="H1518" t="str">
        <f t="shared" si="118"/>
        <v>47</v>
      </c>
      <c r="I1518" t="str">
        <f t="shared" si="119"/>
        <v>478</v>
      </c>
      <c r="J1518" t="str">
        <f t="shared" si="120"/>
        <v>47831</v>
      </c>
      <c r="K1518" t="str">
        <f t="shared" si="116"/>
        <v>4783101</v>
      </c>
    </row>
    <row r="1519" spans="3:11" x14ac:dyDescent="0.25">
      <c r="C1519" t="s">
        <v>1864</v>
      </c>
      <c r="D1519" t="s">
        <v>1864</v>
      </c>
      <c r="E1519" t="s">
        <v>3373</v>
      </c>
      <c r="F1519" t="s">
        <v>1209</v>
      </c>
      <c r="G1519" t="str">
        <f t="shared" si="117"/>
        <v>G</v>
      </c>
      <c r="H1519" t="str">
        <f t="shared" si="118"/>
        <v>47</v>
      </c>
      <c r="I1519" t="str">
        <f t="shared" si="119"/>
        <v>478</v>
      </c>
      <c r="J1519" t="str">
        <f t="shared" si="120"/>
        <v>47831</v>
      </c>
      <c r="K1519" t="str">
        <f t="shared" si="116"/>
        <v>4783102</v>
      </c>
    </row>
    <row r="1520" spans="3:11" x14ac:dyDescent="0.25">
      <c r="C1520" t="s">
        <v>1864</v>
      </c>
      <c r="D1520" t="s">
        <v>3374</v>
      </c>
      <c r="E1520" t="s">
        <v>1864</v>
      </c>
      <c r="F1520" t="s">
        <v>1210</v>
      </c>
      <c r="G1520" t="str">
        <f t="shared" si="117"/>
        <v>G</v>
      </c>
      <c r="H1520" t="str">
        <f t="shared" si="118"/>
        <v>47</v>
      </c>
      <c r="I1520" t="str">
        <f t="shared" si="119"/>
        <v>478</v>
      </c>
      <c r="J1520" t="str">
        <f t="shared" si="120"/>
        <v>47849</v>
      </c>
      <c r="K1520" t="str">
        <f t="shared" si="116"/>
        <v/>
      </c>
    </row>
    <row r="1521" spans="3:11" x14ac:dyDescent="0.25">
      <c r="C1521" t="s">
        <v>1864</v>
      </c>
      <c r="D1521" t="s">
        <v>1864</v>
      </c>
      <c r="E1521" t="s">
        <v>3375</v>
      </c>
      <c r="F1521" t="s">
        <v>1210</v>
      </c>
      <c r="G1521" t="str">
        <f t="shared" si="117"/>
        <v>G</v>
      </c>
      <c r="H1521" t="str">
        <f t="shared" si="118"/>
        <v>47</v>
      </c>
      <c r="I1521" t="str">
        <f t="shared" si="119"/>
        <v>478</v>
      </c>
      <c r="J1521" t="str">
        <f t="shared" si="120"/>
        <v>47849</v>
      </c>
      <c r="K1521" t="str">
        <f t="shared" si="116"/>
        <v>4784900</v>
      </c>
    </row>
    <row r="1522" spans="3:11" x14ac:dyDescent="0.25">
      <c r="C1522" t="s">
        <v>1864</v>
      </c>
      <c r="D1522" t="s">
        <v>3376</v>
      </c>
      <c r="E1522" t="s">
        <v>1864</v>
      </c>
      <c r="F1522" t="s">
        <v>1211</v>
      </c>
      <c r="G1522" t="str">
        <f t="shared" si="117"/>
        <v>G</v>
      </c>
      <c r="H1522" t="str">
        <f t="shared" si="118"/>
        <v>47</v>
      </c>
      <c r="I1522" t="str">
        <f t="shared" si="119"/>
        <v>478</v>
      </c>
      <c r="J1522" t="str">
        <f t="shared" si="120"/>
        <v>47857</v>
      </c>
      <c r="K1522" t="str">
        <f t="shared" si="116"/>
        <v/>
      </c>
    </row>
    <row r="1523" spans="3:11" x14ac:dyDescent="0.25">
      <c r="C1523" t="s">
        <v>1864</v>
      </c>
      <c r="D1523" t="s">
        <v>1864</v>
      </c>
      <c r="E1523" t="s">
        <v>3377</v>
      </c>
      <c r="F1523" t="s">
        <v>1212</v>
      </c>
      <c r="G1523" t="str">
        <f t="shared" si="117"/>
        <v>G</v>
      </c>
      <c r="H1523" t="str">
        <f t="shared" si="118"/>
        <v>47</v>
      </c>
      <c r="I1523" t="str">
        <f t="shared" si="119"/>
        <v>478</v>
      </c>
      <c r="J1523" t="str">
        <f t="shared" si="120"/>
        <v>47857</v>
      </c>
      <c r="K1523" t="str">
        <f t="shared" si="116"/>
        <v>4785701</v>
      </c>
    </row>
    <row r="1524" spans="3:11" x14ac:dyDescent="0.25">
      <c r="C1524" t="s">
        <v>1864</v>
      </c>
      <c r="D1524" t="s">
        <v>1864</v>
      </c>
      <c r="E1524" t="s">
        <v>3378</v>
      </c>
      <c r="F1524" t="s">
        <v>1213</v>
      </c>
      <c r="G1524" t="str">
        <f t="shared" si="117"/>
        <v>G</v>
      </c>
      <c r="H1524" t="str">
        <f t="shared" si="118"/>
        <v>47</v>
      </c>
      <c r="I1524" t="str">
        <f t="shared" si="119"/>
        <v>478</v>
      </c>
      <c r="J1524" t="str">
        <f t="shared" si="120"/>
        <v>47857</v>
      </c>
      <c r="K1524" t="str">
        <f t="shared" si="116"/>
        <v>4785799</v>
      </c>
    </row>
    <row r="1525" spans="3:11" x14ac:dyDescent="0.25">
      <c r="C1525" t="s">
        <v>1864</v>
      </c>
      <c r="D1525" t="s">
        <v>3379</v>
      </c>
      <c r="E1525" t="s">
        <v>1864</v>
      </c>
      <c r="F1525" t="s">
        <v>1214</v>
      </c>
      <c r="G1525" t="str">
        <f t="shared" si="117"/>
        <v>G</v>
      </c>
      <c r="H1525" t="str">
        <f t="shared" si="118"/>
        <v>47</v>
      </c>
      <c r="I1525" t="str">
        <f t="shared" si="119"/>
        <v>478</v>
      </c>
      <c r="J1525" t="str">
        <f t="shared" si="120"/>
        <v>47890</v>
      </c>
      <c r="K1525" t="str">
        <f t="shared" si="116"/>
        <v/>
      </c>
    </row>
    <row r="1526" spans="3:11" x14ac:dyDescent="0.25">
      <c r="C1526" t="s">
        <v>1864</v>
      </c>
      <c r="D1526" t="s">
        <v>1864</v>
      </c>
      <c r="E1526" t="s">
        <v>3380</v>
      </c>
      <c r="F1526" t="s">
        <v>1215</v>
      </c>
      <c r="G1526" t="str">
        <f t="shared" si="117"/>
        <v>G</v>
      </c>
      <c r="H1526" t="str">
        <f t="shared" si="118"/>
        <v>47</v>
      </c>
      <c r="I1526" t="str">
        <f t="shared" si="119"/>
        <v>478</v>
      </c>
      <c r="J1526" t="str">
        <f t="shared" si="120"/>
        <v>47890</v>
      </c>
      <c r="K1526" t="str">
        <f t="shared" si="116"/>
        <v>4789001</v>
      </c>
    </row>
    <row r="1527" spans="3:11" x14ac:dyDescent="0.25">
      <c r="C1527" t="s">
        <v>1864</v>
      </c>
      <c r="D1527" t="s">
        <v>1864</v>
      </c>
      <c r="E1527" t="s">
        <v>3381</v>
      </c>
      <c r="F1527" t="s">
        <v>1216</v>
      </c>
      <c r="G1527" t="str">
        <f t="shared" si="117"/>
        <v>G</v>
      </c>
      <c r="H1527" t="str">
        <f t="shared" si="118"/>
        <v>47</v>
      </c>
      <c r="I1527" t="str">
        <f t="shared" si="119"/>
        <v>478</v>
      </c>
      <c r="J1527" t="str">
        <f t="shared" si="120"/>
        <v>47890</v>
      </c>
      <c r="K1527" t="str">
        <f t="shared" si="116"/>
        <v>4789002</v>
      </c>
    </row>
    <row r="1528" spans="3:11" x14ac:dyDescent="0.25">
      <c r="C1528" t="s">
        <v>1864</v>
      </c>
      <c r="D1528" t="s">
        <v>1864</v>
      </c>
      <c r="E1528" t="s">
        <v>3382</v>
      </c>
      <c r="F1528" t="s">
        <v>1217</v>
      </c>
      <c r="G1528" t="str">
        <f t="shared" si="117"/>
        <v>G</v>
      </c>
      <c r="H1528" t="str">
        <f t="shared" si="118"/>
        <v>47</v>
      </c>
      <c r="I1528" t="str">
        <f t="shared" si="119"/>
        <v>478</v>
      </c>
      <c r="J1528" t="str">
        <f t="shared" si="120"/>
        <v>47890</v>
      </c>
      <c r="K1528" t="str">
        <f t="shared" si="116"/>
        <v>4789003</v>
      </c>
    </row>
    <row r="1529" spans="3:11" x14ac:dyDescent="0.25">
      <c r="C1529" t="s">
        <v>1864</v>
      </c>
      <c r="D1529" t="s">
        <v>1864</v>
      </c>
      <c r="E1529" t="s">
        <v>3383</v>
      </c>
      <c r="F1529" t="s">
        <v>1218</v>
      </c>
      <c r="G1529" t="str">
        <f t="shared" si="117"/>
        <v>G</v>
      </c>
      <c r="H1529" t="str">
        <f t="shared" si="118"/>
        <v>47</v>
      </c>
      <c r="I1529" t="str">
        <f t="shared" si="119"/>
        <v>478</v>
      </c>
      <c r="J1529" t="str">
        <f t="shared" si="120"/>
        <v>47890</v>
      </c>
      <c r="K1529" t="str">
        <f t="shared" si="116"/>
        <v>4789004</v>
      </c>
    </row>
    <row r="1530" spans="3:11" x14ac:dyDescent="0.25">
      <c r="C1530" t="s">
        <v>1864</v>
      </c>
      <c r="D1530" t="s">
        <v>1864</v>
      </c>
      <c r="E1530" t="s">
        <v>3384</v>
      </c>
      <c r="F1530" t="s">
        <v>1219</v>
      </c>
      <c r="G1530" t="str">
        <f t="shared" si="117"/>
        <v>G</v>
      </c>
      <c r="H1530" t="str">
        <f t="shared" si="118"/>
        <v>47</v>
      </c>
      <c r="I1530" t="str">
        <f t="shared" si="119"/>
        <v>478</v>
      </c>
      <c r="J1530" t="str">
        <f t="shared" si="120"/>
        <v>47890</v>
      </c>
      <c r="K1530" t="str">
        <f t="shared" si="116"/>
        <v>4789005</v>
      </c>
    </row>
    <row r="1531" spans="3:11" x14ac:dyDescent="0.25">
      <c r="C1531" t="s">
        <v>1864</v>
      </c>
      <c r="D1531" t="s">
        <v>1864</v>
      </c>
      <c r="E1531" t="s">
        <v>3385</v>
      </c>
      <c r="F1531" t="s">
        <v>1220</v>
      </c>
      <c r="G1531" t="str">
        <f t="shared" si="117"/>
        <v>G</v>
      </c>
      <c r="H1531" t="str">
        <f t="shared" si="118"/>
        <v>47</v>
      </c>
      <c r="I1531" t="str">
        <f t="shared" si="119"/>
        <v>478</v>
      </c>
      <c r="J1531" t="str">
        <f t="shared" si="120"/>
        <v>47890</v>
      </c>
      <c r="K1531" t="str">
        <f t="shared" si="116"/>
        <v>4789006</v>
      </c>
    </row>
    <row r="1532" spans="3:11" x14ac:dyDescent="0.25">
      <c r="C1532" t="s">
        <v>1864</v>
      </c>
      <c r="D1532" t="s">
        <v>1864</v>
      </c>
      <c r="E1532" t="s">
        <v>3386</v>
      </c>
      <c r="F1532" t="s">
        <v>1221</v>
      </c>
      <c r="G1532" t="str">
        <f t="shared" si="117"/>
        <v>G</v>
      </c>
      <c r="H1532" t="str">
        <f t="shared" si="118"/>
        <v>47</v>
      </c>
      <c r="I1532" t="str">
        <f t="shared" si="119"/>
        <v>478</v>
      </c>
      <c r="J1532" t="str">
        <f t="shared" si="120"/>
        <v>47890</v>
      </c>
      <c r="K1532" t="str">
        <f t="shared" si="116"/>
        <v>4789007</v>
      </c>
    </row>
    <row r="1533" spans="3:11" x14ac:dyDescent="0.25">
      <c r="C1533" t="s">
        <v>1864</v>
      </c>
      <c r="D1533" t="s">
        <v>1864</v>
      </c>
      <c r="E1533" t="s">
        <v>3387</v>
      </c>
      <c r="F1533" t="s">
        <v>1222</v>
      </c>
      <c r="G1533" t="str">
        <f t="shared" si="117"/>
        <v>G</v>
      </c>
      <c r="H1533" t="str">
        <f t="shared" si="118"/>
        <v>47</v>
      </c>
      <c r="I1533" t="str">
        <f t="shared" si="119"/>
        <v>478</v>
      </c>
      <c r="J1533" t="str">
        <f t="shared" si="120"/>
        <v>47890</v>
      </c>
      <c r="K1533" t="str">
        <f t="shared" si="116"/>
        <v>4789008</v>
      </c>
    </row>
    <row r="1534" spans="3:11" x14ac:dyDescent="0.25">
      <c r="C1534" t="s">
        <v>1864</v>
      </c>
      <c r="D1534" t="s">
        <v>1864</v>
      </c>
      <c r="E1534" t="s">
        <v>3388</v>
      </c>
      <c r="F1534" t="s">
        <v>1223</v>
      </c>
      <c r="G1534" t="str">
        <f t="shared" si="117"/>
        <v>G</v>
      </c>
      <c r="H1534" t="str">
        <f t="shared" si="118"/>
        <v>47</v>
      </c>
      <c r="I1534" t="str">
        <f t="shared" si="119"/>
        <v>478</v>
      </c>
      <c r="J1534" t="str">
        <f t="shared" si="120"/>
        <v>47890</v>
      </c>
      <c r="K1534" t="str">
        <f t="shared" si="116"/>
        <v>4789009</v>
      </c>
    </row>
    <row r="1535" spans="3:11" x14ac:dyDescent="0.25">
      <c r="C1535" t="s">
        <v>1864</v>
      </c>
      <c r="D1535" t="s">
        <v>1864</v>
      </c>
      <c r="E1535" t="s">
        <v>3389</v>
      </c>
      <c r="F1535" t="s">
        <v>1224</v>
      </c>
      <c r="G1535" t="str">
        <f t="shared" si="117"/>
        <v>G</v>
      </c>
      <c r="H1535" t="str">
        <f t="shared" si="118"/>
        <v>47</v>
      </c>
      <c r="I1535" t="str">
        <f t="shared" si="119"/>
        <v>478</v>
      </c>
      <c r="J1535" t="str">
        <f t="shared" si="120"/>
        <v>47890</v>
      </c>
      <c r="K1535" t="str">
        <f t="shared" si="116"/>
        <v>4789099</v>
      </c>
    </row>
    <row r="1536" spans="3:11" x14ac:dyDescent="0.25">
      <c r="C1536" t="s">
        <v>3390</v>
      </c>
      <c r="D1536" t="s">
        <v>1864</v>
      </c>
      <c r="E1536" t="s">
        <v>1864</v>
      </c>
      <c r="F1536" t="s">
        <v>1225</v>
      </c>
      <c r="G1536" t="str">
        <f t="shared" si="117"/>
        <v>G</v>
      </c>
      <c r="H1536" t="str">
        <f t="shared" si="118"/>
        <v>47</v>
      </c>
      <c r="I1536" t="str">
        <f t="shared" si="119"/>
        <v>479</v>
      </c>
      <c r="J1536" t="str">
        <f t="shared" si="120"/>
        <v>47890</v>
      </c>
      <c r="K1536" t="str">
        <f t="shared" si="116"/>
        <v/>
      </c>
    </row>
    <row r="1537" spans="1:11" x14ac:dyDescent="0.25">
      <c r="C1537" t="s">
        <v>1864</v>
      </c>
      <c r="D1537" t="s">
        <v>3391</v>
      </c>
      <c r="E1537" t="s">
        <v>1864</v>
      </c>
      <c r="F1537" t="s">
        <v>1225</v>
      </c>
      <c r="G1537" t="str">
        <f t="shared" si="117"/>
        <v>G</v>
      </c>
      <c r="H1537" t="str">
        <f t="shared" si="118"/>
        <v>47</v>
      </c>
      <c r="I1537" t="str">
        <f t="shared" si="119"/>
        <v>479</v>
      </c>
      <c r="J1537" t="str">
        <f t="shared" si="120"/>
        <v>47903</v>
      </c>
      <c r="K1537" t="str">
        <f t="shared" si="116"/>
        <v/>
      </c>
    </row>
    <row r="1538" spans="1:11" x14ac:dyDescent="0.25">
      <c r="A1538" t="s">
        <v>3392</v>
      </c>
      <c r="C1538" t="s">
        <v>1864</v>
      </c>
      <c r="D1538" t="s">
        <v>1864</v>
      </c>
      <c r="E1538" t="s">
        <v>1864</v>
      </c>
      <c r="F1538" t="s">
        <v>1226</v>
      </c>
      <c r="G1538" t="str">
        <f t="shared" si="117"/>
        <v>H</v>
      </c>
      <c r="H1538" t="str">
        <f t="shared" si="118"/>
        <v>47</v>
      </c>
      <c r="I1538" t="str">
        <f t="shared" si="119"/>
        <v>479</v>
      </c>
      <c r="J1538" t="str">
        <f t="shared" si="120"/>
        <v>47903</v>
      </c>
      <c r="K1538" t="str">
        <f t="shared" si="116"/>
        <v/>
      </c>
    </row>
    <row r="1539" spans="1:11" x14ac:dyDescent="0.25">
      <c r="B1539" t="s">
        <v>3393</v>
      </c>
      <c r="C1539" t="s">
        <v>1864</v>
      </c>
      <c r="D1539" t="s">
        <v>1864</v>
      </c>
      <c r="E1539" t="s">
        <v>1864</v>
      </c>
      <c r="F1539" t="s">
        <v>1227</v>
      </c>
      <c r="G1539" t="str">
        <f t="shared" si="117"/>
        <v>H</v>
      </c>
      <c r="H1539" t="str">
        <f t="shared" si="118"/>
        <v>49</v>
      </c>
      <c r="I1539" t="str">
        <f t="shared" si="119"/>
        <v>479</v>
      </c>
      <c r="J1539" t="str">
        <f t="shared" si="120"/>
        <v>47903</v>
      </c>
      <c r="K1539" t="str">
        <f t="shared" si="116"/>
        <v/>
      </c>
    </row>
    <row r="1540" spans="1:11" x14ac:dyDescent="0.25">
      <c r="C1540" t="s">
        <v>3394</v>
      </c>
      <c r="D1540" t="s">
        <v>1864</v>
      </c>
      <c r="E1540" t="s">
        <v>1864</v>
      </c>
      <c r="F1540" t="s">
        <v>1228</v>
      </c>
      <c r="G1540" t="str">
        <f t="shared" si="117"/>
        <v>H</v>
      </c>
      <c r="H1540" t="str">
        <f t="shared" si="118"/>
        <v>49</v>
      </c>
      <c r="I1540" t="str">
        <f t="shared" si="119"/>
        <v>491</v>
      </c>
      <c r="J1540" t="str">
        <f t="shared" si="120"/>
        <v>47903</v>
      </c>
      <c r="K1540" t="str">
        <f t="shared" si="116"/>
        <v/>
      </c>
    </row>
    <row r="1541" spans="1:11" x14ac:dyDescent="0.25">
      <c r="C1541" t="s">
        <v>1864</v>
      </c>
      <c r="D1541" t="s">
        <v>3395</v>
      </c>
      <c r="E1541" t="s">
        <v>1864</v>
      </c>
      <c r="F1541" t="s">
        <v>1229</v>
      </c>
      <c r="G1541" t="str">
        <f t="shared" si="117"/>
        <v>H</v>
      </c>
      <c r="H1541" t="str">
        <f t="shared" si="118"/>
        <v>49</v>
      </c>
      <c r="I1541" t="str">
        <f t="shared" si="119"/>
        <v>491</v>
      </c>
      <c r="J1541" t="str">
        <f t="shared" si="120"/>
        <v>49116</v>
      </c>
      <c r="K1541" t="str">
        <f t="shared" si="116"/>
        <v/>
      </c>
    </row>
    <row r="1542" spans="1:11" x14ac:dyDescent="0.25">
      <c r="C1542" t="s">
        <v>1864</v>
      </c>
      <c r="D1542" t="s">
        <v>1864</v>
      </c>
      <c r="E1542" t="s">
        <v>3396</v>
      </c>
      <c r="F1542" t="s">
        <v>1229</v>
      </c>
      <c r="G1542" t="str">
        <f t="shared" si="117"/>
        <v>H</v>
      </c>
      <c r="H1542" t="str">
        <f t="shared" si="118"/>
        <v>49</v>
      </c>
      <c r="I1542" t="str">
        <f t="shared" si="119"/>
        <v>491</v>
      </c>
      <c r="J1542" t="str">
        <f t="shared" si="120"/>
        <v>49116</v>
      </c>
      <c r="K1542" t="str">
        <f t="shared" si="116"/>
        <v>4911600</v>
      </c>
    </row>
    <row r="1543" spans="1:11" x14ac:dyDescent="0.25">
      <c r="C1543" t="s">
        <v>1864</v>
      </c>
      <c r="D1543" t="s">
        <v>3397</v>
      </c>
      <c r="E1543" t="s">
        <v>1864</v>
      </c>
      <c r="F1543" t="s">
        <v>1230</v>
      </c>
      <c r="G1543" t="str">
        <f t="shared" si="117"/>
        <v>H</v>
      </c>
      <c r="H1543" t="str">
        <f t="shared" si="118"/>
        <v>49</v>
      </c>
      <c r="I1543" t="str">
        <f t="shared" si="119"/>
        <v>491</v>
      </c>
      <c r="J1543" t="str">
        <f t="shared" si="120"/>
        <v>49124</v>
      </c>
      <c r="K1543" t="str">
        <f t="shared" si="116"/>
        <v/>
      </c>
    </row>
    <row r="1544" spans="1:11" x14ac:dyDescent="0.25">
      <c r="C1544" t="s">
        <v>1864</v>
      </c>
      <c r="D1544" t="s">
        <v>1864</v>
      </c>
      <c r="E1544" t="s">
        <v>3398</v>
      </c>
      <c r="F1544" t="s">
        <v>1231</v>
      </c>
      <c r="G1544" t="str">
        <f t="shared" si="117"/>
        <v>H</v>
      </c>
      <c r="H1544" t="str">
        <f t="shared" si="118"/>
        <v>49</v>
      </c>
      <c r="I1544" t="str">
        <f t="shared" si="119"/>
        <v>491</v>
      </c>
      <c r="J1544" t="str">
        <f t="shared" si="120"/>
        <v>49124</v>
      </c>
      <c r="K1544" t="str">
        <f t="shared" ref="K1544:K1607" si="121">E1544</f>
        <v>4912401</v>
      </c>
    </row>
    <row r="1545" spans="1:11" x14ac:dyDescent="0.25">
      <c r="C1545" t="s">
        <v>1864</v>
      </c>
      <c r="D1545" t="s">
        <v>1864</v>
      </c>
      <c r="E1545" t="s">
        <v>3399</v>
      </c>
      <c r="F1545" t="s">
        <v>1232</v>
      </c>
      <c r="G1545" t="str">
        <f t="shared" ref="G1545:G1608" si="122">IF(A1545="",G1544,A1545)</f>
        <v>H</v>
      </c>
      <c r="H1545" t="str">
        <f t="shared" ref="H1545:H1608" si="123">IF(B1545="",H1544,B1545)</f>
        <v>49</v>
      </c>
      <c r="I1545" t="str">
        <f t="shared" ref="I1545:I1608" si="124">IF(C1545="",I1544,C1545)</f>
        <v>491</v>
      </c>
      <c r="J1545" t="str">
        <f t="shared" ref="J1545:J1608" si="125">IF(D1545="",J1544,D1545)</f>
        <v>49124</v>
      </c>
      <c r="K1545" t="str">
        <f t="shared" si="121"/>
        <v>4912402</v>
      </c>
    </row>
    <row r="1546" spans="1:11" x14ac:dyDescent="0.25">
      <c r="C1546" t="s">
        <v>1864</v>
      </c>
      <c r="D1546" t="s">
        <v>1864</v>
      </c>
      <c r="E1546" t="s">
        <v>3400</v>
      </c>
      <c r="F1546" t="s">
        <v>1233</v>
      </c>
      <c r="G1546" t="str">
        <f t="shared" si="122"/>
        <v>H</v>
      </c>
      <c r="H1546" t="str">
        <f t="shared" si="123"/>
        <v>49</v>
      </c>
      <c r="I1546" t="str">
        <f t="shared" si="124"/>
        <v>491</v>
      </c>
      <c r="J1546" t="str">
        <f t="shared" si="125"/>
        <v>49124</v>
      </c>
      <c r="K1546" t="str">
        <f t="shared" si="121"/>
        <v>4912403</v>
      </c>
    </row>
    <row r="1547" spans="1:11" x14ac:dyDescent="0.25">
      <c r="C1547" t="s">
        <v>3401</v>
      </c>
      <c r="D1547" t="s">
        <v>1864</v>
      </c>
      <c r="E1547" t="s">
        <v>1864</v>
      </c>
      <c r="F1547" t="s">
        <v>1234</v>
      </c>
      <c r="G1547" t="str">
        <f t="shared" si="122"/>
        <v>H</v>
      </c>
      <c r="H1547" t="str">
        <f t="shared" si="123"/>
        <v>49</v>
      </c>
      <c r="I1547" t="str">
        <f t="shared" si="124"/>
        <v>492</v>
      </c>
      <c r="J1547" t="str">
        <f t="shared" si="125"/>
        <v>49124</v>
      </c>
      <c r="K1547" t="str">
        <f t="shared" si="121"/>
        <v/>
      </c>
    </row>
    <row r="1548" spans="1:11" x14ac:dyDescent="0.25">
      <c r="C1548" t="s">
        <v>1864</v>
      </c>
      <c r="D1548" t="s">
        <v>3402</v>
      </c>
      <c r="E1548" t="s">
        <v>1864</v>
      </c>
      <c r="F1548" t="s">
        <v>1235</v>
      </c>
      <c r="G1548" t="str">
        <f t="shared" si="122"/>
        <v>H</v>
      </c>
      <c r="H1548" t="str">
        <f t="shared" si="123"/>
        <v>49</v>
      </c>
      <c r="I1548" t="str">
        <f t="shared" si="124"/>
        <v>492</v>
      </c>
      <c r="J1548" t="str">
        <f t="shared" si="125"/>
        <v>49213</v>
      </c>
      <c r="K1548" t="str">
        <f t="shared" si="121"/>
        <v/>
      </c>
    </row>
    <row r="1549" spans="1:11" x14ac:dyDescent="0.25">
      <c r="C1549" t="s">
        <v>1864</v>
      </c>
      <c r="D1549" t="s">
        <v>1864</v>
      </c>
      <c r="E1549" t="s">
        <v>3403</v>
      </c>
      <c r="F1549" t="s">
        <v>1236</v>
      </c>
      <c r="G1549" t="str">
        <f t="shared" si="122"/>
        <v>H</v>
      </c>
      <c r="H1549" t="str">
        <f t="shared" si="123"/>
        <v>49</v>
      </c>
      <c r="I1549" t="str">
        <f t="shared" si="124"/>
        <v>492</v>
      </c>
      <c r="J1549" t="str">
        <f t="shared" si="125"/>
        <v>49213</v>
      </c>
      <c r="K1549" t="str">
        <f t="shared" si="121"/>
        <v>4921301</v>
      </c>
    </row>
    <row r="1550" spans="1:11" x14ac:dyDescent="0.25">
      <c r="C1550" t="s">
        <v>1864</v>
      </c>
      <c r="D1550" t="s">
        <v>1864</v>
      </c>
      <c r="E1550" t="s">
        <v>3404</v>
      </c>
      <c r="F1550" t="s">
        <v>1237</v>
      </c>
      <c r="G1550" t="str">
        <f t="shared" si="122"/>
        <v>H</v>
      </c>
      <c r="H1550" t="str">
        <f t="shared" si="123"/>
        <v>49</v>
      </c>
      <c r="I1550" t="str">
        <f t="shared" si="124"/>
        <v>492</v>
      </c>
      <c r="J1550" t="str">
        <f t="shared" si="125"/>
        <v>49213</v>
      </c>
      <c r="K1550" t="str">
        <f t="shared" si="121"/>
        <v>4921302</v>
      </c>
    </row>
    <row r="1551" spans="1:11" x14ac:dyDescent="0.25">
      <c r="C1551" t="s">
        <v>1864</v>
      </c>
      <c r="D1551" t="s">
        <v>3405</v>
      </c>
      <c r="E1551" t="s">
        <v>1864</v>
      </c>
      <c r="F1551" t="s">
        <v>1238</v>
      </c>
      <c r="G1551" t="str">
        <f t="shared" si="122"/>
        <v>H</v>
      </c>
      <c r="H1551" t="str">
        <f t="shared" si="123"/>
        <v>49</v>
      </c>
      <c r="I1551" t="str">
        <f t="shared" si="124"/>
        <v>492</v>
      </c>
      <c r="J1551" t="str">
        <f t="shared" si="125"/>
        <v>49221</v>
      </c>
      <c r="K1551" t="str">
        <f t="shared" si="121"/>
        <v/>
      </c>
    </row>
    <row r="1552" spans="1:11" x14ac:dyDescent="0.25">
      <c r="C1552" t="s">
        <v>1864</v>
      </c>
      <c r="D1552" t="s">
        <v>1864</v>
      </c>
      <c r="E1552" t="s">
        <v>3406</v>
      </c>
      <c r="F1552" t="s">
        <v>1239</v>
      </c>
      <c r="G1552" t="str">
        <f t="shared" si="122"/>
        <v>H</v>
      </c>
      <c r="H1552" t="str">
        <f t="shared" si="123"/>
        <v>49</v>
      </c>
      <c r="I1552" t="str">
        <f t="shared" si="124"/>
        <v>492</v>
      </c>
      <c r="J1552" t="str">
        <f t="shared" si="125"/>
        <v>49221</v>
      </c>
      <c r="K1552" t="str">
        <f t="shared" si="121"/>
        <v>4922101</v>
      </c>
    </row>
    <row r="1553" spans="3:11" x14ac:dyDescent="0.25">
      <c r="C1553" t="s">
        <v>1864</v>
      </c>
      <c r="D1553" t="s">
        <v>1864</v>
      </c>
      <c r="E1553" t="s">
        <v>3407</v>
      </c>
      <c r="F1553" t="s">
        <v>1240</v>
      </c>
      <c r="G1553" t="str">
        <f t="shared" si="122"/>
        <v>H</v>
      </c>
      <c r="H1553" t="str">
        <f t="shared" si="123"/>
        <v>49</v>
      </c>
      <c r="I1553" t="str">
        <f t="shared" si="124"/>
        <v>492</v>
      </c>
      <c r="J1553" t="str">
        <f t="shared" si="125"/>
        <v>49221</v>
      </c>
      <c r="K1553" t="str">
        <f t="shared" si="121"/>
        <v>4922102</v>
      </c>
    </row>
    <row r="1554" spans="3:11" x14ac:dyDescent="0.25">
      <c r="C1554" t="s">
        <v>1864</v>
      </c>
      <c r="D1554" t="s">
        <v>1864</v>
      </c>
      <c r="E1554" t="s">
        <v>3408</v>
      </c>
      <c r="F1554" t="s">
        <v>1241</v>
      </c>
      <c r="G1554" t="str">
        <f t="shared" si="122"/>
        <v>H</v>
      </c>
      <c r="H1554" t="str">
        <f t="shared" si="123"/>
        <v>49</v>
      </c>
      <c r="I1554" t="str">
        <f t="shared" si="124"/>
        <v>492</v>
      </c>
      <c r="J1554" t="str">
        <f t="shared" si="125"/>
        <v>49221</v>
      </c>
      <c r="K1554" t="str">
        <f t="shared" si="121"/>
        <v>4922103</v>
      </c>
    </row>
    <row r="1555" spans="3:11" x14ac:dyDescent="0.25">
      <c r="C1555" t="s">
        <v>1864</v>
      </c>
      <c r="D1555" t="s">
        <v>3409</v>
      </c>
      <c r="E1555" t="s">
        <v>1864</v>
      </c>
      <c r="F1555" t="s">
        <v>1242</v>
      </c>
      <c r="G1555" t="str">
        <f t="shared" si="122"/>
        <v>H</v>
      </c>
      <c r="H1555" t="str">
        <f t="shared" si="123"/>
        <v>49</v>
      </c>
      <c r="I1555" t="str">
        <f t="shared" si="124"/>
        <v>492</v>
      </c>
      <c r="J1555" t="str">
        <f t="shared" si="125"/>
        <v>49230</v>
      </c>
      <c r="K1555" t="str">
        <f t="shared" si="121"/>
        <v/>
      </c>
    </row>
    <row r="1556" spans="3:11" x14ac:dyDescent="0.25">
      <c r="C1556" t="s">
        <v>1864</v>
      </c>
      <c r="D1556" t="s">
        <v>1864</v>
      </c>
      <c r="E1556" t="s">
        <v>3410</v>
      </c>
      <c r="F1556" t="s">
        <v>1243</v>
      </c>
      <c r="G1556" t="str">
        <f t="shared" si="122"/>
        <v>H</v>
      </c>
      <c r="H1556" t="str">
        <f t="shared" si="123"/>
        <v>49</v>
      </c>
      <c r="I1556" t="str">
        <f t="shared" si="124"/>
        <v>492</v>
      </c>
      <c r="J1556" t="str">
        <f t="shared" si="125"/>
        <v>49230</v>
      </c>
      <c r="K1556" t="str">
        <f t="shared" si="121"/>
        <v>4923001</v>
      </c>
    </row>
    <row r="1557" spans="3:11" x14ac:dyDescent="0.25">
      <c r="C1557" t="s">
        <v>1864</v>
      </c>
      <c r="D1557" t="s">
        <v>1864</v>
      </c>
      <c r="E1557" t="s">
        <v>3411</v>
      </c>
      <c r="F1557" t="s">
        <v>1244</v>
      </c>
      <c r="G1557" t="str">
        <f t="shared" si="122"/>
        <v>H</v>
      </c>
      <c r="H1557" t="str">
        <f t="shared" si="123"/>
        <v>49</v>
      </c>
      <c r="I1557" t="str">
        <f t="shared" si="124"/>
        <v>492</v>
      </c>
      <c r="J1557" t="str">
        <f t="shared" si="125"/>
        <v>49230</v>
      </c>
      <c r="K1557" t="str">
        <f t="shared" si="121"/>
        <v>4923002</v>
      </c>
    </row>
    <row r="1558" spans="3:11" x14ac:dyDescent="0.25">
      <c r="C1558" t="s">
        <v>1864</v>
      </c>
      <c r="D1558" t="s">
        <v>3412</v>
      </c>
      <c r="E1558" t="s">
        <v>1864</v>
      </c>
      <c r="F1558" t="s">
        <v>1245</v>
      </c>
      <c r="G1558" t="str">
        <f t="shared" si="122"/>
        <v>H</v>
      </c>
      <c r="H1558" t="str">
        <f t="shared" si="123"/>
        <v>49</v>
      </c>
      <c r="I1558" t="str">
        <f t="shared" si="124"/>
        <v>492</v>
      </c>
      <c r="J1558" t="str">
        <f t="shared" si="125"/>
        <v>49248</v>
      </c>
      <c r="K1558" t="str">
        <f t="shared" si="121"/>
        <v/>
      </c>
    </row>
    <row r="1559" spans="3:11" x14ac:dyDescent="0.25">
      <c r="C1559" t="s">
        <v>1864</v>
      </c>
      <c r="D1559" t="s">
        <v>1864</v>
      </c>
      <c r="E1559" t="s">
        <v>3413</v>
      </c>
      <c r="F1559" t="s">
        <v>1245</v>
      </c>
      <c r="G1559" t="str">
        <f t="shared" si="122"/>
        <v>H</v>
      </c>
      <c r="H1559" t="str">
        <f t="shared" si="123"/>
        <v>49</v>
      </c>
      <c r="I1559" t="str">
        <f t="shared" si="124"/>
        <v>492</v>
      </c>
      <c r="J1559" t="str">
        <f t="shared" si="125"/>
        <v>49248</v>
      </c>
      <c r="K1559" t="str">
        <f t="shared" si="121"/>
        <v>4924800</v>
      </c>
    </row>
    <row r="1560" spans="3:11" x14ac:dyDescent="0.25">
      <c r="C1560" t="s">
        <v>1864</v>
      </c>
      <c r="D1560" t="s">
        <v>3414</v>
      </c>
      <c r="E1560" t="s">
        <v>1864</v>
      </c>
      <c r="F1560" t="s">
        <v>1246</v>
      </c>
      <c r="G1560" t="str">
        <f t="shared" si="122"/>
        <v>H</v>
      </c>
      <c r="H1560" t="str">
        <f t="shared" si="123"/>
        <v>49</v>
      </c>
      <c r="I1560" t="str">
        <f t="shared" si="124"/>
        <v>492</v>
      </c>
      <c r="J1560" t="str">
        <f t="shared" si="125"/>
        <v>49299</v>
      </c>
      <c r="K1560" t="str">
        <f t="shared" si="121"/>
        <v/>
      </c>
    </row>
    <row r="1561" spans="3:11" x14ac:dyDescent="0.25">
      <c r="C1561" t="s">
        <v>1864</v>
      </c>
      <c r="D1561" t="s">
        <v>1864</v>
      </c>
      <c r="E1561" t="s">
        <v>3415</v>
      </c>
      <c r="F1561" t="s">
        <v>1247</v>
      </c>
      <c r="G1561" t="str">
        <f t="shared" si="122"/>
        <v>H</v>
      </c>
      <c r="H1561" t="str">
        <f t="shared" si="123"/>
        <v>49</v>
      </c>
      <c r="I1561" t="str">
        <f t="shared" si="124"/>
        <v>492</v>
      </c>
      <c r="J1561" t="str">
        <f t="shared" si="125"/>
        <v>49299</v>
      </c>
      <c r="K1561" t="str">
        <f t="shared" si="121"/>
        <v>4929901</v>
      </c>
    </row>
    <row r="1562" spans="3:11" x14ac:dyDescent="0.25">
      <c r="C1562" t="s">
        <v>1864</v>
      </c>
      <c r="D1562" t="s">
        <v>1864</v>
      </c>
      <c r="E1562" t="s">
        <v>3416</v>
      </c>
      <c r="F1562" t="s">
        <v>1248</v>
      </c>
      <c r="G1562" t="str">
        <f t="shared" si="122"/>
        <v>H</v>
      </c>
      <c r="H1562" t="str">
        <f t="shared" si="123"/>
        <v>49</v>
      </c>
      <c r="I1562" t="str">
        <f t="shared" si="124"/>
        <v>492</v>
      </c>
      <c r="J1562" t="str">
        <f t="shared" si="125"/>
        <v>49299</v>
      </c>
      <c r="K1562" t="str">
        <f t="shared" si="121"/>
        <v>4929902</v>
      </c>
    </row>
    <row r="1563" spans="3:11" x14ac:dyDescent="0.25">
      <c r="C1563" t="s">
        <v>1864</v>
      </c>
      <c r="D1563" t="s">
        <v>1864</v>
      </c>
      <c r="E1563" t="s">
        <v>3417</v>
      </c>
      <c r="F1563" t="s">
        <v>1249</v>
      </c>
      <c r="G1563" t="str">
        <f t="shared" si="122"/>
        <v>H</v>
      </c>
      <c r="H1563" t="str">
        <f t="shared" si="123"/>
        <v>49</v>
      </c>
      <c r="I1563" t="str">
        <f t="shared" si="124"/>
        <v>492</v>
      </c>
      <c r="J1563" t="str">
        <f t="shared" si="125"/>
        <v>49299</v>
      </c>
      <c r="K1563" t="str">
        <f t="shared" si="121"/>
        <v>4929903</v>
      </c>
    </row>
    <row r="1564" spans="3:11" x14ac:dyDescent="0.25">
      <c r="C1564" t="s">
        <v>1864</v>
      </c>
      <c r="D1564" t="s">
        <v>1864</v>
      </c>
      <c r="E1564" t="s">
        <v>3418</v>
      </c>
      <c r="F1564" t="s">
        <v>1250</v>
      </c>
      <c r="G1564" t="str">
        <f t="shared" si="122"/>
        <v>H</v>
      </c>
      <c r="H1564" t="str">
        <f t="shared" si="123"/>
        <v>49</v>
      </c>
      <c r="I1564" t="str">
        <f t="shared" si="124"/>
        <v>492</v>
      </c>
      <c r="J1564" t="str">
        <f t="shared" si="125"/>
        <v>49299</v>
      </c>
      <c r="K1564" t="str">
        <f t="shared" si="121"/>
        <v>4929904</v>
      </c>
    </row>
    <row r="1565" spans="3:11" x14ac:dyDescent="0.25">
      <c r="C1565" t="s">
        <v>1864</v>
      </c>
      <c r="D1565" t="s">
        <v>1864</v>
      </c>
      <c r="E1565" t="s">
        <v>3419</v>
      </c>
      <c r="F1565" t="s">
        <v>1251</v>
      </c>
      <c r="G1565" t="str">
        <f t="shared" si="122"/>
        <v>H</v>
      </c>
      <c r="H1565" t="str">
        <f t="shared" si="123"/>
        <v>49</v>
      </c>
      <c r="I1565" t="str">
        <f t="shared" si="124"/>
        <v>492</v>
      </c>
      <c r="J1565" t="str">
        <f t="shared" si="125"/>
        <v>49299</v>
      </c>
      <c r="K1565" t="str">
        <f t="shared" si="121"/>
        <v>4929999</v>
      </c>
    </row>
    <row r="1566" spans="3:11" x14ac:dyDescent="0.25">
      <c r="C1566" t="s">
        <v>3420</v>
      </c>
      <c r="D1566" t="s">
        <v>1864</v>
      </c>
      <c r="E1566" t="s">
        <v>1864</v>
      </c>
      <c r="F1566" t="s">
        <v>1252</v>
      </c>
      <c r="G1566" t="str">
        <f t="shared" si="122"/>
        <v>H</v>
      </c>
      <c r="H1566" t="str">
        <f t="shared" si="123"/>
        <v>49</v>
      </c>
      <c r="I1566" t="str">
        <f t="shared" si="124"/>
        <v>493</v>
      </c>
      <c r="J1566" t="str">
        <f t="shared" si="125"/>
        <v>49299</v>
      </c>
      <c r="K1566" t="str">
        <f t="shared" si="121"/>
        <v/>
      </c>
    </row>
    <row r="1567" spans="3:11" x14ac:dyDescent="0.25">
      <c r="C1567" t="s">
        <v>1864</v>
      </c>
      <c r="D1567" t="s">
        <v>3421</v>
      </c>
      <c r="E1567" t="s">
        <v>1864</v>
      </c>
      <c r="F1567" t="s">
        <v>1252</v>
      </c>
      <c r="G1567" t="str">
        <f t="shared" si="122"/>
        <v>H</v>
      </c>
      <c r="H1567" t="str">
        <f t="shared" si="123"/>
        <v>49</v>
      </c>
      <c r="I1567" t="str">
        <f t="shared" si="124"/>
        <v>493</v>
      </c>
      <c r="J1567" t="str">
        <f t="shared" si="125"/>
        <v>49302</v>
      </c>
      <c r="K1567" t="str">
        <f t="shared" si="121"/>
        <v/>
      </c>
    </row>
    <row r="1568" spans="3:11" x14ac:dyDescent="0.25">
      <c r="C1568" t="s">
        <v>1864</v>
      </c>
      <c r="D1568" t="s">
        <v>1864</v>
      </c>
      <c r="E1568" t="s">
        <v>3422</v>
      </c>
      <c r="F1568" t="s">
        <v>1253</v>
      </c>
      <c r="G1568" t="str">
        <f t="shared" si="122"/>
        <v>H</v>
      </c>
      <c r="H1568" t="str">
        <f t="shared" si="123"/>
        <v>49</v>
      </c>
      <c r="I1568" t="str">
        <f t="shared" si="124"/>
        <v>493</v>
      </c>
      <c r="J1568" t="str">
        <f t="shared" si="125"/>
        <v>49302</v>
      </c>
      <c r="K1568" t="str">
        <f t="shared" si="121"/>
        <v>4930201</v>
      </c>
    </row>
    <row r="1569" spans="2:11" x14ac:dyDescent="0.25">
      <c r="C1569" t="s">
        <v>1864</v>
      </c>
      <c r="D1569" t="s">
        <v>1864</v>
      </c>
      <c r="E1569" t="s">
        <v>3423</v>
      </c>
      <c r="F1569" t="s">
        <v>1254</v>
      </c>
      <c r="G1569" t="str">
        <f t="shared" si="122"/>
        <v>H</v>
      </c>
      <c r="H1569" t="str">
        <f t="shared" si="123"/>
        <v>49</v>
      </c>
      <c r="I1569" t="str">
        <f t="shared" si="124"/>
        <v>493</v>
      </c>
      <c r="J1569" t="str">
        <f t="shared" si="125"/>
        <v>49302</v>
      </c>
      <c r="K1569" t="str">
        <f t="shared" si="121"/>
        <v>4930202</v>
      </c>
    </row>
    <row r="1570" spans="2:11" x14ac:dyDescent="0.25">
      <c r="C1570" t="s">
        <v>1864</v>
      </c>
      <c r="D1570" t="s">
        <v>1864</v>
      </c>
      <c r="E1570" t="s">
        <v>3424</v>
      </c>
      <c r="F1570" t="s">
        <v>1255</v>
      </c>
      <c r="G1570" t="str">
        <f t="shared" si="122"/>
        <v>H</v>
      </c>
      <c r="H1570" t="str">
        <f t="shared" si="123"/>
        <v>49</v>
      </c>
      <c r="I1570" t="str">
        <f t="shared" si="124"/>
        <v>493</v>
      </c>
      <c r="J1570" t="str">
        <f t="shared" si="125"/>
        <v>49302</v>
      </c>
      <c r="K1570" t="str">
        <f t="shared" si="121"/>
        <v>4930203</v>
      </c>
    </row>
    <row r="1571" spans="2:11" x14ac:dyDescent="0.25">
      <c r="C1571" t="s">
        <v>1864</v>
      </c>
      <c r="D1571" t="s">
        <v>1864</v>
      </c>
      <c r="E1571" t="s">
        <v>3425</v>
      </c>
      <c r="F1571" t="s">
        <v>1256</v>
      </c>
      <c r="G1571" t="str">
        <f t="shared" si="122"/>
        <v>H</v>
      </c>
      <c r="H1571" t="str">
        <f t="shared" si="123"/>
        <v>49</v>
      </c>
      <c r="I1571" t="str">
        <f t="shared" si="124"/>
        <v>493</v>
      </c>
      <c r="J1571" t="str">
        <f t="shared" si="125"/>
        <v>49302</v>
      </c>
      <c r="K1571" t="str">
        <f t="shared" si="121"/>
        <v>4930204</v>
      </c>
    </row>
    <row r="1572" spans="2:11" x14ac:dyDescent="0.25">
      <c r="C1572" t="s">
        <v>3426</v>
      </c>
      <c r="D1572" t="s">
        <v>1864</v>
      </c>
      <c r="E1572" t="s">
        <v>1864</v>
      </c>
      <c r="F1572" t="s">
        <v>1257</v>
      </c>
      <c r="G1572" t="str">
        <f t="shared" si="122"/>
        <v>H</v>
      </c>
      <c r="H1572" t="str">
        <f t="shared" si="123"/>
        <v>49</v>
      </c>
      <c r="I1572" t="str">
        <f t="shared" si="124"/>
        <v>494</v>
      </c>
      <c r="J1572" t="str">
        <f t="shared" si="125"/>
        <v>49302</v>
      </c>
      <c r="K1572" t="str">
        <f t="shared" si="121"/>
        <v/>
      </c>
    </row>
    <row r="1573" spans="2:11" x14ac:dyDescent="0.25">
      <c r="C1573" t="s">
        <v>1864</v>
      </c>
      <c r="D1573" t="s">
        <v>3427</v>
      </c>
      <c r="E1573" t="s">
        <v>1864</v>
      </c>
      <c r="F1573" t="s">
        <v>1257</v>
      </c>
      <c r="G1573" t="str">
        <f t="shared" si="122"/>
        <v>H</v>
      </c>
      <c r="H1573" t="str">
        <f t="shared" si="123"/>
        <v>49</v>
      </c>
      <c r="I1573" t="str">
        <f t="shared" si="124"/>
        <v>494</v>
      </c>
      <c r="J1573" t="str">
        <f t="shared" si="125"/>
        <v>49400</v>
      </c>
      <c r="K1573" t="str">
        <f t="shared" si="121"/>
        <v/>
      </c>
    </row>
    <row r="1574" spans="2:11" x14ac:dyDescent="0.25">
      <c r="C1574" t="s">
        <v>1864</v>
      </c>
      <c r="D1574" t="s">
        <v>1864</v>
      </c>
      <c r="E1574" t="s">
        <v>3428</v>
      </c>
      <c r="F1574" t="s">
        <v>1257</v>
      </c>
      <c r="G1574" t="str">
        <f t="shared" si="122"/>
        <v>H</v>
      </c>
      <c r="H1574" t="str">
        <f t="shared" si="123"/>
        <v>49</v>
      </c>
      <c r="I1574" t="str">
        <f t="shared" si="124"/>
        <v>494</v>
      </c>
      <c r="J1574" t="str">
        <f t="shared" si="125"/>
        <v>49400</v>
      </c>
      <c r="K1574" t="str">
        <f t="shared" si="121"/>
        <v>4940000</v>
      </c>
    </row>
    <row r="1575" spans="2:11" x14ac:dyDescent="0.25">
      <c r="C1575" t="s">
        <v>3429</v>
      </c>
      <c r="D1575" t="s">
        <v>1864</v>
      </c>
      <c r="E1575" t="s">
        <v>1864</v>
      </c>
      <c r="F1575" t="s">
        <v>1258</v>
      </c>
      <c r="G1575" t="str">
        <f t="shared" si="122"/>
        <v>H</v>
      </c>
      <c r="H1575" t="str">
        <f t="shared" si="123"/>
        <v>49</v>
      </c>
      <c r="I1575" t="str">
        <f t="shared" si="124"/>
        <v>495</v>
      </c>
      <c r="J1575" t="str">
        <f t="shared" si="125"/>
        <v>49400</v>
      </c>
      <c r="K1575" t="str">
        <f t="shared" si="121"/>
        <v/>
      </c>
    </row>
    <row r="1576" spans="2:11" x14ac:dyDescent="0.25">
      <c r="C1576" t="s">
        <v>1864</v>
      </c>
      <c r="D1576" t="s">
        <v>3430</v>
      </c>
      <c r="E1576" t="s">
        <v>1864</v>
      </c>
      <c r="F1576" t="s">
        <v>1258</v>
      </c>
      <c r="G1576" t="str">
        <f t="shared" si="122"/>
        <v>H</v>
      </c>
      <c r="H1576" t="str">
        <f t="shared" si="123"/>
        <v>49</v>
      </c>
      <c r="I1576" t="str">
        <f t="shared" si="124"/>
        <v>495</v>
      </c>
      <c r="J1576" t="str">
        <f t="shared" si="125"/>
        <v>49507</v>
      </c>
      <c r="K1576" t="str">
        <f t="shared" si="121"/>
        <v/>
      </c>
    </row>
    <row r="1577" spans="2:11" x14ac:dyDescent="0.25">
      <c r="C1577" t="s">
        <v>1864</v>
      </c>
      <c r="D1577" t="s">
        <v>1864</v>
      </c>
      <c r="E1577" t="s">
        <v>3431</v>
      </c>
      <c r="F1577" t="s">
        <v>1258</v>
      </c>
      <c r="G1577" t="str">
        <f t="shared" si="122"/>
        <v>H</v>
      </c>
      <c r="H1577" t="str">
        <f t="shared" si="123"/>
        <v>49</v>
      </c>
      <c r="I1577" t="str">
        <f t="shared" si="124"/>
        <v>495</v>
      </c>
      <c r="J1577" t="str">
        <f t="shared" si="125"/>
        <v>49507</v>
      </c>
      <c r="K1577" t="str">
        <f t="shared" si="121"/>
        <v>4950700</v>
      </c>
    </row>
    <row r="1578" spans="2:11" x14ac:dyDescent="0.25">
      <c r="B1578" t="s">
        <v>3432</v>
      </c>
      <c r="C1578" t="s">
        <v>1864</v>
      </c>
      <c r="D1578" t="s">
        <v>1864</v>
      </c>
      <c r="E1578" t="s">
        <v>1864</v>
      </c>
      <c r="F1578" t="s">
        <v>1259</v>
      </c>
      <c r="G1578" t="str">
        <f t="shared" si="122"/>
        <v>H</v>
      </c>
      <c r="H1578" t="str">
        <f t="shared" si="123"/>
        <v>50</v>
      </c>
      <c r="I1578" t="str">
        <f t="shared" si="124"/>
        <v>495</v>
      </c>
      <c r="J1578" t="str">
        <f t="shared" si="125"/>
        <v>49507</v>
      </c>
      <c r="K1578" t="str">
        <f t="shared" si="121"/>
        <v/>
      </c>
    </row>
    <row r="1579" spans="2:11" x14ac:dyDescent="0.25">
      <c r="C1579" t="s">
        <v>3433</v>
      </c>
      <c r="D1579" t="s">
        <v>1864</v>
      </c>
      <c r="E1579" t="s">
        <v>1864</v>
      </c>
      <c r="F1579" t="s">
        <v>1260</v>
      </c>
      <c r="G1579" t="str">
        <f t="shared" si="122"/>
        <v>H</v>
      </c>
      <c r="H1579" t="str">
        <f t="shared" si="123"/>
        <v>50</v>
      </c>
      <c r="I1579" t="str">
        <f t="shared" si="124"/>
        <v>501</v>
      </c>
      <c r="J1579" t="str">
        <f t="shared" si="125"/>
        <v>49507</v>
      </c>
      <c r="K1579" t="str">
        <f t="shared" si="121"/>
        <v/>
      </c>
    </row>
    <row r="1580" spans="2:11" x14ac:dyDescent="0.25">
      <c r="C1580" t="s">
        <v>1864</v>
      </c>
      <c r="D1580" t="s">
        <v>3434</v>
      </c>
      <c r="E1580" t="s">
        <v>1864</v>
      </c>
      <c r="F1580" t="s">
        <v>1261</v>
      </c>
      <c r="G1580" t="str">
        <f t="shared" si="122"/>
        <v>H</v>
      </c>
      <c r="H1580" t="str">
        <f t="shared" si="123"/>
        <v>50</v>
      </c>
      <c r="I1580" t="str">
        <f t="shared" si="124"/>
        <v>501</v>
      </c>
      <c r="J1580" t="str">
        <f t="shared" si="125"/>
        <v>50114</v>
      </c>
      <c r="K1580" t="str">
        <f t="shared" si="121"/>
        <v/>
      </c>
    </row>
    <row r="1581" spans="2:11" x14ac:dyDescent="0.25">
      <c r="C1581" t="s">
        <v>1864</v>
      </c>
      <c r="D1581" t="s">
        <v>1864</v>
      </c>
      <c r="E1581" t="s">
        <v>3435</v>
      </c>
      <c r="F1581" t="s">
        <v>1262</v>
      </c>
      <c r="G1581" t="str">
        <f t="shared" si="122"/>
        <v>H</v>
      </c>
      <c r="H1581" t="str">
        <f t="shared" si="123"/>
        <v>50</v>
      </c>
      <c r="I1581" t="str">
        <f t="shared" si="124"/>
        <v>501</v>
      </c>
      <c r="J1581" t="str">
        <f t="shared" si="125"/>
        <v>50114</v>
      </c>
      <c r="K1581" t="str">
        <f t="shared" si="121"/>
        <v>5011401</v>
      </c>
    </row>
    <row r="1582" spans="2:11" x14ac:dyDescent="0.25">
      <c r="C1582" t="s">
        <v>1864</v>
      </c>
      <c r="D1582" t="s">
        <v>1864</v>
      </c>
      <c r="E1582" t="s">
        <v>3436</v>
      </c>
      <c r="F1582" t="s">
        <v>1263</v>
      </c>
      <c r="G1582" t="str">
        <f t="shared" si="122"/>
        <v>H</v>
      </c>
      <c r="H1582" t="str">
        <f t="shared" si="123"/>
        <v>50</v>
      </c>
      <c r="I1582" t="str">
        <f t="shared" si="124"/>
        <v>501</v>
      </c>
      <c r="J1582" t="str">
        <f t="shared" si="125"/>
        <v>50114</v>
      </c>
      <c r="K1582" t="str">
        <f t="shared" si="121"/>
        <v>5011402</v>
      </c>
    </row>
    <row r="1583" spans="2:11" x14ac:dyDescent="0.25">
      <c r="C1583" t="s">
        <v>1864</v>
      </c>
      <c r="D1583" t="s">
        <v>3437</v>
      </c>
      <c r="E1583" t="s">
        <v>1864</v>
      </c>
      <c r="F1583" t="s">
        <v>1264</v>
      </c>
      <c r="G1583" t="str">
        <f t="shared" si="122"/>
        <v>H</v>
      </c>
      <c r="H1583" t="str">
        <f t="shared" si="123"/>
        <v>50</v>
      </c>
      <c r="I1583" t="str">
        <f t="shared" si="124"/>
        <v>501</v>
      </c>
      <c r="J1583" t="str">
        <f t="shared" si="125"/>
        <v>50122</v>
      </c>
      <c r="K1583" t="str">
        <f t="shared" si="121"/>
        <v/>
      </c>
    </row>
    <row r="1584" spans="2:11" x14ac:dyDescent="0.25">
      <c r="C1584" t="s">
        <v>1864</v>
      </c>
      <c r="D1584" t="s">
        <v>1864</v>
      </c>
      <c r="E1584" t="s">
        <v>3438</v>
      </c>
      <c r="F1584" t="s">
        <v>1265</v>
      </c>
      <c r="G1584" t="str">
        <f t="shared" si="122"/>
        <v>H</v>
      </c>
      <c r="H1584" t="str">
        <f t="shared" si="123"/>
        <v>50</v>
      </c>
      <c r="I1584" t="str">
        <f t="shared" si="124"/>
        <v>501</v>
      </c>
      <c r="J1584" t="str">
        <f t="shared" si="125"/>
        <v>50122</v>
      </c>
      <c r="K1584" t="str">
        <f t="shared" si="121"/>
        <v>5012201</v>
      </c>
    </row>
    <row r="1585" spans="3:11" x14ac:dyDescent="0.25">
      <c r="C1585" t="s">
        <v>1864</v>
      </c>
      <c r="D1585" t="s">
        <v>1864</v>
      </c>
      <c r="E1585" t="s">
        <v>3439</v>
      </c>
      <c r="F1585" t="s">
        <v>1266</v>
      </c>
      <c r="G1585" t="str">
        <f t="shared" si="122"/>
        <v>H</v>
      </c>
      <c r="H1585" t="str">
        <f t="shared" si="123"/>
        <v>50</v>
      </c>
      <c r="I1585" t="str">
        <f t="shared" si="124"/>
        <v>501</v>
      </c>
      <c r="J1585" t="str">
        <f t="shared" si="125"/>
        <v>50122</v>
      </c>
      <c r="K1585" t="str">
        <f t="shared" si="121"/>
        <v>5012202</v>
      </c>
    </row>
    <row r="1586" spans="3:11" x14ac:dyDescent="0.25">
      <c r="C1586" t="s">
        <v>3440</v>
      </c>
      <c r="D1586" t="s">
        <v>1864</v>
      </c>
      <c r="E1586" t="s">
        <v>1864</v>
      </c>
      <c r="F1586" t="s">
        <v>1267</v>
      </c>
      <c r="G1586" t="str">
        <f t="shared" si="122"/>
        <v>H</v>
      </c>
      <c r="H1586" t="str">
        <f t="shared" si="123"/>
        <v>50</v>
      </c>
      <c r="I1586" t="str">
        <f t="shared" si="124"/>
        <v>502</v>
      </c>
      <c r="J1586" t="str">
        <f t="shared" si="125"/>
        <v>50122</v>
      </c>
      <c r="K1586" t="str">
        <f t="shared" si="121"/>
        <v/>
      </c>
    </row>
    <row r="1587" spans="3:11" x14ac:dyDescent="0.25">
      <c r="C1587" t="s">
        <v>1864</v>
      </c>
      <c r="D1587" t="s">
        <v>3441</v>
      </c>
      <c r="E1587" t="s">
        <v>1864</v>
      </c>
      <c r="F1587" t="s">
        <v>1268</v>
      </c>
      <c r="G1587" t="str">
        <f t="shared" si="122"/>
        <v>H</v>
      </c>
      <c r="H1587" t="str">
        <f t="shared" si="123"/>
        <v>50</v>
      </c>
      <c r="I1587" t="str">
        <f t="shared" si="124"/>
        <v>502</v>
      </c>
      <c r="J1587" t="str">
        <f t="shared" si="125"/>
        <v>50211</v>
      </c>
      <c r="K1587" t="str">
        <f t="shared" si="121"/>
        <v/>
      </c>
    </row>
    <row r="1588" spans="3:11" x14ac:dyDescent="0.25">
      <c r="C1588" t="s">
        <v>1864</v>
      </c>
      <c r="D1588" t="s">
        <v>1864</v>
      </c>
      <c r="E1588" t="s">
        <v>3442</v>
      </c>
      <c r="F1588" t="s">
        <v>1269</v>
      </c>
      <c r="G1588" t="str">
        <f t="shared" si="122"/>
        <v>H</v>
      </c>
      <c r="H1588" t="str">
        <f t="shared" si="123"/>
        <v>50</v>
      </c>
      <c r="I1588" t="str">
        <f t="shared" si="124"/>
        <v>502</v>
      </c>
      <c r="J1588" t="str">
        <f t="shared" si="125"/>
        <v>50211</v>
      </c>
      <c r="K1588" t="str">
        <f t="shared" si="121"/>
        <v>5021101</v>
      </c>
    </row>
    <row r="1589" spans="3:11" x14ac:dyDescent="0.25">
      <c r="C1589" t="s">
        <v>1864</v>
      </c>
      <c r="D1589" t="s">
        <v>1864</v>
      </c>
      <c r="E1589" t="s">
        <v>3443</v>
      </c>
      <c r="F1589" t="s">
        <v>1270</v>
      </c>
      <c r="G1589" t="str">
        <f t="shared" si="122"/>
        <v>H</v>
      </c>
      <c r="H1589" t="str">
        <f t="shared" si="123"/>
        <v>50</v>
      </c>
      <c r="I1589" t="str">
        <f t="shared" si="124"/>
        <v>502</v>
      </c>
      <c r="J1589" t="str">
        <f t="shared" si="125"/>
        <v>50211</v>
      </c>
      <c r="K1589" t="str">
        <f t="shared" si="121"/>
        <v>5021102</v>
      </c>
    </row>
    <row r="1590" spans="3:11" x14ac:dyDescent="0.25">
      <c r="C1590" t="s">
        <v>1864</v>
      </c>
      <c r="D1590" t="s">
        <v>3444</v>
      </c>
      <c r="E1590" t="s">
        <v>1864</v>
      </c>
      <c r="F1590" t="s">
        <v>1271</v>
      </c>
      <c r="G1590" t="str">
        <f t="shared" si="122"/>
        <v>H</v>
      </c>
      <c r="H1590" t="str">
        <f t="shared" si="123"/>
        <v>50</v>
      </c>
      <c r="I1590" t="str">
        <f t="shared" si="124"/>
        <v>502</v>
      </c>
      <c r="J1590" t="str">
        <f t="shared" si="125"/>
        <v>50220</v>
      </c>
      <c r="K1590" t="str">
        <f t="shared" si="121"/>
        <v/>
      </c>
    </row>
    <row r="1591" spans="3:11" x14ac:dyDescent="0.25">
      <c r="C1591" t="s">
        <v>1864</v>
      </c>
      <c r="D1591" t="s">
        <v>1864</v>
      </c>
      <c r="E1591" t="s">
        <v>3445</v>
      </c>
      <c r="F1591" t="s">
        <v>1272</v>
      </c>
      <c r="G1591" t="str">
        <f t="shared" si="122"/>
        <v>H</v>
      </c>
      <c r="H1591" t="str">
        <f t="shared" si="123"/>
        <v>50</v>
      </c>
      <c r="I1591" t="str">
        <f t="shared" si="124"/>
        <v>502</v>
      </c>
      <c r="J1591" t="str">
        <f t="shared" si="125"/>
        <v>50220</v>
      </c>
      <c r="K1591" t="str">
        <f t="shared" si="121"/>
        <v>5022001</v>
      </c>
    </row>
    <row r="1592" spans="3:11" x14ac:dyDescent="0.25">
      <c r="C1592" t="s">
        <v>1864</v>
      </c>
      <c r="D1592" t="s">
        <v>1864</v>
      </c>
      <c r="E1592" t="s">
        <v>3446</v>
      </c>
      <c r="F1592" t="s">
        <v>1273</v>
      </c>
      <c r="G1592" t="str">
        <f t="shared" si="122"/>
        <v>H</v>
      </c>
      <c r="H1592" t="str">
        <f t="shared" si="123"/>
        <v>50</v>
      </c>
      <c r="I1592" t="str">
        <f t="shared" si="124"/>
        <v>502</v>
      </c>
      <c r="J1592" t="str">
        <f t="shared" si="125"/>
        <v>50220</v>
      </c>
      <c r="K1592" t="str">
        <f t="shared" si="121"/>
        <v>5022002</v>
      </c>
    </row>
    <row r="1593" spans="3:11" x14ac:dyDescent="0.25">
      <c r="C1593" t="s">
        <v>3447</v>
      </c>
      <c r="D1593" t="s">
        <v>1864</v>
      </c>
      <c r="E1593" t="s">
        <v>1864</v>
      </c>
      <c r="F1593" t="s">
        <v>1274</v>
      </c>
      <c r="G1593" t="str">
        <f t="shared" si="122"/>
        <v>H</v>
      </c>
      <c r="H1593" t="str">
        <f t="shared" si="123"/>
        <v>50</v>
      </c>
      <c r="I1593" t="str">
        <f t="shared" si="124"/>
        <v>503</v>
      </c>
      <c r="J1593" t="str">
        <f t="shared" si="125"/>
        <v>50220</v>
      </c>
      <c r="K1593" t="str">
        <f t="shared" si="121"/>
        <v/>
      </c>
    </row>
    <row r="1594" spans="3:11" x14ac:dyDescent="0.25">
      <c r="C1594" t="s">
        <v>1864</v>
      </c>
      <c r="D1594" t="s">
        <v>3448</v>
      </c>
      <c r="E1594" t="s">
        <v>1864</v>
      </c>
      <c r="F1594" t="s">
        <v>1274</v>
      </c>
      <c r="G1594" t="str">
        <f t="shared" si="122"/>
        <v>H</v>
      </c>
      <c r="H1594" t="str">
        <f t="shared" si="123"/>
        <v>50</v>
      </c>
      <c r="I1594" t="str">
        <f t="shared" si="124"/>
        <v>503</v>
      </c>
      <c r="J1594" t="str">
        <f t="shared" si="125"/>
        <v>50301</v>
      </c>
      <c r="K1594" t="str">
        <f t="shared" si="121"/>
        <v/>
      </c>
    </row>
    <row r="1595" spans="3:11" x14ac:dyDescent="0.25">
      <c r="C1595" t="s">
        <v>1864</v>
      </c>
      <c r="D1595" t="s">
        <v>1864</v>
      </c>
      <c r="E1595" t="s">
        <v>3449</v>
      </c>
      <c r="F1595" t="s">
        <v>1275</v>
      </c>
      <c r="G1595" t="str">
        <f t="shared" si="122"/>
        <v>H</v>
      </c>
      <c r="H1595" t="str">
        <f t="shared" si="123"/>
        <v>50</v>
      </c>
      <c r="I1595" t="str">
        <f t="shared" si="124"/>
        <v>503</v>
      </c>
      <c r="J1595" t="str">
        <f t="shared" si="125"/>
        <v>50301</v>
      </c>
      <c r="K1595" t="str">
        <f t="shared" si="121"/>
        <v>5030101</v>
      </c>
    </row>
    <row r="1596" spans="3:11" x14ac:dyDescent="0.25">
      <c r="C1596" t="s">
        <v>1864</v>
      </c>
      <c r="D1596" t="s">
        <v>1864</v>
      </c>
      <c r="E1596" t="s">
        <v>3450</v>
      </c>
      <c r="F1596" t="s">
        <v>1276</v>
      </c>
      <c r="G1596" t="str">
        <f t="shared" si="122"/>
        <v>H</v>
      </c>
      <c r="H1596" t="str">
        <f t="shared" si="123"/>
        <v>50</v>
      </c>
      <c r="I1596" t="str">
        <f t="shared" si="124"/>
        <v>503</v>
      </c>
      <c r="J1596" t="str">
        <f t="shared" si="125"/>
        <v>50301</v>
      </c>
      <c r="K1596" t="str">
        <f t="shared" si="121"/>
        <v>5030102</v>
      </c>
    </row>
    <row r="1597" spans="3:11" x14ac:dyDescent="0.25">
      <c r="C1597" t="s">
        <v>1864</v>
      </c>
      <c r="D1597" t="s">
        <v>1864</v>
      </c>
      <c r="E1597" t="s">
        <v>3451</v>
      </c>
      <c r="F1597" t="s">
        <v>1277</v>
      </c>
      <c r="G1597" t="str">
        <f t="shared" si="122"/>
        <v>H</v>
      </c>
      <c r="H1597" t="str">
        <f t="shared" si="123"/>
        <v>50</v>
      </c>
      <c r="I1597" t="str">
        <f t="shared" si="124"/>
        <v>503</v>
      </c>
      <c r="J1597" t="str">
        <f t="shared" si="125"/>
        <v>50301</v>
      </c>
      <c r="K1597" t="str">
        <f t="shared" si="121"/>
        <v>5030103</v>
      </c>
    </row>
    <row r="1598" spans="3:11" x14ac:dyDescent="0.25">
      <c r="C1598" t="s">
        <v>3452</v>
      </c>
      <c r="D1598" t="s">
        <v>1864</v>
      </c>
      <c r="E1598" t="s">
        <v>1864</v>
      </c>
      <c r="F1598" t="s">
        <v>1278</v>
      </c>
      <c r="G1598" t="str">
        <f t="shared" si="122"/>
        <v>H</v>
      </c>
      <c r="H1598" t="str">
        <f t="shared" si="123"/>
        <v>50</v>
      </c>
      <c r="I1598" t="str">
        <f t="shared" si="124"/>
        <v>509</v>
      </c>
      <c r="J1598" t="str">
        <f t="shared" si="125"/>
        <v>50301</v>
      </c>
      <c r="K1598" t="str">
        <f t="shared" si="121"/>
        <v/>
      </c>
    </row>
    <row r="1599" spans="3:11" x14ac:dyDescent="0.25">
      <c r="C1599" t="s">
        <v>1864</v>
      </c>
      <c r="D1599" t="s">
        <v>3453</v>
      </c>
      <c r="E1599" t="s">
        <v>1864</v>
      </c>
      <c r="F1599" t="s">
        <v>1279</v>
      </c>
      <c r="G1599" t="str">
        <f t="shared" si="122"/>
        <v>H</v>
      </c>
      <c r="H1599" t="str">
        <f t="shared" si="123"/>
        <v>50</v>
      </c>
      <c r="I1599" t="str">
        <f t="shared" si="124"/>
        <v>509</v>
      </c>
      <c r="J1599" t="str">
        <f t="shared" si="125"/>
        <v>50912</v>
      </c>
      <c r="K1599" t="str">
        <f t="shared" si="121"/>
        <v/>
      </c>
    </row>
    <row r="1600" spans="3:11" x14ac:dyDescent="0.25">
      <c r="C1600" t="s">
        <v>1864</v>
      </c>
      <c r="D1600" t="s">
        <v>1864</v>
      </c>
      <c r="E1600" t="s">
        <v>3454</v>
      </c>
      <c r="F1600" t="s">
        <v>1280</v>
      </c>
      <c r="G1600" t="str">
        <f t="shared" si="122"/>
        <v>H</v>
      </c>
      <c r="H1600" t="str">
        <f t="shared" si="123"/>
        <v>50</v>
      </c>
      <c r="I1600" t="str">
        <f t="shared" si="124"/>
        <v>509</v>
      </c>
      <c r="J1600" t="str">
        <f t="shared" si="125"/>
        <v>50912</v>
      </c>
      <c r="K1600" t="str">
        <f t="shared" si="121"/>
        <v>5091201</v>
      </c>
    </row>
    <row r="1601" spans="2:11" x14ac:dyDescent="0.25">
      <c r="C1601" t="s">
        <v>1864</v>
      </c>
      <c r="D1601" t="s">
        <v>1864</v>
      </c>
      <c r="E1601" t="s">
        <v>3455</v>
      </c>
      <c r="F1601" t="s">
        <v>1281</v>
      </c>
      <c r="G1601" t="str">
        <f t="shared" si="122"/>
        <v>H</v>
      </c>
      <c r="H1601" t="str">
        <f t="shared" si="123"/>
        <v>50</v>
      </c>
      <c r="I1601" t="str">
        <f t="shared" si="124"/>
        <v>509</v>
      </c>
      <c r="J1601" t="str">
        <f t="shared" si="125"/>
        <v>50912</v>
      </c>
      <c r="K1601" t="str">
        <f t="shared" si="121"/>
        <v>5091202</v>
      </c>
    </row>
    <row r="1602" spans="2:11" x14ac:dyDescent="0.25">
      <c r="C1602" t="s">
        <v>1864</v>
      </c>
      <c r="D1602" t="s">
        <v>3456</v>
      </c>
      <c r="E1602" t="s">
        <v>1864</v>
      </c>
      <c r="F1602" t="s">
        <v>1282</v>
      </c>
      <c r="G1602" t="str">
        <f t="shared" si="122"/>
        <v>H</v>
      </c>
      <c r="H1602" t="str">
        <f t="shared" si="123"/>
        <v>50</v>
      </c>
      <c r="I1602" t="str">
        <f t="shared" si="124"/>
        <v>509</v>
      </c>
      <c r="J1602" t="str">
        <f t="shared" si="125"/>
        <v>50998</v>
      </c>
      <c r="K1602" t="str">
        <f t="shared" si="121"/>
        <v/>
      </c>
    </row>
    <row r="1603" spans="2:11" x14ac:dyDescent="0.25">
      <c r="C1603" t="s">
        <v>1864</v>
      </c>
      <c r="D1603" t="s">
        <v>1864</v>
      </c>
      <c r="E1603" t="s">
        <v>3457</v>
      </c>
      <c r="F1603" t="s">
        <v>1283</v>
      </c>
      <c r="G1603" t="str">
        <f t="shared" si="122"/>
        <v>H</v>
      </c>
      <c r="H1603" t="str">
        <f t="shared" si="123"/>
        <v>50</v>
      </c>
      <c r="I1603" t="str">
        <f t="shared" si="124"/>
        <v>509</v>
      </c>
      <c r="J1603" t="str">
        <f t="shared" si="125"/>
        <v>50998</v>
      </c>
      <c r="K1603" t="str">
        <f t="shared" si="121"/>
        <v>5099801</v>
      </c>
    </row>
    <row r="1604" spans="2:11" x14ac:dyDescent="0.25">
      <c r="C1604" t="s">
        <v>1864</v>
      </c>
      <c r="D1604" t="s">
        <v>1864</v>
      </c>
      <c r="E1604" t="s">
        <v>3458</v>
      </c>
      <c r="F1604" t="s">
        <v>1284</v>
      </c>
      <c r="G1604" t="str">
        <f t="shared" si="122"/>
        <v>H</v>
      </c>
      <c r="H1604" t="str">
        <f t="shared" si="123"/>
        <v>50</v>
      </c>
      <c r="I1604" t="str">
        <f t="shared" si="124"/>
        <v>509</v>
      </c>
      <c r="J1604" t="str">
        <f t="shared" si="125"/>
        <v>50998</v>
      </c>
      <c r="K1604" t="str">
        <f t="shared" si="121"/>
        <v>5099899</v>
      </c>
    </row>
    <row r="1605" spans="2:11" x14ac:dyDescent="0.25">
      <c r="B1605" t="s">
        <v>3459</v>
      </c>
      <c r="C1605" t="s">
        <v>1864</v>
      </c>
      <c r="D1605" t="s">
        <v>1864</v>
      </c>
      <c r="E1605" t="s">
        <v>1864</v>
      </c>
      <c r="F1605" t="s">
        <v>1285</v>
      </c>
      <c r="G1605" t="str">
        <f t="shared" si="122"/>
        <v>H</v>
      </c>
      <c r="H1605" t="str">
        <f t="shared" si="123"/>
        <v>51</v>
      </c>
      <c r="I1605" t="str">
        <f t="shared" si="124"/>
        <v>509</v>
      </c>
      <c r="J1605" t="str">
        <f t="shared" si="125"/>
        <v>50998</v>
      </c>
      <c r="K1605" t="str">
        <f t="shared" si="121"/>
        <v/>
      </c>
    </row>
    <row r="1606" spans="2:11" x14ac:dyDescent="0.25">
      <c r="C1606" t="s">
        <v>3460</v>
      </c>
      <c r="D1606" t="s">
        <v>1864</v>
      </c>
      <c r="E1606" t="s">
        <v>1864</v>
      </c>
      <c r="F1606" t="s">
        <v>1286</v>
      </c>
      <c r="G1606" t="str">
        <f t="shared" si="122"/>
        <v>H</v>
      </c>
      <c r="H1606" t="str">
        <f t="shared" si="123"/>
        <v>51</v>
      </c>
      <c r="I1606" t="str">
        <f t="shared" si="124"/>
        <v>511</v>
      </c>
      <c r="J1606" t="str">
        <f t="shared" si="125"/>
        <v>50998</v>
      </c>
      <c r="K1606" t="str">
        <f t="shared" si="121"/>
        <v/>
      </c>
    </row>
    <row r="1607" spans="2:11" x14ac:dyDescent="0.25">
      <c r="C1607" t="s">
        <v>1864</v>
      </c>
      <c r="D1607" t="s">
        <v>3461</v>
      </c>
      <c r="E1607" t="s">
        <v>1864</v>
      </c>
      <c r="F1607" t="s">
        <v>1287</v>
      </c>
      <c r="G1607" t="str">
        <f t="shared" si="122"/>
        <v>H</v>
      </c>
      <c r="H1607" t="str">
        <f t="shared" si="123"/>
        <v>51</v>
      </c>
      <c r="I1607" t="str">
        <f t="shared" si="124"/>
        <v>511</v>
      </c>
      <c r="J1607" t="str">
        <f t="shared" si="125"/>
        <v>51111</v>
      </c>
      <c r="K1607" t="str">
        <f t="shared" si="121"/>
        <v/>
      </c>
    </row>
    <row r="1608" spans="2:11" x14ac:dyDescent="0.25">
      <c r="C1608" t="s">
        <v>1864</v>
      </c>
      <c r="D1608" t="s">
        <v>1864</v>
      </c>
      <c r="E1608" t="s">
        <v>3462</v>
      </c>
      <c r="F1608" t="s">
        <v>1287</v>
      </c>
      <c r="G1608" t="str">
        <f t="shared" si="122"/>
        <v>H</v>
      </c>
      <c r="H1608" t="str">
        <f t="shared" si="123"/>
        <v>51</v>
      </c>
      <c r="I1608" t="str">
        <f t="shared" si="124"/>
        <v>511</v>
      </c>
      <c r="J1608" t="str">
        <f t="shared" si="125"/>
        <v>51111</v>
      </c>
      <c r="K1608" t="str">
        <f t="shared" ref="K1608:K1671" si="126">E1608</f>
        <v>5111100</v>
      </c>
    </row>
    <row r="1609" spans="2:11" x14ac:dyDescent="0.25">
      <c r="C1609" t="s">
        <v>1864</v>
      </c>
      <c r="D1609" t="s">
        <v>3463</v>
      </c>
      <c r="E1609" t="s">
        <v>1864</v>
      </c>
      <c r="F1609" t="s">
        <v>1288</v>
      </c>
      <c r="G1609" t="str">
        <f t="shared" ref="G1609:G1672" si="127">IF(A1609="",G1608,A1609)</f>
        <v>H</v>
      </c>
      <c r="H1609" t="str">
        <f t="shared" ref="H1609:H1672" si="128">IF(B1609="",H1608,B1609)</f>
        <v>51</v>
      </c>
      <c r="I1609" t="str">
        <f t="shared" ref="I1609:I1672" si="129">IF(C1609="",I1608,C1609)</f>
        <v>511</v>
      </c>
      <c r="J1609" t="str">
        <f t="shared" ref="J1609:J1672" si="130">IF(D1609="",J1608,D1609)</f>
        <v>51129</v>
      </c>
      <c r="K1609" t="str">
        <f t="shared" si="126"/>
        <v/>
      </c>
    </row>
    <row r="1610" spans="2:11" x14ac:dyDescent="0.25">
      <c r="C1610" t="s">
        <v>1864</v>
      </c>
      <c r="D1610" t="s">
        <v>1864</v>
      </c>
      <c r="E1610" t="s">
        <v>3464</v>
      </c>
      <c r="F1610" t="s">
        <v>1289</v>
      </c>
      <c r="G1610" t="str">
        <f t="shared" si="127"/>
        <v>H</v>
      </c>
      <c r="H1610" t="str">
        <f t="shared" si="128"/>
        <v>51</v>
      </c>
      <c r="I1610" t="str">
        <f t="shared" si="129"/>
        <v>511</v>
      </c>
      <c r="J1610" t="str">
        <f t="shared" si="130"/>
        <v>51129</v>
      </c>
      <c r="K1610" t="str">
        <f t="shared" si="126"/>
        <v>5112901</v>
      </c>
    </row>
    <row r="1611" spans="2:11" x14ac:dyDescent="0.25">
      <c r="C1611" t="s">
        <v>1864</v>
      </c>
      <c r="D1611" t="s">
        <v>1864</v>
      </c>
      <c r="E1611" t="s">
        <v>3465</v>
      </c>
      <c r="F1611" t="s">
        <v>1290</v>
      </c>
      <c r="G1611" t="str">
        <f t="shared" si="127"/>
        <v>H</v>
      </c>
      <c r="H1611" t="str">
        <f t="shared" si="128"/>
        <v>51</v>
      </c>
      <c r="I1611" t="str">
        <f t="shared" si="129"/>
        <v>511</v>
      </c>
      <c r="J1611" t="str">
        <f t="shared" si="130"/>
        <v>51129</v>
      </c>
      <c r="K1611" t="str">
        <f t="shared" si="126"/>
        <v>5112999</v>
      </c>
    </row>
    <row r="1612" spans="2:11" x14ac:dyDescent="0.25">
      <c r="C1612" t="s">
        <v>3466</v>
      </c>
      <c r="D1612" t="s">
        <v>1864</v>
      </c>
      <c r="E1612" t="s">
        <v>1864</v>
      </c>
      <c r="F1612" t="s">
        <v>1291</v>
      </c>
      <c r="G1612" t="str">
        <f t="shared" si="127"/>
        <v>H</v>
      </c>
      <c r="H1612" t="str">
        <f t="shared" si="128"/>
        <v>51</v>
      </c>
      <c r="I1612" t="str">
        <f t="shared" si="129"/>
        <v>512</v>
      </c>
      <c r="J1612" t="str">
        <f t="shared" si="130"/>
        <v>51129</v>
      </c>
      <c r="K1612" t="str">
        <f t="shared" si="126"/>
        <v/>
      </c>
    </row>
    <row r="1613" spans="2:11" x14ac:dyDescent="0.25">
      <c r="C1613" t="s">
        <v>1864</v>
      </c>
      <c r="D1613" t="s">
        <v>3467</v>
      </c>
      <c r="E1613" t="s">
        <v>1864</v>
      </c>
      <c r="F1613" t="s">
        <v>1291</v>
      </c>
      <c r="G1613" t="str">
        <f t="shared" si="127"/>
        <v>H</v>
      </c>
      <c r="H1613" t="str">
        <f t="shared" si="128"/>
        <v>51</v>
      </c>
      <c r="I1613" t="str">
        <f t="shared" si="129"/>
        <v>512</v>
      </c>
      <c r="J1613" t="str">
        <f t="shared" si="130"/>
        <v>51200</v>
      </c>
      <c r="K1613" t="str">
        <f t="shared" si="126"/>
        <v/>
      </c>
    </row>
    <row r="1614" spans="2:11" x14ac:dyDescent="0.25">
      <c r="C1614" t="s">
        <v>1864</v>
      </c>
      <c r="D1614" t="s">
        <v>1864</v>
      </c>
      <c r="E1614" t="s">
        <v>3468</v>
      </c>
      <c r="F1614" t="s">
        <v>1291</v>
      </c>
      <c r="G1614" t="str">
        <f t="shared" si="127"/>
        <v>H</v>
      </c>
      <c r="H1614" t="str">
        <f t="shared" si="128"/>
        <v>51</v>
      </c>
      <c r="I1614" t="str">
        <f t="shared" si="129"/>
        <v>512</v>
      </c>
      <c r="J1614" t="str">
        <f t="shared" si="130"/>
        <v>51200</v>
      </c>
      <c r="K1614" t="str">
        <f t="shared" si="126"/>
        <v>5120000</v>
      </c>
    </row>
    <row r="1615" spans="2:11" x14ac:dyDescent="0.25">
      <c r="C1615" t="s">
        <v>3469</v>
      </c>
      <c r="D1615" t="s">
        <v>1864</v>
      </c>
      <c r="E1615" t="s">
        <v>1864</v>
      </c>
      <c r="F1615" t="s">
        <v>1292</v>
      </c>
      <c r="G1615" t="str">
        <f t="shared" si="127"/>
        <v>H</v>
      </c>
      <c r="H1615" t="str">
        <f t="shared" si="128"/>
        <v>51</v>
      </c>
      <c r="I1615" t="str">
        <f t="shared" si="129"/>
        <v>513</v>
      </c>
      <c r="J1615" t="str">
        <f t="shared" si="130"/>
        <v>51200</v>
      </c>
      <c r="K1615" t="str">
        <f t="shared" si="126"/>
        <v/>
      </c>
    </row>
    <row r="1616" spans="2:11" x14ac:dyDescent="0.25">
      <c r="C1616" t="s">
        <v>1864</v>
      </c>
      <c r="D1616" t="s">
        <v>3470</v>
      </c>
      <c r="E1616" t="s">
        <v>1864</v>
      </c>
      <c r="F1616" t="s">
        <v>1292</v>
      </c>
      <c r="G1616" t="str">
        <f t="shared" si="127"/>
        <v>H</v>
      </c>
      <c r="H1616" t="str">
        <f t="shared" si="128"/>
        <v>51</v>
      </c>
      <c r="I1616" t="str">
        <f t="shared" si="129"/>
        <v>513</v>
      </c>
      <c r="J1616" t="str">
        <f t="shared" si="130"/>
        <v>51307</v>
      </c>
      <c r="K1616" t="str">
        <f t="shared" si="126"/>
        <v/>
      </c>
    </row>
    <row r="1617" spans="2:11" x14ac:dyDescent="0.25">
      <c r="C1617" t="s">
        <v>1864</v>
      </c>
      <c r="D1617" t="s">
        <v>1864</v>
      </c>
      <c r="E1617" t="s">
        <v>3471</v>
      </c>
      <c r="F1617" t="s">
        <v>1292</v>
      </c>
      <c r="G1617" t="str">
        <f t="shared" si="127"/>
        <v>H</v>
      </c>
      <c r="H1617" t="str">
        <f t="shared" si="128"/>
        <v>51</v>
      </c>
      <c r="I1617" t="str">
        <f t="shared" si="129"/>
        <v>513</v>
      </c>
      <c r="J1617" t="str">
        <f t="shared" si="130"/>
        <v>51307</v>
      </c>
      <c r="K1617" t="str">
        <f t="shared" si="126"/>
        <v>5130700</v>
      </c>
    </row>
    <row r="1618" spans="2:11" x14ac:dyDescent="0.25">
      <c r="B1618" t="s">
        <v>3472</v>
      </c>
      <c r="C1618" t="s">
        <v>1864</v>
      </c>
      <c r="D1618" t="s">
        <v>1864</v>
      </c>
      <c r="E1618" t="s">
        <v>1864</v>
      </c>
      <c r="F1618" t="s">
        <v>1293</v>
      </c>
      <c r="G1618" t="str">
        <f t="shared" si="127"/>
        <v>H</v>
      </c>
      <c r="H1618" t="str">
        <f t="shared" si="128"/>
        <v>52</v>
      </c>
      <c r="I1618" t="str">
        <f t="shared" si="129"/>
        <v>513</v>
      </c>
      <c r="J1618" t="str">
        <f t="shared" si="130"/>
        <v>51307</v>
      </c>
      <c r="K1618" t="str">
        <f t="shared" si="126"/>
        <v/>
      </c>
    </row>
    <row r="1619" spans="2:11" x14ac:dyDescent="0.25">
      <c r="C1619" t="s">
        <v>3473</v>
      </c>
      <c r="D1619" t="s">
        <v>1864</v>
      </c>
      <c r="E1619" t="s">
        <v>1864</v>
      </c>
      <c r="F1619" t="s">
        <v>1294</v>
      </c>
      <c r="G1619" t="str">
        <f t="shared" si="127"/>
        <v>H</v>
      </c>
      <c r="H1619" t="str">
        <f t="shared" si="128"/>
        <v>52</v>
      </c>
      <c r="I1619" t="str">
        <f t="shared" si="129"/>
        <v>521</v>
      </c>
      <c r="J1619" t="str">
        <f t="shared" si="130"/>
        <v>51307</v>
      </c>
      <c r="K1619" t="str">
        <f t="shared" si="126"/>
        <v/>
      </c>
    </row>
    <row r="1620" spans="2:11" x14ac:dyDescent="0.25">
      <c r="C1620" t="s">
        <v>1864</v>
      </c>
      <c r="D1620" t="s">
        <v>3474</v>
      </c>
      <c r="E1620" t="s">
        <v>1864</v>
      </c>
      <c r="F1620" t="s">
        <v>1295</v>
      </c>
      <c r="G1620" t="str">
        <f t="shared" si="127"/>
        <v>H</v>
      </c>
      <c r="H1620" t="str">
        <f t="shared" si="128"/>
        <v>52</v>
      </c>
      <c r="I1620" t="str">
        <f t="shared" si="129"/>
        <v>521</v>
      </c>
      <c r="J1620" t="str">
        <f t="shared" si="130"/>
        <v>52117</v>
      </c>
      <c r="K1620" t="str">
        <f t="shared" si="126"/>
        <v/>
      </c>
    </row>
    <row r="1621" spans="2:11" x14ac:dyDescent="0.25">
      <c r="C1621" t="s">
        <v>1864</v>
      </c>
      <c r="D1621" t="s">
        <v>1864</v>
      </c>
      <c r="E1621" t="s">
        <v>3475</v>
      </c>
      <c r="F1621" t="s">
        <v>3476</v>
      </c>
      <c r="G1621" t="str">
        <f t="shared" si="127"/>
        <v>H</v>
      </c>
      <c r="H1621" t="str">
        <f t="shared" si="128"/>
        <v>52</v>
      </c>
      <c r="I1621" t="str">
        <f t="shared" si="129"/>
        <v>521</v>
      </c>
      <c r="J1621" t="str">
        <f t="shared" si="130"/>
        <v>52117</v>
      </c>
      <c r="K1621" t="str">
        <f t="shared" si="126"/>
        <v>5211701</v>
      </c>
    </row>
    <row r="1622" spans="2:11" x14ac:dyDescent="0.25">
      <c r="C1622" t="s">
        <v>1864</v>
      </c>
      <c r="D1622" t="s">
        <v>1864</v>
      </c>
      <c r="E1622" t="s">
        <v>3477</v>
      </c>
      <c r="F1622" t="s">
        <v>1296</v>
      </c>
      <c r="G1622" t="str">
        <f t="shared" si="127"/>
        <v>H</v>
      </c>
      <c r="H1622" t="str">
        <f t="shared" si="128"/>
        <v>52</v>
      </c>
      <c r="I1622" t="str">
        <f t="shared" si="129"/>
        <v>521</v>
      </c>
      <c r="J1622" t="str">
        <f t="shared" si="130"/>
        <v>52117</v>
      </c>
      <c r="K1622" t="str">
        <f t="shared" si="126"/>
        <v>5211702</v>
      </c>
    </row>
    <row r="1623" spans="2:11" x14ac:dyDescent="0.25">
      <c r="C1623" t="s">
        <v>1864</v>
      </c>
      <c r="D1623" t="s">
        <v>1864</v>
      </c>
      <c r="E1623" t="s">
        <v>3478</v>
      </c>
      <c r="F1623" t="s">
        <v>1297</v>
      </c>
      <c r="G1623" t="str">
        <f t="shared" si="127"/>
        <v>H</v>
      </c>
      <c r="H1623" t="str">
        <f t="shared" si="128"/>
        <v>52</v>
      </c>
      <c r="I1623" t="str">
        <f t="shared" si="129"/>
        <v>521</v>
      </c>
      <c r="J1623" t="str">
        <f t="shared" si="130"/>
        <v>52117</v>
      </c>
      <c r="K1623" t="str">
        <f t="shared" si="126"/>
        <v>5211799</v>
      </c>
    </row>
    <row r="1624" spans="2:11" x14ac:dyDescent="0.25">
      <c r="C1624" t="s">
        <v>1864</v>
      </c>
      <c r="D1624" t="s">
        <v>3479</v>
      </c>
      <c r="E1624" t="s">
        <v>1864</v>
      </c>
      <c r="F1624" t="s">
        <v>1298</v>
      </c>
      <c r="G1624" t="str">
        <f t="shared" si="127"/>
        <v>H</v>
      </c>
      <c r="H1624" t="str">
        <f t="shared" si="128"/>
        <v>52</v>
      </c>
      <c r="I1624" t="str">
        <f t="shared" si="129"/>
        <v>521</v>
      </c>
      <c r="J1624" t="str">
        <f t="shared" si="130"/>
        <v>52125</v>
      </c>
      <c r="K1624" t="str">
        <f t="shared" si="126"/>
        <v/>
      </c>
    </row>
    <row r="1625" spans="2:11" x14ac:dyDescent="0.25">
      <c r="C1625" t="s">
        <v>1864</v>
      </c>
      <c r="D1625" t="s">
        <v>1864</v>
      </c>
      <c r="E1625" t="s">
        <v>3480</v>
      </c>
      <c r="F1625" t="s">
        <v>1298</v>
      </c>
      <c r="G1625" t="str">
        <f t="shared" si="127"/>
        <v>H</v>
      </c>
      <c r="H1625" t="str">
        <f t="shared" si="128"/>
        <v>52</v>
      </c>
      <c r="I1625" t="str">
        <f t="shared" si="129"/>
        <v>521</v>
      </c>
      <c r="J1625" t="str">
        <f t="shared" si="130"/>
        <v>52125</v>
      </c>
      <c r="K1625" t="str">
        <f t="shared" si="126"/>
        <v>5212500</v>
      </c>
    </row>
    <row r="1626" spans="2:11" x14ac:dyDescent="0.25">
      <c r="C1626" t="s">
        <v>3481</v>
      </c>
      <c r="D1626" t="s">
        <v>1864</v>
      </c>
      <c r="E1626" t="s">
        <v>1864</v>
      </c>
      <c r="F1626" t="s">
        <v>1299</v>
      </c>
      <c r="G1626" t="str">
        <f t="shared" si="127"/>
        <v>H</v>
      </c>
      <c r="H1626" t="str">
        <f t="shared" si="128"/>
        <v>52</v>
      </c>
      <c r="I1626" t="str">
        <f t="shared" si="129"/>
        <v>522</v>
      </c>
      <c r="J1626" t="str">
        <f t="shared" si="130"/>
        <v>52125</v>
      </c>
      <c r="K1626" t="str">
        <f t="shared" si="126"/>
        <v/>
      </c>
    </row>
    <row r="1627" spans="2:11" x14ac:dyDescent="0.25">
      <c r="C1627" t="s">
        <v>1864</v>
      </c>
      <c r="D1627" t="s">
        <v>3482</v>
      </c>
      <c r="E1627" t="s">
        <v>1864</v>
      </c>
      <c r="F1627" t="s">
        <v>1300</v>
      </c>
      <c r="G1627" t="str">
        <f t="shared" si="127"/>
        <v>H</v>
      </c>
      <c r="H1627" t="str">
        <f t="shared" si="128"/>
        <v>52</v>
      </c>
      <c r="I1627" t="str">
        <f t="shared" si="129"/>
        <v>522</v>
      </c>
      <c r="J1627" t="str">
        <f t="shared" si="130"/>
        <v>52214</v>
      </c>
      <c r="K1627" t="str">
        <f t="shared" si="126"/>
        <v/>
      </c>
    </row>
    <row r="1628" spans="2:11" x14ac:dyDescent="0.25">
      <c r="C1628" t="s">
        <v>1864</v>
      </c>
      <c r="D1628" t="s">
        <v>1864</v>
      </c>
      <c r="E1628" t="s">
        <v>3483</v>
      </c>
      <c r="F1628" t="s">
        <v>1300</v>
      </c>
      <c r="G1628" t="str">
        <f t="shared" si="127"/>
        <v>H</v>
      </c>
      <c r="H1628" t="str">
        <f t="shared" si="128"/>
        <v>52</v>
      </c>
      <c r="I1628" t="str">
        <f t="shared" si="129"/>
        <v>522</v>
      </c>
      <c r="J1628" t="str">
        <f t="shared" si="130"/>
        <v>52214</v>
      </c>
      <c r="K1628" t="str">
        <f t="shared" si="126"/>
        <v>5221400</v>
      </c>
    </row>
    <row r="1629" spans="2:11" x14ac:dyDescent="0.25">
      <c r="C1629" t="s">
        <v>1864</v>
      </c>
      <c r="D1629" t="s">
        <v>3484</v>
      </c>
      <c r="E1629" t="s">
        <v>1864</v>
      </c>
      <c r="F1629" t="s">
        <v>1301</v>
      </c>
      <c r="G1629" t="str">
        <f t="shared" si="127"/>
        <v>H</v>
      </c>
      <c r="H1629" t="str">
        <f t="shared" si="128"/>
        <v>52</v>
      </c>
      <c r="I1629" t="str">
        <f t="shared" si="129"/>
        <v>522</v>
      </c>
      <c r="J1629" t="str">
        <f t="shared" si="130"/>
        <v>52222</v>
      </c>
      <c r="K1629" t="str">
        <f t="shared" si="126"/>
        <v/>
      </c>
    </row>
    <row r="1630" spans="2:11" x14ac:dyDescent="0.25">
      <c r="C1630" t="s">
        <v>1864</v>
      </c>
      <c r="D1630" t="s">
        <v>1864</v>
      </c>
      <c r="E1630" t="s">
        <v>3485</v>
      </c>
      <c r="F1630" t="s">
        <v>1301</v>
      </c>
      <c r="G1630" t="str">
        <f t="shared" si="127"/>
        <v>H</v>
      </c>
      <c r="H1630" t="str">
        <f t="shared" si="128"/>
        <v>52</v>
      </c>
      <c r="I1630" t="str">
        <f t="shared" si="129"/>
        <v>522</v>
      </c>
      <c r="J1630" t="str">
        <f t="shared" si="130"/>
        <v>52222</v>
      </c>
      <c r="K1630" t="str">
        <f t="shared" si="126"/>
        <v>5222200</v>
      </c>
    </row>
    <row r="1631" spans="2:11" x14ac:dyDescent="0.25">
      <c r="C1631" t="s">
        <v>1864</v>
      </c>
      <c r="D1631" t="s">
        <v>3486</v>
      </c>
      <c r="E1631" t="s">
        <v>1864</v>
      </c>
      <c r="F1631" t="s">
        <v>1302</v>
      </c>
      <c r="G1631" t="str">
        <f t="shared" si="127"/>
        <v>H</v>
      </c>
      <c r="H1631" t="str">
        <f t="shared" si="128"/>
        <v>52</v>
      </c>
      <c r="I1631" t="str">
        <f t="shared" si="129"/>
        <v>522</v>
      </c>
      <c r="J1631" t="str">
        <f t="shared" si="130"/>
        <v>52231</v>
      </c>
      <c r="K1631" t="str">
        <f t="shared" si="126"/>
        <v/>
      </c>
    </row>
    <row r="1632" spans="2:11" x14ac:dyDescent="0.25">
      <c r="C1632" t="s">
        <v>1864</v>
      </c>
      <c r="D1632" t="s">
        <v>1864</v>
      </c>
      <c r="E1632" t="s">
        <v>3487</v>
      </c>
      <c r="F1632" t="s">
        <v>1302</v>
      </c>
      <c r="G1632" t="str">
        <f t="shared" si="127"/>
        <v>H</v>
      </c>
      <c r="H1632" t="str">
        <f t="shared" si="128"/>
        <v>52</v>
      </c>
      <c r="I1632" t="str">
        <f t="shared" si="129"/>
        <v>522</v>
      </c>
      <c r="J1632" t="str">
        <f t="shared" si="130"/>
        <v>52231</v>
      </c>
      <c r="K1632" t="str">
        <f t="shared" si="126"/>
        <v>5223100</v>
      </c>
    </row>
    <row r="1633" spans="3:11" x14ac:dyDescent="0.25">
      <c r="C1633" t="s">
        <v>1864</v>
      </c>
      <c r="D1633" t="s">
        <v>3488</v>
      </c>
      <c r="E1633" t="s">
        <v>1864</v>
      </c>
      <c r="F1633" t="s">
        <v>1303</v>
      </c>
      <c r="G1633" t="str">
        <f t="shared" si="127"/>
        <v>H</v>
      </c>
      <c r="H1633" t="str">
        <f t="shared" si="128"/>
        <v>52</v>
      </c>
      <c r="I1633" t="str">
        <f t="shared" si="129"/>
        <v>522</v>
      </c>
      <c r="J1633" t="str">
        <f t="shared" si="130"/>
        <v>52290</v>
      </c>
      <c r="K1633" t="str">
        <f t="shared" si="126"/>
        <v/>
      </c>
    </row>
    <row r="1634" spans="3:11" x14ac:dyDescent="0.25">
      <c r="C1634" t="s">
        <v>1864</v>
      </c>
      <c r="D1634" t="s">
        <v>1864</v>
      </c>
      <c r="E1634" t="s">
        <v>3489</v>
      </c>
      <c r="F1634" t="s">
        <v>1304</v>
      </c>
      <c r="G1634" t="str">
        <f t="shared" si="127"/>
        <v>H</v>
      </c>
      <c r="H1634" t="str">
        <f t="shared" si="128"/>
        <v>52</v>
      </c>
      <c r="I1634" t="str">
        <f t="shared" si="129"/>
        <v>522</v>
      </c>
      <c r="J1634" t="str">
        <f t="shared" si="130"/>
        <v>52290</v>
      </c>
      <c r="K1634" t="str">
        <f t="shared" si="126"/>
        <v>5229001</v>
      </c>
    </row>
    <row r="1635" spans="3:11" x14ac:dyDescent="0.25">
      <c r="C1635" t="s">
        <v>1864</v>
      </c>
      <c r="D1635" t="s">
        <v>1864</v>
      </c>
      <c r="E1635" t="s">
        <v>3490</v>
      </c>
      <c r="F1635" t="s">
        <v>1305</v>
      </c>
      <c r="G1635" t="str">
        <f t="shared" si="127"/>
        <v>H</v>
      </c>
      <c r="H1635" t="str">
        <f t="shared" si="128"/>
        <v>52</v>
      </c>
      <c r="I1635" t="str">
        <f t="shared" si="129"/>
        <v>522</v>
      </c>
      <c r="J1635" t="str">
        <f t="shared" si="130"/>
        <v>52290</v>
      </c>
      <c r="K1635" t="str">
        <f t="shared" si="126"/>
        <v>5229002</v>
      </c>
    </row>
    <row r="1636" spans="3:11" x14ac:dyDescent="0.25">
      <c r="C1636" t="s">
        <v>1864</v>
      </c>
      <c r="D1636" t="s">
        <v>1864</v>
      </c>
      <c r="E1636" t="s">
        <v>3491</v>
      </c>
      <c r="F1636" t="s">
        <v>1306</v>
      </c>
      <c r="G1636" t="str">
        <f t="shared" si="127"/>
        <v>H</v>
      </c>
      <c r="H1636" t="str">
        <f t="shared" si="128"/>
        <v>52</v>
      </c>
      <c r="I1636" t="str">
        <f t="shared" si="129"/>
        <v>522</v>
      </c>
      <c r="J1636" t="str">
        <f t="shared" si="130"/>
        <v>52290</v>
      </c>
      <c r="K1636" t="str">
        <f t="shared" si="126"/>
        <v>5229099</v>
      </c>
    </row>
    <row r="1637" spans="3:11" x14ac:dyDescent="0.25">
      <c r="C1637" t="s">
        <v>3492</v>
      </c>
      <c r="D1637" t="s">
        <v>1864</v>
      </c>
      <c r="E1637" t="s">
        <v>1864</v>
      </c>
      <c r="F1637" t="s">
        <v>1307</v>
      </c>
      <c r="G1637" t="str">
        <f t="shared" si="127"/>
        <v>H</v>
      </c>
      <c r="H1637" t="str">
        <f t="shared" si="128"/>
        <v>52</v>
      </c>
      <c r="I1637" t="str">
        <f t="shared" si="129"/>
        <v>523</v>
      </c>
      <c r="J1637" t="str">
        <f t="shared" si="130"/>
        <v>52290</v>
      </c>
      <c r="K1637" t="str">
        <f t="shared" si="126"/>
        <v/>
      </c>
    </row>
    <row r="1638" spans="3:11" x14ac:dyDescent="0.25">
      <c r="C1638" t="s">
        <v>1864</v>
      </c>
      <c r="D1638" t="s">
        <v>3493</v>
      </c>
      <c r="E1638" t="s">
        <v>1864</v>
      </c>
      <c r="F1638" t="s">
        <v>1308</v>
      </c>
      <c r="G1638" t="str">
        <f t="shared" si="127"/>
        <v>H</v>
      </c>
      <c r="H1638" t="str">
        <f t="shared" si="128"/>
        <v>52</v>
      </c>
      <c r="I1638" t="str">
        <f t="shared" si="129"/>
        <v>523</v>
      </c>
      <c r="J1638" t="str">
        <f t="shared" si="130"/>
        <v>52311</v>
      </c>
      <c r="K1638" t="str">
        <f t="shared" si="126"/>
        <v/>
      </c>
    </row>
    <row r="1639" spans="3:11" x14ac:dyDescent="0.25">
      <c r="C1639" t="s">
        <v>1864</v>
      </c>
      <c r="D1639" t="s">
        <v>1864</v>
      </c>
      <c r="E1639" t="s">
        <v>3494</v>
      </c>
      <c r="F1639" t="s">
        <v>1309</v>
      </c>
      <c r="G1639" t="str">
        <f t="shared" si="127"/>
        <v>H</v>
      </c>
      <c r="H1639" t="str">
        <f t="shared" si="128"/>
        <v>52</v>
      </c>
      <c r="I1639" t="str">
        <f t="shared" si="129"/>
        <v>523</v>
      </c>
      <c r="J1639" t="str">
        <f t="shared" si="130"/>
        <v>52311</v>
      </c>
      <c r="K1639" t="str">
        <f t="shared" si="126"/>
        <v>5231101</v>
      </c>
    </row>
    <row r="1640" spans="3:11" x14ac:dyDescent="0.25">
      <c r="C1640" t="s">
        <v>1864</v>
      </c>
      <c r="D1640" t="s">
        <v>1864</v>
      </c>
      <c r="E1640" t="s">
        <v>3495</v>
      </c>
      <c r="F1640" t="s">
        <v>1310</v>
      </c>
      <c r="G1640" t="str">
        <f t="shared" si="127"/>
        <v>H</v>
      </c>
      <c r="H1640" t="str">
        <f t="shared" si="128"/>
        <v>52</v>
      </c>
      <c r="I1640" t="str">
        <f t="shared" si="129"/>
        <v>523</v>
      </c>
      <c r="J1640" t="str">
        <f t="shared" si="130"/>
        <v>52311</v>
      </c>
      <c r="K1640" t="str">
        <f t="shared" si="126"/>
        <v>5231102</v>
      </c>
    </row>
    <row r="1641" spans="3:11" x14ac:dyDescent="0.25">
      <c r="C1641" t="s">
        <v>1864</v>
      </c>
      <c r="D1641" t="s">
        <v>1864</v>
      </c>
      <c r="E1641" t="s">
        <v>3496</v>
      </c>
      <c r="F1641" t="s">
        <v>1311</v>
      </c>
      <c r="G1641" t="str">
        <f t="shared" si="127"/>
        <v>H</v>
      </c>
      <c r="H1641" t="str">
        <f t="shared" si="128"/>
        <v>52</v>
      </c>
      <c r="I1641" t="str">
        <f t="shared" si="129"/>
        <v>523</v>
      </c>
      <c r="J1641" t="str">
        <f t="shared" si="130"/>
        <v>52311</v>
      </c>
      <c r="K1641" t="str">
        <f t="shared" si="126"/>
        <v>5231103</v>
      </c>
    </row>
    <row r="1642" spans="3:11" x14ac:dyDescent="0.25">
      <c r="C1642" t="s">
        <v>1864</v>
      </c>
      <c r="D1642" t="s">
        <v>3497</v>
      </c>
      <c r="E1642" t="s">
        <v>1864</v>
      </c>
      <c r="F1642" t="s">
        <v>1312</v>
      </c>
      <c r="G1642" t="str">
        <f t="shared" si="127"/>
        <v>H</v>
      </c>
      <c r="H1642" t="str">
        <f t="shared" si="128"/>
        <v>52</v>
      </c>
      <c r="I1642" t="str">
        <f t="shared" si="129"/>
        <v>523</v>
      </c>
      <c r="J1642" t="str">
        <f t="shared" si="130"/>
        <v>52320</v>
      </c>
      <c r="K1642" t="str">
        <f t="shared" si="126"/>
        <v/>
      </c>
    </row>
    <row r="1643" spans="3:11" x14ac:dyDescent="0.25">
      <c r="C1643" t="s">
        <v>1864</v>
      </c>
      <c r="D1643" t="s">
        <v>1864</v>
      </c>
      <c r="E1643" t="s">
        <v>3498</v>
      </c>
      <c r="F1643" t="s">
        <v>1312</v>
      </c>
      <c r="G1643" t="str">
        <f t="shared" si="127"/>
        <v>H</v>
      </c>
      <c r="H1643" t="str">
        <f t="shared" si="128"/>
        <v>52</v>
      </c>
      <c r="I1643" t="str">
        <f t="shared" si="129"/>
        <v>523</v>
      </c>
      <c r="J1643" t="str">
        <f t="shared" si="130"/>
        <v>52320</v>
      </c>
      <c r="K1643" t="str">
        <f t="shared" si="126"/>
        <v>5232000</v>
      </c>
    </row>
    <row r="1644" spans="3:11" x14ac:dyDescent="0.25">
      <c r="C1644" t="s">
        <v>1864</v>
      </c>
      <c r="D1644" t="s">
        <v>3499</v>
      </c>
      <c r="E1644" t="s">
        <v>1864</v>
      </c>
      <c r="F1644" t="s">
        <v>1313</v>
      </c>
      <c r="G1644" t="str">
        <f t="shared" si="127"/>
        <v>H</v>
      </c>
      <c r="H1644" t="str">
        <f t="shared" si="128"/>
        <v>52</v>
      </c>
      <c r="I1644" t="str">
        <f t="shared" si="129"/>
        <v>523</v>
      </c>
      <c r="J1644" t="str">
        <f t="shared" si="130"/>
        <v>52397</v>
      </c>
      <c r="K1644" t="str">
        <f t="shared" si="126"/>
        <v/>
      </c>
    </row>
    <row r="1645" spans="3:11" x14ac:dyDescent="0.25">
      <c r="C1645" t="s">
        <v>1864</v>
      </c>
      <c r="D1645" t="s">
        <v>1864</v>
      </c>
      <c r="E1645" t="s">
        <v>3500</v>
      </c>
      <c r="F1645" t="s">
        <v>1314</v>
      </c>
      <c r="G1645" t="str">
        <f t="shared" si="127"/>
        <v>H</v>
      </c>
      <c r="H1645" t="str">
        <f t="shared" si="128"/>
        <v>52</v>
      </c>
      <c r="I1645" t="str">
        <f t="shared" si="129"/>
        <v>523</v>
      </c>
      <c r="J1645" t="str">
        <f t="shared" si="130"/>
        <v>52397</v>
      </c>
      <c r="K1645" t="str">
        <f t="shared" si="126"/>
        <v>5239701</v>
      </c>
    </row>
    <row r="1646" spans="3:11" x14ac:dyDescent="0.25">
      <c r="C1646" t="s">
        <v>1864</v>
      </c>
      <c r="D1646" t="s">
        <v>1864</v>
      </c>
      <c r="E1646" t="s">
        <v>3501</v>
      </c>
      <c r="F1646" t="s">
        <v>1313</v>
      </c>
      <c r="G1646" t="str">
        <f t="shared" si="127"/>
        <v>H</v>
      </c>
      <c r="H1646" t="str">
        <f t="shared" si="128"/>
        <v>52</v>
      </c>
      <c r="I1646" t="str">
        <f t="shared" si="129"/>
        <v>523</v>
      </c>
      <c r="J1646" t="str">
        <f t="shared" si="130"/>
        <v>52397</v>
      </c>
      <c r="K1646" t="str">
        <f t="shared" si="126"/>
        <v>5239799</v>
      </c>
    </row>
    <row r="1647" spans="3:11" x14ac:dyDescent="0.25">
      <c r="C1647" t="s">
        <v>3502</v>
      </c>
      <c r="D1647" t="s">
        <v>1864</v>
      </c>
      <c r="E1647" t="s">
        <v>1864</v>
      </c>
      <c r="F1647" t="s">
        <v>1315</v>
      </c>
      <c r="G1647" t="str">
        <f t="shared" si="127"/>
        <v>H</v>
      </c>
      <c r="H1647" t="str">
        <f t="shared" si="128"/>
        <v>52</v>
      </c>
      <c r="I1647" t="str">
        <f t="shared" si="129"/>
        <v>524</v>
      </c>
      <c r="J1647" t="str">
        <f t="shared" si="130"/>
        <v>52397</v>
      </c>
      <c r="K1647" t="str">
        <f t="shared" si="126"/>
        <v/>
      </c>
    </row>
    <row r="1648" spans="3:11" x14ac:dyDescent="0.25">
      <c r="C1648" t="s">
        <v>1864</v>
      </c>
      <c r="D1648" t="s">
        <v>3503</v>
      </c>
      <c r="E1648" t="s">
        <v>1864</v>
      </c>
      <c r="F1648" t="s">
        <v>1315</v>
      </c>
      <c r="G1648" t="str">
        <f t="shared" si="127"/>
        <v>H</v>
      </c>
      <c r="H1648" t="str">
        <f t="shared" si="128"/>
        <v>52</v>
      </c>
      <c r="I1648" t="str">
        <f t="shared" si="129"/>
        <v>524</v>
      </c>
      <c r="J1648" t="str">
        <f t="shared" si="130"/>
        <v>52401</v>
      </c>
      <c r="K1648" t="str">
        <f t="shared" si="126"/>
        <v/>
      </c>
    </row>
    <row r="1649" spans="2:11" x14ac:dyDescent="0.25">
      <c r="C1649" t="s">
        <v>1864</v>
      </c>
      <c r="D1649" t="s">
        <v>1864</v>
      </c>
      <c r="E1649" t="s">
        <v>3504</v>
      </c>
      <c r="F1649" t="s">
        <v>1316</v>
      </c>
      <c r="G1649" t="str">
        <f t="shared" si="127"/>
        <v>H</v>
      </c>
      <c r="H1649" t="str">
        <f t="shared" si="128"/>
        <v>52</v>
      </c>
      <c r="I1649" t="str">
        <f t="shared" si="129"/>
        <v>524</v>
      </c>
      <c r="J1649" t="str">
        <f t="shared" si="130"/>
        <v>52401</v>
      </c>
      <c r="K1649" t="str">
        <f t="shared" si="126"/>
        <v>5240101</v>
      </c>
    </row>
    <row r="1650" spans="2:11" x14ac:dyDescent="0.25">
      <c r="C1650" t="s">
        <v>1864</v>
      </c>
      <c r="D1650" t="s">
        <v>1864</v>
      </c>
      <c r="E1650" t="s">
        <v>3505</v>
      </c>
      <c r="F1650" t="s">
        <v>1317</v>
      </c>
      <c r="G1650" t="str">
        <f t="shared" si="127"/>
        <v>H</v>
      </c>
      <c r="H1650" t="str">
        <f t="shared" si="128"/>
        <v>52</v>
      </c>
      <c r="I1650" t="str">
        <f t="shared" si="129"/>
        <v>524</v>
      </c>
      <c r="J1650" t="str">
        <f t="shared" si="130"/>
        <v>52401</v>
      </c>
      <c r="K1650" t="str">
        <f t="shared" si="126"/>
        <v>5240199</v>
      </c>
    </row>
    <row r="1651" spans="2:11" x14ac:dyDescent="0.25">
      <c r="C1651" t="s">
        <v>3506</v>
      </c>
      <c r="D1651" t="s">
        <v>1864</v>
      </c>
      <c r="E1651" t="s">
        <v>1864</v>
      </c>
      <c r="F1651" t="s">
        <v>1318</v>
      </c>
      <c r="G1651" t="str">
        <f t="shared" si="127"/>
        <v>H</v>
      </c>
      <c r="H1651" t="str">
        <f t="shared" si="128"/>
        <v>52</v>
      </c>
      <c r="I1651" t="str">
        <f t="shared" si="129"/>
        <v>525</v>
      </c>
      <c r="J1651" t="str">
        <f t="shared" si="130"/>
        <v>52401</v>
      </c>
      <c r="K1651" t="str">
        <f t="shared" si="126"/>
        <v/>
      </c>
    </row>
    <row r="1652" spans="2:11" x14ac:dyDescent="0.25">
      <c r="C1652" t="s">
        <v>1864</v>
      </c>
      <c r="D1652" t="s">
        <v>3507</v>
      </c>
      <c r="E1652" t="s">
        <v>1864</v>
      </c>
      <c r="F1652" t="s">
        <v>1318</v>
      </c>
      <c r="G1652" t="str">
        <f t="shared" si="127"/>
        <v>H</v>
      </c>
      <c r="H1652" t="str">
        <f t="shared" si="128"/>
        <v>52</v>
      </c>
      <c r="I1652" t="str">
        <f t="shared" si="129"/>
        <v>525</v>
      </c>
      <c r="J1652" t="str">
        <f t="shared" si="130"/>
        <v>52508</v>
      </c>
      <c r="K1652" t="str">
        <f t="shared" si="126"/>
        <v/>
      </c>
    </row>
    <row r="1653" spans="2:11" x14ac:dyDescent="0.25">
      <c r="C1653" t="s">
        <v>1864</v>
      </c>
      <c r="D1653" t="s">
        <v>1864</v>
      </c>
      <c r="E1653" t="s">
        <v>3508</v>
      </c>
      <c r="F1653" t="s">
        <v>1319</v>
      </c>
      <c r="G1653" t="str">
        <f t="shared" si="127"/>
        <v>H</v>
      </c>
      <c r="H1653" t="str">
        <f t="shared" si="128"/>
        <v>52</v>
      </c>
      <c r="I1653" t="str">
        <f t="shared" si="129"/>
        <v>525</v>
      </c>
      <c r="J1653" t="str">
        <f t="shared" si="130"/>
        <v>52508</v>
      </c>
      <c r="K1653" t="str">
        <f t="shared" si="126"/>
        <v>5250801</v>
      </c>
    </row>
    <row r="1654" spans="2:11" x14ac:dyDescent="0.25">
      <c r="C1654" t="s">
        <v>1864</v>
      </c>
      <c r="D1654" t="s">
        <v>1864</v>
      </c>
      <c r="E1654" t="s">
        <v>3509</v>
      </c>
      <c r="F1654" t="s">
        <v>1320</v>
      </c>
      <c r="G1654" t="str">
        <f t="shared" si="127"/>
        <v>H</v>
      </c>
      <c r="H1654" t="str">
        <f t="shared" si="128"/>
        <v>52</v>
      </c>
      <c r="I1654" t="str">
        <f t="shared" si="129"/>
        <v>525</v>
      </c>
      <c r="J1654" t="str">
        <f t="shared" si="130"/>
        <v>52508</v>
      </c>
      <c r="K1654" t="str">
        <f t="shared" si="126"/>
        <v>5250802</v>
      </c>
    </row>
    <row r="1655" spans="2:11" x14ac:dyDescent="0.25">
      <c r="C1655" t="s">
        <v>1864</v>
      </c>
      <c r="D1655" t="s">
        <v>1864</v>
      </c>
      <c r="E1655" t="s">
        <v>3510</v>
      </c>
      <c r="F1655" t="s">
        <v>1321</v>
      </c>
      <c r="G1655" t="str">
        <f t="shared" si="127"/>
        <v>H</v>
      </c>
      <c r="H1655" t="str">
        <f t="shared" si="128"/>
        <v>52</v>
      </c>
      <c r="I1655" t="str">
        <f t="shared" si="129"/>
        <v>525</v>
      </c>
      <c r="J1655" t="str">
        <f t="shared" si="130"/>
        <v>52508</v>
      </c>
      <c r="K1655" t="str">
        <f t="shared" si="126"/>
        <v>5250803</v>
      </c>
    </row>
    <row r="1656" spans="2:11" x14ac:dyDescent="0.25">
      <c r="C1656" t="s">
        <v>1864</v>
      </c>
      <c r="D1656" t="s">
        <v>1864</v>
      </c>
      <c r="E1656" t="s">
        <v>3511</v>
      </c>
      <c r="F1656" t="s">
        <v>1322</v>
      </c>
      <c r="G1656" t="str">
        <f t="shared" si="127"/>
        <v>H</v>
      </c>
      <c r="H1656" t="str">
        <f t="shared" si="128"/>
        <v>52</v>
      </c>
      <c r="I1656" t="str">
        <f t="shared" si="129"/>
        <v>525</v>
      </c>
      <c r="J1656" t="str">
        <f t="shared" si="130"/>
        <v>52508</v>
      </c>
      <c r="K1656" t="str">
        <f t="shared" si="126"/>
        <v>5250804</v>
      </c>
    </row>
    <row r="1657" spans="2:11" x14ac:dyDescent="0.25">
      <c r="C1657" t="s">
        <v>1864</v>
      </c>
      <c r="D1657" t="s">
        <v>1864</v>
      </c>
      <c r="E1657" t="s">
        <v>3512</v>
      </c>
      <c r="F1657" t="s">
        <v>1323</v>
      </c>
      <c r="G1657" t="str">
        <f t="shared" si="127"/>
        <v>H</v>
      </c>
      <c r="H1657" t="str">
        <f t="shared" si="128"/>
        <v>52</v>
      </c>
      <c r="I1657" t="str">
        <f t="shared" si="129"/>
        <v>525</v>
      </c>
      <c r="J1657" t="str">
        <f t="shared" si="130"/>
        <v>52508</v>
      </c>
      <c r="K1657" t="str">
        <f t="shared" si="126"/>
        <v>5250805</v>
      </c>
    </row>
    <row r="1658" spans="2:11" x14ac:dyDescent="0.25">
      <c r="B1658" t="s">
        <v>3513</v>
      </c>
      <c r="C1658" t="s">
        <v>1864</v>
      </c>
      <c r="D1658" t="s">
        <v>1864</v>
      </c>
      <c r="E1658" t="s">
        <v>1864</v>
      </c>
      <c r="F1658" t="s">
        <v>1324</v>
      </c>
      <c r="G1658" t="str">
        <f t="shared" si="127"/>
        <v>H</v>
      </c>
      <c r="H1658" t="str">
        <f t="shared" si="128"/>
        <v>53</v>
      </c>
      <c r="I1658" t="str">
        <f t="shared" si="129"/>
        <v>525</v>
      </c>
      <c r="J1658" t="str">
        <f t="shared" si="130"/>
        <v>52508</v>
      </c>
      <c r="K1658" t="str">
        <f t="shared" si="126"/>
        <v/>
      </c>
    </row>
    <row r="1659" spans="2:11" x14ac:dyDescent="0.25">
      <c r="C1659" t="s">
        <v>3514</v>
      </c>
      <c r="D1659" t="s">
        <v>1864</v>
      </c>
      <c r="E1659" t="s">
        <v>1864</v>
      </c>
      <c r="F1659" t="s">
        <v>1325</v>
      </c>
      <c r="G1659" t="str">
        <f t="shared" si="127"/>
        <v>H</v>
      </c>
      <c r="H1659" t="str">
        <f t="shared" si="128"/>
        <v>53</v>
      </c>
      <c r="I1659" t="str">
        <f t="shared" si="129"/>
        <v>531</v>
      </c>
      <c r="J1659" t="str">
        <f t="shared" si="130"/>
        <v>52508</v>
      </c>
      <c r="K1659" t="str">
        <f t="shared" si="126"/>
        <v/>
      </c>
    </row>
    <row r="1660" spans="2:11" x14ac:dyDescent="0.25">
      <c r="C1660" t="s">
        <v>1864</v>
      </c>
      <c r="D1660" t="s">
        <v>3515</v>
      </c>
      <c r="E1660" t="s">
        <v>1864</v>
      </c>
      <c r="F1660" t="s">
        <v>1325</v>
      </c>
      <c r="G1660" t="str">
        <f t="shared" si="127"/>
        <v>H</v>
      </c>
      <c r="H1660" t="str">
        <f t="shared" si="128"/>
        <v>53</v>
      </c>
      <c r="I1660" t="str">
        <f t="shared" si="129"/>
        <v>531</v>
      </c>
      <c r="J1660" t="str">
        <f t="shared" si="130"/>
        <v>53105</v>
      </c>
      <c r="K1660" t="str">
        <f t="shared" si="126"/>
        <v/>
      </c>
    </row>
    <row r="1661" spans="2:11" x14ac:dyDescent="0.25">
      <c r="C1661" t="s">
        <v>1864</v>
      </c>
      <c r="D1661" t="s">
        <v>1864</v>
      </c>
      <c r="E1661" t="s">
        <v>3516</v>
      </c>
      <c r="F1661" t="s">
        <v>1326</v>
      </c>
      <c r="G1661" t="str">
        <f t="shared" si="127"/>
        <v>H</v>
      </c>
      <c r="H1661" t="str">
        <f t="shared" si="128"/>
        <v>53</v>
      </c>
      <c r="I1661" t="str">
        <f t="shared" si="129"/>
        <v>531</v>
      </c>
      <c r="J1661" t="str">
        <f t="shared" si="130"/>
        <v>53105</v>
      </c>
      <c r="K1661" t="str">
        <f t="shared" si="126"/>
        <v>5310501</v>
      </c>
    </row>
    <row r="1662" spans="2:11" x14ac:dyDescent="0.25">
      <c r="C1662" t="s">
        <v>1864</v>
      </c>
      <c r="D1662" t="s">
        <v>1864</v>
      </c>
      <c r="E1662" t="s">
        <v>3517</v>
      </c>
      <c r="F1662" t="s">
        <v>1327</v>
      </c>
      <c r="G1662" t="str">
        <f t="shared" si="127"/>
        <v>H</v>
      </c>
      <c r="H1662" t="str">
        <f t="shared" si="128"/>
        <v>53</v>
      </c>
      <c r="I1662" t="str">
        <f t="shared" si="129"/>
        <v>531</v>
      </c>
      <c r="J1662" t="str">
        <f t="shared" si="130"/>
        <v>53105</v>
      </c>
      <c r="K1662" t="str">
        <f t="shared" si="126"/>
        <v>5310502</v>
      </c>
    </row>
    <row r="1663" spans="2:11" x14ac:dyDescent="0.25">
      <c r="C1663" t="s">
        <v>3518</v>
      </c>
      <c r="D1663" t="s">
        <v>1864</v>
      </c>
      <c r="E1663" t="s">
        <v>1864</v>
      </c>
      <c r="F1663" t="s">
        <v>1328</v>
      </c>
      <c r="G1663" t="str">
        <f t="shared" si="127"/>
        <v>H</v>
      </c>
      <c r="H1663" t="str">
        <f t="shared" si="128"/>
        <v>53</v>
      </c>
      <c r="I1663" t="str">
        <f t="shared" si="129"/>
        <v>532</v>
      </c>
      <c r="J1663" t="str">
        <f t="shared" si="130"/>
        <v>53105</v>
      </c>
      <c r="K1663" t="str">
        <f t="shared" si="126"/>
        <v/>
      </c>
    </row>
    <row r="1664" spans="2:11" x14ac:dyDescent="0.25">
      <c r="C1664" t="s">
        <v>1864</v>
      </c>
      <c r="D1664" t="s">
        <v>3519</v>
      </c>
      <c r="E1664" t="s">
        <v>1864</v>
      </c>
      <c r="F1664" t="s">
        <v>1328</v>
      </c>
      <c r="G1664" t="str">
        <f t="shared" si="127"/>
        <v>H</v>
      </c>
      <c r="H1664" t="str">
        <f t="shared" si="128"/>
        <v>53</v>
      </c>
      <c r="I1664" t="str">
        <f t="shared" si="129"/>
        <v>532</v>
      </c>
      <c r="J1664" t="str">
        <f t="shared" si="130"/>
        <v>53202</v>
      </c>
      <c r="K1664" t="str">
        <f t="shared" si="126"/>
        <v/>
      </c>
    </row>
    <row r="1665" spans="1:11" x14ac:dyDescent="0.25">
      <c r="C1665" t="s">
        <v>1864</v>
      </c>
      <c r="D1665" t="s">
        <v>1864</v>
      </c>
      <c r="E1665" t="s">
        <v>3520</v>
      </c>
      <c r="F1665" t="s">
        <v>1329</v>
      </c>
      <c r="G1665" t="str">
        <f t="shared" si="127"/>
        <v>H</v>
      </c>
      <c r="H1665" t="str">
        <f t="shared" si="128"/>
        <v>53</v>
      </c>
      <c r="I1665" t="str">
        <f t="shared" si="129"/>
        <v>532</v>
      </c>
      <c r="J1665" t="str">
        <f t="shared" si="130"/>
        <v>53202</v>
      </c>
      <c r="K1665" t="str">
        <f t="shared" si="126"/>
        <v>5320201</v>
      </c>
    </row>
    <row r="1666" spans="1:11" x14ac:dyDescent="0.25">
      <c r="C1666" t="s">
        <v>1864</v>
      </c>
      <c r="D1666" t="s">
        <v>1864</v>
      </c>
      <c r="E1666" t="s">
        <v>3521</v>
      </c>
      <c r="F1666" t="s">
        <v>1330</v>
      </c>
      <c r="G1666" t="str">
        <f t="shared" si="127"/>
        <v>H</v>
      </c>
      <c r="H1666" t="str">
        <f t="shared" si="128"/>
        <v>53</v>
      </c>
      <c r="I1666" t="str">
        <f t="shared" si="129"/>
        <v>532</v>
      </c>
      <c r="J1666" t="str">
        <f t="shared" si="130"/>
        <v>53202</v>
      </c>
      <c r="K1666" t="str">
        <f t="shared" si="126"/>
        <v>5320202</v>
      </c>
    </row>
    <row r="1667" spans="1:11" x14ac:dyDescent="0.25">
      <c r="A1667" t="s">
        <v>3522</v>
      </c>
      <c r="C1667" t="s">
        <v>1864</v>
      </c>
      <c r="D1667" t="s">
        <v>1864</v>
      </c>
      <c r="E1667" t="s">
        <v>1864</v>
      </c>
      <c r="F1667" t="s">
        <v>1331</v>
      </c>
      <c r="G1667" t="str">
        <f t="shared" si="127"/>
        <v>I</v>
      </c>
      <c r="H1667" t="str">
        <f t="shared" si="128"/>
        <v>53</v>
      </c>
      <c r="I1667" t="str">
        <f t="shared" si="129"/>
        <v>532</v>
      </c>
      <c r="J1667" t="str">
        <f t="shared" si="130"/>
        <v>53202</v>
      </c>
      <c r="K1667" t="str">
        <f t="shared" si="126"/>
        <v/>
      </c>
    </row>
    <row r="1668" spans="1:11" x14ac:dyDescent="0.25">
      <c r="B1668" t="s">
        <v>3523</v>
      </c>
      <c r="C1668" t="s">
        <v>1864</v>
      </c>
      <c r="D1668" t="s">
        <v>1864</v>
      </c>
      <c r="E1668" t="s">
        <v>1864</v>
      </c>
      <c r="F1668" t="s">
        <v>1332</v>
      </c>
      <c r="G1668" t="str">
        <f t="shared" si="127"/>
        <v>I</v>
      </c>
      <c r="H1668" t="str">
        <f t="shared" si="128"/>
        <v>55</v>
      </c>
      <c r="I1668" t="str">
        <f t="shared" si="129"/>
        <v>532</v>
      </c>
      <c r="J1668" t="str">
        <f t="shared" si="130"/>
        <v>53202</v>
      </c>
      <c r="K1668" t="str">
        <f t="shared" si="126"/>
        <v/>
      </c>
    </row>
    <row r="1669" spans="1:11" x14ac:dyDescent="0.25">
      <c r="C1669" t="s">
        <v>3524</v>
      </c>
      <c r="D1669" t="s">
        <v>1864</v>
      </c>
      <c r="E1669" t="s">
        <v>1864</v>
      </c>
      <c r="F1669" t="s">
        <v>1333</v>
      </c>
      <c r="G1669" t="str">
        <f t="shared" si="127"/>
        <v>I</v>
      </c>
      <c r="H1669" t="str">
        <f t="shared" si="128"/>
        <v>55</v>
      </c>
      <c r="I1669" t="str">
        <f t="shared" si="129"/>
        <v>551</v>
      </c>
      <c r="J1669" t="str">
        <f t="shared" si="130"/>
        <v>53202</v>
      </c>
      <c r="K1669" t="str">
        <f t="shared" si="126"/>
        <v/>
      </c>
    </row>
    <row r="1670" spans="1:11" x14ac:dyDescent="0.25">
      <c r="C1670" t="s">
        <v>1864</v>
      </c>
      <c r="D1670" t="s">
        <v>3525</v>
      </c>
      <c r="E1670" t="s">
        <v>1864</v>
      </c>
      <c r="F1670" t="s">
        <v>1333</v>
      </c>
      <c r="G1670" t="str">
        <f t="shared" si="127"/>
        <v>I</v>
      </c>
      <c r="H1670" t="str">
        <f t="shared" si="128"/>
        <v>55</v>
      </c>
      <c r="I1670" t="str">
        <f t="shared" si="129"/>
        <v>551</v>
      </c>
      <c r="J1670" t="str">
        <f t="shared" si="130"/>
        <v>55108</v>
      </c>
      <c r="K1670" t="str">
        <f t="shared" si="126"/>
        <v/>
      </c>
    </row>
    <row r="1671" spans="1:11" x14ac:dyDescent="0.25">
      <c r="C1671" t="s">
        <v>1864</v>
      </c>
      <c r="D1671" t="s">
        <v>1864</v>
      </c>
      <c r="E1671" t="s">
        <v>3526</v>
      </c>
      <c r="F1671" t="s">
        <v>1334</v>
      </c>
      <c r="G1671" t="str">
        <f t="shared" si="127"/>
        <v>I</v>
      </c>
      <c r="H1671" t="str">
        <f t="shared" si="128"/>
        <v>55</v>
      </c>
      <c r="I1671" t="str">
        <f t="shared" si="129"/>
        <v>551</v>
      </c>
      <c r="J1671" t="str">
        <f t="shared" si="130"/>
        <v>55108</v>
      </c>
      <c r="K1671" t="str">
        <f t="shared" si="126"/>
        <v>5510801</v>
      </c>
    </row>
    <row r="1672" spans="1:11" x14ac:dyDescent="0.25">
      <c r="C1672" t="s">
        <v>1864</v>
      </c>
      <c r="D1672" t="s">
        <v>1864</v>
      </c>
      <c r="E1672" t="s">
        <v>3527</v>
      </c>
      <c r="F1672" t="s">
        <v>1335</v>
      </c>
      <c r="G1672" t="str">
        <f t="shared" si="127"/>
        <v>I</v>
      </c>
      <c r="H1672" t="str">
        <f t="shared" si="128"/>
        <v>55</v>
      </c>
      <c r="I1672" t="str">
        <f t="shared" si="129"/>
        <v>551</v>
      </c>
      <c r="J1672" t="str">
        <f t="shared" si="130"/>
        <v>55108</v>
      </c>
      <c r="K1672" t="str">
        <f t="shared" ref="K1672:K1735" si="131">E1672</f>
        <v>5510802</v>
      </c>
    </row>
    <row r="1673" spans="1:11" x14ac:dyDescent="0.25">
      <c r="C1673" t="s">
        <v>1864</v>
      </c>
      <c r="D1673" t="s">
        <v>1864</v>
      </c>
      <c r="E1673" t="s">
        <v>3528</v>
      </c>
      <c r="F1673" t="s">
        <v>1336</v>
      </c>
      <c r="G1673" t="str">
        <f t="shared" ref="G1673:G1736" si="132">IF(A1673="",G1672,A1673)</f>
        <v>I</v>
      </c>
      <c r="H1673" t="str">
        <f t="shared" ref="H1673:H1736" si="133">IF(B1673="",H1672,B1673)</f>
        <v>55</v>
      </c>
      <c r="I1673" t="str">
        <f t="shared" ref="I1673:I1736" si="134">IF(C1673="",I1672,C1673)</f>
        <v>551</v>
      </c>
      <c r="J1673" t="str">
        <f t="shared" ref="J1673:J1736" si="135">IF(D1673="",J1672,D1673)</f>
        <v>55108</v>
      </c>
      <c r="K1673" t="str">
        <f t="shared" si="131"/>
        <v>5510803</v>
      </c>
    </row>
    <row r="1674" spans="1:11" x14ac:dyDescent="0.25">
      <c r="C1674" t="s">
        <v>3529</v>
      </c>
      <c r="D1674" t="s">
        <v>1864</v>
      </c>
      <c r="E1674" t="s">
        <v>1864</v>
      </c>
      <c r="F1674" t="s">
        <v>1337</v>
      </c>
      <c r="G1674" t="str">
        <f t="shared" si="132"/>
        <v>I</v>
      </c>
      <c r="H1674" t="str">
        <f t="shared" si="133"/>
        <v>55</v>
      </c>
      <c r="I1674" t="str">
        <f t="shared" si="134"/>
        <v>559</v>
      </c>
      <c r="J1674" t="str">
        <f t="shared" si="135"/>
        <v>55108</v>
      </c>
      <c r="K1674" t="str">
        <f t="shared" si="131"/>
        <v/>
      </c>
    </row>
    <row r="1675" spans="1:11" x14ac:dyDescent="0.25">
      <c r="C1675" t="s">
        <v>1864</v>
      </c>
      <c r="D1675" t="s">
        <v>3530</v>
      </c>
      <c r="E1675" t="s">
        <v>1864</v>
      </c>
      <c r="F1675" t="s">
        <v>1337</v>
      </c>
      <c r="G1675" t="str">
        <f t="shared" si="132"/>
        <v>I</v>
      </c>
      <c r="H1675" t="str">
        <f t="shared" si="133"/>
        <v>55</v>
      </c>
      <c r="I1675" t="str">
        <f t="shared" si="134"/>
        <v>559</v>
      </c>
      <c r="J1675" t="str">
        <f t="shared" si="135"/>
        <v>55906</v>
      </c>
      <c r="K1675" t="str">
        <f t="shared" si="131"/>
        <v/>
      </c>
    </row>
    <row r="1676" spans="1:11" x14ac:dyDescent="0.25">
      <c r="C1676" t="s">
        <v>1864</v>
      </c>
      <c r="D1676" t="s">
        <v>1864</v>
      </c>
      <c r="E1676" t="s">
        <v>3531</v>
      </c>
      <c r="F1676" t="s">
        <v>1338</v>
      </c>
      <c r="G1676" t="str">
        <f t="shared" si="132"/>
        <v>I</v>
      </c>
      <c r="H1676" t="str">
        <f t="shared" si="133"/>
        <v>55</v>
      </c>
      <c r="I1676" t="str">
        <f t="shared" si="134"/>
        <v>559</v>
      </c>
      <c r="J1676" t="str">
        <f t="shared" si="135"/>
        <v>55906</v>
      </c>
      <c r="K1676" t="str">
        <f t="shared" si="131"/>
        <v>5590601</v>
      </c>
    </row>
    <row r="1677" spans="1:11" x14ac:dyDescent="0.25">
      <c r="C1677" t="s">
        <v>1864</v>
      </c>
      <c r="D1677" t="s">
        <v>1864</v>
      </c>
      <c r="E1677" t="s">
        <v>3532</v>
      </c>
      <c r="F1677" t="s">
        <v>1339</v>
      </c>
      <c r="G1677" t="str">
        <f t="shared" si="132"/>
        <v>I</v>
      </c>
      <c r="H1677" t="str">
        <f t="shared" si="133"/>
        <v>55</v>
      </c>
      <c r="I1677" t="str">
        <f t="shared" si="134"/>
        <v>559</v>
      </c>
      <c r="J1677" t="str">
        <f t="shared" si="135"/>
        <v>55906</v>
      </c>
      <c r="K1677" t="str">
        <f t="shared" si="131"/>
        <v>5590602</v>
      </c>
    </row>
    <row r="1678" spans="1:11" x14ac:dyDescent="0.25">
      <c r="C1678" t="s">
        <v>1864</v>
      </c>
      <c r="D1678" t="s">
        <v>1864</v>
      </c>
      <c r="E1678" t="s">
        <v>3533</v>
      </c>
      <c r="F1678" t="s">
        <v>1340</v>
      </c>
      <c r="G1678" t="str">
        <f t="shared" si="132"/>
        <v>I</v>
      </c>
      <c r="H1678" t="str">
        <f t="shared" si="133"/>
        <v>55</v>
      </c>
      <c r="I1678" t="str">
        <f t="shared" si="134"/>
        <v>559</v>
      </c>
      <c r="J1678" t="str">
        <f t="shared" si="135"/>
        <v>55906</v>
      </c>
      <c r="K1678" t="str">
        <f t="shared" si="131"/>
        <v>5590603</v>
      </c>
    </row>
    <row r="1679" spans="1:11" x14ac:dyDescent="0.25">
      <c r="C1679" t="s">
        <v>1864</v>
      </c>
      <c r="D1679" t="s">
        <v>1864</v>
      </c>
      <c r="E1679" t="s">
        <v>3534</v>
      </c>
      <c r="F1679" t="s">
        <v>1341</v>
      </c>
      <c r="G1679" t="str">
        <f t="shared" si="132"/>
        <v>I</v>
      </c>
      <c r="H1679" t="str">
        <f t="shared" si="133"/>
        <v>55</v>
      </c>
      <c r="I1679" t="str">
        <f t="shared" si="134"/>
        <v>559</v>
      </c>
      <c r="J1679" t="str">
        <f t="shared" si="135"/>
        <v>55906</v>
      </c>
      <c r="K1679" t="str">
        <f t="shared" si="131"/>
        <v>5590699</v>
      </c>
    </row>
    <row r="1680" spans="1:11" x14ac:dyDescent="0.25">
      <c r="B1680" t="s">
        <v>3535</v>
      </c>
      <c r="C1680" t="s">
        <v>1864</v>
      </c>
      <c r="D1680" t="s">
        <v>1864</v>
      </c>
      <c r="E1680" t="s">
        <v>1864</v>
      </c>
      <c r="F1680" t="s">
        <v>1342</v>
      </c>
      <c r="G1680" t="str">
        <f t="shared" si="132"/>
        <v>I</v>
      </c>
      <c r="H1680" t="str">
        <f t="shared" si="133"/>
        <v>56</v>
      </c>
      <c r="I1680" t="str">
        <f t="shared" si="134"/>
        <v>559</v>
      </c>
      <c r="J1680" t="str">
        <f t="shared" si="135"/>
        <v>55906</v>
      </c>
      <c r="K1680" t="str">
        <f t="shared" si="131"/>
        <v/>
      </c>
    </row>
    <row r="1681" spans="1:11" x14ac:dyDescent="0.25">
      <c r="C1681" t="s">
        <v>3536</v>
      </c>
      <c r="D1681" t="s">
        <v>1864</v>
      </c>
      <c r="E1681" t="s">
        <v>1864</v>
      </c>
      <c r="F1681" t="s">
        <v>1343</v>
      </c>
      <c r="G1681" t="str">
        <f t="shared" si="132"/>
        <v>I</v>
      </c>
      <c r="H1681" t="str">
        <f t="shared" si="133"/>
        <v>56</v>
      </c>
      <c r="I1681" t="str">
        <f t="shared" si="134"/>
        <v>561</v>
      </c>
      <c r="J1681" t="str">
        <f t="shared" si="135"/>
        <v>55906</v>
      </c>
      <c r="K1681" t="str">
        <f t="shared" si="131"/>
        <v/>
      </c>
    </row>
    <row r="1682" spans="1:11" x14ac:dyDescent="0.25">
      <c r="C1682" t="s">
        <v>1864</v>
      </c>
      <c r="D1682" t="s">
        <v>3537</v>
      </c>
      <c r="E1682" t="s">
        <v>1864</v>
      </c>
      <c r="F1682" t="s">
        <v>1344</v>
      </c>
      <c r="G1682" t="str">
        <f t="shared" si="132"/>
        <v>I</v>
      </c>
      <c r="H1682" t="str">
        <f t="shared" si="133"/>
        <v>56</v>
      </c>
      <c r="I1682" t="str">
        <f t="shared" si="134"/>
        <v>561</v>
      </c>
      <c r="J1682" t="str">
        <f t="shared" si="135"/>
        <v>56112</v>
      </c>
      <c r="K1682" t="str">
        <f t="shared" si="131"/>
        <v/>
      </c>
    </row>
    <row r="1683" spans="1:11" x14ac:dyDescent="0.25">
      <c r="C1683" t="s">
        <v>1864</v>
      </c>
      <c r="D1683" t="s">
        <v>1864</v>
      </c>
      <c r="E1683" t="s">
        <v>3538</v>
      </c>
      <c r="F1683" t="s">
        <v>1345</v>
      </c>
      <c r="G1683" t="str">
        <f t="shared" si="132"/>
        <v>I</v>
      </c>
      <c r="H1683" t="str">
        <f t="shared" si="133"/>
        <v>56</v>
      </c>
      <c r="I1683" t="str">
        <f t="shared" si="134"/>
        <v>561</v>
      </c>
      <c r="J1683" t="str">
        <f t="shared" si="135"/>
        <v>56112</v>
      </c>
      <c r="K1683" t="str">
        <f t="shared" si="131"/>
        <v>5611201</v>
      </c>
    </row>
    <row r="1684" spans="1:11" x14ac:dyDescent="0.25">
      <c r="C1684" t="s">
        <v>1864</v>
      </c>
      <c r="D1684" t="s">
        <v>1864</v>
      </c>
      <c r="E1684" t="s">
        <v>3539</v>
      </c>
      <c r="F1684" t="s">
        <v>1346</v>
      </c>
      <c r="G1684" t="str">
        <f t="shared" si="132"/>
        <v>I</v>
      </c>
      <c r="H1684" t="str">
        <f t="shared" si="133"/>
        <v>56</v>
      </c>
      <c r="I1684" t="str">
        <f t="shared" si="134"/>
        <v>561</v>
      </c>
      <c r="J1684" t="str">
        <f t="shared" si="135"/>
        <v>56112</v>
      </c>
      <c r="K1684" t="str">
        <f t="shared" si="131"/>
        <v>5611203</v>
      </c>
    </row>
    <row r="1685" spans="1:11" x14ac:dyDescent="0.25">
      <c r="C1685" t="s">
        <v>1864</v>
      </c>
      <c r="D1685" t="s">
        <v>1864</v>
      </c>
      <c r="E1685" t="s">
        <v>3540</v>
      </c>
      <c r="F1685" t="s">
        <v>1347</v>
      </c>
      <c r="G1685" t="str">
        <f t="shared" si="132"/>
        <v>I</v>
      </c>
      <c r="H1685" t="str">
        <f t="shared" si="133"/>
        <v>56</v>
      </c>
      <c r="I1685" t="str">
        <f t="shared" si="134"/>
        <v>561</v>
      </c>
      <c r="J1685" t="str">
        <f t="shared" si="135"/>
        <v>56112</v>
      </c>
      <c r="K1685" t="str">
        <f t="shared" si="131"/>
        <v>5611204</v>
      </c>
    </row>
    <row r="1686" spans="1:11" x14ac:dyDescent="0.25">
      <c r="C1686" t="s">
        <v>1864</v>
      </c>
      <c r="D1686" t="s">
        <v>1864</v>
      </c>
      <c r="E1686" t="s">
        <v>3541</v>
      </c>
      <c r="F1686" t="s">
        <v>1348</v>
      </c>
      <c r="G1686" t="str">
        <f t="shared" si="132"/>
        <v>I</v>
      </c>
      <c r="H1686" t="str">
        <f t="shared" si="133"/>
        <v>56</v>
      </c>
      <c r="I1686" t="str">
        <f t="shared" si="134"/>
        <v>561</v>
      </c>
      <c r="J1686" t="str">
        <f t="shared" si="135"/>
        <v>56112</v>
      </c>
      <c r="K1686" t="str">
        <f t="shared" si="131"/>
        <v>5611205</v>
      </c>
    </row>
    <row r="1687" spans="1:11" x14ac:dyDescent="0.25">
      <c r="C1687" t="s">
        <v>1864</v>
      </c>
      <c r="D1687" t="s">
        <v>3542</v>
      </c>
      <c r="E1687" t="s">
        <v>1864</v>
      </c>
      <c r="F1687" t="s">
        <v>1349</v>
      </c>
      <c r="G1687" t="str">
        <f t="shared" si="132"/>
        <v>I</v>
      </c>
      <c r="H1687" t="str">
        <f t="shared" si="133"/>
        <v>56</v>
      </c>
      <c r="I1687" t="str">
        <f t="shared" si="134"/>
        <v>561</v>
      </c>
      <c r="J1687" t="str">
        <f t="shared" si="135"/>
        <v>56121</v>
      </c>
      <c r="K1687" t="str">
        <f t="shared" si="131"/>
        <v/>
      </c>
    </row>
    <row r="1688" spans="1:11" x14ac:dyDescent="0.25">
      <c r="C1688" t="s">
        <v>1864</v>
      </c>
      <c r="D1688" t="s">
        <v>1864</v>
      </c>
      <c r="E1688" t="s">
        <v>3543</v>
      </c>
      <c r="F1688" t="s">
        <v>1349</v>
      </c>
      <c r="G1688" t="str">
        <f t="shared" si="132"/>
        <v>I</v>
      </c>
      <c r="H1688" t="str">
        <f t="shared" si="133"/>
        <v>56</v>
      </c>
      <c r="I1688" t="str">
        <f t="shared" si="134"/>
        <v>561</v>
      </c>
      <c r="J1688" t="str">
        <f t="shared" si="135"/>
        <v>56121</v>
      </c>
      <c r="K1688" t="str">
        <f t="shared" si="131"/>
        <v>5612100</v>
      </c>
    </row>
    <row r="1689" spans="1:11" x14ac:dyDescent="0.25">
      <c r="C1689" t="s">
        <v>3544</v>
      </c>
      <c r="D1689" t="s">
        <v>1864</v>
      </c>
      <c r="E1689" t="s">
        <v>1864</v>
      </c>
      <c r="F1689" t="s">
        <v>3545</v>
      </c>
      <c r="G1689" t="str">
        <f t="shared" si="132"/>
        <v>I</v>
      </c>
      <c r="H1689" t="str">
        <f t="shared" si="133"/>
        <v>56</v>
      </c>
      <c r="I1689" t="str">
        <f t="shared" si="134"/>
        <v>562</v>
      </c>
      <c r="J1689" t="str">
        <f t="shared" si="135"/>
        <v>56121</v>
      </c>
      <c r="K1689" t="str">
        <f t="shared" si="131"/>
        <v/>
      </c>
    </row>
    <row r="1690" spans="1:11" x14ac:dyDescent="0.25">
      <c r="C1690" t="s">
        <v>1864</v>
      </c>
      <c r="D1690" t="s">
        <v>3546</v>
      </c>
      <c r="E1690" t="s">
        <v>1864</v>
      </c>
      <c r="F1690" t="s">
        <v>3545</v>
      </c>
      <c r="G1690" t="str">
        <f t="shared" si="132"/>
        <v>I</v>
      </c>
      <c r="H1690" t="str">
        <f t="shared" si="133"/>
        <v>56</v>
      </c>
      <c r="I1690" t="str">
        <f t="shared" si="134"/>
        <v>562</v>
      </c>
      <c r="J1690" t="str">
        <f t="shared" si="135"/>
        <v>56201</v>
      </c>
      <c r="K1690" t="str">
        <f t="shared" si="131"/>
        <v/>
      </c>
    </row>
    <row r="1691" spans="1:11" x14ac:dyDescent="0.25">
      <c r="C1691" t="s">
        <v>1864</v>
      </c>
      <c r="D1691" t="s">
        <v>1864</v>
      </c>
      <c r="E1691" t="s">
        <v>3547</v>
      </c>
      <c r="F1691" t="s">
        <v>1350</v>
      </c>
      <c r="G1691" t="str">
        <f t="shared" si="132"/>
        <v>I</v>
      </c>
      <c r="H1691" t="str">
        <f t="shared" si="133"/>
        <v>56</v>
      </c>
      <c r="I1691" t="str">
        <f t="shared" si="134"/>
        <v>562</v>
      </c>
      <c r="J1691" t="str">
        <f t="shared" si="135"/>
        <v>56201</v>
      </c>
      <c r="K1691" t="str">
        <f t="shared" si="131"/>
        <v>5620101</v>
      </c>
    </row>
    <row r="1692" spans="1:11" x14ac:dyDescent="0.25">
      <c r="C1692" t="s">
        <v>1864</v>
      </c>
      <c r="D1692" t="s">
        <v>1864</v>
      </c>
      <c r="E1692" t="s">
        <v>3548</v>
      </c>
      <c r="F1692" t="s">
        <v>1351</v>
      </c>
      <c r="G1692" t="str">
        <f t="shared" si="132"/>
        <v>I</v>
      </c>
      <c r="H1692" t="str">
        <f t="shared" si="133"/>
        <v>56</v>
      </c>
      <c r="I1692" t="str">
        <f t="shared" si="134"/>
        <v>562</v>
      </c>
      <c r="J1692" t="str">
        <f t="shared" si="135"/>
        <v>56201</v>
      </c>
      <c r="K1692" t="str">
        <f t="shared" si="131"/>
        <v>5620102</v>
      </c>
    </row>
    <row r="1693" spans="1:11" x14ac:dyDescent="0.25">
      <c r="C1693" t="s">
        <v>1864</v>
      </c>
      <c r="D1693" t="s">
        <v>1864</v>
      </c>
      <c r="E1693" t="s">
        <v>3549</v>
      </c>
      <c r="F1693" t="s">
        <v>1352</v>
      </c>
      <c r="G1693" t="str">
        <f t="shared" si="132"/>
        <v>I</v>
      </c>
      <c r="H1693" t="str">
        <f t="shared" si="133"/>
        <v>56</v>
      </c>
      <c r="I1693" t="str">
        <f t="shared" si="134"/>
        <v>562</v>
      </c>
      <c r="J1693" t="str">
        <f t="shared" si="135"/>
        <v>56201</v>
      </c>
      <c r="K1693" t="str">
        <f t="shared" si="131"/>
        <v>5620103</v>
      </c>
    </row>
    <row r="1694" spans="1:11" x14ac:dyDescent="0.25">
      <c r="C1694" t="s">
        <v>1864</v>
      </c>
      <c r="D1694" t="s">
        <v>1864</v>
      </c>
      <c r="E1694" t="s">
        <v>3550</v>
      </c>
      <c r="F1694" t="s">
        <v>1353</v>
      </c>
      <c r="G1694" t="str">
        <f t="shared" si="132"/>
        <v>I</v>
      </c>
      <c r="H1694" t="str">
        <f t="shared" si="133"/>
        <v>56</v>
      </c>
      <c r="I1694" t="str">
        <f t="shared" si="134"/>
        <v>562</v>
      </c>
      <c r="J1694" t="str">
        <f t="shared" si="135"/>
        <v>56201</v>
      </c>
      <c r="K1694" t="str">
        <f t="shared" si="131"/>
        <v>5620104</v>
      </c>
    </row>
    <row r="1695" spans="1:11" x14ac:dyDescent="0.25">
      <c r="A1695" t="s">
        <v>3551</v>
      </c>
      <c r="C1695" t="s">
        <v>1864</v>
      </c>
      <c r="D1695" t="s">
        <v>1864</v>
      </c>
      <c r="E1695" t="s">
        <v>1864</v>
      </c>
      <c r="F1695" t="s">
        <v>1354</v>
      </c>
      <c r="G1695" t="str">
        <f t="shared" si="132"/>
        <v>J</v>
      </c>
      <c r="H1695" t="str">
        <f t="shared" si="133"/>
        <v>56</v>
      </c>
      <c r="I1695" t="str">
        <f t="shared" si="134"/>
        <v>562</v>
      </c>
      <c r="J1695" t="str">
        <f t="shared" si="135"/>
        <v>56201</v>
      </c>
      <c r="K1695" t="str">
        <f t="shared" si="131"/>
        <v/>
      </c>
    </row>
    <row r="1696" spans="1:11" x14ac:dyDescent="0.25">
      <c r="B1696" t="s">
        <v>3552</v>
      </c>
      <c r="C1696" t="s">
        <v>1864</v>
      </c>
      <c r="D1696" t="s">
        <v>1864</v>
      </c>
      <c r="E1696" t="s">
        <v>1864</v>
      </c>
      <c r="F1696" t="s">
        <v>1355</v>
      </c>
      <c r="G1696" t="str">
        <f t="shared" si="132"/>
        <v>J</v>
      </c>
      <c r="H1696" t="str">
        <f t="shared" si="133"/>
        <v>58</v>
      </c>
      <c r="I1696" t="str">
        <f t="shared" si="134"/>
        <v>562</v>
      </c>
      <c r="J1696" t="str">
        <f t="shared" si="135"/>
        <v>56201</v>
      </c>
      <c r="K1696" t="str">
        <f t="shared" si="131"/>
        <v/>
      </c>
    </row>
    <row r="1697" spans="3:11" x14ac:dyDescent="0.25">
      <c r="C1697" t="s">
        <v>3553</v>
      </c>
      <c r="D1697" t="s">
        <v>1864</v>
      </c>
      <c r="E1697" t="s">
        <v>1864</v>
      </c>
      <c r="F1697" t="s">
        <v>1356</v>
      </c>
      <c r="G1697" t="str">
        <f t="shared" si="132"/>
        <v>J</v>
      </c>
      <c r="H1697" t="str">
        <f t="shared" si="133"/>
        <v>58</v>
      </c>
      <c r="I1697" t="str">
        <f t="shared" si="134"/>
        <v>581</v>
      </c>
      <c r="J1697" t="str">
        <f t="shared" si="135"/>
        <v>56201</v>
      </c>
      <c r="K1697" t="str">
        <f t="shared" si="131"/>
        <v/>
      </c>
    </row>
    <row r="1698" spans="3:11" x14ac:dyDescent="0.25">
      <c r="C1698" t="s">
        <v>1864</v>
      </c>
      <c r="D1698" t="s">
        <v>3554</v>
      </c>
      <c r="E1698" t="s">
        <v>1864</v>
      </c>
      <c r="F1698" t="s">
        <v>1357</v>
      </c>
      <c r="G1698" t="str">
        <f t="shared" si="132"/>
        <v>J</v>
      </c>
      <c r="H1698" t="str">
        <f t="shared" si="133"/>
        <v>58</v>
      </c>
      <c r="I1698" t="str">
        <f t="shared" si="134"/>
        <v>581</v>
      </c>
      <c r="J1698" t="str">
        <f t="shared" si="135"/>
        <v>58115</v>
      </c>
      <c r="K1698" t="str">
        <f t="shared" si="131"/>
        <v/>
      </c>
    </row>
    <row r="1699" spans="3:11" x14ac:dyDescent="0.25">
      <c r="C1699" t="s">
        <v>1864</v>
      </c>
      <c r="D1699" t="s">
        <v>1864</v>
      </c>
      <c r="E1699" t="s">
        <v>3555</v>
      </c>
      <c r="F1699" t="s">
        <v>1357</v>
      </c>
      <c r="G1699" t="str">
        <f t="shared" si="132"/>
        <v>J</v>
      </c>
      <c r="H1699" t="str">
        <f t="shared" si="133"/>
        <v>58</v>
      </c>
      <c r="I1699" t="str">
        <f t="shared" si="134"/>
        <v>581</v>
      </c>
      <c r="J1699" t="str">
        <f t="shared" si="135"/>
        <v>58115</v>
      </c>
      <c r="K1699" t="str">
        <f t="shared" si="131"/>
        <v>5811500</v>
      </c>
    </row>
    <row r="1700" spans="3:11" x14ac:dyDescent="0.25">
      <c r="C1700" t="s">
        <v>1864</v>
      </c>
      <c r="D1700" t="s">
        <v>3556</v>
      </c>
      <c r="E1700" t="s">
        <v>1864</v>
      </c>
      <c r="F1700" t="s">
        <v>1358</v>
      </c>
      <c r="G1700" t="str">
        <f t="shared" si="132"/>
        <v>J</v>
      </c>
      <c r="H1700" t="str">
        <f t="shared" si="133"/>
        <v>58</v>
      </c>
      <c r="I1700" t="str">
        <f t="shared" si="134"/>
        <v>581</v>
      </c>
      <c r="J1700" t="str">
        <f t="shared" si="135"/>
        <v>58123</v>
      </c>
      <c r="K1700" t="str">
        <f t="shared" si="131"/>
        <v/>
      </c>
    </row>
    <row r="1701" spans="3:11" x14ac:dyDescent="0.25">
      <c r="C1701" t="s">
        <v>1864</v>
      </c>
      <c r="D1701" t="s">
        <v>1864</v>
      </c>
      <c r="E1701" t="s">
        <v>3557</v>
      </c>
      <c r="F1701" t="s">
        <v>1359</v>
      </c>
      <c r="G1701" t="str">
        <f t="shared" si="132"/>
        <v>J</v>
      </c>
      <c r="H1701" t="str">
        <f t="shared" si="133"/>
        <v>58</v>
      </c>
      <c r="I1701" t="str">
        <f t="shared" si="134"/>
        <v>581</v>
      </c>
      <c r="J1701" t="str">
        <f t="shared" si="135"/>
        <v>58123</v>
      </c>
      <c r="K1701" t="str">
        <f t="shared" si="131"/>
        <v>5812301</v>
      </c>
    </row>
    <row r="1702" spans="3:11" x14ac:dyDescent="0.25">
      <c r="C1702" t="s">
        <v>1864</v>
      </c>
      <c r="D1702" t="s">
        <v>1864</v>
      </c>
      <c r="E1702" t="s">
        <v>3558</v>
      </c>
      <c r="F1702" t="s">
        <v>1360</v>
      </c>
      <c r="G1702" t="str">
        <f t="shared" si="132"/>
        <v>J</v>
      </c>
      <c r="H1702" t="str">
        <f t="shared" si="133"/>
        <v>58</v>
      </c>
      <c r="I1702" t="str">
        <f t="shared" si="134"/>
        <v>581</v>
      </c>
      <c r="J1702" t="str">
        <f t="shared" si="135"/>
        <v>58123</v>
      </c>
      <c r="K1702" t="str">
        <f t="shared" si="131"/>
        <v>5812302</v>
      </c>
    </row>
    <row r="1703" spans="3:11" x14ac:dyDescent="0.25">
      <c r="C1703" t="s">
        <v>1864</v>
      </c>
      <c r="D1703" t="s">
        <v>3559</v>
      </c>
      <c r="E1703" t="s">
        <v>1864</v>
      </c>
      <c r="F1703" t="s">
        <v>1361</v>
      </c>
      <c r="G1703" t="str">
        <f t="shared" si="132"/>
        <v>J</v>
      </c>
      <c r="H1703" t="str">
        <f t="shared" si="133"/>
        <v>58</v>
      </c>
      <c r="I1703" t="str">
        <f t="shared" si="134"/>
        <v>581</v>
      </c>
      <c r="J1703" t="str">
        <f t="shared" si="135"/>
        <v>58131</v>
      </c>
      <c r="K1703" t="str">
        <f t="shared" si="131"/>
        <v/>
      </c>
    </row>
    <row r="1704" spans="3:11" x14ac:dyDescent="0.25">
      <c r="C1704" t="s">
        <v>1864</v>
      </c>
      <c r="D1704" t="s">
        <v>1864</v>
      </c>
      <c r="E1704" t="s">
        <v>3560</v>
      </c>
      <c r="F1704" t="s">
        <v>1361</v>
      </c>
      <c r="G1704" t="str">
        <f t="shared" si="132"/>
        <v>J</v>
      </c>
      <c r="H1704" t="str">
        <f t="shared" si="133"/>
        <v>58</v>
      </c>
      <c r="I1704" t="str">
        <f t="shared" si="134"/>
        <v>581</v>
      </c>
      <c r="J1704" t="str">
        <f t="shared" si="135"/>
        <v>58131</v>
      </c>
      <c r="K1704" t="str">
        <f t="shared" si="131"/>
        <v>5813100</v>
      </c>
    </row>
    <row r="1705" spans="3:11" x14ac:dyDescent="0.25">
      <c r="C1705" t="s">
        <v>1864</v>
      </c>
      <c r="D1705" t="s">
        <v>3561</v>
      </c>
      <c r="E1705" t="s">
        <v>1864</v>
      </c>
      <c r="F1705" t="s">
        <v>1362</v>
      </c>
      <c r="G1705" t="str">
        <f t="shared" si="132"/>
        <v>J</v>
      </c>
      <c r="H1705" t="str">
        <f t="shared" si="133"/>
        <v>58</v>
      </c>
      <c r="I1705" t="str">
        <f t="shared" si="134"/>
        <v>581</v>
      </c>
      <c r="J1705" t="str">
        <f t="shared" si="135"/>
        <v>58191</v>
      </c>
      <c r="K1705" t="str">
        <f t="shared" si="131"/>
        <v/>
      </c>
    </row>
    <row r="1706" spans="3:11" x14ac:dyDescent="0.25">
      <c r="C1706" t="s">
        <v>1864</v>
      </c>
      <c r="D1706" t="s">
        <v>1864</v>
      </c>
      <c r="E1706" t="s">
        <v>3562</v>
      </c>
      <c r="F1706" t="s">
        <v>1362</v>
      </c>
      <c r="G1706" t="str">
        <f t="shared" si="132"/>
        <v>J</v>
      </c>
      <c r="H1706" t="str">
        <f t="shared" si="133"/>
        <v>58</v>
      </c>
      <c r="I1706" t="str">
        <f t="shared" si="134"/>
        <v>581</v>
      </c>
      <c r="J1706" t="str">
        <f t="shared" si="135"/>
        <v>58191</v>
      </c>
      <c r="K1706" t="str">
        <f t="shared" si="131"/>
        <v>5819100</v>
      </c>
    </row>
    <row r="1707" spans="3:11" x14ac:dyDescent="0.25">
      <c r="C1707" t="s">
        <v>3563</v>
      </c>
      <c r="D1707" t="s">
        <v>1864</v>
      </c>
      <c r="E1707" t="s">
        <v>1864</v>
      </c>
      <c r="F1707" t="s">
        <v>1363</v>
      </c>
      <c r="G1707" t="str">
        <f t="shared" si="132"/>
        <v>J</v>
      </c>
      <c r="H1707" t="str">
        <f t="shared" si="133"/>
        <v>58</v>
      </c>
      <c r="I1707" t="str">
        <f t="shared" si="134"/>
        <v>582</v>
      </c>
      <c r="J1707" t="str">
        <f t="shared" si="135"/>
        <v>58191</v>
      </c>
      <c r="K1707" t="str">
        <f t="shared" si="131"/>
        <v/>
      </c>
    </row>
    <row r="1708" spans="3:11" x14ac:dyDescent="0.25">
      <c r="C1708" t="s">
        <v>1864</v>
      </c>
      <c r="D1708" t="s">
        <v>3564</v>
      </c>
      <c r="E1708" t="s">
        <v>1864</v>
      </c>
      <c r="F1708" t="s">
        <v>1364</v>
      </c>
      <c r="G1708" t="str">
        <f t="shared" si="132"/>
        <v>J</v>
      </c>
      <c r="H1708" t="str">
        <f t="shared" si="133"/>
        <v>58</v>
      </c>
      <c r="I1708" t="str">
        <f t="shared" si="134"/>
        <v>582</v>
      </c>
      <c r="J1708" t="str">
        <f t="shared" si="135"/>
        <v>58212</v>
      </c>
      <c r="K1708" t="str">
        <f t="shared" si="131"/>
        <v/>
      </c>
    </row>
    <row r="1709" spans="3:11" x14ac:dyDescent="0.25">
      <c r="C1709" t="s">
        <v>1864</v>
      </c>
      <c r="D1709" t="s">
        <v>1864</v>
      </c>
      <c r="E1709" t="s">
        <v>3565</v>
      </c>
      <c r="F1709" t="s">
        <v>1364</v>
      </c>
      <c r="G1709" t="str">
        <f t="shared" si="132"/>
        <v>J</v>
      </c>
      <c r="H1709" t="str">
        <f t="shared" si="133"/>
        <v>58</v>
      </c>
      <c r="I1709" t="str">
        <f t="shared" si="134"/>
        <v>582</v>
      </c>
      <c r="J1709" t="str">
        <f t="shared" si="135"/>
        <v>58212</v>
      </c>
      <c r="K1709" t="str">
        <f t="shared" si="131"/>
        <v>5821200</v>
      </c>
    </row>
    <row r="1710" spans="3:11" x14ac:dyDescent="0.25">
      <c r="C1710" t="s">
        <v>1864</v>
      </c>
      <c r="D1710" t="s">
        <v>3566</v>
      </c>
      <c r="E1710" t="s">
        <v>1864</v>
      </c>
      <c r="F1710" t="s">
        <v>1365</v>
      </c>
      <c r="G1710" t="str">
        <f t="shared" si="132"/>
        <v>J</v>
      </c>
      <c r="H1710" t="str">
        <f t="shared" si="133"/>
        <v>58</v>
      </c>
      <c r="I1710" t="str">
        <f t="shared" si="134"/>
        <v>582</v>
      </c>
      <c r="J1710" t="str">
        <f t="shared" si="135"/>
        <v>58221</v>
      </c>
      <c r="K1710" t="str">
        <f t="shared" si="131"/>
        <v/>
      </c>
    </row>
    <row r="1711" spans="3:11" x14ac:dyDescent="0.25">
      <c r="C1711" t="s">
        <v>1864</v>
      </c>
      <c r="D1711" t="s">
        <v>1864</v>
      </c>
      <c r="E1711" t="s">
        <v>3567</v>
      </c>
      <c r="F1711" t="s">
        <v>1366</v>
      </c>
      <c r="G1711" t="str">
        <f t="shared" si="132"/>
        <v>J</v>
      </c>
      <c r="H1711" t="str">
        <f t="shared" si="133"/>
        <v>58</v>
      </c>
      <c r="I1711" t="str">
        <f t="shared" si="134"/>
        <v>582</v>
      </c>
      <c r="J1711" t="str">
        <f t="shared" si="135"/>
        <v>58221</v>
      </c>
      <c r="K1711" t="str">
        <f t="shared" si="131"/>
        <v>5822101</v>
      </c>
    </row>
    <row r="1712" spans="3:11" x14ac:dyDescent="0.25">
      <c r="C1712" t="s">
        <v>1864</v>
      </c>
      <c r="D1712" t="s">
        <v>1864</v>
      </c>
      <c r="E1712" t="s">
        <v>3568</v>
      </c>
      <c r="F1712" t="s">
        <v>1367</v>
      </c>
      <c r="G1712" t="str">
        <f t="shared" si="132"/>
        <v>J</v>
      </c>
      <c r="H1712" t="str">
        <f t="shared" si="133"/>
        <v>58</v>
      </c>
      <c r="I1712" t="str">
        <f t="shared" si="134"/>
        <v>582</v>
      </c>
      <c r="J1712" t="str">
        <f t="shared" si="135"/>
        <v>58221</v>
      </c>
      <c r="K1712" t="str">
        <f t="shared" si="131"/>
        <v>5822102</v>
      </c>
    </row>
    <row r="1713" spans="2:11" x14ac:dyDescent="0.25">
      <c r="C1713" t="s">
        <v>1864</v>
      </c>
      <c r="D1713" t="s">
        <v>3569</v>
      </c>
      <c r="E1713" t="s">
        <v>1864</v>
      </c>
      <c r="F1713" t="s">
        <v>1368</v>
      </c>
      <c r="G1713" t="str">
        <f t="shared" si="132"/>
        <v>J</v>
      </c>
      <c r="H1713" t="str">
        <f t="shared" si="133"/>
        <v>58</v>
      </c>
      <c r="I1713" t="str">
        <f t="shared" si="134"/>
        <v>582</v>
      </c>
      <c r="J1713" t="str">
        <f t="shared" si="135"/>
        <v>58239</v>
      </c>
      <c r="K1713" t="str">
        <f t="shared" si="131"/>
        <v/>
      </c>
    </row>
    <row r="1714" spans="2:11" x14ac:dyDescent="0.25">
      <c r="C1714" t="s">
        <v>1864</v>
      </c>
      <c r="D1714" t="s">
        <v>1864</v>
      </c>
      <c r="E1714" t="s">
        <v>3570</v>
      </c>
      <c r="F1714" t="s">
        <v>1368</v>
      </c>
      <c r="G1714" t="str">
        <f t="shared" si="132"/>
        <v>J</v>
      </c>
      <c r="H1714" t="str">
        <f t="shared" si="133"/>
        <v>58</v>
      </c>
      <c r="I1714" t="str">
        <f t="shared" si="134"/>
        <v>582</v>
      </c>
      <c r="J1714" t="str">
        <f t="shared" si="135"/>
        <v>58239</v>
      </c>
      <c r="K1714" t="str">
        <f t="shared" si="131"/>
        <v>5823900</v>
      </c>
    </row>
    <row r="1715" spans="2:11" x14ac:dyDescent="0.25">
      <c r="C1715" t="s">
        <v>1864</v>
      </c>
      <c r="D1715" t="s">
        <v>3571</v>
      </c>
      <c r="E1715" t="s">
        <v>1864</v>
      </c>
      <c r="F1715" t="s">
        <v>1369</v>
      </c>
      <c r="G1715" t="str">
        <f t="shared" si="132"/>
        <v>J</v>
      </c>
      <c r="H1715" t="str">
        <f t="shared" si="133"/>
        <v>58</v>
      </c>
      <c r="I1715" t="str">
        <f t="shared" si="134"/>
        <v>582</v>
      </c>
      <c r="J1715" t="str">
        <f t="shared" si="135"/>
        <v>58298</v>
      </c>
      <c r="K1715" t="str">
        <f t="shared" si="131"/>
        <v/>
      </c>
    </row>
    <row r="1716" spans="2:11" x14ac:dyDescent="0.25">
      <c r="C1716" t="s">
        <v>1864</v>
      </c>
      <c r="D1716" t="s">
        <v>1864</v>
      </c>
      <c r="E1716" t="s">
        <v>3572</v>
      </c>
      <c r="F1716" t="s">
        <v>1369</v>
      </c>
      <c r="G1716" t="str">
        <f t="shared" si="132"/>
        <v>J</v>
      </c>
      <c r="H1716" t="str">
        <f t="shared" si="133"/>
        <v>58</v>
      </c>
      <c r="I1716" t="str">
        <f t="shared" si="134"/>
        <v>582</v>
      </c>
      <c r="J1716" t="str">
        <f t="shared" si="135"/>
        <v>58298</v>
      </c>
      <c r="K1716" t="str">
        <f t="shared" si="131"/>
        <v>5829800</v>
      </c>
    </row>
    <row r="1717" spans="2:11" x14ac:dyDescent="0.25">
      <c r="B1717" t="s">
        <v>3573</v>
      </c>
      <c r="C1717" t="s">
        <v>1864</v>
      </c>
      <c r="D1717" t="s">
        <v>1864</v>
      </c>
      <c r="E1717" t="s">
        <v>1864</v>
      </c>
      <c r="F1717" t="s">
        <v>1370</v>
      </c>
      <c r="G1717" t="str">
        <f t="shared" si="132"/>
        <v>J</v>
      </c>
      <c r="H1717" t="str">
        <f t="shared" si="133"/>
        <v>59</v>
      </c>
      <c r="I1717" t="str">
        <f t="shared" si="134"/>
        <v>582</v>
      </c>
      <c r="J1717" t="str">
        <f t="shared" si="135"/>
        <v>58298</v>
      </c>
      <c r="K1717" t="str">
        <f t="shared" si="131"/>
        <v/>
      </c>
    </row>
    <row r="1718" spans="2:11" x14ac:dyDescent="0.25">
      <c r="C1718" t="s">
        <v>3574</v>
      </c>
      <c r="D1718" t="s">
        <v>1864</v>
      </c>
      <c r="E1718" t="s">
        <v>1864</v>
      </c>
      <c r="F1718" t="s">
        <v>1371</v>
      </c>
      <c r="G1718" t="str">
        <f t="shared" si="132"/>
        <v>J</v>
      </c>
      <c r="H1718" t="str">
        <f t="shared" si="133"/>
        <v>59</v>
      </c>
      <c r="I1718" t="str">
        <f t="shared" si="134"/>
        <v>591</v>
      </c>
      <c r="J1718" t="str">
        <f t="shared" si="135"/>
        <v>58298</v>
      </c>
      <c r="K1718" t="str">
        <f t="shared" si="131"/>
        <v/>
      </c>
    </row>
    <row r="1719" spans="2:11" x14ac:dyDescent="0.25">
      <c r="C1719" t="s">
        <v>1864</v>
      </c>
      <c r="D1719" t="s">
        <v>3575</v>
      </c>
      <c r="E1719" t="s">
        <v>1864</v>
      </c>
      <c r="F1719" t="s">
        <v>1372</v>
      </c>
      <c r="G1719" t="str">
        <f t="shared" si="132"/>
        <v>J</v>
      </c>
      <c r="H1719" t="str">
        <f t="shared" si="133"/>
        <v>59</v>
      </c>
      <c r="I1719" t="str">
        <f t="shared" si="134"/>
        <v>591</v>
      </c>
      <c r="J1719" t="str">
        <f t="shared" si="135"/>
        <v>59111</v>
      </c>
      <c r="K1719" t="str">
        <f t="shared" si="131"/>
        <v/>
      </c>
    </row>
    <row r="1720" spans="2:11" x14ac:dyDescent="0.25">
      <c r="C1720" t="s">
        <v>1864</v>
      </c>
      <c r="D1720" t="s">
        <v>1864</v>
      </c>
      <c r="E1720" t="s">
        <v>3576</v>
      </c>
      <c r="F1720" t="s">
        <v>1373</v>
      </c>
      <c r="G1720" t="str">
        <f t="shared" si="132"/>
        <v>J</v>
      </c>
      <c r="H1720" t="str">
        <f t="shared" si="133"/>
        <v>59</v>
      </c>
      <c r="I1720" t="str">
        <f t="shared" si="134"/>
        <v>591</v>
      </c>
      <c r="J1720" t="str">
        <f t="shared" si="135"/>
        <v>59111</v>
      </c>
      <c r="K1720" t="str">
        <f t="shared" si="131"/>
        <v>5911101</v>
      </c>
    </row>
    <row r="1721" spans="2:11" x14ac:dyDescent="0.25">
      <c r="C1721" t="s">
        <v>1864</v>
      </c>
      <c r="D1721" t="s">
        <v>1864</v>
      </c>
      <c r="E1721" t="s">
        <v>3577</v>
      </c>
      <c r="F1721" t="s">
        <v>1374</v>
      </c>
      <c r="G1721" t="str">
        <f t="shared" si="132"/>
        <v>J</v>
      </c>
      <c r="H1721" t="str">
        <f t="shared" si="133"/>
        <v>59</v>
      </c>
      <c r="I1721" t="str">
        <f t="shared" si="134"/>
        <v>591</v>
      </c>
      <c r="J1721" t="str">
        <f t="shared" si="135"/>
        <v>59111</v>
      </c>
      <c r="K1721" t="str">
        <f t="shared" si="131"/>
        <v>5911102</v>
      </c>
    </row>
    <row r="1722" spans="2:11" x14ac:dyDescent="0.25">
      <c r="C1722" t="s">
        <v>1864</v>
      </c>
      <c r="D1722" t="s">
        <v>1864</v>
      </c>
      <c r="E1722" t="s">
        <v>3578</v>
      </c>
      <c r="F1722" t="s">
        <v>1375</v>
      </c>
      <c r="G1722" t="str">
        <f t="shared" si="132"/>
        <v>J</v>
      </c>
      <c r="H1722" t="str">
        <f t="shared" si="133"/>
        <v>59</v>
      </c>
      <c r="I1722" t="str">
        <f t="shared" si="134"/>
        <v>591</v>
      </c>
      <c r="J1722" t="str">
        <f t="shared" si="135"/>
        <v>59111</v>
      </c>
      <c r="K1722" t="str">
        <f t="shared" si="131"/>
        <v>5911199</v>
      </c>
    </row>
    <row r="1723" spans="2:11" x14ac:dyDescent="0.25">
      <c r="C1723" t="s">
        <v>1864</v>
      </c>
      <c r="D1723" t="s">
        <v>3579</v>
      </c>
      <c r="E1723" t="s">
        <v>1864</v>
      </c>
      <c r="F1723" t="s">
        <v>1376</v>
      </c>
      <c r="G1723" t="str">
        <f t="shared" si="132"/>
        <v>J</v>
      </c>
      <c r="H1723" t="str">
        <f t="shared" si="133"/>
        <v>59</v>
      </c>
      <c r="I1723" t="str">
        <f t="shared" si="134"/>
        <v>591</v>
      </c>
      <c r="J1723" t="str">
        <f t="shared" si="135"/>
        <v>59120</v>
      </c>
      <c r="K1723" t="str">
        <f t="shared" si="131"/>
        <v/>
      </c>
    </row>
    <row r="1724" spans="2:11" x14ac:dyDescent="0.25">
      <c r="C1724" t="s">
        <v>1864</v>
      </c>
      <c r="D1724" t="s">
        <v>1864</v>
      </c>
      <c r="E1724" t="s">
        <v>3580</v>
      </c>
      <c r="F1724" t="s">
        <v>1377</v>
      </c>
      <c r="G1724" t="str">
        <f t="shared" si="132"/>
        <v>J</v>
      </c>
      <c r="H1724" t="str">
        <f t="shared" si="133"/>
        <v>59</v>
      </c>
      <c r="I1724" t="str">
        <f t="shared" si="134"/>
        <v>591</v>
      </c>
      <c r="J1724" t="str">
        <f t="shared" si="135"/>
        <v>59120</v>
      </c>
      <c r="K1724" t="str">
        <f t="shared" si="131"/>
        <v>5912001</v>
      </c>
    </row>
    <row r="1725" spans="2:11" x14ac:dyDescent="0.25">
      <c r="C1725" t="s">
        <v>1864</v>
      </c>
      <c r="D1725" t="s">
        <v>1864</v>
      </c>
      <c r="E1725" t="s">
        <v>3581</v>
      </c>
      <c r="F1725" t="s">
        <v>1378</v>
      </c>
      <c r="G1725" t="str">
        <f t="shared" si="132"/>
        <v>J</v>
      </c>
      <c r="H1725" t="str">
        <f t="shared" si="133"/>
        <v>59</v>
      </c>
      <c r="I1725" t="str">
        <f t="shared" si="134"/>
        <v>591</v>
      </c>
      <c r="J1725" t="str">
        <f t="shared" si="135"/>
        <v>59120</v>
      </c>
      <c r="K1725" t="str">
        <f t="shared" si="131"/>
        <v>5912002</v>
      </c>
    </row>
    <row r="1726" spans="2:11" x14ac:dyDescent="0.25">
      <c r="C1726" t="s">
        <v>1864</v>
      </c>
      <c r="D1726" t="s">
        <v>1864</v>
      </c>
      <c r="E1726" t="s">
        <v>3582</v>
      </c>
      <c r="F1726" t="s">
        <v>1379</v>
      </c>
      <c r="G1726" t="str">
        <f t="shared" si="132"/>
        <v>J</v>
      </c>
      <c r="H1726" t="str">
        <f t="shared" si="133"/>
        <v>59</v>
      </c>
      <c r="I1726" t="str">
        <f t="shared" si="134"/>
        <v>591</v>
      </c>
      <c r="J1726" t="str">
        <f t="shared" si="135"/>
        <v>59120</v>
      </c>
      <c r="K1726" t="str">
        <f t="shared" si="131"/>
        <v>5912099</v>
      </c>
    </row>
    <row r="1727" spans="2:11" x14ac:dyDescent="0.25">
      <c r="C1727" t="s">
        <v>1864</v>
      </c>
      <c r="D1727" t="s">
        <v>3583</v>
      </c>
      <c r="E1727" t="s">
        <v>1864</v>
      </c>
      <c r="F1727" t="s">
        <v>1380</v>
      </c>
      <c r="G1727" t="str">
        <f t="shared" si="132"/>
        <v>J</v>
      </c>
      <c r="H1727" t="str">
        <f t="shared" si="133"/>
        <v>59</v>
      </c>
      <c r="I1727" t="str">
        <f t="shared" si="134"/>
        <v>591</v>
      </c>
      <c r="J1727" t="str">
        <f t="shared" si="135"/>
        <v>59138</v>
      </c>
      <c r="K1727" t="str">
        <f t="shared" si="131"/>
        <v/>
      </c>
    </row>
    <row r="1728" spans="2:11" x14ac:dyDescent="0.25">
      <c r="C1728" t="s">
        <v>1864</v>
      </c>
      <c r="D1728" t="s">
        <v>1864</v>
      </c>
      <c r="E1728" t="s">
        <v>3584</v>
      </c>
      <c r="F1728" t="s">
        <v>1380</v>
      </c>
      <c r="G1728" t="str">
        <f t="shared" si="132"/>
        <v>J</v>
      </c>
      <c r="H1728" t="str">
        <f t="shared" si="133"/>
        <v>59</v>
      </c>
      <c r="I1728" t="str">
        <f t="shared" si="134"/>
        <v>591</v>
      </c>
      <c r="J1728" t="str">
        <f t="shared" si="135"/>
        <v>59138</v>
      </c>
      <c r="K1728" t="str">
        <f t="shared" si="131"/>
        <v>5913800</v>
      </c>
    </row>
    <row r="1729" spans="2:11" x14ac:dyDescent="0.25">
      <c r="C1729" t="s">
        <v>1864</v>
      </c>
      <c r="D1729" t="s">
        <v>3585</v>
      </c>
      <c r="E1729" t="s">
        <v>1864</v>
      </c>
      <c r="F1729" t="s">
        <v>1381</v>
      </c>
      <c r="G1729" t="str">
        <f t="shared" si="132"/>
        <v>J</v>
      </c>
      <c r="H1729" t="str">
        <f t="shared" si="133"/>
        <v>59</v>
      </c>
      <c r="I1729" t="str">
        <f t="shared" si="134"/>
        <v>591</v>
      </c>
      <c r="J1729" t="str">
        <f t="shared" si="135"/>
        <v>59146</v>
      </c>
      <c r="K1729" t="str">
        <f t="shared" si="131"/>
        <v/>
      </c>
    </row>
    <row r="1730" spans="2:11" x14ac:dyDescent="0.25">
      <c r="C1730" t="s">
        <v>1864</v>
      </c>
      <c r="D1730" t="s">
        <v>1864</v>
      </c>
      <c r="E1730" t="s">
        <v>3586</v>
      </c>
      <c r="F1730" t="s">
        <v>1381</v>
      </c>
      <c r="G1730" t="str">
        <f t="shared" si="132"/>
        <v>J</v>
      </c>
      <c r="H1730" t="str">
        <f t="shared" si="133"/>
        <v>59</v>
      </c>
      <c r="I1730" t="str">
        <f t="shared" si="134"/>
        <v>591</v>
      </c>
      <c r="J1730" t="str">
        <f t="shared" si="135"/>
        <v>59146</v>
      </c>
      <c r="K1730" t="str">
        <f t="shared" si="131"/>
        <v>5914600</v>
      </c>
    </row>
    <row r="1731" spans="2:11" x14ac:dyDescent="0.25">
      <c r="C1731" t="s">
        <v>3587</v>
      </c>
      <c r="D1731" t="s">
        <v>1864</v>
      </c>
      <c r="E1731" t="s">
        <v>1864</v>
      </c>
      <c r="F1731" t="s">
        <v>1382</v>
      </c>
      <c r="G1731" t="str">
        <f t="shared" si="132"/>
        <v>J</v>
      </c>
      <c r="H1731" t="str">
        <f t="shared" si="133"/>
        <v>59</v>
      </c>
      <c r="I1731" t="str">
        <f t="shared" si="134"/>
        <v>592</v>
      </c>
      <c r="J1731" t="str">
        <f t="shared" si="135"/>
        <v>59146</v>
      </c>
      <c r="K1731" t="str">
        <f t="shared" si="131"/>
        <v/>
      </c>
    </row>
    <row r="1732" spans="2:11" x14ac:dyDescent="0.25">
      <c r="C1732" t="s">
        <v>1864</v>
      </c>
      <c r="D1732" t="s">
        <v>3588</v>
      </c>
      <c r="E1732" t="s">
        <v>1864</v>
      </c>
      <c r="F1732" t="s">
        <v>1382</v>
      </c>
      <c r="G1732" t="str">
        <f t="shared" si="132"/>
        <v>J</v>
      </c>
      <c r="H1732" t="str">
        <f t="shared" si="133"/>
        <v>59</v>
      </c>
      <c r="I1732" t="str">
        <f t="shared" si="134"/>
        <v>592</v>
      </c>
      <c r="J1732" t="str">
        <f t="shared" si="135"/>
        <v>59201</v>
      </c>
      <c r="K1732" t="str">
        <f t="shared" si="131"/>
        <v/>
      </c>
    </row>
    <row r="1733" spans="2:11" x14ac:dyDescent="0.25">
      <c r="C1733" t="s">
        <v>1864</v>
      </c>
      <c r="D1733" t="s">
        <v>1864</v>
      </c>
      <c r="E1733" t="s">
        <v>3589</v>
      </c>
      <c r="F1733" t="s">
        <v>1382</v>
      </c>
      <c r="G1733" t="str">
        <f t="shared" si="132"/>
        <v>J</v>
      </c>
      <c r="H1733" t="str">
        <f t="shared" si="133"/>
        <v>59</v>
      </c>
      <c r="I1733" t="str">
        <f t="shared" si="134"/>
        <v>592</v>
      </c>
      <c r="J1733" t="str">
        <f t="shared" si="135"/>
        <v>59201</v>
      </c>
      <c r="K1733" t="str">
        <f t="shared" si="131"/>
        <v>5920100</v>
      </c>
    </row>
    <row r="1734" spans="2:11" x14ac:dyDescent="0.25">
      <c r="B1734" t="s">
        <v>3590</v>
      </c>
      <c r="C1734" t="s">
        <v>1864</v>
      </c>
      <c r="D1734" t="s">
        <v>1864</v>
      </c>
      <c r="E1734" t="s">
        <v>1864</v>
      </c>
      <c r="F1734" t="s">
        <v>1383</v>
      </c>
      <c r="G1734" t="str">
        <f t="shared" si="132"/>
        <v>J</v>
      </c>
      <c r="H1734" t="str">
        <f t="shared" si="133"/>
        <v>60</v>
      </c>
      <c r="I1734" t="str">
        <f t="shared" si="134"/>
        <v>592</v>
      </c>
      <c r="J1734" t="str">
        <f t="shared" si="135"/>
        <v>59201</v>
      </c>
      <c r="K1734" t="str">
        <f t="shared" si="131"/>
        <v/>
      </c>
    </row>
    <row r="1735" spans="2:11" x14ac:dyDescent="0.25">
      <c r="C1735" t="s">
        <v>3591</v>
      </c>
      <c r="D1735" t="s">
        <v>1864</v>
      </c>
      <c r="E1735" t="s">
        <v>1864</v>
      </c>
      <c r="F1735" t="s">
        <v>1384</v>
      </c>
      <c r="G1735" t="str">
        <f t="shared" si="132"/>
        <v>J</v>
      </c>
      <c r="H1735" t="str">
        <f t="shared" si="133"/>
        <v>60</v>
      </c>
      <c r="I1735" t="str">
        <f t="shared" si="134"/>
        <v>601</v>
      </c>
      <c r="J1735" t="str">
        <f t="shared" si="135"/>
        <v>59201</v>
      </c>
      <c r="K1735" t="str">
        <f t="shared" si="131"/>
        <v/>
      </c>
    </row>
    <row r="1736" spans="2:11" x14ac:dyDescent="0.25">
      <c r="C1736" t="s">
        <v>1864</v>
      </c>
      <c r="D1736" t="s">
        <v>3592</v>
      </c>
      <c r="E1736" t="s">
        <v>1864</v>
      </c>
      <c r="F1736" t="s">
        <v>1384</v>
      </c>
      <c r="G1736" t="str">
        <f t="shared" si="132"/>
        <v>J</v>
      </c>
      <c r="H1736" t="str">
        <f t="shared" si="133"/>
        <v>60</v>
      </c>
      <c r="I1736" t="str">
        <f t="shared" si="134"/>
        <v>601</v>
      </c>
      <c r="J1736" t="str">
        <f t="shared" si="135"/>
        <v>60101</v>
      </c>
      <c r="K1736" t="str">
        <f t="shared" ref="K1736:K1799" si="136">E1736</f>
        <v/>
      </c>
    </row>
    <row r="1737" spans="2:11" x14ac:dyDescent="0.25">
      <c r="C1737" t="s">
        <v>1864</v>
      </c>
      <c r="D1737" t="s">
        <v>1864</v>
      </c>
      <c r="E1737" t="s">
        <v>3593</v>
      </c>
      <c r="F1737" t="s">
        <v>1384</v>
      </c>
      <c r="G1737" t="str">
        <f t="shared" ref="G1737:G1800" si="137">IF(A1737="",G1736,A1737)</f>
        <v>J</v>
      </c>
      <c r="H1737" t="str">
        <f t="shared" ref="H1737:H1800" si="138">IF(B1737="",H1736,B1737)</f>
        <v>60</v>
      </c>
      <c r="I1737" t="str">
        <f t="shared" ref="I1737:I1800" si="139">IF(C1737="",I1736,C1737)</f>
        <v>601</v>
      </c>
      <c r="J1737" t="str">
        <f t="shared" ref="J1737:J1800" si="140">IF(D1737="",J1736,D1737)</f>
        <v>60101</v>
      </c>
      <c r="K1737" t="str">
        <f t="shared" si="136"/>
        <v>6010100</v>
      </c>
    </row>
    <row r="1738" spans="2:11" x14ac:dyDescent="0.25">
      <c r="C1738" t="s">
        <v>3594</v>
      </c>
      <c r="D1738" t="s">
        <v>1864</v>
      </c>
      <c r="E1738" t="s">
        <v>1864</v>
      </c>
      <c r="F1738" t="s">
        <v>1385</v>
      </c>
      <c r="G1738" t="str">
        <f t="shared" si="137"/>
        <v>J</v>
      </c>
      <c r="H1738" t="str">
        <f t="shared" si="138"/>
        <v>60</v>
      </c>
      <c r="I1738" t="str">
        <f t="shared" si="139"/>
        <v>602</v>
      </c>
      <c r="J1738" t="str">
        <f t="shared" si="140"/>
        <v>60101</v>
      </c>
      <c r="K1738" t="str">
        <f t="shared" si="136"/>
        <v/>
      </c>
    </row>
    <row r="1739" spans="2:11" x14ac:dyDescent="0.25">
      <c r="C1739" t="s">
        <v>1864</v>
      </c>
      <c r="D1739" t="s">
        <v>3595</v>
      </c>
      <c r="E1739" t="s">
        <v>1864</v>
      </c>
      <c r="F1739" t="s">
        <v>1386</v>
      </c>
      <c r="G1739" t="str">
        <f t="shared" si="137"/>
        <v>J</v>
      </c>
      <c r="H1739" t="str">
        <f t="shared" si="138"/>
        <v>60</v>
      </c>
      <c r="I1739" t="str">
        <f t="shared" si="139"/>
        <v>602</v>
      </c>
      <c r="J1739" t="str">
        <f t="shared" si="140"/>
        <v>60217</v>
      </c>
      <c r="K1739" t="str">
        <f t="shared" si="136"/>
        <v/>
      </c>
    </row>
    <row r="1740" spans="2:11" x14ac:dyDescent="0.25">
      <c r="C1740" t="s">
        <v>1864</v>
      </c>
      <c r="D1740" t="s">
        <v>1864</v>
      </c>
      <c r="E1740" t="s">
        <v>3596</v>
      </c>
      <c r="F1740" t="s">
        <v>1386</v>
      </c>
      <c r="G1740" t="str">
        <f t="shared" si="137"/>
        <v>J</v>
      </c>
      <c r="H1740" t="str">
        <f t="shared" si="138"/>
        <v>60</v>
      </c>
      <c r="I1740" t="str">
        <f t="shared" si="139"/>
        <v>602</v>
      </c>
      <c r="J1740" t="str">
        <f t="shared" si="140"/>
        <v>60217</v>
      </c>
      <c r="K1740" t="str">
        <f t="shared" si="136"/>
        <v>6021700</v>
      </c>
    </row>
    <row r="1741" spans="2:11" x14ac:dyDescent="0.25">
      <c r="C1741" t="s">
        <v>1864</v>
      </c>
      <c r="D1741" t="s">
        <v>3597</v>
      </c>
      <c r="E1741" t="s">
        <v>1864</v>
      </c>
      <c r="F1741" t="s">
        <v>1387</v>
      </c>
      <c r="G1741" t="str">
        <f t="shared" si="137"/>
        <v>J</v>
      </c>
      <c r="H1741" t="str">
        <f t="shared" si="138"/>
        <v>60</v>
      </c>
      <c r="I1741" t="str">
        <f t="shared" si="139"/>
        <v>602</v>
      </c>
      <c r="J1741" t="str">
        <f t="shared" si="140"/>
        <v>60225</v>
      </c>
      <c r="K1741" t="str">
        <f t="shared" si="136"/>
        <v/>
      </c>
    </row>
    <row r="1742" spans="2:11" x14ac:dyDescent="0.25">
      <c r="C1742" t="s">
        <v>1864</v>
      </c>
      <c r="D1742" t="s">
        <v>1864</v>
      </c>
      <c r="E1742" t="s">
        <v>3598</v>
      </c>
      <c r="F1742" t="s">
        <v>1388</v>
      </c>
      <c r="G1742" t="str">
        <f t="shared" si="137"/>
        <v>J</v>
      </c>
      <c r="H1742" t="str">
        <f t="shared" si="138"/>
        <v>60</v>
      </c>
      <c r="I1742" t="str">
        <f t="shared" si="139"/>
        <v>602</v>
      </c>
      <c r="J1742" t="str">
        <f t="shared" si="140"/>
        <v>60225</v>
      </c>
      <c r="K1742" t="str">
        <f t="shared" si="136"/>
        <v>6022501</v>
      </c>
    </row>
    <row r="1743" spans="2:11" x14ac:dyDescent="0.25">
      <c r="C1743" t="s">
        <v>1864</v>
      </c>
      <c r="D1743" t="s">
        <v>1864</v>
      </c>
      <c r="E1743" t="s">
        <v>3599</v>
      </c>
      <c r="F1743" t="s">
        <v>1389</v>
      </c>
      <c r="G1743" t="str">
        <f t="shared" si="137"/>
        <v>J</v>
      </c>
      <c r="H1743" t="str">
        <f t="shared" si="138"/>
        <v>60</v>
      </c>
      <c r="I1743" t="str">
        <f t="shared" si="139"/>
        <v>602</v>
      </c>
      <c r="J1743" t="str">
        <f t="shared" si="140"/>
        <v>60225</v>
      </c>
      <c r="K1743" t="str">
        <f t="shared" si="136"/>
        <v>6022502</v>
      </c>
    </row>
    <row r="1744" spans="2:11" x14ac:dyDescent="0.25">
      <c r="B1744" t="s">
        <v>3600</v>
      </c>
      <c r="C1744" t="s">
        <v>1864</v>
      </c>
      <c r="D1744" t="s">
        <v>1864</v>
      </c>
      <c r="E1744" t="s">
        <v>1864</v>
      </c>
      <c r="F1744" t="s">
        <v>1390</v>
      </c>
      <c r="G1744" t="str">
        <f t="shared" si="137"/>
        <v>J</v>
      </c>
      <c r="H1744" t="str">
        <f t="shared" si="138"/>
        <v>61</v>
      </c>
      <c r="I1744" t="str">
        <f t="shared" si="139"/>
        <v>602</v>
      </c>
      <c r="J1744" t="str">
        <f t="shared" si="140"/>
        <v>60225</v>
      </c>
      <c r="K1744" t="str">
        <f t="shared" si="136"/>
        <v/>
      </c>
    </row>
    <row r="1745" spans="3:11" x14ac:dyDescent="0.25">
      <c r="C1745" t="s">
        <v>3601</v>
      </c>
      <c r="D1745" t="s">
        <v>1864</v>
      </c>
      <c r="E1745" t="s">
        <v>1864</v>
      </c>
      <c r="F1745" t="s">
        <v>1391</v>
      </c>
      <c r="G1745" t="str">
        <f t="shared" si="137"/>
        <v>J</v>
      </c>
      <c r="H1745" t="str">
        <f t="shared" si="138"/>
        <v>61</v>
      </c>
      <c r="I1745" t="str">
        <f t="shared" si="139"/>
        <v>611</v>
      </c>
      <c r="J1745" t="str">
        <f t="shared" si="140"/>
        <v>60225</v>
      </c>
      <c r="K1745" t="str">
        <f t="shared" si="136"/>
        <v/>
      </c>
    </row>
    <row r="1746" spans="3:11" x14ac:dyDescent="0.25">
      <c r="C1746" t="s">
        <v>1864</v>
      </c>
      <c r="D1746" t="s">
        <v>3602</v>
      </c>
      <c r="E1746" t="s">
        <v>1864</v>
      </c>
      <c r="F1746" t="s">
        <v>1391</v>
      </c>
      <c r="G1746" t="str">
        <f t="shared" si="137"/>
        <v>J</v>
      </c>
      <c r="H1746" t="str">
        <f t="shared" si="138"/>
        <v>61</v>
      </c>
      <c r="I1746" t="str">
        <f t="shared" si="139"/>
        <v>611</v>
      </c>
      <c r="J1746" t="str">
        <f t="shared" si="140"/>
        <v>61108</v>
      </c>
      <c r="K1746" t="str">
        <f t="shared" si="136"/>
        <v/>
      </c>
    </row>
    <row r="1747" spans="3:11" x14ac:dyDescent="0.25">
      <c r="C1747" t="s">
        <v>1864</v>
      </c>
      <c r="D1747" t="s">
        <v>1864</v>
      </c>
      <c r="E1747" t="s">
        <v>3603</v>
      </c>
      <c r="F1747" t="s">
        <v>1392</v>
      </c>
      <c r="G1747" t="str">
        <f t="shared" si="137"/>
        <v>J</v>
      </c>
      <c r="H1747" t="str">
        <f t="shared" si="138"/>
        <v>61</v>
      </c>
      <c r="I1747" t="str">
        <f t="shared" si="139"/>
        <v>611</v>
      </c>
      <c r="J1747" t="str">
        <f t="shared" si="140"/>
        <v>61108</v>
      </c>
      <c r="K1747" t="str">
        <f t="shared" si="136"/>
        <v>6110801</v>
      </c>
    </row>
    <row r="1748" spans="3:11" x14ac:dyDescent="0.25">
      <c r="C1748" t="s">
        <v>1864</v>
      </c>
      <c r="D1748" t="s">
        <v>1864</v>
      </c>
      <c r="E1748" t="s">
        <v>3604</v>
      </c>
      <c r="F1748" t="s">
        <v>1393</v>
      </c>
      <c r="G1748" t="str">
        <f t="shared" si="137"/>
        <v>J</v>
      </c>
      <c r="H1748" t="str">
        <f t="shared" si="138"/>
        <v>61</v>
      </c>
      <c r="I1748" t="str">
        <f t="shared" si="139"/>
        <v>611</v>
      </c>
      <c r="J1748" t="str">
        <f t="shared" si="140"/>
        <v>61108</v>
      </c>
      <c r="K1748" t="str">
        <f t="shared" si="136"/>
        <v>6110802</v>
      </c>
    </row>
    <row r="1749" spans="3:11" x14ac:dyDescent="0.25">
      <c r="C1749" t="s">
        <v>1864</v>
      </c>
      <c r="D1749" t="s">
        <v>1864</v>
      </c>
      <c r="E1749" t="s">
        <v>3605</v>
      </c>
      <c r="F1749" t="s">
        <v>1394</v>
      </c>
      <c r="G1749" t="str">
        <f t="shared" si="137"/>
        <v>J</v>
      </c>
      <c r="H1749" t="str">
        <f t="shared" si="138"/>
        <v>61</v>
      </c>
      <c r="I1749" t="str">
        <f t="shared" si="139"/>
        <v>611</v>
      </c>
      <c r="J1749" t="str">
        <f t="shared" si="140"/>
        <v>61108</v>
      </c>
      <c r="K1749" t="str">
        <f t="shared" si="136"/>
        <v>6110803</v>
      </c>
    </row>
    <row r="1750" spans="3:11" x14ac:dyDescent="0.25">
      <c r="C1750" t="s">
        <v>1864</v>
      </c>
      <c r="D1750" t="s">
        <v>1864</v>
      </c>
      <c r="E1750" t="s">
        <v>3606</v>
      </c>
      <c r="F1750" t="s">
        <v>1395</v>
      </c>
      <c r="G1750" t="str">
        <f t="shared" si="137"/>
        <v>J</v>
      </c>
      <c r="H1750" t="str">
        <f t="shared" si="138"/>
        <v>61</v>
      </c>
      <c r="I1750" t="str">
        <f t="shared" si="139"/>
        <v>611</v>
      </c>
      <c r="J1750" t="str">
        <f t="shared" si="140"/>
        <v>61108</v>
      </c>
      <c r="K1750" t="str">
        <f t="shared" si="136"/>
        <v>6110899</v>
      </c>
    </row>
    <row r="1751" spans="3:11" x14ac:dyDescent="0.25">
      <c r="C1751" t="s">
        <v>3607</v>
      </c>
      <c r="D1751" t="s">
        <v>1864</v>
      </c>
      <c r="E1751" t="s">
        <v>1864</v>
      </c>
      <c r="F1751" t="s">
        <v>1396</v>
      </c>
      <c r="G1751" t="str">
        <f t="shared" si="137"/>
        <v>J</v>
      </c>
      <c r="H1751" t="str">
        <f t="shared" si="138"/>
        <v>61</v>
      </c>
      <c r="I1751" t="str">
        <f t="shared" si="139"/>
        <v>612</v>
      </c>
      <c r="J1751" t="str">
        <f t="shared" si="140"/>
        <v>61108</v>
      </c>
      <c r="K1751" t="str">
        <f t="shared" si="136"/>
        <v/>
      </c>
    </row>
    <row r="1752" spans="3:11" x14ac:dyDescent="0.25">
      <c r="C1752" t="s">
        <v>1864</v>
      </c>
      <c r="D1752" t="s">
        <v>3608</v>
      </c>
      <c r="E1752" t="s">
        <v>1864</v>
      </c>
      <c r="F1752" t="s">
        <v>1396</v>
      </c>
      <c r="G1752" t="str">
        <f t="shared" si="137"/>
        <v>J</v>
      </c>
      <c r="H1752" t="str">
        <f t="shared" si="138"/>
        <v>61</v>
      </c>
      <c r="I1752" t="str">
        <f t="shared" si="139"/>
        <v>612</v>
      </c>
      <c r="J1752" t="str">
        <f t="shared" si="140"/>
        <v>61205</v>
      </c>
      <c r="K1752" t="str">
        <f t="shared" si="136"/>
        <v/>
      </c>
    </row>
    <row r="1753" spans="3:11" x14ac:dyDescent="0.25">
      <c r="C1753" t="s">
        <v>1864</v>
      </c>
      <c r="D1753" t="s">
        <v>1864</v>
      </c>
      <c r="E1753" t="s">
        <v>3609</v>
      </c>
      <c r="F1753" t="s">
        <v>1397</v>
      </c>
      <c r="G1753" t="str">
        <f t="shared" si="137"/>
        <v>J</v>
      </c>
      <c r="H1753" t="str">
        <f t="shared" si="138"/>
        <v>61</v>
      </c>
      <c r="I1753" t="str">
        <f t="shared" si="139"/>
        <v>612</v>
      </c>
      <c r="J1753" t="str">
        <f t="shared" si="140"/>
        <v>61205</v>
      </c>
      <c r="K1753" t="str">
        <f t="shared" si="136"/>
        <v>6120501</v>
      </c>
    </row>
    <row r="1754" spans="3:11" x14ac:dyDescent="0.25">
      <c r="C1754" t="s">
        <v>1864</v>
      </c>
      <c r="D1754" t="s">
        <v>1864</v>
      </c>
      <c r="E1754" t="s">
        <v>3610</v>
      </c>
      <c r="F1754" t="s">
        <v>1398</v>
      </c>
      <c r="G1754" t="str">
        <f t="shared" si="137"/>
        <v>J</v>
      </c>
      <c r="H1754" t="str">
        <f t="shared" si="138"/>
        <v>61</v>
      </c>
      <c r="I1754" t="str">
        <f t="shared" si="139"/>
        <v>612</v>
      </c>
      <c r="J1754" t="str">
        <f t="shared" si="140"/>
        <v>61205</v>
      </c>
      <c r="K1754" t="str">
        <f t="shared" si="136"/>
        <v>6120502</v>
      </c>
    </row>
    <row r="1755" spans="3:11" x14ac:dyDescent="0.25">
      <c r="C1755" t="s">
        <v>1864</v>
      </c>
      <c r="D1755" t="s">
        <v>1864</v>
      </c>
      <c r="E1755" t="s">
        <v>3611</v>
      </c>
      <c r="F1755" t="s">
        <v>1399</v>
      </c>
      <c r="G1755" t="str">
        <f t="shared" si="137"/>
        <v>J</v>
      </c>
      <c r="H1755" t="str">
        <f t="shared" si="138"/>
        <v>61</v>
      </c>
      <c r="I1755" t="str">
        <f t="shared" si="139"/>
        <v>612</v>
      </c>
      <c r="J1755" t="str">
        <f t="shared" si="140"/>
        <v>61205</v>
      </c>
      <c r="K1755" t="str">
        <f t="shared" si="136"/>
        <v>6120599</v>
      </c>
    </row>
    <row r="1756" spans="3:11" x14ac:dyDescent="0.25">
      <c r="C1756" t="s">
        <v>3612</v>
      </c>
      <c r="D1756" t="s">
        <v>1864</v>
      </c>
      <c r="E1756" t="s">
        <v>1864</v>
      </c>
      <c r="F1756" t="s">
        <v>1400</v>
      </c>
      <c r="G1756" t="str">
        <f t="shared" si="137"/>
        <v>J</v>
      </c>
      <c r="H1756" t="str">
        <f t="shared" si="138"/>
        <v>61</v>
      </c>
      <c r="I1756" t="str">
        <f t="shared" si="139"/>
        <v>613</v>
      </c>
      <c r="J1756" t="str">
        <f t="shared" si="140"/>
        <v>61205</v>
      </c>
      <c r="K1756" t="str">
        <f t="shared" si="136"/>
        <v/>
      </c>
    </row>
    <row r="1757" spans="3:11" x14ac:dyDescent="0.25">
      <c r="C1757" t="s">
        <v>1864</v>
      </c>
      <c r="D1757" t="s">
        <v>3613</v>
      </c>
      <c r="E1757" t="s">
        <v>1864</v>
      </c>
      <c r="F1757" t="s">
        <v>1400</v>
      </c>
      <c r="G1757" t="str">
        <f t="shared" si="137"/>
        <v>J</v>
      </c>
      <c r="H1757" t="str">
        <f t="shared" si="138"/>
        <v>61</v>
      </c>
      <c r="I1757" t="str">
        <f t="shared" si="139"/>
        <v>613</v>
      </c>
      <c r="J1757" t="str">
        <f t="shared" si="140"/>
        <v>61302</v>
      </c>
      <c r="K1757" t="str">
        <f t="shared" si="136"/>
        <v/>
      </c>
    </row>
    <row r="1758" spans="3:11" x14ac:dyDescent="0.25">
      <c r="C1758" t="s">
        <v>1864</v>
      </c>
      <c r="D1758" t="s">
        <v>1864</v>
      </c>
      <c r="E1758" t="s">
        <v>3614</v>
      </c>
      <c r="F1758" t="s">
        <v>1400</v>
      </c>
      <c r="G1758" t="str">
        <f t="shared" si="137"/>
        <v>J</v>
      </c>
      <c r="H1758" t="str">
        <f t="shared" si="138"/>
        <v>61</v>
      </c>
      <c r="I1758" t="str">
        <f t="shared" si="139"/>
        <v>613</v>
      </c>
      <c r="J1758" t="str">
        <f t="shared" si="140"/>
        <v>61302</v>
      </c>
      <c r="K1758" t="str">
        <f t="shared" si="136"/>
        <v>6130200</v>
      </c>
    </row>
    <row r="1759" spans="3:11" x14ac:dyDescent="0.25">
      <c r="C1759" t="s">
        <v>3615</v>
      </c>
      <c r="D1759" t="s">
        <v>1864</v>
      </c>
      <c r="E1759" t="s">
        <v>1864</v>
      </c>
      <c r="F1759" t="s">
        <v>1401</v>
      </c>
      <c r="G1759" t="str">
        <f t="shared" si="137"/>
        <v>J</v>
      </c>
      <c r="H1759" t="str">
        <f t="shared" si="138"/>
        <v>61</v>
      </c>
      <c r="I1759" t="str">
        <f t="shared" si="139"/>
        <v>614</v>
      </c>
      <c r="J1759" t="str">
        <f t="shared" si="140"/>
        <v>61302</v>
      </c>
      <c r="K1759" t="str">
        <f t="shared" si="136"/>
        <v/>
      </c>
    </row>
    <row r="1760" spans="3:11" x14ac:dyDescent="0.25">
      <c r="C1760" t="s">
        <v>1864</v>
      </c>
      <c r="D1760" t="s">
        <v>3616</v>
      </c>
      <c r="E1760" t="s">
        <v>1864</v>
      </c>
      <c r="F1760" t="s">
        <v>1402</v>
      </c>
      <c r="G1760" t="str">
        <f t="shared" si="137"/>
        <v>J</v>
      </c>
      <c r="H1760" t="str">
        <f t="shared" si="138"/>
        <v>61</v>
      </c>
      <c r="I1760" t="str">
        <f t="shared" si="139"/>
        <v>614</v>
      </c>
      <c r="J1760" t="str">
        <f t="shared" si="140"/>
        <v>61418</v>
      </c>
      <c r="K1760" t="str">
        <f t="shared" si="136"/>
        <v/>
      </c>
    </row>
    <row r="1761" spans="2:11" x14ac:dyDescent="0.25">
      <c r="C1761" t="s">
        <v>1864</v>
      </c>
      <c r="D1761" t="s">
        <v>1864</v>
      </c>
      <c r="E1761" t="s">
        <v>3617</v>
      </c>
      <c r="F1761" t="s">
        <v>1402</v>
      </c>
      <c r="G1761" t="str">
        <f t="shared" si="137"/>
        <v>J</v>
      </c>
      <c r="H1761" t="str">
        <f t="shared" si="138"/>
        <v>61</v>
      </c>
      <c r="I1761" t="str">
        <f t="shared" si="139"/>
        <v>614</v>
      </c>
      <c r="J1761" t="str">
        <f t="shared" si="140"/>
        <v>61418</v>
      </c>
      <c r="K1761" t="str">
        <f t="shared" si="136"/>
        <v>6141800</v>
      </c>
    </row>
    <row r="1762" spans="2:11" x14ac:dyDescent="0.25">
      <c r="C1762" t="s">
        <v>1864</v>
      </c>
      <c r="D1762" t="s">
        <v>3618</v>
      </c>
      <c r="E1762" t="s">
        <v>1864</v>
      </c>
      <c r="F1762" t="s">
        <v>1403</v>
      </c>
      <c r="G1762" t="str">
        <f t="shared" si="137"/>
        <v>J</v>
      </c>
      <c r="H1762" t="str">
        <f t="shared" si="138"/>
        <v>61</v>
      </c>
      <c r="I1762" t="str">
        <f t="shared" si="139"/>
        <v>614</v>
      </c>
      <c r="J1762" t="str">
        <f t="shared" si="140"/>
        <v>61426</v>
      </c>
      <c r="K1762" t="str">
        <f t="shared" si="136"/>
        <v/>
      </c>
    </row>
    <row r="1763" spans="2:11" x14ac:dyDescent="0.25">
      <c r="C1763" t="s">
        <v>1864</v>
      </c>
      <c r="D1763" t="s">
        <v>1864</v>
      </c>
      <c r="E1763" t="s">
        <v>3619</v>
      </c>
      <c r="F1763" t="s">
        <v>1403</v>
      </c>
      <c r="G1763" t="str">
        <f t="shared" si="137"/>
        <v>J</v>
      </c>
      <c r="H1763" t="str">
        <f t="shared" si="138"/>
        <v>61</v>
      </c>
      <c r="I1763" t="str">
        <f t="shared" si="139"/>
        <v>614</v>
      </c>
      <c r="J1763" t="str">
        <f t="shared" si="140"/>
        <v>61426</v>
      </c>
      <c r="K1763" t="str">
        <f t="shared" si="136"/>
        <v>6142600</v>
      </c>
    </row>
    <row r="1764" spans="2:11" x14ac:dyDescent="0.25">
      <c r="C1764" t="s">
        <v>1864</v>
      </c>
      <c r="D1764" t="s">
        <v>3620</v>
      </c>
      <c r="E1764" t="s">
        <v>1864</v>
      </c>
      <c r="F1764" t="s">
        <v>1404</v>
      </c>
      <c r="G1764" t="str">
        <f t="shared" si="137"/>
        <v>J</v>
      </c>
      <c r="H1764" t="str">
        <f t="shared" si="138"/>
        <v>61</v>
      </c>
      <c r="I1764" t="str">
        <f t="shared" si="139"/>
        <v>614</v>
      </c>
      <c r="J1764" t="str">
        <f t="shared" si="140"/>
        <v>61434</v>
      </c>
      <c r="K1764" t="str">
        <f t="shared" si="136"/>
        <v/>
      </c>
    </row>
    <row r="1765" spans="2:11" x14ac:dyDescent="0.25">
      <c r="C1765" t="s">
        <v>1864</v>
      </c>
      <c r="D1765" t="s">
        <v>1864</v>
      </c>
      <c r="E1765" t="s">
        <v>3621</v>
      </c>
      <c r="F1765" t="s">
        <v>1404</v>
      </c>
      <c r="G1765" t="str">
        <f t="shared" si="137"/>
        <v>J</v>
      </c>
      <c r="H1765" t="str">
        <f t="shared" si="138"/>
        <v>61</v>
      </c>
      <c r="I1765" t="str">
        <f t="shared" si="139"/>
        <v>614</v>
      </c>
      <c r="J1765" t="str">
        <f t="shared" si="140"/>
        <v>61434</v>
      </c>
      <c r="K1765" t="str">
        <f t="shared" si="136"/>
        <v>6143400</v>
      </c>
    </row>
    <row r="1766" spans="2:11" x14ac:dyDescent="0.25">
      <c r="C1766" t="s">
        <v>3622</v>
      </c>
      <c r="D1766" t="s">
        <v>1864</v>
      </c>
      <c r="E1766" t="s">
        <v>1864</v>
      </c>
      <c r="F1766" t="s">
        <v>1405</v>
      </c>
      <c r="G1766" t="str">
        <f t="shared" si="137"/>
        <v>J</v>
      </c>
      <c r="H1766" t="str">
        <f t="shared" si="138"/>
        <v>61</v>
      </c>
      <c r="I1766" t="str">
        <f t="shared" si="139"/>
        <v>619</v>
      </c>
      <c r="J1766" t="str">
        <f t="shared" si="140"/>
        <v>61434</v>
      </c>
      <c r="K1766" t="str">
        <f t="shared" si="136"/>
        <v/>
      </c>
    </row>
    <row r="1767" spans="2:11" x14ac:dyDescent="0.25">
      <c r="C1767" t="s">
        <v>1864</v>
      </c>
      <c r="D1767" t="s">
        <v>3623</v>
      </c>
      <c r="E1767" t="s">
        <v>1864</v>
      </c>
      <c r="F1767" t="s">
        <v>1405</v>
      </c>
      <c r="G1767" t="str">
        <f t="shared" si="137"/>
        <v>J</v>
      </c>
      <c r="H1767" t="str">
        <f t="shared" si="138"/>
        <v>61</v>
      </c>
      <c r="I1767" t="str">
        <f t="shared" si="139"/>
        <v>619</v>
      </c>
      <c r="J1767" t="str">
        <f t="shared" si="140"/>
        <v>61906</v>
      </c>
      <c r="K1767" t="str">
        <f t="shared" si="136"/>
        <v/>
      </c>
    </row>
    <row r="1768" spans="2:11" x14ac:dyDescent="0.25">
      <c r="C1768" t="s">
        <v>1864</v>
      </c>
      <c r="D1768" t="s">
        <v>1864</v>
      </c>
      <c r="E1768" t="s">
        <v>3624</v>
      </c>
      <c r="F1768" t="s">
        <v>1406</v>
      </c>
      <c r="G1768" t="str">
        <f t="shared" si="137"/>
        <v>J</v>
      </c>
      <c r="H1768" t="str">
        <f t="shared" si="138"/>
        <v>61</v>
      </c>
      <c r="I1768" t="str">
        <f t="shared" si="139"/>
        <v>619</v>
      </c>
      <c r="J1768" t="str">
        <f t="shared" si="140"/>
        <v>61906</v>
      </c>
      <c r="K1768" t="str">
        <f t="shared" si="136"/>
        <v>6190601</v>
      </c>
    </row>
    <row r="1769" spans="2:11" x14ac:dyDescent="0.25">
      <c r="C1769" t="s">
        <v>1864</v>
      </c>
      <c r="D1769" t="s">
        <v>1864</v>
      </c>
      <c r="E1769" t="s">
        <v>3625</v>
      </c>
      <c r="F1769" t="s">
        <v>1407</v>
      </c>
      <c r="G1769" t="str">
        <f t="shared" si="137"/>
        <v>J</v>
      </c>
      <c r="H1769" t="str">
        <f t="shared" si="138"/>
        <v>61</v>
      </c>
      <c r="I1769" t="str">
        <f t="shared" si="139"/>
        <v>619</v>
      </c>
      <c r="J1769" t="str">
        <f t="shared" si="140"/>
        <v>61906</v>
      </c>
      <c r="K1769" t="str">
        <f t="shared" si="136"/>
        <v>6190602</v>
      </c>
    </row>
    <row r="1770" spans="2:11" x14ac:dyDescent="0.25">
      <c r="C1770" t="s">
        <v>1864</v>
      </c>
      <c r="D1770" t="s">
        <v>1864</v>
      </c>
      <c r="E1770" t="s">
        <v>3626</v>
      </c>
      <c r="F1770" t="s">
        <v>1408</v>
      </c>
      <c r="G1770" t="str">
        <f t="shared" si="137"/>
        <v>J</v>
      </c>
      <c r="H1770" t="str">
        <f t="shared" si="138"/>
        <v>61</v>
      </c>
      <c r="I1770" t="str">
        <f t="shared" si="139"/>
        <v>619</v>
      </c>
      <c r="J1770" t="str">
        <f t="shared" si="140"/>
        <v>61906</v>
      </c>
      <c r="K1770" t="str">
        <f t="shared" si="136"/>
        <v>6190699</v>
      </c>
    </row>
    <row r="1771" spans="2:11" x14ac:dyDescent="0.25">
      <c r="B1771" t="s">
        <v>3627</v>
      </c>
      <c r="C1771" t="s">
        <v>1864</v>
      </c>
      <c r="D1771" t="s">
        <v>1864</v>
      </c>
      <c r="E1771" t="s">
        <v>1864</v>
      </c>
      <c r="F1771" t="s">
        <v>1409</v>
      </c>
      <c r="G1771" t="str">
        <f t="shared" si="137"/>
        <v>J</v>
      </c>
      <c r="H1771" t="str">
        <f t="shared" si="138"/>
        <v>62</v>
      </c>
      <c r="I1771" t="str">
        <f t="shared" si="139"/>
        <v>619</v>
      </c>
      <c r="J1771" t="str">
        <f t="shared" si="140"/>
        <v>61906</v>
      </c>
      <c r="K1771" t="str">
        <f t="shared" si="136"/>
        <v/>
      </c>
    </row>
    <row r="1772" spans="2:11" x14ac:dyDescent="0.25">
      <c r="C1772" t="s">
        <v>3628</v>
      </c>
      <c r="D1772" t="s">
        <v>1864</v>
      </c>
      <c r="E1772" t="s">
        <v>1864</v>
      </c>
      <c r="F1772" t="s">
        <v>1410</v>
      </c>
      <c r="G1772" t="str">
        <f t="shared" si="137"/>
        <v>J</v>
      </c>
      <c r="H1772" t="str">
        <f t="shared" si="138"/>
        <v>62</v>
      </c>
      <c r="I1772" t="str">
        <f t="shared" si="139"/>
        <v>620</v>
      </c>
      <c r="J1772" t="str">
        <f t="shared" si="140"/>
        <v>61906</v>
      </c>
      <c r="K1772" t="str">
        <f t="shared" si="136"/>
        <v/>
      </c>
    </row>
    <row r="1773" spans="2:11" x14ac:dyDescent="0.25">
      <c r="C1773" t="s">
        <v>1864</v>
      </c>
      <c r="D1773" t="s">
        <v>3629</v>
      </c>
      <c r="E1773" t="s">
        <v>1864</v>
      </c>
      <c r="F1773" t="s">
        <v>1411</v>
      </c>
      <c r="G1773" t="str">
        <f t="shared" si="137"/>
        <v>J</v>
      </c>
      <c r="H1773" t="str">
        <f t="shared" si="138"/>
        <v>62</v>
      </c>
      <c r="I1773" t="str">
        <f t="shared" si="139"/>
        <v>620</v>
      </c>
      <c r="J1773" t="str">
        <f t="shared" si="140"/>
        <v>62015</v>
      </c>
      <c r="K1773" t="str">
        <f t="shared" si="136"/>
        <v/>
      </c>
    </row>
    <row r="1774" spans="2:11" x14ac:dyDescent="0.25">
      <c r="C1774" t="s">
        <v>1864</v>
      </c>
      <c r="D1774" t="s">
        <v>1864</v>
      </c>
      <c r="E1774" t="s">
        <v>3630</v>
      </c>
      <c r="F1774" t="s">
        <v>1411</v>
      </c>
      <c r="G1774" t="str">
        <f t="shared" si="137"/>
        <v>J</v>
      </c>
      <c r="H1774" t="str">
        <f t="shared" si="138"/>
        <v>62</v>
      </c>
      <c r="I1774" t="str">
        <f t="shared" si="139"/>
        <v>620</v>
      </c>
      <c r="J1774" t="str">
        <f t="shared" si="140"/>
        <v>62015</v>
      </c>
      <c r="K1774" t="str">
        <f t="shared" si="136"/>
        <v>6201501</v>
      </c>
    </row>
    <row r="1775" spans="2:11" x14ac:dyDescent="0.25">
      <c r="C1775" t="s">
        <v>1864</v>
      </c>
      <c r="D1775" t="s">
        <v>1864</v>
      </c>
      <c r="E1775" t="s">
        <v>3631</v>
      </c>
      <c r="F1775" t="s">
        <v>1412</v>
      </c>
      <c r="G1775" t="str">
        <f t="shared" si="137"/>
        <v>J</v>
      </c>
      <c r="H1775" t="str">
        <f t="shared" si="138"/>
        <v>62</v>
      </c>
      <c r="I1775" t="str">
        <f t="shared" si="139"/>
        <v>620</v>
      </c>
      <c r="J1775" t="str">
        <f t="shared" si="140"/>
        <v>62015</v>
      </c>
      <c r="K1775" t="str">
        <f t="shared" si="136"/>
        <v>6201502</v>
      </c>
    </row>
    <row r="1776" spans="2:11" x14ac:dyDescent="0.25">
      <c r="C1776" t="s">
        <v>1864</v>
      </c>
      <c r="D1776" t="s">
        <v>3632</v>
      </c>
      <c r="E1776" t="s">
        <v>1864</v>
      </c>
      <c r="F1776" t="s">
        <v>1413</v>
      </c>
      <c r="G1776" t="str">
        <f t="shared" si="137"/>
        <v>J</v>
      </c>
      <c r="H1776" t="str">
        <f t="shared" si="138"/>
        <v>62</v>
      </c>
      <c r="I1776" t="str">
        <f t="shared" si="139"/>
        <v>620</v>
      </c>
      <c r="J1776" t="str">
        <f t="shared" si="140"/>
        <v>62023</v>
      </c>
      <c r="K1776" t="str">
        <f t="shared" si="136"/>
        <v/>
      </c>
    </row>
    <row r="1777" spans="2:11" x14ac:dyDescent="0.25">
      <c r="C1777" t="s">
        <v>1864</v>
      </c>
      <c r="D1777" t="s">
        <v>1864</v>
      </c>
      <c r="E1777" t="s">
        <v>3633</v>
      </c>
      <c r="F1777" t="s">
        <v>1413</v>
      </c>
      <c r="G1777" t="str">
        <f t="shared" si="137"/>
        <v>J</v>
      </c>
      <c r="H1777" t="str">
        <f t="shared" si="138"/>
        <v>62</v>
      </c>
      <c r="I1777" t="str">
        <f t="shared" si="139"/>
        <v>620</v>
      </c>
      <c r="J1777" t="str">
        <f t="shared" si="140"/>
        <v>62023</v>
      </c>
      <c r="K1777" t="str">
        <f t="shared" si="136"/>
        <v>6202300</v>
      </c>
    </row>
    <row r="1778" spans="2:11" x14ac:dyDescent="0.25">
      <c r="C1778" t="s">
        <v>1864</v>
      </c>
      <c r="D1778" t="s">
        <v>3634</v>
      </c>
      <c r="E1778" t="s">
        <v>1864</v>
      </c>
      <c r="F1778" t="s">
        <v>1414</v>
      </c>
      <c r="G1778" t="str">
        <f t="shared" si="137"/>
        <v>J</v>
      </c>
      <c r="H1778" t="str">
        <f t="shared" si="138"/>
        <v>62</v>
      </c>
      <c r="I1778" t="str">
        <f t="shared" si="139"/>
        <v>620</v>
      </c>
      <c r="J1778" t="str">
        <f t="shared" si="140"/>
        <v>62031</v>
      </c>
      <c r="K1778" t="str">
        <f t="shared" si="136"/>
        <v/>
      </c>
    </row>
    <row r="1779" spans="2:11" x14ac:dyDescent="0.25">
      <c r="C1779" t="s">
        <v>1864</v>
      </c>
      <c r="D1779" t="s">
        <v>1864</v>
      </c>
      <c r="E1779" t="s">
        <v>3635</v>
      </c>
      <c r="F1779" t="s">
        <v>1414</v>
      </c>
      <c r="G1779" t="str">
        <f t="shared" si="137"/>
        <v>J</v>
      </c>
      <c r="H1779" t="str">
        <f t="shared" si="138"/>
        <v>62</v>
      </c>
      <c r="I1779" t="str">
        <f t="shared" si="139"/>
        <v>620</v>
      </c>
      <c r="J1779" t="str">
        <f t="shared" si="140"/>
        <v>62031</v>
      </c>
      <c r="K1779" t="str">
        <f t="shared" si="136"/>
        <v>6203100</v>
      </c>
    </row>
    <row r="1780" spans="2:11" x14ac:dyDescent="0.25">
      <c r="C1780" t="s">
        <v>1864</v>
      </c>
      <c r="D1780" t="s">
        <v>3636</v>
      </c>
      <c r="E1780" t="s">
        <v>1864</v>
      </c>
      <c r="F1780" t="s">
        <v>1415</v>
      </c>
      <c r="G1780" t="str">
        <f t="shared" si="137"/>
        <v>J</v>
      </c>
      <c r="H1780" t="str">
        <f t="shared" si="138"/>
        <v>62</v>
      </c>
      <c r="I1780" t="str">
        <f t="shared" si="139"/>
        <v>620</v>
      </c>
      <c r="J1780" t="str">
        <f t="shared" si="140"/>
        <v>62040</v>
      </c>
      <c r="K1780" t="str">
        <f t="shared" si="136"/>
        <v/>
      </c>
    </row>
    <row r="1781" spans="2:11" x14ac:dyDescent="0.25">
      <c r="C1781" t="s">
        <v>1864</v>
      </c>
      <c r="D1781" t="s">
        <v>1864</v>
      </c>
      <c r="E1781" t="s">
        <v>3637</v>
      </c>
      <c r="F1781" t="s">
        <v>1415</v>
      </c>
      <c r="G1781" t="str">
        <f t="shared" si="137"/>
        <v>J</v>
      </c>
      <c r="H1781" t="str">
        <f t="shared" si="138"/>
        <v>62</v>
      </c>
      <c r="I1781" t="str">
        <f t="shared" si="139"/>
        <v>620</v>
      </c>
      <c r="J1781" t="str">
        <f t="shared" si="140"/>
        <v>62040</v>
      </c>
      <c r="K1781" t="str">
        <f t="shared" si="136"/>
        <v>6204000</v>
      </c>
    </row>
    <row r="1782" spans="2:11" x14ac:dyDescent="0.25">
      <c r="C1782" t="s">
        <v>1864</v>
      </c>
      <c r="D1782" t="s">
        <v>3638</v>
      </c>
      <c r="E1782" t="s">
        <v>1864</v>
      </c>
      <c r="F1782" t="s">
        <v>1416</v>
      </c>
      <c r="G1782" t="str">
        <f t="shared" si="137"/>
        <v>J</v>
      </c>
      <c r="H1782" t="str">
        <f t="shared" si="138"/>
        <v>62</v>
      </c>
      <c r="I1782" t="str">
        <f t="shared" si="139"/>
        <v>620</v>
      </c>
      <c r="J1782" t="str">
        <f t="shared" si="140"/>
        <v>62091</v>
      </c>
      <c r="K1782" t="str">
        <f t="shared" si="136"/>
        <v/>
      </c>
    </row>
    <row r="1783" spans="2:11" x14ac:dyDescent="0.25">
      <c r="C1783" t="s">
        <v>1864</v>
      </c>
      <c r="D1783" t="s">
        <v>1864</v>
      </c>
      <c r="E1783" t="s">
        <v>3639</v>
      </c>
      <c r="F1783" t="s">
        <v>1416</v>
      </c>
      <c r="G1783" t="str">
        <f t="shared" si="137"/>
        <v>J</v>
      </c>
      <c r="H1783" t="str">
        <f t="shared" si="138"/>
        <v>62</v>
      </c>
      <c r="I1783" t="str">
        <f t="shared" si="139"/>
        <v>620</v>
      </c>
      <c r="J1783" t="str">
        <f t="shared" si="140"/>
        <v>62091</v>
      </c>
      <c r="K1783" t="str">
        <f t="shared" si="136"/>
        <v>6209100</v>
      </c>
    </row>
    <row r="1784" spans="2:11" x14ac:dyDescent="0.25">
      <c r="B1784">
        <v>63</v>
      </c>
      <c r="C1784" t="s">
        <v>1864</v>
      </c>
      <c r="D1784" t="s">
        <v>1864</v>
      </c>
      <c r="E1784" t="s">
        <v>1864</v>
      </c>
      <c r="F1784" t="s">
        <v>1417</v>
      </c>
      <c r="G1784" t="str">
        <f t="shared" si="137"/>
        <v>J</v>
      </c>
      <c r="H1784">
        <f t="shared" si="138"/>
        <v>63</v>
      </c>
      <c r="I1784" t="str">
        <f t="shared" si="139"/>
        <v>620</v>
      </c>
      <c r="J1784" t="str">
        <f t="shared" si="140"/>
        <v>62091</v>
      </c>
      <c r="K1784" t="str">
        <f t="shared" si="136"/>
        <v/>
      </c>
    </row>
    <row r="1785" spans="2:11" x14ac:dyDescent="0.25">
      <c r="C1785" t="s">
        <v>3640</v>
      </c>
      <c r="D1785" t="s">
        <v>1864</v>
      </c>
      <c r="E1785" t="s">
        <v>1864</v>
      </c>
      <c r="F1785" t="s">
        <v>1418</v>
      </c>
      <c r="G1785" t="str">
        <f t="shared" si="137"/>
        <v>J</v>
      </c>
      <c r="H1785">
        <f t="shared" si="138"/>
        <v>63</v>
      </c>
      <c r="I1785" t="str">
        <f t="shared" si="139"/>
        <v>631</v>
      </c>
      <c r="J1785" t="str">
        <f t="shared" si="140"/>
        <v>62091</v>
      </c>
      <c r="K1785" t="str">
        <f t="shared" si="136"/>
        <v/>
      </c>
    </row>
    <row r="1786" spans="2:11" x14ac:dyDescent="0.25">
      <c r="C1786" t="s">
        <v>1864</v>
      </c>
      <c r="D1786" t="s">
        <v>3641</v>
      </c>
      <c r="E1786" t="s">
        <v>1864</v>
      </c>
      <c r="F1786" t="s">
        <v>1419</v>
      </c>
      <c r="G1786" t="str">
        <f t="shared" si="137"/>
        <v>J</v>
      </c>
      <c r="H1786">
        <f t="shared" si="138"/>
        <v>63</v>
      </c>
      <c r="I1786" t="str">
        <f t="shared" si="139"/>
        <v>631</v>
      </c>
      <c r="J1786" t="str">
        <f t="shared" si="140"/>
        <v>63119</v>
      </c>
      <c r="K1786" t="str">
        <f t="shared" si="136"/>
        <v/>
      </c>
    </row>
    <row r="1787" spans="2:11" x14ac:dyDescent="0.25">
      <c r="C1787" t="s">
        <v>1864</v>
      </c>
      <c r="D1787" t="s">
        <v>1864</v>
      </c>
      <c r="E1787" t="s">
        <v>3642</v>
      </c>
      <c r="F1787" t="s">
        <v>1419</v>
      </c>
      <c r="G1787" t="str">
        <f t="shared" si="137"/>
        <v>J</v>
      </c>
      <c r="H1787">
        <f t="shared" si="138"/>
        <v>63</v>
      </c>
      <c r="I1787" t="str">
        <f t="shared" si="139"/>
        <v>631</v>
      </c>
      <c r="J1787" t="str">
        <f t="shared" si="140"/>
        <v>63119</v>
      </c>
      <c r="K1787" t="str">
        <f t="shared" si="136"/>
        <v>6311900</v>
      </c>
    </row>
    <row r="1788" spans="2:11" x14ac:dyDescent="0.25">
      <c r="C1788" t="s">
        <v>1864</v>
      </c>
      <c r="D1788" t="s">
        <v>3643</v>
      </c>
      <c r="E1788" t="s">
        <v>1864</v>
      </c>
      <c r="F1788" t="s">
        <v>1420</v>
      </c>
      <c r="G1788" t="str">
        <f t="shared" si="137"/>
        <v>J</v>
      </c>
      <c r="H1788">
        <f t="shared" si="138"/>
        <v>63</v>
      </c>
      <c r="I1788" t="str">
        <f t="shared" si="139"/>
        <v>631</v>
      </c>
      <c r="J1788" t="str">
        <f t="shared" si="140"/>
        <v>63194</v>
      </c>
      <c r="K1788" t="str">
        <f t="shared" si="136"/>
        <v/>
      </c>
    </row>
    <row r="1789" spans="2:11" x14ac:dyDescent="0.25">
      <c r="C1789" t="s">
        <v>1864</v>
      </c>
      <c r="D1789" t="s">
        <v>1864</v>
      </c>
      <c r="E1789" t="s">
        <v>3644</v>
      </c>
      <c r="F1789" t="s">
        <v>1420</v>
      </c>
      <c r="G1789" t="str">
        <f t="shared" si="137"/>
        <v>J</v>
      </c>
      <c r="H1789">
        <f t="shared" si="138"/>
        <v>63</v>
      </c>
      <c r="I1789" t="str">
        <f t="shared" si="139"/>
        <v>631</v>
      </c>
      <c r="J1789" t="str">
        <f t="shared" si="140"/>
        <v>63194</v>
      </c>
      <c r="K1789" t="str">
        <f t="shared" si="136"/>
        <v>6319400</v>
      </c>
    </row>
    <row r="1790" spans="2:11" x14ac:dyDescent="0.25">
      <c r="C1790" t="s">
        <v>3645</v>
      </c>
      <c r="D1790" t="s">
        <v>1864</v>
      </c>
      <c r="E1790" t="s">
        <v>1864</v>
      </c>
      <c r="F1790" t="s">
        <v>1421</v>
      </c>
      <c r="G1790" t="str">
        <f t="shared" si="137"/>
        <v>J</v>
      </c>
      <c r="H1790">
        <f t="shared" si="138"/>
        <v>63</v>
      </c>
      <c r="I1790" t="str">
        <f t="shared" si="139"/>
        <v>639</v>
      </c>
      <c r="J1790" t="str">
        <f t="shared" si="140"/>
        <v>63194</v>
      </c>
      <c r="K1790" t="str">
        <f t="shared" si="136"/>
        <v/>
      </c>
    </row>
    <row r="1791" spans="2:11" x14ac:dyDescent="0.25">
      <c r="C1791" t="s">
        <v>1864</v>
      </c>
      <c r="D1791" t="s">
        <v>3646</v>
      </c>
      <c r="E1791" t="s">
        <v>1864</v>
      </c>
      <c r="F1791" t="s">
        <v>1422</v>
      </c>
      <c r="G1791" t="str">
        <f t="shared" si="137"/>
        <v>J</v>
      </c>
      <c r="H1791">
        <f t="shared" si="138"/>
        <v>63</v>
      </c>
      <c r="I1791" t="str">
        <f t="shared" si="139"/>
        <v>639</v>
      </c>
      <c r="J1791" t="str">
        <f t="shared" si="140"/>
        <v>63917</v>
      </c>
      <c r="K1791" t="str">
        <f t="shared" si="136"/>
        <v/>
      </c>
    </row>
    <row r="1792" spans="2:11" x14ac:dyDescent="0.25">
      <c r="C1792" t="s">
        <v>1864</v>
      </c>
      <c r="D1792" t="s">
        <v>1864</v>
      </c>
      <c r="E1792" t="s">
        <v>3647</v>
      </c>
      <c r="F1792" t="s">
        <v>1422</v>
      </c>
      <c r="G1792" t="str">
        <f t="shared" si="137"/>
        <v>J</v>
      </c>
      <c r="H1792">
        <f t="shared" si="138"/>
        <v>63</v>
      </c>
      <c r="I1792" t="str">
        <f t="shared" si="139"/>
        <v>639</v>
      </c>
      <c r="J1792" t="str">
        <f t="shared" si="140"/>
        <v>63917</v>
      </c>
      <c r="K1792" t="str">
        <f t="shared" si="136"/>
        <v>6391700</v>
      </c>
    </row>
    <row r="1793" spans="1:11" x14ac:dyDescent="0.25">
      <c r="C1793" t="s">
        <v>1864</v>
      </c>
      <c r="D1793" t="s">
        <v>3648</v>
      </c>
      <c r="E1793" t="s">
        <v>1864</v>
      </c>
      <c r="F1793" t="s">
        <v>1423</v>
      </c>
      <c r="G1793" t="str">
        <f t="shared" si="137"/>
        <v>J</v>
      </c>
      <c r="H1793">
        <f t="shared" si="138"/>
        <v>63</v>
      </c>
      <c r="I1793" t="str">
        <f t="shared" si="139"/>
        <v>639</v>
      </c>
      <c r="J1793" t="str">
        <f t="shared" si="140"/>
        <v>63992</v>
      </c>
      <c r="K1793" t="str">
        <f t="shared" si="136"/>
        <v/>
      </c>
    </row>
    <row r="1794" spans="1:11" x14ac:dyDescent="0.25">
      <c r="C1794" t="s">
        <v>1864</v>
      </c>
      <c r="D1794" t="s">
        <v>1864</v>
      </c>
      <c r="E1794" t="s">
        <v>3649</v>
      </c>
      <c r="F1794" t="s">
        <v>1423</v>
      </c>
      <c r="G1794" t="str">
        <f t="shared" si="137"/>
        <v>J</v>
      </c>
      <c r="H1794">
        <f t="shared" si="138"/>
        <v>63</v>
      </c>
      <c r="I1794" t="str">
        <f t="shared" si="139"/>
        <v>639</v>
      </c>
      <c r="J1794" t="str">
        <f t="shared" si="140"/>
        <v>63992</v>
      </c>
      <c r="K1794" t="str">
        <f t="shared" si="136"/>
        <v>6399200</v>
      </c>
    </row>
    <row r="1795" spans="1:11" x14ac:dyDescent="0.25">
      <c r="A1795" t="s">
        <v>3650</v>
      </c>
      <c r="C1795" t="s">
        <v>1864</v>
      </c>
      <c r="D1795" t="s">
        <v>1864</v>
      </c>
      <c r="E1795" t="s">
        <v>1864</v>
      </c>
      <c r="F1795" t="s">
        <v>1424</v>
      </c>
      <c r="G1795" t="str">
        <f t="shared" si="137"/>
        <v>K</v>
      </c>
      <c r="H1795">
        <f t="shared" si="138"/>
        <v>63</v>
      </c>
      <c r="I1795" t="str">
        <f t="shared" si="139"/>
        <v>639</v>
      </c>
      <c r="J1795" t="str">
        <f t="shared" si="140"/>
        <v>63992</v>
      </c>
      <c r="K1795" t="str">
        <f t="shared" si="136"/>
        <v/>
      </c>
    </row>
    <row r="1796" spans="1:11" x14ac:dyDescent="0.25">
      <c r="B1796" t="s">
        <v>3651</v>
      </c>
      <c r="C1796" t="s">
        <v>1864</v>
      </c>
      <c r="D1796" t="s">
        <v>1864</v>
      </c>
      <c r="E1796" t="s">
        <v>1864</v>
      </c>
      <c r="F1796" t="s">
        <v>1425</v>
      </c>
      <c r="G1796" t="str">
        <f t="shared" si="137"/>
        <v>K</v>
      </c>
      <c r="H1796" t="str">
        <f t="shared" si="138"/>
        <v>64</v>
      </c>
      <c r="I1796" t="str">
        <f t="shared" si="139"/>
        <v>639</v>
      </c>
      <c r="J1796" t="str">
        <f t="shared" si="140"/>
        <v>63992</v>
      </c>
      <c r="K1796" t="str">
        <f t="shared" si="136"/>
        <v/>
      </c>
    </row>
    <row r="1797" spans="1:11" x14ac:dyDescent="0.25">
      <c r="C1797" t="s">
        <v>3652</v>
      </c>
      <c r="D1797" t="s">
        <v>1864</v>
      </c>
      <c r="E1797" t="s">
        <v>1864</v>
      </c>
      <c r="F1797" t="s">
        <v>1426</v>
      </c>
      <c r="G1797" t="str">
        <f t="shared" si="137"/>
        <v>K</v>
      </c>
      <c r="H1797" t="str">
        <f t="shared" si="138"/>
        <v>64</v>
      </c>
      <c r="I1797" t="str">
        <f t="shared" si="139"/>
        <v>641</v>
      </c>
      <c r="J1797" t="str">
        <f t="shared" si="140"/>
        <v>63992</v>
      </c>
      <c r="K1797" t="str">
        <f t="shared" si="136"/>
        <v/>
      </c>
    </row>
    <row r="1798" spans="1:11" x14ac:dyDescent="0.25">
      <c r="C1798" t="s">
        <v>1864</v>
      </c>
      <c r="D1798" t="s">
        <v>3653</v>
      </c>
      <c r="E1798" t="s">
        <v>1864</v>
      </c>
      <c r="F1798" t="s">
        <v>1426</v>
      </c>
      <c r="G1798" t="str">
        <f t="shared" si="137"/>
        <v>K</v>
      </c>
      <c r="H1798" t="str">
        <f t="shared" si="138"/>
        <v>64</v>
      </c>
      <c r="I1798" t="str">
        <f t="shared" si="139"/>
        <v>641</v>
      </c>
      <c r="J1798" t="str">
        <f t="shared" si="140"/>
        <v>64107</v>
      </c>
      <c r="K1798" t="str">
        <f t="shared" si="136"/>
        <v/>
      </c>
    </row>
    <row r="1799" spans="1:11" x14ac:dyDescent="0.25">
      <c r="C1799" t="s">
        <v>1864</v>
      </c>
      <c r="D1799" t="s">
        <v>1864</v>
      </c>
      <c r="E1799" t="s">
        <v>3654</v>
      </c>
      <c r="F1799" t="s">
        <v>1426</v>
      </c>
      <c r="G1799" t="str">
        <f t="shared" si="137"/>
        <v>K</v>
      </c>
      <c r="H1799" t="str">
        <f t="shared" si="138"/>
        <v>64</v>
      </c>
      <c r="I1799" t="str">
        <f t="shared" si="139"/>
        <v>641</v>
      </c>
      <c r="J1799" t="str">
        <f t="shared" si="140"/>
        <v>64107</v>
      </c>
      <c r="K1799" t="str">
        <f t="shared" si="136"/>
        <v>6410700</v>
      </c>
    </row>
    <row r="1800" spans="1:11" x14ac:dyDescent="0.25">
      <c r="C1800" t="s">
        <v>3655</v>
      </c>
      <c r="D1800" t="s">
        <v>1864</v>
      </c>
      <c r="E1800" t="s">
        <v>1864</v>
      </c>
      <c r="F1800" t="s">
        <v>1427</v>
      </c>
      <c r="G1800" t="str">
        <f t="shared" si="137"/>
        <v>K</v>
      </c>
      <c r="H1800" t="str">
        <f t="shared" si="138"/>
        <v>64</v>
      </c>
      <c r="I1800" t="str">
        <f t="shared" si="139"/>
        <v>642</v>
      </c>
      <c r="J1800" t="str">
        <f t="shared" si="140"/>
        <v>64107</v>
      </c>
      <c r="K1800" t="str">
        <f t="shared" ref="K1800:K1863" si="141">E1800</f>
        <v/>
      </c>
    </row>
    <row r="1801" spans="1:11" x14ac:dyDescent="0.25">
      <c r="C1801" t="s">
        <v>1864</v>
      </c>
      <c r="D1801" t="s">
        <v>3656</v>
      </c>
      <c r="E1801" t="s">
        <v>1864</v>
      </c>
      <c r="F1801" t="s">
        <v>1428</v>
      </c>
      <c r="G1801" t="str">
        <f t="shared" ref="G1801:G1864" si="142">IF(A1801="",G1800,A1801)</f>
        <v>K</v>
      </c>
      <c r="H1801" t="str">
        <f t="shared" ref="H1801:H1864" si="143">IF(B1801="",H1800,B1801)</f>
        <v>64</v>
      </c>
      <c r="I1801" t="str">
        <f t="shared" ref="I1801:I1864" si="144">IF(C1801="",I1800,C1801)</f>
        <v>642</v>
      </c>
      <c r="J1801" t="str">
        <f t="shared" ref="J1801:J1864" si="145">IF(D1801="",J1800,D1801)</f>
        <v>64212</v>
      </c>
      <c r="K1801" t="str">
        <f t="shared" si="141"/>
        <v/>
      </c>
    </row>
    <row r="1802" spans="1:11" x14ac:dyDescent="0.25">
      <c r="C1802" t="s">
        <v>1864</v>
      </c>
      <c r="D1802" t="s">
        <v>1864</v>
      </c>
      <c r="E1802" t="s">
        <v>3657</v>
      </c>
      <c r="F1802" t="s">
        <v>1428</v>
      </c>
      <c r="G1802" t="str">
        <f t="shared" si="142"/>
        <v>K</v>
      </c>
      <c r="H1802" t="str">
        <f t="shared" si="143"/>
        <v>64</v>
      </c>
      <c r="I1802" t="str">
        <f t="shared" si="144"/>
        <v>642</v>
      </c>
      <c r="J1802" t="str">
        <f t="shared" si="145"/>
        <v>64212</v>
      </c>
      <c r="K1802" t="str">
        <f t="shared" si="141"/>
        <v>6421200</v>
      </c>
    </row>
    <row r="1803" spans="1:11" x14ac:dyDescent="0.25">
      <c r="C1803" t="s">
        <v>1864</v>
      </c>
      <c r="D1803" t="s">
        <v>3658</v>
      </c>
      <c r="E1803" t="s">
        <v>1864</v>
      </c>
      <c r="F1803" t="s">
        <v>1429</v>
      </c>
      <c r="G1803" t="str">
        <f t="shared" si="142"/>
        <v>K</v>
      </c>
      <c r="H1803" t="str">
        <f t="shared" si="143"/>
        <v>64</v>
      </c>
      <c r="I1803" t="str">
        <f t="shared" si="144"/>
        <v>642</v>
      </c>
      <c r="J1803" t="str">
        <f t="shared" si="145"/>
        <v>64221</v>
      </c>
      <c r="K1803" t="str">
        <f t="shared" si="141"/>
        <v/>
      </c>
    </row>
    <row r="1804" spans="1:11" x14ac:dyDescent="0.25">
      <c r="C1804" t="s">
        <v>1864</v>
      </c>
      <c r="D1804" t="s">
        <v>1864</v>
      </c>
      <c r="E1804" t="s">
        <v>3659</v>
      </c>
      <c r="F1804" t="s">
        <v>1429</v>
      </c>
      <c r="G1804" t="str">
        <f t="shared" si="142"/>
        <v>K</v>
      </c>
      <c r="H1804" t="str">
        <f t="shared" si="143"/>
        <v>64</v>
      </c>
      <c r="I1804" t="str">
        <f t="shared" si="144"/>
        <v>642</v>
      </c>
      <c r="J1804" t="str">
        <f t="shared" si="145"/>
        <v>64221</v>
      </c>
      <c r="K1804" t="str">
        <f t="shared" si="141"/>
        <v>6422100</v>
      </c>
    </row>
    <row r="1805" spans="1:11" x14ac:dyDescent="0.25">
      <c r="C1805" t="s">
        <v>1864</v>
      </c>
      <c r="D1805" t="s">
        <v>3660</v>
      </c>
      <c r="E1805" t="s">
        <v>1864</v>
      </c>
      <c r="F1805" t="s">
        <v>1430</v>
      </c>
      <c r="G1805" t="str">
        <f t="shared" si="142"/>
        <v>K</v>
      </c>
      <c r="H1805" t="str">
        <f t="shared" si="143"/>
        <v>64</v>
      </c>
      <c r="I1805" t="str">
        <f t="shared" si="144"/>
        <v>642</v>
      </c>
      <c r="J1805" t="str">
        <f t="shared" si="145"/>
        <v>64239</v>
      </c>
      <c r="K1805" t="str">
        <f t="shared" si="141"/>
        <v/>
      </c>
    </row>
    <row r="1806" spans="1:11" x14ac:dyDescent="0.25">
      <c r="C1806" t="s">
        <v>1864</v>
      </c>
      <c r="D1806" t="s">
        <v>1864</v>
      </c>
      <c r="E1806" t="s">
        <v>3661</v>
      </c>
      <c r="F1806" t="s">
        <v>1430</v>
      </c>
      <c r="G1806" t="str">
        <f t="shared" si="142"/>
        <v>K</v>
      </c>
      <c r="H1806" t="str">
        <f t="shared" si="143"/>
        <v>64</v>
      </c>
      <c r="I1806" t="str">
        <f t="shared" si="144"/>
        <v>642</v>
      </c>
      <c r="J1806" t="str">
        <f t="shared" si="145"/>
        <v>64239</v>
      </c>
      <c r="K1806" t="str">
        <f t="shared" si="141"/>
        <v>6423900</v>
      </c>
    </row>
    <row r="1807" spans="1:11" x14ac:dyDescent="0.25">
      <c r="C1807" t="s">
        <v>1864</v>
      </c>
      <c r="D1807" t="s">
        <v>3662</v>
      </c>
      <c r="E1807" t="s">
        <v>1864</v>
      </c>
      <c r="F1807" t="s">
        <v>1431</v>
      </c>
      <c r="G1807" t="str">
        <f t="shared" si="142"/>
        <v>K</v>
      </c>
      <c r="H1807" t="str">
        <f t="shared" si="143"/>
        <v>64</v>
      </c>
      <c r="I1807" t="str">
        <f t="shared" si="144"/>
        <v>642</v>
      </c>
      <c r="J1807" t="str">
        <f t="shared" si="145"/>
        <v>64247</v>
      </c>
      <c r="K1807" t="str">
        <f t="shared" si="141"/>
        <v/>
      </c>
    </row>
    <row r="1808" spans="1:11" x14ac:dyDescent="0.25">
      <c r="C1808" t="s">
        <v>1864</v>
      </c>
      <c r="D1808" t="s">
        <v>1864</v>
      </c>
      <c r="E1808" t="s">
        <v>3663</v>
      </c>
      <c r="F1808" t="s">
        <v>1432</v>
      </c>
      <c r="G1808" t="str">
        <f t="shared" si="142"/>
        <v>K</v>
      </c>
      <c r="H1808" t="str">
        <f t="shared" si="143"/>
        <v>64</v>
      </c>
      <c r="I1808" t="str">
        <f t="shared" si="144"/>
        <v>642</v>
      </c>
      <c r="J1808" t="str">
        <f t="shared" si="145"/>
        <v>64247</v>
      </c>
      <c r="K1808" t="str">
        <f t="shared" si="141"/>
        <v>6424701</v>
      </c>
    </row>
    <row r="1809" spans="3:11" x14ac:dyDescent="0.25">
      <c r="C1809" t="s">
        <v>1864</v>
      </c>
      <c r="D1809" t="s">
        <v>1864</v>
      </c>
      <c r="E1809" t="s">
        <v>3664</v>
      </c>
      <c r="F1809" t="s">
        <v>1433</v>
      </c>
      <c r="G1809" t="str">
        <f t="shared" si="142"/>
        <v>K</v>
      </c>
      <c r="H1809" t="str">
        <f t="shared" si="143"/>
        <v>64</v>
      </c>
      <c r="I1809" t="str">
        <f t="shared" si="144"/>
        <v>642</v>
      </c>
      <c r="J1809" t="str">
        <f t="shared" si="145"/>
        <v>64247</v>
      </c>
      <c r="K1809" t="str">
        <f t="shared" si="141"/>
        <v>6424702</v>
      </c>
    </row>
    <row r="1810" spans="3:11" x14ac:dyDescent="0.25">
      <c r="C1810" t="s">
        <v>1864</v>
      </c>
      <c r="D1810" t="s">
        <v>1864</v>
      </c>
      <c r="E1810" t="s">
        <v>3665</v>
      </c>
      <c r="F1810" t="s">
        <v>1434</v>
      </c>
      <c r="G1810" t="str">
        <f t="shared" si="142"/>
        <v>K</v>
      </c>
      <c r="H1810" t="str">
        <f t="shared" si="143"/>
        <v>64</v>
      </c>
      <c r="I1810" t="str">
        <f t="shared" si="144"/>
        <v>642</v>
      </c>
      <c r="J1810" t="str">
        <f t="shared" si="145"/>
        <v>64247</v>
      </c>
      <c r="K1810" t="str">
        <f t="shared" si="141"/>
        <v>6424703</v>
      </c>
    </row>
    <row r="1811" spans="3:11" x14ac:dyDescent="0.25">
      <c r="C1811" t="s">
        <v>1864</v>
      </c>
      <c r="D1811" t="s">
        <v>1864</v>
      </c>
      <c r="E1811" t="s">
        <v>3666</v>
      </c>
      <c r="F1811" t="s">
        <v>1435</v>
      </c>
      <c r="G1811" t="str">
        <f t="shared" si="142"/>
        <v>K</v>
      </c>
      <c r="H1811" t="str">
        <f t="shared" si="143"/>
        <v>64</v>
      </c>
      <c r="I1811" t="str">
        <f t="shared" si="144"/>
        <v>642</v>
      </c>
      <c r="J1811" t="str">
        <f t="shared" si="145"/>
        <v>64247</v>
      </c>
      <c r="K1811" t="str">
        <f t="shared" si="141"/>
        <v>6424704</v>
      </c>
    </row>
    <row r="1812" spans="3:11" x14ac:dyDescent="0.25">
      <c r="C1812" t="s">
        <v>3667</v>
      </c>
      <c r="D1812" t="s">
        <v>1864</v>
      </c>
      <c r="E1812" t="s">
        <v>1864</v>
      </c>
      <c r="F1812" t="s">
        <v>1436</v>
      </c>
      <c r="G1812" t="str">
        <f t="shared" si="142"/>
        <v>K</v>
      </c>
      <c r="H1812" t="str">
        <f t="shared" si="143"/>
        <v>64</v>
      </c>
      <c r="I1812" t="str">
        <f t="shared" si="144"/>
        <v>643</v>
      </c>
      <c r="J1812" t="str">
        <f t="shared" si="145"/>
        <v>64247</v>
      </c>
      <c r="K1812" t="str">
        <f t="shared" si="141"/>
        <v/>
      </c>
    </row>
    <row r="1813" spans="3:11" x14ac:dyDescent="0.25">
      <c r="C1813" t="s">
        <v>1864</v>
      </c>
      <c r="D1813" t="s">
        <v>3668</v>
      </c>
      <c r="E1813" t="s">
        <v>1864</v>
      </c>
      <c r="F1813" t="s">
        <v>1437</v>
      </c>
      <c r="G1813" t="str">
        <f t="shared" si="142"/>
        <v>K</v>
      </c>
      <c r="H1813" t="str">
        <f t="shared" si="143"/>
        <v>64</v>
      </c>
      <c r="I1813" t="str">
        <f t="shared" si="144"/>
        <v>643</v>
      </c>
      <c r="J1813" t="str">
        <f t="shared" si="145"/>
        <v>64310</v>
      </c>
      <c r="K1813" t="str">
        <f t="shared" si="141"/>
        <v/>
      </c>
    </row>
    <row r="1814" spans="3:11" x14ac:dyDescent="0.25">
      <c r="C1814" t="s">
        <v>1864</v>
      </c>
      <c r="D1814" t="s">
        <v>1864</v>
      </c>
      <c r="E1814" t="s">
        <v>3669</v>
      </c>
      <c r="F1814" t="s">
        <v>1437</v>
      </c>
      <c r="G1814" t="str">
        <f t="shared" si="142"/>
        <v>K</v>
      </c>
      <c r="H1814" t="str">
        <f t="shared" si="143"/>
        <v>64</v>
      </c>
      <c r="I1814" t="str">
        <f t="shared" si="144"/>
        <v>643</v>
      </c>
      <c r="J1814" t="str">
        <f t="shared" si="145"/>
        <v>64310</v>
      </c>
      <c r="K1814" t="str">
        <f t="shared" si="141"/>
        <v>6431000</v>
      </c>
    </row>
    <row r="1815" spans="3:11" x14ac:dyDescent="0.25">
      <c r="C1815" t="s">
        <v>1864</v>
      </c>
      <c r="D1815" t="s">
        <v>3670</v>
      </c>
      <c r="E1815" t="s">
        <v>1864</v>
      </c>
      <c r="F1815" t="s">
        <v>1438</v>
      </c>
      <c r="G1815" t="str">
        <f t="shared" si="142"/>
        <v>K</v>
      </c>
      <c r="H1815" t="str">
        <f t="shared" si="143"/>
        <v>64</v>
      </c>
      <c r="I1815" t="str">
        <f t="shared" si="144"/>
        <v>643</v>
      </c>
      <c r="J1815" t="str">
        <f t="shared" si="145"/>
        <v>64328</v>
      </c>
      <c r="K1815" t="str">
        <f t="shared" si="141"/>
        <v/>
      </c>
    </row>
    <row r="1816" spans="3:11" x14ac:dyDescent="0.25">
      <c r="C1816" t="s">
        <v>1864</v>
      </c>
      <c r="D1816" t="s">
        <v>1864</v>
      </c>
      <c r="E1816" t="s">
        <v>3671</v>
      </c>
      <c r="F1816" t="s">
        <v>1438</v>
      </c>
      <c r="G1816" t="str">
        <f t="shared" si="142"/>
        <v>K</v>
      </c>
      <c r="H1816" t="str">
        <f t="shared" si="143"/>
        <v>64</v>
      </c>
      <c r="I1816" t="str">
        <f t="shared" si="144"/>
        <v>643</v>
      </c>
      <c r="J1816" t="str">
        <f t="shared" si="145"/>
        <v>64328</v>
      </c>
      <c r="K1816" t="str">
        <f t="shared" si="141"/>
        <v>6432800</v>
      </c>
    </row>
    <row r="1817" spans="3:11" x14ac:dyDescent="0.25">
      <c r="C1817" t="s">
        <v>1864</v>
      </c>
      <c r="D1817" t="s">
        <v>3672</v>
      </c>
      <c r="E1817" t="s">
        <v>1864</v>
      </c>
      <c r="F1817" t="s">
        <v>1439</v>
      </c>
      <c r="G1817" t="str">
        <f t="shared" si="142"/>
        <v>K</v>
      </c>
      <c r="H1817" t="str">
        <f t="shared" si="143"/>
        <v>64</v>
      </c>
      <c r="I1817" t="str">
        <f t="shared" si="144"/>
        <v>643</v>
      </c>
      <c r="J1817" t="str">
        <f t="shared" si="145"/>
        <v>64336</v>
      </c>
      <c r="K1817" t="str">
        <f t="shared" si="141"/>
        <v/>
      </c>
    </row>
    <row r="1818" spans="3:11" x14ac:dyDescent="0.25">
      <c r="C1818" t="s">
        <v>1864</v>
      </c>
      <c r="D1818" t="s">
        <v>1864</v>
      </c>
      <c r="E1818" t="s">
        <v>3673</v>
      </c>
      <c r="F1818" t="s">
        <v>1439</v>
      </c>
      <c r="G1818" t="str">
        <f t="shared" si="142"/>
        <v>K</v>
      </c>
      <c r="H1818" t="str">
        <f t="shared" si="143"/>
        <v>64</v>
      </c>
      <c r="I1818" t="str">
        <f t="shared" si="144"/>
        <v>643</v>
      </c>
      <c r="J1818" t="str">
        <f t="shared" si="145"/>
        <v>64336</v>
      </c>
      <c r="K1818" t="str">
        <f t="shared" si="141"/>
        <v>6433600</v>
      </c>
    </row>
    <row r="1819" spans="3:11" x14ac:dyDescent="0.25">
      <c r="C1819" t="s">
        <v>1864</v>
      </c>
      <c r="D1819" t="s">
        <v>3674</v>
      </c>
      <c r="E1819" t="s">
        <v>1864</v>
      </c>
      <c r="F1819" t="s">
        <v>1440</v>
      </c>
      <c r="G1819" t="str">
        <f t="shared" si="142"/>
        <v>K</v>
      </c>
      <c r="H1819" t="str">
        <f t="shared" si="143"/>
        <v>64</v>
      </c>
      <c r="I1819" t="str">
        <f t="shared" si="144"/>
        <v>643</v>
      </c>
      <c r="J1819" t="str">
        <f t="shared" si="145"/>
        <v>64344</v>
      </c>
      <c r="K1819" t="str">
        <f t="shared" si="141"/>
        <v/>
      </c>
    </row>
    <row r="1820" spans="3:11" x14ac:dyDescent="0.25">
      <c r="C1820" t="s">
        <v>1864</v>
      </c>
      <c r="D1820" t="s">
        <v>1864</v>
      </c>
      <c r="E1820" t="s">
        <v>3675</v>
      </c>
      <c r="F1820" t="s">
        <v>1440</v>
      </c>
      <c r="G1820" t="str">
        <f t="shared" si="142"/>
        <v>K</v>
      </c>
      <c r="H1820" t="str">
        <f t="shared" si="143"/>
        <v>64</v>
      </c>
      <c r="I1820" t="str">
        <f t="shared" si="144"/>
        <v>643</v>
      </c>
      <c r="J1820" t="str">
        <f t="shared" si="145"/>
        <v>64344</v>
      </c>
      <c r="K1820" t="str">
        <f t="shared" si="141"/>
        <v>6434400</v>
      </c>
    </row>
    <row r="1821" spans="3:11" x14ac:dyDescent="0.25">
      <c r="C1821" t="s">
        <v>1864</v>
      </c>
      <c r="D1821" t="s">
        <v>3676</v>
      </c>
      <c r="E1821" t="s">
        <v>1864</v>
      </c>
      <c r="F1821" t="s">
        <v>1441</v>
      </c>
      <c r="G1821" t="str">
        <f t="shared" si="142"/>
        <v>K</v>
      </c>
      <c r="H1821" t="str">
        <f t="shared" si="143"/>
        <v>64</v>
      </c>
      <c r="I1821" t="str">
        <f t="shared" si="144"/>
        <v>643</v>
      </c>
      <c r="J1821" t="str">
        <f t="shared" si="145"/>
        <v>64352</v>
      </c>
      <c r="K1821" t="str">
        <f t="shared" si="141"/>
        <v/>
      </c>
    </row>
    <row r="1822" spans="3:11" x14ac:dyDescent="0.25">
      <c r="C1822" t="s">
        <v>1864</v>
      </c>
      <c r="D1822" t="s">
        <v>1864</v>
      </c>
      <c r="E1822" t="s">
        <v>3677</v>
      </c>
      <c r="F1822" t="s">
        <v>1442</v>
      </c>
      <c r="G1822" t="str">
        <f t="shared" si="142"/>
        <v>K</v>
      </c>
      <c r="H1822" t="str">
        <f t="shared" si="143"/>
        <v>64</v>
      </c>
      <c r="I1822" t="str">
        <f t="shared" si="144"/>
        <v>643</v>
      </c>
      <c r="J1822" t="str">
        <f t="shared" si="145"/>
        <v>64352</v>
      </c>
      <c r="K1822" t="str">
        <f t="shared" si="141"/>
        <v>6435201</v>
      </c>
    </row>
    <row r="1823" spans="3:11" x14ac:dyDescent="0.25">
      <c r="C1823" t="s">
        <v>1864</v>
      </c>
      <c r="D1823" t="s">
        <v>1864</v>
      </c>
      <c r="E1823" t="s">
        <v>3678</v>
      </c>
      <c r="F1823" t="s">
        <v>1443</v>
      </c>
      <c r="G1823" t="str">
        <f t="shared" si="142"/>
        <v>K</v>
      </c>
      <c r="H1823" t="str">
        <f t="shared" si="143"/>
        <v>64</v>
      </c>
      <c r="I1823" t="str">
        <f t="shared" si="144"/>
        <v>643</v>
      </c>
      <c r="J1823" t="str">
        <f t="shared" si="145"/>
        <v>64352</v>
      </c>
      <c r="K1823" t="str">
        <f t="shared" si="141"/>
        <v>6435202</v>
      </c>
    </row>
    <row r="1824" spans="3:11" x14ac:dyDescent="0.25">
      <c r="C1824" t="s">
        <v>1864</v>
      </c>
      <c r="D1824" t="s">
        <v>1864</v>
      </c>
      <c r="E1824" t="s">
        <v>3679</v>
      </c>
      <c r="F1824" t="s">
        <v>1444</v>
      </c>
      <c r="G1824" t="str">
        <f t="shared" si="142"/>
        <v>K</v>
      </c>
      <c r="H1824" t="str">
        <f t="shared" si="143"/>
        <v>64</v>
      </c>
      <c r="I1824" t="str">
        <f t="shared" si="144"/>
        <v>643</v>
      </c>
      <c r="J1824" t="str">
        <f t="shared" si="145"/>
        <v>64352</v>
      </c>
      <c r="K1824" t="str">
        <f t="shared" si="141"/>
        <v>6435203</v>
      </c>
    </row>
    <row r="1825" spans="3:11" x14ac:dyDescent="0.25">
      <c r="C1825" t="s">
        <v>1864</v>
      </c>
      <c r="D1825" t="s">
        <v>3680</v>
      </c>
      <c r="E1825" t="s">
        <v>1864</v>
      </c>
      <c r="F1825" t="s">
        <v>1445</v>
      </c>
      <c r="G1825" t="str">
        <f t="shared" si="142"/>
        <v>K</v>
      </c>
      <c r="H1825" t="str">
        <f t="shared" si="143"/>
        <v>64</v>
      </c>
      <c r="I1825" t="str">
        <f t="shared" si="144"/>
        <v>643</v>
      </c>
      <c r="J1825" t="str">
        <f t="shared" si="145"/>
        <v>64361</v>
      </c>
      <c r="K1825" t="str">
        <f t="shared" si="141"/>
        <v/>
      </c>
    </row>
    <row r="1826" spans="3:11" x14ac:dyDescent="0.25">
      <c r="C1826" t="s">
        <v>1864</v>
      </c>
      <c r="D1826" t="s">
        <v>1864</v>
      </c>
      <c r="E1826" t="s">
        <v>3681</v>
      </c>
      <c r="F1826" t="s">
        <v>1445</v>
      </c>
      <c r="G1826" t="str">
        <f t="shared" si="142"/>
        <v>K</v>
      </c>
      <c r="H1826" t="str">
        <f t="shared" si="143"/>
        <v>64</v>
      </c>
      <c r="I1826" t="str">
        <f t="shared" si="144"/>
        <v>643</v>
      </c>
      <c r="J1826" t="str">
        <f t="shared" si="145"/>
        <v>64361</v>
      </c>
      <c r="K1826" t="str">
        <f t="shared" si="141"/>
        <v>6436100</v>
      </c>
    </row>
    <row r="1827" spans="3:11" x14ac:dyDescent="0.25">
      <c r="C1827" t="s">
        <v>1864</v>
      </c>
      <c r="D1827" t="s">
        <v>3682</v>
      </c>
      <c r="E1827" t="s">
        <v>1864</v>
      </c>
      <c r="F1827" t="s">
        <v>1446</v>
      </c>
      <c r="G1827" t="str">
        <f t="shared" si="142"/>
        <v>K</v>
      </c>
      <c r="H1827" t="str">
        <f t="shared" si="143"/>
        <v>64</v>
      </c>
      <c r="I1827" t="str">
        <f t="shared" si="144"/>
        <v>643</v>
      </c>
      <c r="J1827" t="str">
        <f t="shared" si="145"/>
        <v>64379</v>
      </c>
      <c r="K1827" t="str">
        <f t="shared" si="141"/>
        <v/>
      </c>
    </row>
    <row r="1828" spans="3:11" x14ac:dyDescent="0.25">
      <c r="C1828" t="s">
        <v>1864</v>
      </c>
      <c r="D1828" t="s">
        <v>1864</v>
      </c>
      <c r="E1828" t="s">
        <v>3683</v>
      </c>
      <c r="F1828" t="s">
        <v>1446</v>
      </c>
      <c r="G1828" t="str">
        <f t="shared" si="142"/>
        <v>K</v>
      </c>
      <c r="H1828" t="str">
        <f t="shared" si="143"/>
        <v>64</v>
      </c>
      <c r="I1828" t="str">
        <f t="shared" si="144"/>
        <v>643</v>
      </c>
      <c r="J1828" t="str">
        <f t="shared" si="145"/>
        <v>64379</v>
      </c>
      <c r="K1828" t="str">
        <f t="shared" si="141"/>
        <v>6437900</v>
      </c>
    </row>
    <row r="1829" spans="3:11" x14ac:dyDescent="0.25">
      <c r="C1829" t="s">
        <v>1864</v>
      </c>
      <c r="D1829" t="s">
        <v>3684</v>
      </c>
      <c r="E1829" t="s">
        <v>1864</v>
      </c>
      <c r="F1829" t="s">
        <v>1447</v>
      </c>
      <c r="G1829" t="str">
        <f t="shared" si="142"/>
        <v>K</v>
      </c>
      <c r="H1829" t="str">
        <f t="shared" si="143"/>
        <v>64</v>
      </c>
      <c r="I1829" t="str">
        <f t="shared" si="144"/>
        <v>643</v>
      </c>
      <c r="J1829" t="str">
        <f t="shared" si="145"/>
        <v>64387</v>
      </c>
      <c r="K1829" t="str">
        <f t="shared" si="141"/>
        <v/>
      </c>
    </row>
    <row r="1830" spans="3:11" x14ac:dyDescent="0.25">
      <c r="C1830" t="s">
        <v>1864</v>
      </c>
      <c r="D1830" t="s">
        <v>1864</v>
      </c>
      <c r="E1830" t="s">
        <v>3685</v>
      </c>
      <c r="F1830" t="s">
        <v>1448</v>
      </c>
      <c r="G1830" t="str">
        <f t="shared" si="142"/>
        <v>K</v>
      </c>
      <c r="H1830" t="str">
        <f t="shared" si="143"/>
        <v>64</v>
      </c>
      <c r="I1830" t="str">
        <f t="shared" si="144"/>
        <v>643</v>
      </c>
      <c r="J1830" t="str">
        <f t="shared" si="145"/>
        <v>64387</v>
      </c>
      <c r="K1830" t="str">
        <f t="shared" si="141"/>
        <v>6438701</v>
      </c>
    </row>
    <row r="1831" spans="3:11" x14ac:dyDescent="0.25">
      <c r="C1831" t="s">
        <v>1864</v>
      </c>
      <c r="D1831" t="s">
        <v>1864</v>
      </c>
      <c r="E1831" t="s">
        <v>3686</v>
      </c>
      <c r="F1831" t="s">
        <v>1449</v>
      </c>
      <c r="G1831" t="str">
        <f t="shared" si="142"/>
        <v>K</v>
      </c>
      <c r="H1831" t="str">
        <f t="shared" si="143"/>
        <v>64</v>
      </c>
      <c r="I1831" t="str">
        <f t="shared" si="144"/>
        <v>643</v>
      </c>
      <c r="J1831" t="str">
        <f t="shared" si="145"/>
        <v>64387</v>
      </c>
      <c r="K1831" t="str">
        <f t="shared" si="141"/>
        <v>6438799</v>
      </c>
    </row>
    <row r="1832" spans="3:11" x14ac:dyDescent="0.25">
      <c r="C1832" t="s">
        <v>3687</v>
      </c>
      <c r="D1832" t="s">
        <v>1864</v>
      </c>
      <c r="E1832" t="s">
        <v>1864</v>
      </c>
      <c r="F1832" t="s">
        <v>1450</v>
      </c>
      <c r="G1832" t="str">
        <f t="shared" si="142"/>
        <v>K</v>
      </c>
      <c r="H1832" t="str">
        <f t="shared" si="143"/>
        <v>64</v>
      </c>
      <c r="I1832" t="str">
        <f t="shared" si="144"/>
        <v>644</v>
      </c>
      <c r="J1832" t="str">
        <f t="shared" si="145"/>
        <v>64387</v>
      </c>
      <c r="K1832" t="str">
        <f t="shared" si="141"/>
        <v/>
      </c>
    </row>
    <row r="1833" spans="3:11" x14ac:dyDescent="0.25">
      <c r="C1833" t="s">
        <v>1864</v>
      </c>
      <c r="D1833" t="s">
        <v>3688</v>
      </c>
      <c r="E1833" t="s">
        <v>1864</v>
      </c>
      <c r="F1833" t="s">
        <v>1450</v>
      </c>
      <c r="G1833" t="str">
        <f t="shared" si="142"/>
        <v>K</v>
      </c>
      <c r="H1833" t="str">
        <f t="shared" si="143"/>
        <v>64</v>
      </c>
      <c r="I1833" t="str">
        <f t="shared" si="144"/>
        <v>644</v>
      </c>
      <c r="J1833" t="str">
        <f t="shared" si="145"/>
        <v>64409</v>
      </c>
      <c r="K1833" t="str">
        <f t="shared" si="141"/>
        <v/>
      </c>
    </row>
    <row r="1834" spans="3:11" x14ac:dyDescent="0.25">
      <c r="C1834" t="s">
        <v>1864</v>
      </c>
      <c r="D1834" t="s">
        <v>1864</v>
      </c>
      <c r="E1834" t="s">
        <v>3689</v>
      </c>
      <c r="F1834" t="s">
        <v>1450</v>
      </c>
      <c r="G1834" t="str">
        <f t="shared" si="142"/>
        <v>K</v>
      </c>
      <c r="H1834" t="str">
        <f t="shared" si="143"/>
        <v>64</v>
      </c>
      <c r="I1834" t="str">
        <f t="shared" si="144"/>
        <v>644</v>
      </c>
      <c r="J1834" t="str">
        <f t="shared" si="145"/>
        <v>64409</v>
      </c>
      <c r="K1834" t="str">
        <f t="shared" si="141"/>
        <v>6440900</v>
      </c>
    </row>
    <row r="1835" spans="3:11" x14ac:dyDescent="0.25">
      <c r="C1835" t="s">
        <v>3690</v>
      </c>
      <c r="D1835" t="s">
        <v>1864</v>
      </c>
      <c r="E1835" t="s">
        <v>1864</v>
      </c>
      <c r="F1835" t="s">
        <v>1451</v>
      </c>
      <c r="G1835" t="str">
        <f t="shared" si="142"/>
        <v>K</v>
      </c>
      <c r="H1835" t="str">
        <f t="shared" si="143"/>
        <v>64</v>
      </c>
      <c r="I1835" t="str">
        <f t="shared" si="144"/>
        <v>645</v>
      </c>
      <c r="J1835" t="str">
        <f t="shared" si="145"/>
        <v>64409</v>
      </c>
      <c r="K1835" t="str">
        <f t="shared" si="141"/>
        <v/>
      </c>
    </row>
    <row r="1836" spans="3:11" x14ac:dyDescent="0.25">
      <c r="C1836" t="s">
        <v>1864</v>
      </c>
      <c r="D1836" t="s">
        <v>3691</v>
      </c>
      <c r="E1836" t="s">
        <v>1864</v>
      </c>
      <c r="F1836" t="s">
        <v>1451</v>
      </c>
      <c r="G1836" t="str">
        <f t="shared" si="142"/>
        <v>K</v>
      </c>
      <c r="H1836" t="str">
        <f t="shared" si="143"/>
        <v>64</v>
      </c>
      <c r="I1836" t="str">
        <f t="shared" si="144"/>
        <v>645</v>
      </c>
      <c r="J1836" t="str">
        <f t="shared" si="145"/>
        <v>64506</v>
      </c>
      <c r="K1836" t="str">
        <f t="shared" si="141"/>
        <v/>
      </c>
    </row>
    <row r="1837" spans="3:11" x14ac:dyDescent="0.25">
      <c r="C1837" t="s">
        <v>1864</v>
      </c>
      <c r="D1837" t="s">
        <v>1864</v>
      </c>
      <c r="E1837" t="s">
        <v>3692</v>
      </c>
      <c r="F1837" t="s">
        <v>1451</v>
      </c>
      <c r="G1837" t="str">
        <f t="shared" si="142"/>
        <v>K</v>
      </c>
      <c r="H1837" t="str">
        <f t="shared" si="143"/>
        <v>64</v>
      </c>
      <c r="I1837" t="str">
        <f t="shared" si="144"/>
        <v>645</v>
      </c>
      <c r="J1837" t="str">
        <f t="shared" si="145"/>
        <v>64506</v>
      </c>
      <c r="K1837" t="str">
        <f t="shared" si="141"/>
        <v>6450600</v>
      </c>
    </row>
    <row r="1838" spans="3:11" x14ac:dyDescent="0.25">
      <c r="C1838" t="s">
        <v>3693</v>
      </c>
      <c r="D1838" t="s">
        <v>1864</v>
      </c>
      <c r="E1838" t="s">
        <v>1864</v>
      </c>
      <c r="F1838" t="s">
        <v>1452</v>
      </c>
      <c r="G1838" t="str">
        <f t="shared" si="142"/>
        <v>K</v>
      </c>
      <c r="H1838" t="str">
        <f t="shared" si="143"/>
        <v>64</v>
      </c>
      <c r="I1838" t="str">
        <f t="shared" si="144"/>
        <v>646</v>
      </c>
      <c r="J1838" t="str">
        <f t="shared" si="145"/>
        <v>64506</v>
      </c>
      <c r="K1838" t="str">
        <f t="shared" si="141"/>
        <v/>
      </c>
    </row>
    <row r="1839" spans="3:11" x14ac:dyDescent="0.25">
      <c r="C1839" t="s">
        <v>1864</v>
      </c>
      <c r="D1839" t="s">
        <v>3694</v>
      </c>
      <c r="E1839" t="s">
        <v>1864</v>
      </c>
      <c r="F1839" t="s">
        <v>3695</v>
      </c>
      <c r="G1839" t="str">
        <f t="shared" si="142"/>
        <v>K</v>
      </c>
      <c r="H1839" t="str">
        <f t="shared" si="143"/>
        <v>64</v>
      </c>
      <c r="I1839" t="str">
        <f t="shared" si="144"/>
        <v>646</v>
      </c>
      <c r="J1839" t="str">
        <f t="shared" si="145"/>
        <v>64611</v>
      </c>
      <c r="K1839" t="str">
        <f t="shared" si="141"/>
        <v/>
      </c>
    </row>
    <row r="1840" spans="3:11" x14ac:dyDescent="0.25">
      <c r="C1840" t="s">
        <v>1864</v>
      </c>
      <c r="D1840" t="s">
        <v>1864</v>
      </c>
      <c r="E1840" t="s">
        <v>3696</v>
      </c>
      <c r="F1840" t="s">
        <v>3695</v>
      </c>
      <c r="G1840" t="str">
        <f t="shared" si="142"/>
        <v>K</v>
      </c>
      <c r="H1840" t="str">
        <f t="shared" si="143"/>
        <v>64</v>
      </c>
      <c r="I1840" t="str">
        <f t="shared" si="144"/>
        <v>646</v>
      </c>
      <c r="J1840" t="str">
        <f t="shared" si="145"/>
        <v>64611</v>
      </c>
      <c r="K1840" t="str">
        <f t="shared" si="141"/>
        <v>6461100</v>
      </c>
    </row>
    <row r="1841" spans="3:11" x14ac:dyDescent="0.25">
      <c r="C1841" t="s">
        <v>1864</v>
      </c>
      <c r="D1841" t="s">
        <v>3697</v>
      </c>
      <c r="E1841" t="s">
        <v>1864</v>
      </c>
      <c r="F1841" t="s">
        <v>3698</v>
      </c>
      <c r="G1841" t="str">
        <f t="shared" si="142"/>
        <v>K</v>
      </c>
      <c r="H1841" t="str">
        <f t="shared" si="143"/>
        <v>64</v>
      </c>
      <c r="I1841" t="str">
        <f t="shared" si="144"/>
        <v>646</v>
      </c>
      <c r="J1841" t="str">
        <f t="shared" si="145"/>
        <v>64620</v>
      </c>
      <c r="K1841" t="str">
        <f t="shared" si="141"/>
        <v/>
      </c>
    </row>
    <row r="1842" spans="3:11" x14ac:dyDescent="0.25">
      <c r="C1842" t="s">
        <v>1864</v>
      </c>
      <c r="D1842" t="s">
        <v>1864</v>
      </c>
      <c r="E1842" t="s">
        <v>3699</v>
      </c>
      <c r="F1842" t="s">
        <v>3698</v>
      </c>
      <c r="G1842" t="str">
        <f t="shared" si="142"/>
        <v>K</v>
      </c>
      <c r="H1842" t="str">
        <f t="shared" si="143"/>
        <v>64</v>
      </c>
      <c r="I1842" t="str">
        <f t="shared" si="144"/>
        <v>646</v>
      </c>
      <c r="J1842" t="str">
        <f t="shared" si="145"/>
        <v>64620</v>
      </c>
      <c r="K1842" t="str">
        <f t="shared" si="141"/>
        <v>6462000</v>
      </c>
    </row>
    <row r="1843" spans="3:11" x14ac:dyDescent="0.25">
      <c r="C1843" t="s">
        <v>1864</v>
      </c>
      <c r="D1843" t="s">
        <v>3700</v>
      </c>
      <c r="E1843" t="s">
        <v>1864</v>
      </c>
      <c r="F1843" t="s">
        <v>3701</v>
      </c>
      <c r="G1843" t="str">
        <f t="shared" si="142"/>
        <v>K</v>
      </c>
      <c r="H1843" t="str">
        <f t="shared" si="143"/>
        <v>64</v>
      </c>
      <c r="I1843" t="str">
        <f t="shared" si="144"/>
        <v>646</v>
      </c>
      <c r="J1843" t="str">
        <f t="shared" si="145"/>
        <v>64638</v>
      </c>
      <c r="K1843" t="str">
        <f t="shared" si="141"/>
        <v/>
      </c>
    </row>
    <row r="1844" spans="3:11" x14ac:dyDescent="0.25">
      <c r="C1844" t="s">
        <v>1864</v>
      </c>
      <c r="D1844" t="s">
        <v>1864</v>
      </c>
      <c r="E1844" t="s">
        <v>3702</v>
      </c>
      <c r="F1844" t="s">
        <v>3701</v>
      </c>
      <c r="G1844" t="str">
        <f t="shared" si="142"/>
        <v>K</v>
      </c>
      <c r="H1844" t="str">
        <f t="shared" si="143"/>
        <v>64</v>
      </c>
      <c r="I1844" t="str">
        <f t="shared" si="144"/>
        <v>646</v>
      </c>
      <c r="J1844" t="str">
        <f t="shared" si="145"/>
        <v>64638</v>
      </c>
      <c r="K1844" t="str">
        <f t="shared" si="141"/>
        <v>6463800</v>
      </c>
    </row>
    <row r="1845" spans="3:11" x14ac:dyDescent="0.25">
      <c r="C1845" t="s">
        <v>3703</v>
      </c>
      <c r="D1845" t="s">
        <v>1864</v>
      </c>
      <c r="E1845" t="s">
        <v>1864</v>
      </c>
      <c r="F1845" t="s">
        <v>1453</v>
      </c>
      <c r="G1845" t="str">
        <f t="shared" si="142"/>
        <v>K</v>
      </c>
      <c r="H1845" t="str">
        <f t="shared" si="143"/>
        <v>64</v>
      </c>
      <c r="I1845" t="str">
        <f t="shared" si="144"/>
        <v>647</v>
      </c>
      <c r="J1845" t="str">
        <f t="shared" si="145"/>
        <v>64638</v>
      </c>
      <c r="K1845" t="str">
        <f t="shared" si="141"/>
        <v/>
      </c>
    </row>
    <row r="1846" spans="3:11" x14ac:dyDescent="0.25">
      <c r="C1846" t="s">
        <v>1864</v>
      </c>
      <c r="D1846" t="s">
        <v>3704</v>
      </c>
      <c r="E1846" t="s">
        <v>1864</v>
      </c>
      <c r="F1846" t="s">
        <v>1453</v>
      </c>
      <c r="G1846" t="str">
        <f t="shared" si="142"/>
        <v>K</v>
      </c>
      <c r="H1846" t="str">
        <f t="shared" si="143"/>
        <v>64</v>
      </c>
      <c r="I1846" t="str">
        <f t="shared" si="144"/>
        <v>647</v>
      </c>
      <c r="J1846" t="str">
        <f t="shared" si="145"/>
        <v>64701</v>
      </c>
      <c r="K1846" t="str">
        <f t="shared" si="141"/>
        <v/>
      </c>
    </row>
    <row r="1847" spans="3:11" x14ac:dyDescent="0.25">
      <c r="C1847" t="s">
        <v>1864</v>
      </c>
      <c r="D1847" t="s">
        <v>1864</v>
      </c>
      <c r="E1847" t="s">
        <v>3705</v>
      </c>
      <c r="F1847" t="s">
        <v>1454</v>
      </c>
      <c r="G1847" t="str">
        <f t="shared" si="142"/>
        <v>K</v>
      </c>
      <c r="H1847" t="str">
        <f t="shared" si="143"/>
        <v>64</v>
      </c>
      <c r="I1847" t="str">
        <f t="shared" si="144"/>
        <v>647</v>
      </c>
      <c r="J1847" t="str">
        <f t="shared" si="145"/>
        <v>64701</v>
      </c>
      <c r="K1847" t="str">
        <f t="shared" si="141"/>
        <v>6470101</v>
      </c>
    </row>
    <row r="1848" spans="3:11" x14ac:dyDescent="0.25">
      <c r="C1848" t="s">
        <v>1864</v>
      </c>
      <c r="D1848" t="s">
        <v>1864</v>
      </c>
      <c r="E1848" t="s">
        <v>3706</v>
      </c>
      <c r="F1848" t="s">
        <v>1455</v>
      </c>
      <c r="G1848" t="str">
        <f t="shared" si="142"/>
        <v>K</v>
      </c>
      <c r="H1848" t="str">
        <f t="shared" si="143"/>
        <v>64</v>
      </c>
      <c r="I1848" t="str">
        <f t="shared" si="144"/>
        <v>647</v>
      </c>
      <c r="J1848" t="str">
        <f t="shared" si="145"/>
        <v>64701</v>
      </c>
      <c r="K1848" t="str">
        <f t="shared" si="141"/>
        <v>6470102</v>
      </c>
    </row>
    <row r="1849" spans="3:11" x14ac:dyDescent="0.25">
      <c r="C1849" t="s">
        <v>1864</v>
      </c>
      <c r="D1849" t="s">
        <v>1864</v>
      </c>
      <c r="E1849" t="s">
        <v>3707</v>
      </c>
      <c r="F1849" t="s">
        <v>1456</v>
      </c>
      <c r="G1849" t="str">
        <f t="shared" si="142"/>
        <v>K</v>
      </c>
      <c r="H1849" t="str">
        <f t="shared" si="143"/>
        <v>64</v>
      </c>
      <c r="I1849" t="str">
        <f t="shared" si="144"/>
        <v>647</v>
      </c>
      <c r="J1849" t="str">
        <f t="shared" si="145"/>
        <v>64701</v>
      </c>
      <c r="K1849" t="str">
        <f t="shared" si="141"/>
        <v>6470103</v>
      </c>
    </row>
    <row r="1850" spans="3:11" x14ac:dyDescent="0.25">
      <c r="C1850" t="s">
        <v>3708</v>
      </c>
      <c r="D1850" t="s">
        <v>1864</v>
      </c>
      <c r="E1850" t="s">
        <v>1864</v>
      </c>
      <c r="F1850" t="s">
        <v>1457</v>
      </c>
      <c r="G1850" t="str">
        <f t="shared" si="142"/>
        <v>K</v>
      </c>
      <c r="H1850" t="str">
        <f t="shared" si="143"/>
        <v>64</v>
      </c>
      <c r="I1850" t="str">
        <f t="shared" si="144"/>
        <v>649</v>
      </c>
      <c r="J1850" t="str">
        <f t="shared" si="145"/>
        <v>64701</v>
      </c>
      <c r="K1850" t="str">
        <f t="shared" si="141"/>
        <v/>
      </c>
    </row>
    <row r="1851" spans="3:11" x14ac:dyDescent="0.25">
      <c r="C1851" t="s">
        <v>1864</v>
      </c>
      <c r="D1851" t="s">
        <v>3709</v>
      </c>
      <c r="E1851" t="s">
        <v>1864</v>
      </c>
      <c r="F1851" t="s">
        <v>3710</v>
      </c>
      <c r="G1851" t="str">
        <f t="shared" si="142"/>
        <v>K</v>
      </c>
      <c r="H1851" t="str">
        <f t="shared" si="143"/>
        <v>64</v>
      </c>
      <c r="I1851" t="str">
        <f t="shared" si="144"/>
        <v>649</v>
      </c>
      <c r="J1851" t="str">
        <f t="shared" si="145"/>
        <v>64913</v>
      </c>
      <c r="K1851" t="str">
        <f t="shared" si="141"/>
        <v/>
      </c>
    </row>
    <row r="1852" spans="3:11" x14ac:dyDescent="0.25">
      <c r="C1852" t="s">
        <v>1864</v>
      </c>
      <c r="D1852" t="s">
        <v>1864</v>
      </c>
      <c r="E1852" t="s">
        <v>3711</v>
      </c>
      <c r="F1852" t="s">
        <v>3710</v>
      </c>
      <c r="G1852" t="str">
        <f t="shared" si="142"/>
        <v>K</v>
      </c>
      <c r="H1852" t="str">
        <f t="shared" si="143"/>
        <v>64</v>
      </c>
      <c r="I1852" t="str">
        <f t="shared" si="144"/>
        <v>649</v>
      </c>
      <c r="J1852" t="str">
        <f t="shared" si="145"/>
        <v>64913</v>
      </c>
      <c r="K1852" t="str">
        <f t="shared" si="141"/>
        <v>6491300</v>
      </c>
    </row>
    <row r="1853" spans="3:11" x14ac:dyDescent="0.25">
      <c r="C1853" t="s">
        <v>1864</v>
      </c>
      <c r="D1853" t="s">
        <v>3712</v>
      </c>
      <c r="E1853" t="s">
        <v>1864</v>
      </c>
      <c r="F1853" t="s">
        <v>1458</v>
      </c>
      <c r="G1853" t="str">
        <f t="shared" si="142"/>
        <v>K</v>
      </c>
      <c r="H1853" t="str">
        <f t="shared" si="143"/>
        <v>64</v>
      </c>
      <c r="I1853" t="str">
        <f t="shared" si="144"/>
        <v>649</v>
      </c>
      <c r="J1853" t="str">
        <f t="shared" si="145"/>
        <v>64921</v>
      </c>
      <c r="K1853" t="str">
        <f t="shared" si="141"/>
        <v/>
      </c>
    </row>
    <row r="1854" spans="3:11" x14ac:dyDescent="0.25">
      <c r="C1854" t="s">
        <v>1864</v>
      </c>
      <c r="D1854" t="s">
        <v>1864</v>
      </c>
      <c r="E1854" t="s">
        <v>3713</v>
      </c>
      <c r="F1854" t="s">
        <v>1458</v>
      </c>
      <c r="G1854" t="str">
        <f t="shared" si="142"/>
        <v>K</v>
      </c>
      <c r="H1854" t="str">
        <f t="shared" si="143"/>
        <v>64</v>
      </c>
      <c r="I1854" t="str">
        <f t="shared" si="144"/>
        <v>649</v>
      </c>
      <c r="J1854" t="str">
        <f t="shared" si="145"/>
        <v>64921</v>
      </c>
      <c r="K1854" t="str">
        <f t="shared" si="141"/>
        <v>6492100</v>
      </c>
    </row>
    <row r="1855" spans="3:11" x14ac:dyDescent="0.25">
      <c r="C1855" t="s">
        <v>1864</v>
      </c>
      <c r="D1855" t="s">
        <v>3714</v>
      </c>
      <c r="E1855" t="s">
        <v>1864</v>
      </c>
      <c r="F1855" t="s">
        <v>1459</v>
      </c>
      <c r="G1855" t="str">
        <f t="shared" si="142"/>
        <v>K</v>
      </c>
      <c r="H1855" t="str">
        <f t="shared" si="143"/>
        <v>64</v>
      </c>
      <c r="I1855" t="str">
        <f t="shared" si="144"/>
        <v>649</v>
      </c>
      <c r="J1855" t="str">
        <f t="shared" si="145"/>
        <v>64930</v>
      </c>
      <c r="K1855" t="str">
        <f t="shared" si="141"/>
        <v/>
      </c>
    </row>
    <row r="1856" spans="3:11" x14ac:dyDescent="0.25">
      <c r="C1856" t="s">
        <v>1864</v>
      </c>
      <c r="D1856" t="s">
        <v>1864</v>
      </c>
      <c r="E1856" t="s">
        <v>3715</v>
      </c>
      <c r="F1856" t="s">
        <v>1459</v>
      </c>
      <c r="G1856" t="str">
        <f t="shared" si="142"/>
        <v>K</v>
      </c>
      <c r="H1856" t="str">
        <f t="shared" si="143"/>
        <v>64</v>
      </c>
      <c r="I1856" t="str">
        <f t="shared" si="144"/>
        <v>649</v>
      </c>
      <c r="J1856" t="str">
        <f t="shared" si="145"/>
        <v>64930</v>
      </c>
      <c r="K1856" t="str">
        <f t="shared" si="141"/>
        <v>6493000</v>
      </c>
    </row>
    <row r="1857" spans="2:11" x14ac:dyDescent="0.25">
      <c r="C1857" t="s">
        <v>1864</v>
      </c>
      <c r="D1857" t="s">
        <v>3716</v>
      </c>
      <c r="E1857" t="s">
        <v>1864</v>
      </c>
      <c r="F1857" t="s">
        <v>1460</v>
      </c>
      <c r="G1857" t="str">
        <f t="shared" si="142"/>
        <v>K</v>
      </c>
      <c r="H1857" t="str">
        <f t="shared" si="143"/>
        <v>64</v>
      </c>
      <c r="I1857" t="str">
        <f t="shared" si="144"/>
        <v>649</v>
      </c>
      <c r="J1857" t="str">
        <f t="shared" si="145"/>
        <v>64999</v>
      </c>
      <c r="K1857" t="str">
        <f t="shared" si="141"/>
        <v/>
      </c>
    </row>
    <row r="1858" spans="2:11" x14ac:dyDescent="0.25">
      <c r="C1858" t="s">
        <v>1864</v>
      </c>
      <c r="D1858" t="s">
        <v>1864</v>
      </c>
      <c r="E1858" t="s">
        <v>3717</v>
      </c>
      <c r="F1858" t="s">
        <v>1461</v>
      </c>
      <c r="G1858" t="str">
        <f t="shared" si="142"/>
        <v>K</v>
      </c>
      <c r="H1858" t="str">
        <f t="shared" si="143"/>
        <v>64</v>
      </c>
      <c r="I1858" t="str">
        <f t="shared" si="144"/>
        <v>649</v>
      </c>
      <c r="J1858" t="str">
        <f t="shared" si="145"/>
        <v>64999</v>
      </c>
      <c r="K1858" t="str">
        <f t="shared" si="141"/>
        <v>6499901</v>
      </c>
    </row>
    <row r="1859" spans="2:11" x14ac:dyDescent="0.25">
      <c r="C1859" t="s">
        <v>1864</v>
      </c>
      <c r="D1859" t="s">
        <v>1864</v>
      </c>
      <c r="E1859" t="s">
        <v>3718</v>
      </c>
      <c r="F1859" t="s">
        <v>1462</v>
      </c>
      <c r="G1859" t="str">
        <f t="shared" si="142"/>
        <v>K</v>
      </c>
      <c r="H1859" t="str">
        <f t="shared" si="143"/>
        <v>64</v>
      </c>
      <c r="I1859" t="str">
        <f t="shared" si="144"/>
        <v>649</v>
      </c>
      <c r="J1859" t="str">
        <f t="shared" si="145"/>
        <v>64999</v>
      </c>
      <c r="K1859" t="str">
        <f t="shared" si="141"/>
        <v>6499902</v>
      </c>
    </row>
    <row r="1860" spans="2:11" x14ac:dyDescent="0.25">
      <c r="C1860" t="s">
        <v>1864</v>
      </c>
      <c r="D1860" t="s">
        <v>1864</v>
      </c>
      <c r="E1860" t="s">
        <v>3719</v>
      </c>
      <c r="F1860" t="s">
        <v>1463</v>
      </c>
      <c r="G1860" t="str">
        <f t="shared" si="142"/>
        <v>K</v>
      </c>
      <c r="H1860" t="str">
        <f t="shared" si="143"/>
        <v>64</v>
      </c>
      <c r="I1860" t="str">
        <f t="shared" si="144"/>
        <v>649</v>
      </c>
      <c r="J1860" t="str">
        <f t="shared" si="145"/>
        <v>64999</v>
      </c>
      <c r="K1860" t="str">
        <f t="shared" si="141"/>
        <v>6499903</v>
      </c>
    </row>
    <row r="1861" spans="2:11" x14ac:dyDescent="0.25">
      <c r="C1861" t="s">
        <v>1864</v>
      </c>
      <c r="D1861" t="s">
        <v>1864</v>
      </c>
      <c r="E1861" t="s">
        <v>3720</v>
      </c>
      <c r="F1861" t="s">
        <v>1464</v>
      </c>
      <c r="G1861" t="str">
        <f t="shared" si="142"/>
        <v>K</v>
      </c>
      <c r="H1861" t="str">
        <f t="shared" si="143"/>
        <v>64</v>
      </c>
      <c r="I1861" t="str">
        <f t="shared" si="144"/>
        <v>649</v>
      </c>
      <c r="J1861" t="str">
        <f t="shared" si="145"/>
        <v>64999</v>
      </c>
      <c r="K1861" t="str">
        <f t="shared" si="141"/>
        <v>6499904</v>
      </c>
    </row>
    <row r="1862" spans="2:11" x14ac:dyDescent="0.25">
      <c r="C1862" t="s">
        <v>1864</v>
      </c>
      <c r="D1862" t="s">
        <v>1864</v>
      </c>
      <c r="E1862" t="s">
        <v>3721</v>
      </c>
      <c r="F1862" t="s">
        <v>1465</v>
      </c>
      <c r="G1862" t="str">
        <f t="shared" si="142"/>
        <v>K</v>
      </c>
      <c r="H1862" t="str">
        <f t="shared" si="143"/>
        <v>64</v>
      </c>
      <c r="I1862" t="str">
        <f t="shared" si="144"/>
        <v>649</v>
      </c>
      <c r="J1862" t="str">
        <f t="shared" si="145"/>
        <v>64999</v>
      </c>
      <c r="K1862" t="str">
        <f t="shared" si="141"/>
        <v>6499905</v>
      </c>
    </row>
    <row r="1863" spans="2:11" x14ac:dyDescent="0.25">
      <c r="C1863" t="s">
        <v>1864</v>
      </c>
      <c r="D1863" t="s">
        <v>1864</v>
      </c>
      <c r="E1863" t="s">
        <v>3722</v>
      </c>
      <c r="F1863" t="s">
        <v>1460</v>
      </c>
      <c r="G1863" t="str">
        <f t="shared" si="142"/>
        <v>K</v>
      </c>
      <c r="H1863" t="str">
        <f t="shared" si="143"/>
        <v>64</v>
      </c>
      <c r="I1863" t="str">
        <f t="shared" si="144"/>
        <v>649</v>
      </c>
      <c r="J1863" t="str">
        <f t="shared" si="145"/>
        <v>64999</v>
      </c>
      <c r="K1863" t="str">
        <f t="shared" si="141"/>
        <v>6499999</v>
      </c>
    </row>
    <row r="1864" spans="2:11" x14ac:dyDescent="0.25">
      <c r="B1864" t="s">
        <v>3723</v>
      </c>
      <c r="C1864" t="s">
        <v>1864</v>
      </c>
      <c r="D1864" t="s">
        <v>1864</v>
      </c>
      <c r="E1864" t="s">
        <v>1864</v>
      </c>
      <c r="F1864" t="s">
        <v>1466</v>
      </c>
      <c r="G1864" t="str">
        <f t="shared" si="142"/>
        <v>K</v>
      </c>
      <c r="H1864" t="str">
        <f t="shared" si="143"/>
        <v>65</v>
      </c>
      <c r="I1864" t="str">
        <f t="shared" si="144"/>
        <v>649</v>
      </c>
      <c r="J1864" t="str">
        <f t="shared" si="145"/>
        <v>64999</v>
      </c>
      <c r="K1864" t="str">
        <f t="shared" ref="K1864:K1927" si="146">E1864</f>
        <v/>
      </c>
    </row>
    <row r="1865" spans="2:11" x14ac:dyDescent="0.25">
      <c r="C1865" t="s">
        <v>3724</v>
      </c>
      <c r="D1865" t="s">
        <v>1864</v>
      </c>
      <c r="E1865" t="s">
        <v>1864</v>
      </c>
      <c r="F1865" t="s">
        <v>1467</v>
      </c>
      <c r="G1865" t="str">
        <f t="shared" ref="G1865:G1928" si="147">IF(A1865="",G1864,A1865)</f>
        <v>K</v>
      </c>
      <c r="H1865" t="str">
        <f t="shared" ref="H1865:H1928" si="148">IF(B1865="",H1864,B1865)</f>
        <v>65</v>
      </c>
      <c r="I1865" t="str">
        <f t="shared" ref="I1865:I1928" si="149">IF(C1865="",I1864,C1865)</f>
        <v>651</v>
      </c>
      <c r="J1865" t="str">
        <f t="shared" ref="J1865:J1928" si="150">IF(D1865="",J1864,D1865)</f>
        <v>64999</v>
      </c>
      <c r="K1865" t="str">
        <f t="shared" si="146"/>
        <v/>
      </c>
    </row>
    <row r="1866" spans="2:11" x14ac:dyDescent="0.25">
      <c r="C1866" t="s">
        <v>1864</v>
      </c>
      <c r="D1866" t="s">
        <v>3725</v>
      </c>
      <c r="E1866" t="s">
        <v>1864</v>
      </c>
      <c r="F1866" t="s">
        <v>1468</v>
      </c>
      <c r="G1866" t="str">
        <f t="shared" si="147"/>
        <v>K</v>
      </c>
      <c r="H1866" t="str">
        <f t="shared" si="148"/>
        <v>65</v>
      </c>
      <c r="I1866" t="str">
        <f t="shared" si="149"/>
        <v>651</v>
      </c>
      <c r="J1866" t="str">
        <f t="shared" si="150"/>
        <v>65111</v>
      </c>
      <c r="K1866" t="str">
        <f t="shared" si="146"/>
        <v/>
      </c>
    </row>
    <row r="1867" spans="2:11" x14ac:dyDescent="0.25">
      <c r="C1867" t="s">
        <v>1864</v>
      </c>
      <c r="D1867" t="s">
        <v>1864</v>
      </c>
      <c r="E1867" t="s">
        <v>3726</v>
      </c>
      <c r="F1867" t="s">
        <v>1469</v>
      </c>
      <c r="G1867" t="str">
        <f t="shared" si="147"/>
        <v>K</v>
      </c>
      <c r="H1867" t="str">
        <f t="shared" si="148"/>
        <v>65</v>
      </c>
      <c r="I1867" t="str">
        <f t="shared" si="149"/>
        <v>651</v>
      </c>
      <c r="J1867" t="str">
        <f t="shared" si="150"/>
        <v>65111</v>
      </c>
      <c r="K1867" t="str">
        <f t="shared" si="146"/>
        <v>6511101</v>
      </c>
    </row>
    <row r="1868" spans="2:11" x14ac:dyDescent="0.25">
      <c r="C1868" t="s">
        <v>1864</v>
      </c>
      <c r="D1868" t="s">
        <v>1864</v>
      </c>
      <c r="E1868" t="s">
        <v>3727</v>
      </c>
      <c r="F1868" t="s">
        <v>1470</v>
      </c>
      <c r="G1868" t="str">
        <f t="shared" si="147"/>
        <v>K</v>
      </c>
      <c r="H1868" t="str">
        <f t="shared" si="148"/>
        <v>65</v>
      </c>
      <c r="I1868" t="str">
        <f t="shared" si="149"/>
        <v>651</v>
      </c>
      <c r="J1868" t="str">
        <f t="shared" si="150"/>
        <v>65111</v>
      </c>
      <c r="K1868" t="str">
        <f t="shared" si="146"/>
        <v>6511102</v>
      </c>
    </row>
    <row r="1869" spans="2:11" x14ac:dyDescent="0.25">
      <c r="C1869" t="s">
        <v>1864</v>
      </c>
      <c r="D1869" t="s">
        <v>3728</v>
      </c>
      <c r="E1869" t="s">
        <v>1864</v>
      </c>
      <c r="F1869" t="s">
        <v>1471</v>
      </c>
      <c r="G1869" t="str">
        <f t="shared" si="147"/>
        <v>K</v>
      </c>
      <c r="H1869" t="str">
        <f t="shared" si="148"/>
        <v>65</v>
      </c>
      <c r="I1869" t="str">
        <f t="shared" si="149"/>
        <v>651</v>
      </c>
      <c r="J1869" t="str">
        <f t="shared" si="150"/>
        <v>65120</v>
      </c>
      <c r="K1869" t="str">
        <f t="shared" si="146"/>
        <v/>
      </c>
    </row>
    <row r="1870" spans="2:11" x14ac:dyDescent="0.25">
      <c r="C1870" t="s">
        <v>1864</v>
      </c>
      <c r="D1870" t="s">
        <v>1864</v>
      </c>
      <c r="E1870" t="s">
        <v>3729</v>
      </c>
      <c r="F1870" t="s">
        <v>1472</v>
      </c>
      <c r="G1870" t="str">
        <f t="shared" si="147"/>
        <v>K</v>
      </c>
      <c r="H1870" t="str">
        <f t="shared" si="148"/>
        <v>65</v>
      </c>
      <c r="I1870" t="str">
        <f t="shared" si="149"/>
        <v>651</v>
      </c>
      <c r="J1870" t="str">
        <f t="shared" si="150"/>
        <v>65120</v>
      </c>
      <c r="K1870" t="str">
        <f t="shared" si="146"/>
        <v>6512000</v>
      </c>
    </row>
    <row r="1871" spans="2:11" x14ac:dyDescent="0.25">
      <c r="C1871" t="s">
        <v>3730</v>
      </c>
      <c r="D1871" t="s">
        <v>1864</v>
      </c>
      <c r="E1871" t="s">
        <v>1864</v>
      </c>
      <c r="F1871" t="s">
        <v>1473</v>
      </c>
      <c r="G1871" t="str">
        <f t="shared" si="147"/>
        <v>K</v>
      </c>
      <c r="H1871" t="str">
        <f t="shared" si="148"/>
        <v>65</v>
      </c>
      <c r="I1871" t="str">
        <f t="shared" si="149"/>
        <v>652</v>
      </c>
      <c r="J1871" t="str">
        <f t="shared" si="150"/>
        <v>65120</v>
      </c>
      <c r="K1871" t="str">
        <f t="shared" si="146"/>
        <v/>
      </c>
    </row>
    <row r="1872" spans="2:11" x14ac:dyDescent="0.25">
      <c r="C1872" t="s">
        <v>1864</v>
      </c>
      <c r="D1872" t="s">
        <v>3731</v>
      </c>
      <c r="E1872" t="s">
        <v>1864</v>
      </c>
      <c r="F1872" t="s">
        <v>1473</v>
      </c>
      <c r="G1872" t="str">
        <f t="shared" si="147"/>
        <v>K</v>
      </c>
      <c r="H1872" t="str">
        <f t="shared" si="148"/>
        <v>65</v>
      </c>
      <c r="I1872" t="str">
        <f t="shared" si="149"/>
        <v>652</v>
      </c>
      <c r="J1872" t="str">
        <f t="shared" si="150"/>
        <v>65201</v>
      </c>
      <c r="K1872" t="str">
        <f t="shared" si="146"/>
        <v/>
      </c>
    </row>
    <row r="1873" spans="2:11" x14ac:dyDescent="0.25">
      <c r="C1873" t="s">
        <v>1864</v>
      </c>
      <c r="D1873" t="s">
        <v>1864</v>
      </c>
      <c r="E1873" t="s">
        <v>3732</v>
      </c>
      <c r="F1873" t="s">
        <v>1474</v>
      </c>
      <c r="G1873" t="str">
        <f t="shared" si="147"/>
        <v>K</v>
      </c>
      <c r="H1873" t="str">
        <f t="shared" si="148"/>
        <v>65</v>
      </c>
      <c r="I1873" t="str">
        <f t="shared" si="149"/>
        <v>652</v>
      </c>
      <c r="J1873" t="str">
        <f t="shared" si="150"/>
        <v>65201</v>
      </c>
      <c r="K1873" t="str">
        <f t="shared" si="146"/>
        <v>6520100</v>
      </c>
    </row>
    <row r="1874" spans="2:11" x14ac:dyDescent="0.25">
      <c r="C1874" t="s">
        <v>3733</v>
      </c>
      <c r="D1874" t="s">
        <v>1864</v>
      </c>
      <c r="E1874" t="s">
        <v>1864</v>
      </c>
      <c r="F1874" t="s">
        <v>1475</v>
      </c>
      <c r="G1874" t="str">
        <f t="shared" si="147"/>
        <v>K</v>
      </c>
      <c r="H1874" t="str">
        <f t="shared" si="148"/>
        <v>65</v>
      </c>
      <c r="I1874" t="str">
        <f t="shared" si="149"/>
        <v>653</v>
      </c>
      <c r="J1874" t="str">
        <f t="shared" si="150"/>
        <v>65201</v>
      </c>
      <c r="K1874" t="str">
        <f t="shared" si="146"/>
        <v/>
      </c>
    </row>
    <row r="1875" spans="2:11" x14ac:dyDescent="0.25">
      <c r="C1875" t="s">
        <v>1864</v>
      </c>
      <c r="D1875" t="s">
        <v>3734</v>
      </c>
      <c r="E1875" t="s">
        <v>1864</v>
      </c>
      <c r="F1875" t="s">
        <v>1475</v>
      </c>
      <c r="G1875" t="str">
        <f t="shared" si="147"/>
        <v>K</v>
      </c>
      <c r="H1875" t="str">
        <f t="shared" si="148"/>
        <v>65</v>
      </c>
      <c r="I1875" t="str">
        <f t="shared" si="149"/>
        <v>653</v>
      </c>
      <c r="J1875" t="str">
        <f t="shared" si="150"/>
        <v>65308</v>
      </c>
      <c r="K1875" t="str">
        <f t="shared" si="146"/>
        <v/>
      </c>
    </row>
    <row r="1876" spans="2:11" x14ac:dyDescent="0.25">
      <c r="C1876" t="s">
        <v>1864</v>
      </c>
      <c r="D1876" t="s">
        <v>1864</v>
      </c>
      <c r="E1876" t="s">
        <v>3735</v>
      </c>
      <c r="F1876" t="s">
        <v>1475</v>
      </c>
      <c r="G1876" t="str">
        <f t="shared" si="147"/>
        <v>K</v>
      </c>
      <c r="H1876" t="str">
        <f t="shared" si="148"/>
        <v>65</v>
      </c>
      <c r="I1876" t="str">
        <f t="shared" si="149"/>
        <v>653</v>
      </c>
      <c r="J1876" t="str">
        <f t="shared" si="150"/>
        <v>65308</v>
      </c>
      <c r="K1876" t="str">
        <f t="shared" si="146"/>
        <v>6530800</v>
      </c>
    </row>
    <row r="1877" spans="2:11" x14ac:dyDescent="0.25">
      <c r="C1877" t="s">
        <v>3736</v>
      </c>
      <c r="D1877" t="s">
        <v>1864</v>
      </c>
      <c r="E1877" t="s">
        <v>1864</v>
      </c>
      <c r="F1877" t="s">
        <v>1476</v>
      </c>
      <c r="G1877" t="str">
        <f t="shared" si="147"/>
        <v>K</v>
      </c>
      <c r="H1877" t="str">
        <f t="shared" si="148"/>
        <v>65</v>
      </c>
      <c r="I1877" t="str">
        <f t="shared" si="149"/>
        <v>654</v>
      </c>
      <c r="J1877" t="str">
        <f t="shared" si="150"/>
        <v>65308</v>
      </c>
      <c r="K1877" t="str">
        <f t="shared" si="146"/>
        <v/>
      </c>
    </row>
    <row r="1878" spans="2:11" x14ac:dyDescent="0.25">
      <c r="C1878" t="s">
        <v>1864</v>
      </c>
      <c r="D1878" t="s">
        <v>3737</v>
      </c>
      <c r="E1878" t="s">
        <v>1864</v>
      </c>
      <c r="F1878" t="s">
        <v>1477</v>
      </c>
      <c r="G1878" t="str">
        <f t="shared" si="147"/>
        <v>K</v>
      </c>
      <c r="H1878" t="str">
        <f t="shared" si="148"/>
        <v>65</v>
      </c>
      <c r="I1878" t="str">
        <f t="shared" si="149"/>
        <v>654</v>
      </c>
      <c r="J1878" t="str">
        <f t="shared" si="150"/>
        <v>65413</v>
      </c>
      <c r="K1878" t="str">
        <f t="shared" si="146"/>
        <v/>
      </c>
    </row>
    <row r="1879" spans="2:11" x14ac:dyDescent="0.25">
      <c r="C1879" t="s">
        <v>1864</v>
      </c>
      <c r="D1879" t="s">
        <v>1864</v>
      </c>
      <c r="E1879" t="s">
        <v>3738</v>
      </c>
      <c r="F1879" t="s">
        <v>1477</v>
      </c>
      <c r="G1879" t="str">
        <f t="shared" si="147"/>
        <v>K</v>
      </c>
      <c r="H1879" t="str">
        <f t="shared" si="148"/>
        <v>65</v>
      </c>
      <c r="I1879" t="str">
        <f t="shared" si="149"/>
        <v>654</v>
      </c>
      <c r="J1879" t="str">
        <f t="shared" si="150"/>
        <v>65413</v>
      </c>
      <c r="K1879" t="str">
        <f t="shared" si="146"/>
        <v>6541300</v>
      </c>
    </row>
    <row r="1880" spans="2:11" x14ac:dyDescent="0.25">
      <c r="C1880" t="s">
        <v>1864</v>
      </c>
      <c r="D1880" t="s">
        <v>3739</v>
      </c>
      <c r="E1880" t="s">
        <v>1864</v>
      </c>
      <c r="F1880" t="s">
        <v>1478</v>
      </c>
      <c r="G1880" t="str">
        <f t="shared" si="147"/>
        <v>K</v>
      </c>
      <c r="H1880" t="str">
        <f t="shared" si="148"/>
        <v>65</v>
      </c>
      <c r="I1880" t="str">
        <f t="shared" si="149"/>
        <v>654</v>
      </c>
      <c r="J1880" t="str">
        <f t="shared" si="150"/>
        <v>65421</v>
      </c>
      <c r="K1880" t="str">
        <f t="shared" si="146"/>
        <v/>
      </c>
    </row>
    <row r="1881" spans="2:11" x14ac:dyDescent="0.25">
      <c r="C1881" t="s">
        <v>1864</v>
      </c>
      <c r="D1881" t="s">
        <v>1864</v>
      </c>
      <c r="E1881" t="s">
        <v>3740</v>
      </c>
      <c r="F1881" t="s">
        <v>1478</v>
      </c>
      <c r="G1881" t="str">
        <f t="shared" si="147"/>
        <v>K</v>
      </c>
      <c r="H1881" t="str">
        <f t="shared" si="148"/>
        <v>65</v>
      </c>
      <c r="I1881" t="str">
        <f t="shared" si="149"/>
        <v>654</v>
      </c>
      <c r="J1881" t="str">
        <f t="shared" si="150"/>
        <v>65421</v>
      </c>
      <c r="K1881" t="str">
        <f t="shared" si="146"/>
        <v>6542100</v>
      </c>
    </row>
    <row r="1882" spans="2:11" x14ac:dyDescent="0.25">
      <c r="C1882" t="s">
        <v>3741</v>
      </c>
      <c r="D1882" t="s">
        <v>1864</v>
      </c>
      <c r="E1882" t="s">
        <v>1864</v>
      </c>
      <c r="F1882" t="s">
        <v>1479</v>
      </c>
      <c r="G1882" t="str">
        <f t="shared" si="147"/>
        <v>K</v>
      </c>
      <c r="H1882" t="str">
        <f t="shared" si="148"/>
        <v>65</v>
      </c>
      <c r="I1882" t="str">
        <f t="shared" si="149"/>
        <v>655</v>
      </c>
      <c r="J1882" t="str">
        <f t="shared" si="150"/>
        <v>65421</v>
      </c>
      <c r="K1882" t="str">
        <f t="shared" si="146"/>
        <v/>
      </c>
    </row>
    <row r="1883" spans="2:11" x14ac:dyDescent="0.25">
      <c r="C1883" t="s">
        <v>1864</v>
      </c>
      <c r="D1883" t="s">
        <v>3742</v>
      </c>
      <c r="E1883" t="s">
        <v>1864</v>
      </c>
      <c r="F1883" t="s">
        <v>1479</v>
      </c>
      <c r="G1883" t="str">
        <f t="shared" si="147"/>
        <v>K</v>
      </c>
      <c r="H1883" t="str">
        <f t="shared" si="148"/>
        <v>65</v>
      </c>
      <c r="I1883" t="str">
        <f t="shared" si="149"/>
        <v>655</v>
      </c>
      <c r="J1883" t="str">
        <f t="shared" si="150"/>
        <v>65502</v>
      </c>
      <c r="K1883" t="str">
        <f t="shared" si="146"/>
        <v/>
      </c>
    </row>
    <row r="1884" spans="2:11" x14ac:dyDescent="0.25">
      <c r="C1884" t="s">
        <v>1864</v>
      </c>
      <c r="D1884" t="s">
        <v>1864</v>
      </c>
      <c r="E1884" t="s">
        <v>3743</v>
      </c>
      <c r="F1884" t="s">
        <v>1479</v>
      </c>
      <c r="G1884" t="str">
        <f t="shared" si="147"/>
        <v>K</v>
      </c>
      <c r="H1884" t="str">
        <f t="shared" si="148"/>
        <v>65</v>
      </c>
      <c r="I1884" t="str">
        <f t="shared" si="149"/>
        <v>655</v>
      </c>
      <c r="J1884" t="str">
        <f t="shared" si="150"/>
        <v>65502</v>
      </c>
      <c r="K1884" t="str">
        <f t="shared" si="146"/>
        <v>6550200</v>
      </c>
    </row>
    <row r="1885" spans="2:11" x14ac:dyDescent="0.25">
      <c r="B1885" t="s">
        <v>3744</v>
      </c>
      <c r="C1885" t="s">
        <v>1864</v>
      </c>
      <c r="D1885" t="s">
        <v>1864</v>
      </c>
      <c r="E1885" t="s">
        <v>1864</v>
      </c>
      <c r="F1885" t="s">
        <v>1480</v>
      </c>
      <c r="G1885" t="str">
        <f t="shared" si="147"/>
        <v>K</v>
      </c>
      <c r="H1885" t="str">
        <f t="shared" si="148"/>
        <v>66</v>
      </c>
      <c r="I1885" t="str">
        <f t="shared" si="149"/>
        <v>655</v>
      </c>
      <c r="J1885" t="str">
        <f t="shared" si="150"/>
        <v>65502</v>
      </c>
      <c r="K1885" t="str">
        <f t="shared" si="146"/>
        <v/>
      </c>
    </row>
    <row r="1886" spans="2:11" x14ac:dyDescent="0.25">
      <c r="C1886" t="s">
        <v>3745</v>
      </c>
      <c r="D1886" t="s">
        <v>1864</v>
      </c>
      <c r="E1886" t="s">
        <v>1864</v>
      </c>
      <c r="F1886" t="s">
        <v>1481</v>
      </c>
      <c r="G1886" t="str">
        <f t="shared" si="147"/>
        <v>K</v>
      </c>
      <c r="H1886" t="str">
        <f t="shared" si="148"/>
        <v>66</v>
      </c>
      <c r="I1886" t="str">
        <f t="shared" si="149"/>
        <v>661</v>
      </c>
      <c r="J1886" t="str">
        <f t="shared" si="150"/>
        <v>65502</v>
      </c>
      <c r="K1886" t="str">
        <f t="shared" si="146"/>
        <v/>
      </c>
    </row>
    <row r="1887" spans="2:11" x14ac:dyDescent="0.25">
      <c r="C1887" t="s">
        <v>1864</v>
      </c>
      <c r="D1887" t="s">
        <v>3746</v>
      </c>
      <c r="E1887" t="s">
        <v>1864</v>
      </c>
      <c r="F1887" t="s">
        <v>1482</v>
      </c>
      <c r="G1887" t="str">
        <f t="shared" si="147"/>
        <v>K</v>
      </c>
      <c r="H1887" t="str">
        <f t="shared" si="148"/>
        <v>66</v>
      </c>
      <c r="I1887" t="str">
        <f t="shared" si="149"/>
        <v>661</v>
      </c>
      <c r="J1887" t="str">
        <f t="shared" si="150"/>
        <v>66118</v>
      </c>
      <c r="K1887" t="str">
        <f t="shared" si="146"/>
        <v/>
      </c>
    </row>
    <row r="1888" spans="2:11" x14ac:dyDescent="0.25">
      <c r="C1888" t="s">
        <v>1864</v>
      </c>
      <c r="D1888" t="s">
        <v>1864</v>
      </c>
      <c r="E1888" t="s">
        <v>3747</v>
      </c>
      <c r="F1888" t="s">
        <v>1483</v>
      </c>
      <c r="G1888" t="str">
        <f t="shared" si="147"/>
        <v>K</v>
      </c>
      <c r="H1888" t="str">
        <f t="shared" si="148"/>
        <v>66</v>
      </c>
      <c r="I1888" t="str">
        <f t="shared" si="149"/>
        <v>661</v>
      </c>
      <c r="J1888" t="str">
        <f t="shared" si="150"/>
        <v>66118</v>
      </c>
      <c r="K1888" t="str">
        <f t="shared" si="146"/>
        <v>6611801</v>
      </c>
    </row>
    <row r="1889" spans="3:11" x14ac:dyDescent="0.25">
      <c r="C1889" t="s">
        <v>1864</v>
      </c>
      <c r="D1889" t="s">
        <v>1864</v>
      </c>
      <c r="E1889" t="s">
        <v>3748</v>
      </c>
      <c r="F1889" t="s">
        <v>1484</v>
      </c>
      <c r="G1889" t="str">
        <f t="shared" si="147"/>
        <v>K</v>
      </c>
      <c r="H1889" t="str">
        <f t="shared" si="148"/>
        <v>66</v>
      </c>
      <c r="I1889" t="str">
        <f t="shared" si="149"/>
        <v>661</v>
      </c>
      <c r="J1889" t="str">
        <f t="shared" si="150"/>
        <v>66118</v>
      </c>
      <c r="K1889" t="str">
        <f t="shared" si="146"/>
        <v>6611802</v>
      </c>
    </row>
    <row r="1890" spans="3:11" x14ac:dyDescent="0.25">
      <c r="C1890" t="s">
        <v>1864</v>
      </c>
      <c r="D1890" t="s">
        <v>1864</v>
      </c>
      <c r="E1890" t="s">
        <v>3749</v>
      </c>
      <c r="F1890" t="s">
        <v>1485</v>
      </c>
      <c r="G1890" t="str">
        <f t="shared" si="147"/>
        <v>K</v>
      </c>
      <c r="H1890" t="str">
        <f t="shared" si="148"/>
        <v>66</v>
      </c>
      <c r="I1890" t="str">
        <f t="shared" si="149"/>
        <v>661</v>
      </c>
      <c r="J1890" t="str">
        <f t="shared" si="150"/>
        <v>66118</v>
      </c>
      <c r="K1890" t="str">
        <f t="shared" si="146"/>
        <v>6611803</v>
      </c>
    </row>
    <row r="1891" spans="3:11" x14ac:dyDescent="0.25">
      <c r="C1891" t="s">
        <v>1864</v>
      </c>
      <c r="D1891" t="s">
        <v>1864</v>
      </c>
      <c r="E1891" t="s">
        <v>3750</v>
      </c>
      <c r="F1891" t="s">
        <v>1486</v>
      </c>
      <c r="G1891" t="str">
        <f t="shared" si="147"/>
        <v>K</v>
      </c>
      <c r="H1891" t="str">
        <f t="shared" si="148"/>
        <v>66</v>
      </c>
      <c r="I1891" t="str">
        <f t="shared" si="149"/>
        <v>661</v>
      </c>
      <c r="J1891" t="str">
        <f t="shared" si="150"/>
        <v>66118</v>
      </c>
      <c r="K1891" t="str">
        <f t="shared" si="146"/>
        <v>6611804</v>
      </c>
    </row>
    <row r="1892" spans="3:11" x14ac:dyDescent="0.25">
      <c r="C1892" t="s">
        <v>1864</v>
      </c>
      <c r="D1892" t="s">
        <v>3751</v>
      </c>
      <c r="E1892" t="s">
        <v>1864</v>
      </c>
      <c r="F1892" t="s">
        <v>1487</v>
      </c>
      <c r="G1892" t="str">
        <f t="shared" si="147"/>
        <v>K</v>
      </c>
      <c r="H1892" t="str">
        <f t="shared" si="148"/>
        <v>66</v>
      </c>
      <c r="I1892" t="str">
        <f t="shared" si="149"/>
        <v>661</v>
      </c>
      <c r="J1892" t="str">
        <f t="shared" si="150"/>
        <v>66126</v>
      </c>
      <c r="K1892" t="str">
        <f t="shared" si="146"/>
        <v/>
      </c>
    </row>
    <row r="1893" spans="3:11" x14ac:dyDescent="0.25">
      <c r="C1893" t="s">
        <v>1864</v>
      </c>
      <c r="D1893" t="s">
        <v>1864</v>
      </c>
      <c r="E1893" t="s">
        <v>3752</v>
      </c>
      <c r="F1893" t="s">
        <v>1488</v>
      </c>
      <c r="G1893" t="str">
        <f t="shared" si="147"/>
        <v>K</v>
      </c>
      <c r="H1893" t="str">
        <f t="shared" si="148"/>
        <v>66</v>
      </c>
      <c r="I1893" t="str">
        <f t="shared" si="149"/>
        <v>661</v>
      </c>
      <c r="J1893" t="str">
        <f t="shared" si="150"/>
        <v>66126</v>
      </c>
      <c r="K1893" t="str">
        <f t="shared" si="146"/>
        <v>6612601</v>
      </c>
    </row>
    <row r="1894" spans="3:11" x14ac:dyDescent="0.25">
      <c r="C1894" t="s">
        <v>1864</v>
      </c>
      <c r="D1894" t="s">
        <v>1864</v>
      </c>
      <c r="E1894" t="s">
        <v>3753</v>
      </c>
      <c r="F1894" t="s">
        <v>1489</v>
      </c>
      <c r="G1894" t="str">
        <f t="shared" si="147"/>
        <v>K</v>
      </c>
      <c r="H1894" t="str">
        <f t="shared" si="148"/>
        <v>66</v>
      </c>
      <c r="I1894" t="str">
        <f t="shared" si="149"/>
        <v>661</v>
      </c>
      <c r="J1894" t="str">
        <f t="shared" si="150"/>
        <v>66126</v>
      </c>
      <c r="K1894" t="str">
        <f t="shared" si="146"/>
        <v>6612602</v>
      </c>
    </row>
    <row r="1895" spans="3:11" x14ac:dyDescent="0.25">
      <c r="C1895" t="s">
        <v>1864</v>
      </c>
      <c r="D1895" t="s">
        <v>1864</v>
      </c>
      <c r="E1895" t="s">
        <v>3754</v>
      </c>
      <c r="F1895" t="s">
        <v>1490</v>
      </c>
      <c r="G1895" t="str">
        <f t="shared" si="147"/>
        <v>K</v>
      </c>
      <c r="H1895" t="str">
        <f t="shared" si="148"/>
        <v>66</v>
      </c>
      <c r="I1895" t="str">
        <f t="shared" si="149"/>
        <v>661</v>
      </c>
      <c r="J1895" t="str">
        <f t="shared" si="150"/>
        <v>66126</v>
      </c>
      <c r="K1895" t="str">
        <f t="shared" si="146"/>
        <v>6612603</v>
      </c>
    </row>
    <row r="1896" spans="3:11" x14ac:dyDescent="0.25">
      <c r="C1896" t="s">
        <v>1864</v>
      </c>
      <c r="D1896" t="s">
        <v>1864</v>
      </c>
      <c r="E1896" t="s">
        <v>3755</v>
      </c>
      <c r="F1896" t="s">
        <v>1491</v>
      </c>
      <c r="G1896" t="str">
        <f t="shared" si="147"/>
        <v>K</v>
      </c>
      <c r="H1896" t="str">
        <f t="shared" si="148"/>
        <v>66</v>
      </c>
      <c r="I1896" t="str">
        <f t="shared" si="149"/>
        <v>661</v>
      </c>
      <c r="J1896" t="str">
        <f t="shared" si="150"/>
        <v>66126</v>
      </c>
      <c r="K1896" t="str">
        <f t="shared" si="146"/>
        <v>6612604</v>
      </c>
    </row>
    <row r="1897" spans="3:11" x14ac:dyDescent="0.25">
      <c r="C1897" t="s">
        <v>1864</v>
      </c>
      <c r="D1897" t="s">
        <v>1864</v>
      </c>
      <c r="E1897" t="s">
        <v>3756</v>
      </c>
      <c r="F1897" t="s">
        <v>1492</v>
      </c>
      <c r="G1897" t="str">
        <f t="shared" si="147"/>
        <v>K</v>
      </c>
      <c r="H1897" t="str">
        <f t="shared" si="148"/>
        <v>66</v>
      </c>
      <c r="I1897" t="str">
        <f t="shared" si="149"/>
        <v>661</v>
      </c>
      <c r="J1897" t="str">
        <f t="shared" si="150"/>
        <v>66126</v>
      </c>
      <c r="K1897" t="str">
        <f t="shared" si="146"/>
        <v>6612605</v>
      </c>
    </row>
    <row r="1898" spans="3:11" x14ac:dyDescent="0.25">
      <c r="C1898" t="s">
        <v>1864</v>
      </c>
      <c r="D1898" t="s">
        <v>3757</v>
      </c>
      <c r="E1898" t="s">
        <v>1864</v>
      </c>
      <c r="F1898" t="s">
        <v>1493</v>
      </c>
      <c r="G1898" t="str">
        <f t="shared" si="147"/>
        <v>K</v>
      </c>
      <c r="H1898" t="str">
        <f t="shared" si="148"/>
        <v>66</v>
      </c>
      <c r="I1898" t="str">
        <f t="shared" si="149"/>
        <v>661</v>
      </c>
      <c r="J1898" t="str">
        <f t="shared" si="150"/>
        <v>66134</v>
      </c>
      <c r="K1898" t="str">
        <f t="shared" si="146"/>
        <v/>
      </c>
    </row>
    <row r="1899" spans="3:11" x14ac:dyDescent="0.25">
      <c r="C1899" t="s">
        <v>1864</v>
      </c>
      <c r="D1899" t="s">
        <v>1864</v>
      </c>
      <c r="E1899" t="s">
        <v>3758</v>
      </c>
      <c r="F1899" t="s">
        <v>1493</v>
      </c>
      <c r="G1899" t="str">
        <f t="shared" si="147"/>
        <v>K</v>
      </c>
      <c r="H1899" t="str">
        <f t="shared" si="148"/>
        <v>66</v>
      </c>
      <c r="I1899" t="str">
        <f t="shared" si="149"/>
        <v>661</v>
      </c>
      <c r="J1899" t="str">
        <f t="shared" si="150"/>
        <v>66134</v>
      </c>
      <c r="K1899" t="str">
        <f t="shared" si="146"/>
        <v>6613400</v>
      </c>
    </row>
    <row r="1900" spans="3:11" x14ac:dyDescent="0.25">
      <c r="C1900" t="s">
        <v>1864</v>
      </c>
      <c r="D1900" t="s">
        <v>3759</v>
      </c>
      <c r="E1900" t="s">
        <v>1864</v>
      </c>
      <c r="F1900" t="s">
        <v>1494</v>
      </c>
      <c r="G1900" t="str">
        <f t="shared" si="147"/>
        <v>K</v>
      </c>
      <c r="H1900" t="str">
        <f t="shared" si="148"/>
        <v>66</v>
      </c>
      <c r="I1900" t="str">
        <f t="shared" si="149"/>
        <v>661</v>
      </c>
      <c r="J1900" t="str">
        <f t="shared" si="150"/>
        <v>66193</v>
      </c>
      <c r="K1900" t="str">
        <f t="shared" si="146"/>
        <v/>
      </c>
    </row>
    <row r="1901" spans="3:11" x14ac:dyDescent="0.25">
      <c r="C1901" t="s">
        <v>1864</v>
      </c>
      <c r="D1901" t="s">
        <v>1864</v>
      </c>
      <c r="E1901" t="s">
        <v>3760</v>
      </c>
      <c r="F1901" t="s">
        <v>1495</v>
      </c>
      <c r="G1901" t="str">
        <f t="shared" si="147"/>
        <v>K</v>
      </c>
      <c r="H1901" t="str">
        <f t="shared" si="148"/>
        <v>66</v>
      </c>
      <c r="I1901" t="str">
        <f t="shared" si="149"/>
        <v>661</v>
      </c>
      <c r="J1901" t="str">
        <f t="shared" si="150"/>
        <v>66193</v>
      </c>
      <c r="K1901" t="str">
        <f t="shared" si="146"/>
        <v>6619301</v>
      </c>
    </row>
    <row r="1902" spans="3:11" x14ac:dyDescent="0.25">
      <c r="C1902" t="s">
        <v>1864</v>
      </c>
      <c r="D1902" t="s">
        <v>1864</v>
      </c>
      <c r="E1902" t="s">
        <v>3761</v>
      </c>
      <c r="F1902" t="s">
        <v>1496</v>
      </c>
      <c r="G1902" t="str">
        <f t="shared" si="147"/>
        <v>K</v>
      </c>
      <c r="H1902" t="str">
        <f t="shared" si="148"/>
        <v>66</v>
      </c>
      <c r="I1902" t="str">
        <f t="shared" si="149"/>
        <v>661</v>
      </c>
      <c r="J1902" t="str">
        <f t="shared" si="150"/>
        <v>66193</v>
      </c>
      <c r="K1902" t="str">
        <f t="shared" si="146"/>
        <v>6619302</v>
      </c>
    </row>
    <row r="1903" spans="3:11" x14ac:dyDescent="0.25">
      <c r="C1903" t="s">
        <v>1864</v>
      </c>
      <c r="D1903" t="s">
        <v>1864</v>
      </c>
      <c r="E1903" t="s">
        <v>3762</v>
      </c>
      <c r="F1903" t="s">
        <v>1497</v>
      </c>
      <c r="G1903" t="str">
        <f t="shared" si="147"/>
        <v>K</v>
      </c>
      <c r="H1903" t="str">
        <f t="shared" si="148"/>
        <v>66</v>
      </c>
      <c r="I1903" t="str">
        <f t="shared" si="149"/>
        <v>661</v>
      </c>
      <c r="J1903" t="str">
        <f t="shared" si="150"/>
        <v>66193</v>
      </c>
      <c r="K1903" t="str">
        <f t="shared" si="146"/>
        <v>6619303</v>
      </c>
    </row>
    <row r="1904" spans="3:11" x14ac:dyDescent="0.25">
      <c r="C1904" t="s">
        <v>1864</v>
      </c>
      <c r="D1904" t="s">
        <v>1864</v>
      </c>
      <c r="E1904" t="s">
        <v>3763</v>
      </c>
      <c r="F1904" t="s">
        <v>1498</v>
      </c>
      <c r="G1904" t="str">
        <f t="shared" si="147"/>
        <v>K</v>
      </c>
      <c r="H1904" t="str">
        <f t="shared" si="148"/>
        <v>66</v>
      </c>
      <c r="I1904" t="str">
        <f t="shared" si="149"/>
        <v>661</v>
      </c>
      <c r="J1904" t="str">
        <f t="shared" si="150"/>
        <v>66193</v>
      </c>
      <c r="K1904" t="str">
        <f t="shared" si="146"/>
        <v>6619304</v>
      </c>
    </row>
    <row r="1905" spans="1:11" x14ac:dyDescent="0.25">
      <c r="C1905" t="s">
        <v>1864</v>
      </c>
      <c r="D1905" t="s">
        <v>1864</v>
      </c>
      <c r="E1905" t="s">
        <v>3764</v>
      </c>
      <c r="F1905" t="s">
        <v>1499</v>
      </c>
      <c r="G1905" t="str">
        <f t="shared" si="147"/>
        <v>K</v>
      </c>
      <c r="H1905" t="str">
        <f t="shared" si="148"/>
        <v>66</v>
      </c>
      <c r="I1905" t="str">
        <f t="shared" si="149"/>
        <v>661</v>
      </c>
      <c r="J1905" t="str">
        <f t="shared" si="150"/>
        <v>66193</v>
      </c>
      <c r="K1905" t="str">
        <f t="shared" si="146"/>
        <v>6619305</v>
      </c>
    </row>
    <row r="1906" spans="1:11" x14ac:dyDescent="0.25">
      <c r="C1906" t="s">
        <v>1864</v>
      </c>
      <c r="D1906" t="s">
        <v>1864</v>
      </c>
      <c r="E1906" t="s">
        <v>3765</v>
      </c>
      <c r="F1906" t="s">
        <v>1500</v>
      </c>
      <c r="G1906" t="str">
        <f t="shared" si="147"/>
        <v>K</v>
      </c>
      <c r="H1906" t="str">
        <f t="shared" si="148"/>
        <v>66</v>
      </c>
      <c r="I1906" t="str">
        <f t="shared" si="149"/>
        <v>661</v>
      </c>
      <c r="J1906" t="str">
        <f t="shared" si="150"/>
        <v>66193</v>
      </c>
      <c r="K1906" t="str">
        <f t="shared" si="146"/>
        <v>6619399</v>
      </c>
    </row>
    <row r="1907" spans="1:11" x14ac:dyDescent="0.25">
      <c r="C1907" t="s">
        <v>3766</v>
      </c>
      <c r="D1907" t="s">
        <v>1864</v>
      </c>
      <c r="E1907" t="s">
        <v>1864</v>
      </c>
      <c r="F1907" t="s">
        <v>1501</v>
      </c>
      <c r="G1907" t="str">
        <f t="shared" si="147"/>
        <v>K</v>
      </c>
      <c r="H1907" t="str">
        <f t="shared" si="148"/>
        <v>66</v>
      </c>
      <c r="I1907" t="str">
        <f t="shared" si="149"/>
        <v>662</v>
      </c>
      <c r="J1907" t="str">
        <f t="shared" si="150"/>
        <v>66193</v>
      </c>
      <c r="K1907" t="str">
        <f t="shared" si="146"/>
        <v/>
      </c>
    </row>
    <row r="1908" spans="1:11" x14ac:dyDescent="0.25">
      <c r="C1908" t="s">
        <v>1864</v>
      </c>
      <c r="D1908" t="s">
        <v>3767</v>
      </c>
      <c r="E1908" t="s">
        <v>1864</v>
      </c>
      <c r="F1908" t="s">
        <v>1502</v>
      </c>
      <c r="G1908" t="str">
        <f t="shared" si="147"/>
        <v>K</v>
      </c>
      <c r="H1908" t="str">
        <f t="shared" si="148"/>
        <v>66</v>
      </c>
      <c r="I1908" t="str">
        <f t="shared" si="149"/>
        <v>662</v>
      </c>
      <c r="J1908" t="str">
        <f t="shared" si="150"/>
        <v>66215</v>
      </c>
      <c r="K1908" t="str">
        <f t="shared" si="146"/>
        <v/>
      </c>
    </row>
    <row r="1909" spans="1:11" x14ac:dyDescent="0.25">
      <c r="C1909" t="s">
        <v>1864</v>
      </c>
      <c r="D1909" t="s">
        <v>1864</v>
      </c>
      <c r="E1909" t="s">
        <v>3768</v>
      </c>
      <c r="F1909" t="s">
        <v>1503</v>
      </c>
      <c r="G1909" t="str">
        <f t="shared" si="147"/>
        <v>K</v>
      </c>
      <c r="H1909" t="str">
        <f t="shared" si="148"/>
        <v>66</v>
      </c>
      <c r="I1909" t="str">
        <f t="shared" si="149"/>
        <v>662</v>
      </c>
      <c r="J1909" t="str">
        <f t="shared" si="150"/>
        <v>66215</v>
      </c>
      <c r="K1909" t="str">
        <f t="shared" si="146"/>
        <v>6621501</v>
      </c>
    </row>
    <row r="1910" spans="1:11" x14ac:dyDescent="0.25">
      <c r="C1910" t="s">
        <v>1864</v>
      </c>
      <c r="D1910" t="s">
        <v>1864</v>
      </c>
      <c r="E1910" t="s">
        <v>3769</v>
      </c>
      <c r="F1910" t="s">
        <v>1504</v>
      </c>
      <c r="G1910" t="str">
        <f t="shared" si="147"/>
        <v>K</v>
      </c>
      <c r="H1910" t="str">
        <f t="shared" si="148"/>
        <v>66</v>
      </c>
      <c r="I1910" t="str">
        <f t="shared" si="149"/>
        <v>662</v>
      </c>
      <c r="J1910" t="str">
        <f t="shared" si="150"/>
        <v>66215</v>
      </c>
      <c r="K1910" t="str">
        <f t="shared" si="146"/>
        <v>6621502</v>
      </c>
    </row>
    <row r="1911" spans="1:11" x14ac:dyDescent="0.25">
      <c r="C1911" t="s">
        <v>1864</v>
      </c>
      <c r="D1911" t="s">
        <v>3770</v>
      </c>
      <c r="E1911" t="s">
        <v>1864</v>
      </c>
      <c r="F1911" t="s">
        <v>1505</v>
      </c>
      <c r="G1911" t="str">
        <f t="shared" si="147"/>
        <v>K</v>
      </c>
      <c r="H1911" t="str">
        <f t="shared" si="148"/>
        <v>66</v>
      </c>
      <c r="I1911" t="str">
        <f t="shared" si="149"/>
        <v>662</v>
      </c>
      <c r="J1911" t="str">
        <f t="shared" si="150"/>
        <v>66223</v>
      </c>
      <c r="K1911" t="str">
        <f t="shared" si="146"/>
        <v/>
      </c>
    </row>
    <row r="1912" spans="1:11" x14ac:dyDescent="0.25">
      <c r="C1912" t="s">
        <v>1864</v>
      </c>
      <c r="D1912" t="s">
        <v>1864</v>
      </c>
      <c r="E1912" t="s">
        <v>3771</v>
      </c>
      <c r="F1912" t="s">
        <v>1505</v>
      </c>
      <c r="G1912" t="str">
        <f t="shared" si="147"/>
        <v>K</v>
      </c>
      <c r="H1912" t="str">
        <f t="shared" si="148"/>
        <v>66</v>
      </c>
      <c r="I1912" t="str">
        <f t="shared" si="149"/>
        <v>662</v>
      </c>
      <c r="J1912" t="str">
        <f t="shared" si="150"/>
        <v>66223</v>
      </c>
      <c r="K1912" t="str">
        <f t="shared" si="146"/>
        <v>6622300</v>
      </c>
    </row>
    <row r="1913" spans="1:11" x14ac:dyDescent="0.25">
      <c r="C1913" t="s">
        <v>1864</v>
      </c>
      <c r="D1913" t="s">
        <v>3772</v>
      </c>
      <c r="E1913" t="s">
        <v>1864</v>
      </c>
      <c r="F1913" t="s">
        <v>1506</v>
      </c>
      <c r="G1913" t="str">
        <f t="shared" si="147"/>
        <v>K</v>
      </c>
      <c r="H1913" t="str">
        <f t="shared" si="148"/>
        <v>66</v>
      </c>
      <c r="I1913" t="str">
        <f t="shared" si="149"/>
        <v>662</v>
      </c>
      <c r="J1913" t="str">
        <f t="shared" si="150"/>
        <v>66291</v>
      </c>
      <c r="K1913" t="str">
        <f t="shared" si="146"/>
        <v/>
      </c>
    </row>
    <row r="1914" spans="1:11" x14ac:dyDescent="0.25">
      <c r="C1914" t="s">
        <v>1864</v>
      </c>
      <c r="D1914" t="s">
        <v>1864</v>
      </c>
      <c r="E1914" t="s">
        <v>3773</v>
      </c>
      <c r="F1914" t="s">
        <v>1506</v>
      </c>
      <c r="G1914" t="str">
        <f t="shared" si="147"/>
        <v>K</v>
      </c>
      <c r="H1914" t="str">
        <f t="shared" si="148"/>
        <v>66</v>
      </c>
      <c r="I1914" t="str">
        <f t="shared" si="149"/>
        <v>662</v>
      </c>
      <c r="J1914" t="str">
        <f t="shared" si="150"/>
        <v>66291</v>
      </c>
      <c r="K1914" t="str">
        <f t="shared" si="146"/>
        <v>6629100</v>
      </c>
    </row>
    <row r="1915" spans="1:11" x14ac:dyDescent="0.25">
      <c r="C1915" t="s">
        <v>3774</v>
      </c>
      <c r="D1915" t="s">
        <v>1864</v>
      </c>
      <c r="E1915" t="s">
        <v>1864</v>
      </c>
      <c r="F1915" t="s">
        <v>1507</v>
      </c>
      <c r="G1915" t="str">
        <f t="shared" si="147"/>
        <v>K</v>
      </c>
      <c r="H1915" t="str">
        <f t="shared" si="148"/>
        <v>66</v>
      </c>
      <c r="I1915" t="str">
        <f t="shared" si="149"/>
        <v>663</v>
      </c>
      <c r="J1915" t="str">
        <f t="shared" si="150"/>
        <v>66291</v>
      </c>
      <c r="K1915" t="str">
        <f t="shared" si="146"/>
        <v/>
      </c>
    </row>
    <row r="1916" spans="1:11" x14ac:dyDescent="0.25">
      <c r="C1916" t="s">
        <v>1864</v>
      </c>
      <c r="D1916" t="s">
        <v>3775</v>
      </c>
      <c r="E1916" t="s">
        <v>1864</v>
      </c>
      <c r="F1916" t="s">
        <v>1507</v>
      </c>
      <c r="G1916" t="str">
        <f t="shared" si="147"/>
        <v>K</v>
      </c>
      <c r="H1916" t="str">
        <f t="shared" si="148"/>
        <v>66</v>
      </c>
      <c r="I1916" t="str">
        <f t="shared" si="149"/>
        <v>663</v>
      </c>
      <c r="J1916" t="str">
        <f t="shared" si="150"/>
        <v>66304</v>
      </c>
      <c r="K1916" t="str">
        <f t="shared" si="146"/>
        <v/>
      </c>
    </row>
    <row r="1917" spans="1:11" x14ac:dyDescent="0.25">
      <c r="C1917" t="s">
        <v>1864</v>
      </c>
      <c r="D1917" t="s">
        <v>1864</v>
      </c>
      <c r="E1917" t="s">
        <v>3776</v>
      </c>
      <c r="F1917" t="s">
        <v>1508</v>
      </c>
      <c r="G1917" t="str">
        <f t="shared" si="147"/>
        <v>K</v>
      </c>
      <c r="H1917" t="str">
        <f t="shared" si="148"/>
        <v>66</v>
      </c>
      <c r="I1917" t="str">
        <f t="shared" si="149"/>
        <v>663</v>
      </c>
      <c r="J1917" t="str">
        <f t="shared" si="150"/>
        <v>66304</v>
      </c>
      <c r="K1917" t="str">
        <f t="shared" si="146"/>
        <v>6630400</v>
      </c>
    </row>
    <row r="1918" spans="1:11" x14ac:dyDescent="0.25">
      <c r="A1918" t="s">
        <v>3777</v>
      </c>
      <c r="C1918" t="s">
        <v>1864</v>
      </c>
      <c r="D1918" t="s">
        <v>1864</v>
      </c>
      <c r="E1918" t="s">
        <v>1864</v>
      </c>
      <c r="F1918" t="s">
        <v>1509</v>
      </c>
      <c r="G1918" t="str">
        <f t="shared" si="147"/>
        <v>L</v>
      </c>
      <c r="H1918" t="str">
        <f t="shared" si="148"/>
        <v>66</v>
      </c>
      <c r="I1918" t="str">
        <f t="shared" si="149"/>
        <v>663</v>
      </c>
      <c r="J1918" t="str">
        <f t="shared" si="150"/>
        <v>66304</v>
      </c>
      <c r="K1918" t="str">
        <f t="shared" si="146"/>
        <v/>
      </c>
    </row>
    <row r="1919" spans="1:11" x14ac:dyDescent="0.25">
      <c r="B1919" t="s">
        <v>3778</v>
      </c>
      <c r="C1919" t="s">
        <v>1864</v>
      </c>
      <c r="D1919" t="s">
        <v>1864</v>
      </c>
      <c r="E1919" t="s">
        <v>1864</v>
      </c>
      <c r="F1919" t="s">
        <v>1509</v>
      </c>
      <c r="G1919" t="str">
        <f t="shared" si="147"/>
        <v>L</v>
      </c>
      <c r="H1919" t="str">
        <f t="shared" si="148"/>
        <v>68</v>
      </c>
      <c r="I1919" t="str">
        <f t="shared" si="149"/>
        <v>663</v>
      </c>
      <c r="J1919" t="str">
        <f t="shared" si="150"/>
        <v>66304</v>
      </c>
      <c r="K1919" t="str">
        <f t="shared" si="146"/>
        <v/>
      </c>
    </row>
    <row r="1920" spans="1:11" x14ac:dyDescent="0.25">
      <c r="C1920" t="s">
        <v>3779</v>
      </c>
      <c r="D1920" t="s">
        <v>1864</v>
      </c>
      <c r="E1920" t="s">
        <v>1864</v>
      </c>
      <c r="F1920" t="s">
        <v>1510</v>
      </c>
      <c r="G1920" t="str">
        <f t="shared" si="147"/>
        <v>L</v>
      </c>
      <c r="H1920" t="str">
        <f t="shared" si="148"/>
        <v>68</v>
      </c>
      <c r="I1920" t="str">
        <f t="shared" si="149"/>
        <v>681</v>
      </c>
      <c r="J1920" t="str">
        <f t="shared" si="150"/>
        <v>66304</v>
      </c>
      <c r="K1920" t="str">
        <f t="shared" si="146"/>
        <v/>
      </c>
    </row>
    <row r="1921" spans="1:11" x14ac:dyDescent="0.25">
      <c r="C1921" t="s">
        <v>1864</v>
      </c>
      <c r="D1921" t="s">
        <v>3780</v>
      </c>
      <c r="E1921" t="s">
        <v>1864</v>
      </c>
      <c r="F1921" t="s">
        <v>1510</v>
      </c>
      <c r="G1921" t="str">
        <f t="shared" si="147"/>
        <v>L</v>
      </c>
      <c r="H1921" t="str">
        <f t="shared" si="148"/>
        <v>68</v>
      </c>
      <c r="I1921" t="str">
        <f t="shared" si="149"/>
        <v>681</v>
      </c>
      <c r="J1921" t="str">
        <f t="shared" si="150"/>
        <v>68102</v>
      </c>
      <c r="K1921" t="str">
        <f t="shared" si="146"/>
        <v/>
      </c>
    </row>
    <row r="1922" spans="1:11" x14ac:dyDescent="0.25">
      <c r="C1922" t="s">
        <v>1864</v>
      </c>
      <c r="D1922" t="s">
        <v>1864</v>
      </c>
      <c r="E1922" t="s">
        <v>3781</v>
      </c>
      <c r="F1922" t="s">
        <v>1511</v>
      </c>
      <c r="G1922" t="str">
        <f t="shared" si="147"/>
        <v>L</v>
      </c>
      <c r="H1922" t="str">
        <f t="shared" si="148"/>
        <v>68</v>
      </c>
      <c r="I1922" t="str">
        <f t="shared" si="149"/>
        <v>681</v>
      </c>
      <c r="J1922" t="str">
        <f t="shared" si="150"/>
        <v>68102</v>
      </c>
      <c r="K1922" t="str">
        <f t="shared" si="146"/>
        <v>6810201</v>
      </c>
    </row>
    <row r="1923" spans="1:11" x14ac:dyDescent="0.25">
      <c r="C1923" t="s">
        <v>1864</v>
      </c>
      <c r="D1923" t="s">
        <v>1864</v>
      </c>
      <c r="E1923" t="s">
        <v>3782</v>
      </c>
      <c r="F1923" t="s">
        <v>1512</v>
      </c>
      <c r="G1923" t="str">
        <f t="shared" si="147"/>
        <v>L</v>
      </c>
      <c r="H1923" t="str">
        <f t="shared" si="148"/>
        <v>68</v>
      </c>
      <c r="I1923" t="str">
        <f t="shared" si="149"/>
        <v>681</v>
      </c>
      <c r="J1923" t="str">
        <f t="shared" si="150"/>
        <v>68102</v>
      </c>
      <c r="K1923" t="str">
        <f t="shared" si="146"/>
        <v>6810202</v>
      </c>
    </row>
    <row r="1924" spans="1:11" x14ac:dyDescent="0.25">
      <c r="C1924" t="s">
        <v>1864</v>
      </c>
      <c r="D1924" t="s">
        <v>1864</v>
      </c>
      <c r="E1924" t="s">
        <v>3783</v>
      </c>
      <c r="F1924" t="s">
        <v>1513</v>
      </c>
      <c r="G1924" t="str">
        <f t="shared" si="147"/>
        <v>L</v>
      </c>
      <c r="H1924" t="str">
        <f t="shared" si="148"/>
        <v>68</v>
      </c>
      <c r="I1924" t="str">
        <f t="shared" si="149"/>
        <v>681</v>
      </c>
      <c r="J1924" t="str">
        <f t="shared" si="150"/>
        <v>68102</v>
      </c>
      <c r="K1924" t="str">
        <f t="shared" si="146"/>
        <v>6810203</v>
      </c>
    </row>
    <row r="1925" spans="1:11" x14ac:dyDescent="0.25">
      <c r="C1925" t="s">
        <v>3784</v>
      </c>
      <c r="D1925" t="s">
        <v>1864</v>
      </c>
      <c r="E1925" t="s">
        <v>1864</v>
      </c>
      <c r="F1925" t="s">
        <v>1514</v>
      </c>
      <c r="G1925" t="str">
        <f t="shared" si="147"/>
        <v>L</v>
      </c>
      <c r="H1925" t="str">
        <f t="shared" si="148"/>
        <v>68</v>
      </c>
      <c r="I1925" t="str">
        <f t="shared" si="149"/>
        <v>682</v>
      </c>
      <c r="J1925" t="str">
        <f t="shared" si="150"/>
        <v>68102</v>
      </c>
      <c r="K1925" t="str">
        <f t="shared" si="146"/>
        <v/>
      </c>
    </row>
    <row r="1926" spans="1:11" x14ac:dyDescent="0.25">
      <c r="C1926" t="s">
        <v>1864</v>
      </c>
      <c r="D1926" t="s">
        <v>3785</v>
      </c>
      <c r="E1926" t="s">
        <v>1864</v>
      </c>
      <c r="F1926" t="s">
        <v>1515</v>
      </c>
      <c r="G1926" t="str">
        <f t="shared" si="147"/>
        <v>L</v>
      </c>
      <c r="H1926" t="str">
        <f t="shared" si="148"/>
        <v>68</v>
      </c>
      <c r="I1926" t="str">
        <f t="shared" si="149"/>
        <v>682</v>
      </c>
      <c r="J1926" t="str">
        <f t="shared" si="150"/>
        <v>68218</v>
      </c>
      <c r="K1926" t="str">
        <f t="shared" si="146"/>
        <v/>
      </c>
    </row>
    <row r="1927" spans="1:11" x14ac:dyDescent="0.25">
      <c r="C1927" t="s">
        <v>1864</v>
      </c>
      <c r="D1927" t="s">
        <v>1864</v>
      </c>
      <c r="E1927" t="s">
        <v>3786</v>
      </c>
      <c r="F1927" t="s">
        <v>1516</v>
      </c>
      <c r="G1927" t="str">
        <f t="shared" si="147"/>
        <v>L</v>
      </c>
      <c r="H1927" t="str">
        <f t="shared" si="148"/>
        <v>68</v>
      </c>
      <c r="I1927" t="str">
        <f t="shared" si="149"/>
        <v>682</v>
      </c>
      <c r="J1927" t="str">
        <f t="shared" si="150"/>
        <v>68218</v>
      </c>
      <c r="K1927" t="str">
        <f t="shared" si="146"/>
        <v>6821801</v>
      </c>
    </row>
    <row r="1928" spans="1:11" x14ac:dyDescent="0.25">
      <c r="C1928" t="s">
        <v>1864</v>
      </c>
      <c r="D1928" t="s">
        <v>1864</v>
      </c>
      <c r="E1928" t="s">
        <v>3787</v>
      </c>
      <c r="F1928" t="s">
        <v>1517</v>
      </c>
      <c r="G1928" t="str">
        <f t="shared" si="147"/>
        <v>L</v>
      </c>
      <c r="H1928" t="str">
        <f t="shared" si="148"/>
        <v>68</v>
      </c>
      <c r="I1928" t="str">
        <f t="shared" si="149"/>
        <v>682</v>
      </c>
      <c r="J1928" t="str">
        <f t="shared" si="150"/>
        <v>68218</v>
      </c>
      <c r="K1928" t="str">
        <f t="shared" ref="K1928:K1991" si="151">E1928</f>
        <v>6821802</v>
      </c>
    </row>
    <row r="1929" spans="1:11" x14ac:dyDescent="0.25">
      <c r="C1929" t="s">
        <v>1864</v>
      </c>
      <c r="D1929" t="s">
        <v>3788</v>
      </c>
      <c r="E1929" t="s">
        <v>1864</v>
      </c>
      <c r="F1929" t="s">
        <v>1518</v>
      </c>
      <c r="G1929" t="str">
        <f t="shared" ref="G1929:G1992" si="152">IF(A1929="",G1928,A1929)</f>
        <v>L</v>
      </c>
      <c r="H1929" t="str">
        <f t="shared" ref="H1929:H1992" si="153">IF(B1929="",H1928,B1929)</f>
        <v>68</v>
      </c>
      <c r="I1929" t="str">
        <f t="shared" ref="I1929:I1992" si="154">IF(C1929="",I1928,C1929)</f>
        <v>682</v>
      </c>
      <c r="J1929" t="str">
        <f t="shared" ref="J1929:J1992" si="155">IF(D1929="",J1928,D1929)</f>
        <v>68226</v>
      </c>
      <c r="K1929" t="str">
        <f t="shared" si="151"/>
        <v/>
      </c>
    </row>
    <row r="1930" spans="1:11" x14ac:dyDescent="0.25">
      <c r="C1930" t="s">
        <v>1864</v>
      </c>
      <c r="D1930" t="s">
        <v>1864</v>
      </c>
      <c r="E1930" t="s">
        <v>3789</v>
      </c>
      <c r="F1930" t="s">
        <v>1518</v>
      </c>
      <c r="G1930" t="str">
        <f t="shared" si="152"/>
        <v>L</v>
      </c>
      <c r="H1930" t="str">
        <f t="shared" si="153"/>
        <v>68</v>
      </c>
      <c r="I1930" t="str">
        <f t="shared" si="154"/>
        <v>682</v>
      </c>
      <c r="J1930" t="str">
        <f t="shared" si="155"/>
        <v>68226</v>
      </c>
      <c r="K1930" t="str">
        <f t="shared" si="151"/>
        <v>6822600</v>
      </c>
    </row>
    <row r="1931" spans="1:11" x14ac:dyDescent="0.25">
      <c r="A1931" t="s">
        <v>3790</v>
      </c>
      <c r="C1931" t="s">
        <v>1864</v>
      </c>
      <c r="D1931" t="s">
        <v>1864</v>
      </c>
      <c r="E1931" t="s">
        <v>1864</v>
      </c>
      <c r="F1931" t="s">
        <v>1519</v>
      </c>
      <c r="G1931" t="str">
        <f t="shared" si="152"/>
        <v>M</v>
      </c>
      <c r="H1931" t="str">
        <f t="shared" si="153"/>
        <v>68</v>
      </c>
      <c r="I1931" t="str">
        <f t="shared" si="154"/>
        <v>682</v>
      </c>
      <c r="J1931" t="str">
        <f t="shared" si="155"/>
        <v>68226</v>
      </c>
      <c r="K1931" t="str">
        <f t="shared" si="151"/>
        <v/>
      </c>
    </row>
    <row r="1932" spans="1:11" x14ac:dyDescent="0.25">
      <c r="B1932" t="s">
        <v>3791</v>
      </c>
      <c r="C1932" t="s">
        <v>1864</v>
      </c>
      <c r="D1932" t="s">
        <v>1864</v>
      </c>
      <c r="E1932" t="s">
        <v>1864</v>
      </c>
      <c r="F1932" t="s">
        <v>1520</v>
      </c>
      <c r="G1932" t="str">
        <f t="shared" si="152"/>
        <v>M</v>
      </c>
      <c r="H1932" t="str">
        <f t="shared" si="153"/>
        <v>69</v>
      </c>
      <c r="I1932" t="str">
        <f t="shared" si="154"/>
        <v>682</v>
      </c>
      <c r="J1932" t="str">
        <f t="shared" si="155"/>
        <v>68226</v>
      </c>
      <c r="K1932" t="str">
        <f t="shared" si="151"/>
        <v/>
      </c>
    </row>
    <row r="1933" spans="1:11" x14ac:dyDescent="0.25">
      <c r="C1933" t="s">
        <v>3792</v>
      </c>
      <c r="D1933" t="s">
        <v>1864</v>
      </c>
      <c r="E1933" t="s">
        <v>1864</v>
      </c>
      <c r="F1933" t="s">
        <v>1521</v>
      </c>
      <c r="G1933" t="str">
        <f t="shared" si="152"/>
        <v>M</v>
      </c>
      <c r="H1933" t="str">
        <f t="shared" si="153"/>
        <v>69</v>
      </c>
      <c r="I1933" t="str">
        <f t="shared" si="154"/>
        <v>691</v>
      </c>
      <c r="J1933" t="str">
        <f t="shared" si="155"/>
        <v>68226</v>
      </c>
      <c r="K1933" t="str">
        <f t="shared" si="151"/>
        <v/>
      </c>
    </row>
    <row r="1934" spans="1:11" x14ac:dyDescent="0.25">
      <c r="C1934" t="s">
        <v>1864</v>
      </c>
      <c r="D1934" t="s">
        <v>3793</v>
      </c>
      <c r="E1934" t="s">
        <v>1864</v>
      </c>
      <c r="F1934" t="s">
        <v>1522</v>
      </c>
      <c r="G1934" t="str">
        <f t="shared" si="152"/>
        <v>M</v>
      </c>
      <c r="H1934" t="str">
        <f t="shared" si="153"/>
        <v>69</v>
      </c>
      <c r="I1934" t="str">
        <f t="shared" si="154"/>
        <v>691</v>
      </c>
      <c r="J1934" t="str">
        <f t="shared" si="155"/>
        <v>69117</v>
      </c>
      <c r="K1934" t="str">
        <f t="shared" si="151"/>
        <v/>
      </c>
    </row>
    <row r="1935" spans="1:11" x14ac:dyDescent="0.25">
      <c r="C1935" t="s">
        <v>1864</v>
      </c>
      <c r="D1935" t="s">
        <v>1864</v>
      </c>
      <c r="E1935" t="s">
        <v>3794</v>
      </c>
      <c r="F1935" t="s">
        <v>1523</v>
      </c>
      <c r="G1935" t="str">
        <f t="shared" si="152"/>
        <v>M</v>
      </c>
      <c r="H1935" t="str">
        <f t="shared" si="153"/>
        <v>69</v>
      </c>
      <c r="I1935" t="str">
        <f t="shared" si="154"/>
        <v>691</v>
      </c>
      <c r="J1935" t="str">
        <f t="shared" si="155"/>
        <v>69117</v>
      </c>
      <c r="K1935" t="str">
        <f t="shared" si="151"/>
        <v>6911701</v>
      </c>
    </row>
    <row r="1936" spans="1:11" x14ac:dyDescent="0.25">
      <c r="C1936" t="s">
        <v>1864</v>
      </c>
      <c r="D1936" t="s">
        <v>1864</v>
      </c>
      <c r="E1936" t="s">
        <v>3795</v>
      </c>
      <c r="F1936" t="s">
        <v>1524</v>
      </c>
      <c r="G1936" t="str">
        <f t="shared" si="152"/>
        <v>M</v>
      </c>
      <c r="H1936" t="str">
        <f t="shared" si="153"/>
        <v>69</v>
      </c>
      <c r="I1936" t="str">
        <f t="shared" si="154"/>
        <v>691</v>
      </c>
      <c r="J1936" t="str">
        <f t="shared" si="155"/>
        <v>69117</v>
      </c>
      <c r="K1936" t="str">
        <f t="shared" si="151"/>
        <v>6911702</v>
      </c>
    </row>
    <row r="1937" spans="2:11" x14ac:dyDescent="0.25">
      <c r="C1937" t="s">
        <v>1864</v>
      </c>
      <c r="D1937" t="s">
        <v>1864</v>
      </c>
      <c r="E1937" t="s">
        <v>3796</v>
      </c>
      <c r="F1937" t="s">
        <v>1525</v>
      </c>
      <c r="G1937" t="str">
        <f t="shared" si="152"/>
        <v>M</v>
      </c>
      <c r="H1937" t="str">
        <f t="shared" si="153"/>
        <v>69</v>
      </c>
      <c r="I1937" t="str">
        <f t="shared" si="154"/>
        <v>691</v>
      </c>
      <c r="J1937" t="str">
        <f t="shared" si="155"/>
        <v>69117</v>
      </c>
      <c r="K1937" t="str">
        <f t="shared" si="151"/>
        <v>6911703</v>
      </c>
    </row>
    <row r="1938" spans="2:11" x14ac:dyDescent="0.25">
      <c r="C1938" t="s">
        <v>1864</v>
      </c>
      <c r="D1938" t="s">
        <v>3797</v>
      </c>
      <c r="E1938" t="s">
        <v>1864</v>
      </c>
      <c r="F1938" t="s">
        <v>1526</v>
      </c>
      <c r="G1938" t="str">
        <f t="shared" si="152"/>
        <v>M</v>
      </c>
      <c r="H1938" t="str">
        <f t="shared" si="153"/>
        <v>69</v>
      </c>
      <c r="I1938" t="str">
        <f t="shared" si="154"/>
        <v>691</v>
      </c>
      <c r="J1938" t="str">
        <f t="shared" si="155"/>
        <v>69125</v>
      </c>
      <c r="K1938" t="str">
        <f t="shared" si="151"/>
        <v/>
      </c>
    </row>
    <row r="1939" spans="2:11" x14ac:dyDescent="0.25">
      <c r="C1939" t="s">
        <v>1864</v>
      </c>
      <c r="D1939" t="s">
        <v>1864</v>
      </c>
      <c r="E1939" t="s">
        <v>3798</v>
      </c>
      <c r="F1939" t="s">
        <v>1526</v>
      </c>
      <c r="G1939" t="str">
        <f t="shared" si="152"/>
        <v>M</v>
      </c>
      <c r="H1939" t="str">
        <f t="shared" si="153"/>
        <v>69</v>
      </c>
      <c r="I1939" t="str">
        <f t="shared" si="154"/>
        <v>691</v>
      </c>
      <c r="J1939" t="str">
        <f t="shared" si="155"/>
        <v>69125</v>
      </c>
      <c r="K1939" t="str">
        <f t="shared" si="151"/>
        <v>6912500</v>
      </c>
    </row>
    <row r="1940" spans="2:11" x14ac:dyDescent="0.25">
      <c r="C1940" t="s">
        <v>3799</v>
      </c>
      <c r="D1940" t="s">
        <v>1864</v>
      </c>
      <c r="E1940" t="s">
        <v>1864</v>
      </c>
      <c r="F1940" t="s">
        <v>1527</v>
      </c>
      <c r="G1940" t="str">
        <f t="shared" si="152"/>
        <v>M</v>
      </c>
      <c r="H1940" t="str">
        <f t="shared" si="153"/>
        <v>69</v>
      </c>
      <c r="I1940" t="str">
        <f t="shared" si="154"/>
        <v>692</v>
      </c>
      <c r="J1940" t="str">
        <f t="shared" si="155"/>
        <v>69125</v>
      </c>
      <c r="K1940" t="str">
        <f t="shared" si="151"/>
        <v/>
      </c>
    </row>
    <row r="1941" spans="2:11" x14ac:dyDescent="0.25">
      <c r="C1941" t="s">
        <v>1864</v>
      </c>
      <c r="D1941" t="s">
        <v>3800</v>
      </c>
      <c r="E1941" t="s">
        <v>1864</v>
      </c>
      <c r="F1941" t="s">
        <v>1527</v>
      </c>
      <c r="G1941" t="str">
        <f t="shared" si="152"/>
        <v>M</v>
      </c>
      <c r="H1941" t="str">
        <f t="shared" si="153"/>
        <v>69</v>
      </c>
      <c r="I1941" t="str">
        <f t="shared" si="154"/>
        <v>692</v>
      </c>
      <c r="J1941" t="str">
        <f t="shared" si="155"/>
        <v>69206</v>
      </c>
      <c r="K1941" t="str">
        <f t="shared" si="151"/>
        <v/>
      </c>
    </row>
    <row r="1942" spans="2:11" x14ac:dyDescent="0.25">
      <c r="C1942" t="s">
        <v>1864</v>
      </c>
      <c r="D1942" t="s">
        <v>1864</v>
      </c>
      <c r="E1942" t="s">
        <v>3801</v>
      </c>
      <c r="F1942" t="s">
        <v>1528</v>
      </c>
      <c r="G1942" t="str">
        <f t="shared" si="152"/>
        <v>M</v>
      </c>
      <c r="H1942" t="str">
        <f t="shared" si="153"/>
        <v>69</v>
      </c>
      <c r="I1942" t="str">
        <f t="shared" si="154"/>
        <v>692</v>
      </c>
      <c r="J1942" t="str">
        <f t="shared" si="155"/>
        <v>69206</v>
      </c>
      <c r="K1942" t="str">
        <f t="shared" si="151"/>
        <v>6920601</v>
      </c>
    </row>
    <row r="1943" spans="2:11" x14ac:dyDescent="0.25">
      <c r="C1943" t="s">
        <v>1864</v>
      </c>
      <c r="D1943" t="s">
        <v>1864</v>
      </c>
      <c r="E1943" t="s">
        <v>3802</v>
      </c>
      <c r="F1943" t="s">
        <v>1529</v>
      </c>
      <c r="G1943" t="str">
        <f t="shared" si="152"/>
        <v>M</v>
      </c>
      <c r="H1943" t="str">
        <f t="shared" si="153"/>
        <v>69</v>
      </c>
      <c r="I1943" t="str">
        <f t="shared" si="154"/>
        <v>692</v>
      </c>
      <c r="J1943" t="str">
        <f t="shared" si="155"/>
        <v>69206</v>
      </c>
      <c r="K1943" t="str">
        <f t="shared" si="151"/>
        <v>6920602</v>
      </c>
    </row>
    <row r="1944" spans="2:11" x14ac:dyDescent="0.25">
      <c r="B1944" t="s">
        <v>3803</v>
      </c>
      <c r="C1944" t="s">
        <v>1864</v>
      </c>
      <c r="D1944" t="s">
        <v>1864</v>
      </c>
      <c r="E1944" t="s">
        <v>1864</v>
      </c>
      <c r="F1944" t="s">
        <v>1530</v>
      </c>
      <c r="G1944" t="str">
        <f t="shared" si="152"/>
        <v>M</v>
      </c>
      <c r="H1944" t="str">
        <f t="shared" si="153"/>
        <v>70</v>
      </c>
      <c r="I1944" t="str">
        <f t="shared" si="154"/>
        <v>692</v>
      </c>
      <c r="J1944" t="str">
        <f t="shared" si="155"/>
        <v>69206</v>
      </c>
      <c r="K1944" t="str">
        <f t="shared" si="151"/>
        <v/>
      </c>
    </row>
    <row r="1945" spans="2:11" x14ac:dyDescent="0.25">
      <c r="C1945" t="s">
        <v>3804</v>
      </c>
      <c r="D1945" t="s">
        <v>1864</v>
      </c>
      <c r="E1945" t="s">
        <v>1864</v>
      </c>
      <c r="F1945" t="s">
        <v>1531</v>
      </c>
      <c r="G1945" t="str">
        <f t="shared" si="152"/>
        <v>M</v>
      </c>
      <c r="H1945" t="str">
        <f t="shared" si="153"/>
        <v>70</v>
      </c>
      <c r="I1945" t="str">
        <f t="shared" si="154"/>
        <v>701</v>
      </c>
      <c r="J1945" t="str">
        <f t="shared" si="155"/>
        <v>69206</v>
      </c>
      <c r="K1945" t="str">
        <f t="shared" si="151"/>
        <v/>
      </c>
    </row>
    <row r="1946" spans="2:11" x14ac:dyDescent="0.25">
      <c r="C1946" t="s">
        <v>1864</v>
      </c>
      <c r="D1946" t="s">
        <v>3805</v>
      </c>
      <c r="E1946" t="s">
        <v>1864</v>
      </c>
      <c r="F1946" t="s">
        <v>1531</v>
      </c>
      <c r="G1946" t="str">
        <f t="shared" si="152"/>
        <v>M</v>
      </c>
      <c r="H1946" t="str">
        <f t="shared" si="153"/>
        <v>70</v>
      </c>
      <c r="I1946" t="str">
        <f t="shared" si="154"/>
        <v>701</v>
      </c>
      <c r="J1946" t="str">
        <f t="shared" si="155"/>
        <v>70107</v>
      </c>
      <c r="K1946" t="str">
        <f t="shared" si="151"/>
        <v/>
      </c>
    </row>
    <row r="1947" spans="2:11" x14ac:dyDescent="0.25">
      <c r="C1947" t="s">
        <v>3806</v>
      </c>
      <c r="D1947" t="s">
        <v>1864</v>
      </c>
      <c r="E1947" t="s">
        <v>1864</v>
      </c>
      <c r="F1947" t="s">
        <v>1532</v>
      </c>
      <c r="G1947" t="str">
        <f t="shared" si="152"/>
        <v>M</v>
      </c>
      <c r="H1947" t="str">
        <f t="shared" si="153"/>
        <v>70</v>
      </c>
      <c r="I1947" t="str">
        <f t="shared" si="154"/>
        <v>702</v>
      </c>
      <c r="J1947" t="str">
        <f t="shared" si="155"/>
        <v>70107</v>
      </c>
      <c r="K1947" t="str">
        <f t="shared" si="151"/>
        <v/>
      </c>
    </row>
    <row r="1948" spans="2:11" x14ac:dyDescent="0.25">
      <c r="C1948" t="s">
        <v>1864</v>
      </c>
      <c r="D1948" t="s">
        <v>3807</v>
      </c>
      <c r="E1948" t="s">
        <v>1864</v>
      </c>
      <c r="F1948" t="s">
        <v>1532</v>
      </c>
      <c r="G1948" t="str">
        <f t="shared" si="152"/>
        <v>M</v>
      </c>
      <c r="H1948" t="str">
        <f t="shared" si="153"/>
        <v>70</v>
      </c>
      <c r="I1948" t="str">
        <f t="shared" si="154"/>
        <v>702</v>
      </c>
      <c r="J1948" t="str">
        <f t="shared" si="155"/>
        <v>70204</v>
      </c>
      <c r="K1948" t="str">
        <f t="shared" si="151"/>
        <v/>
      </c>
    </row>
    <row r="1949" spans="2:11" x14ac:dyDescent="0.25">
      <c r="C1949" t="s">
        <v>1864</v>
      </c>
      <c r="D1949" t="s">
        <v>1864</v>
      </c>
      <c r="E1949" t="s">
        <v>3808</v>
      </c>
      <c r="F1949" t="s">
        <v>1533</v>
      </c>
      <c r="G1949" t="str">
        <f t="shared" si="152"/>
        <v>M</v>
      </c>
      <c r="H1949" t="str">
        <f t="shared" si="153"/>
        <v>70</v>
      </c>
      <c r="I1949" t="str">
        <f t="shared" si="154"/>
        <v>702</v>
      </c>
      <c r="J1949" t="str">
        <f t="shared" si="155"/>
        <v>70204</v>
      </c>
      <c r="K1949" t="str">
        <f t="shared" si="151"/>
        <v>7020400</v>
      </c>
    </row>
    <row r="1950" spans="2:11" x14ac:dyDescent="0.25">
      <c r="B1950" t="s">
        <v>3809</v>
      </c>
      <c r="C1950" t="s">
        <v>1864</v>
      </c>
      <c r="D1950" t="s">
        <v>1864</v>
      </c>
      <c r="E1950" t="s">
        <v>1864</v>
      </c>
      <c r="F1950" t="s">
        <v>1534</v>
      </c>
      <c r="G1950" t="str">
        <f t="shared" si="152"/>
        <v>M</v>
      </c>
      <c r="H1950" t="str">
        <f t="shared" si="153"/>
        <v>71</v>
      </c>
      <c r="I1950" t="str">
        <f t="shared" si="154"/>
        <v>702</v>
      </c>
      <c r="J1950" t="str">
        <f t="shared" si="155"/>
        <v>70204</v>
      </c>
      <c r="K1950" t="str">
        <f t="shared" si="151"/>
        <v/>
      </c>
    </row>
    <row r="1951" spans="2:11" x14ac:dyDescent="0.25">
      <c r="C1951" t="s">
        <v>3810</v>
      </c>
      <c r="D1951" t="s">
        <v>1864</v>
      </c>
      <c r="E1951" t="s">
        <v>1864</v>
      </c>
      <c r="F1951" t="s">
        <v>1535</v>
      </c>
      <c r="G1951" t="str">
        <f t="shared" si="152"/>
        <v>M</v>
      </c>
      <c r="H1951" t="str">
        <f t="shared" si="153"/>
        <v>71</v>
      </c>
      <c r="I1951" t="str">
        <f t="shared" si="154"/>
        <v>711</v>
      </c>
      <c r="J1951" t="str">
        <f t="shared" si="155"/>
        <v>70204</v>
      </c>
      <c r="K1951" t="str">
        <f t="shared" si="151"/>
        <v/>
      </c>
    </row>
    <row r="1952" spans="2:11" x14ac:dyDescent="0.25">
      <c r="C1952" t="s">
        <v>1864</v>
      </c>
      <c r="D1952" t="s">
        <v>3811</v>
      </c>
      <c r="E1952" t="s">
        <v>1864</v>
      </c>
      <c r="F1952" t="s">
        <v>1536</v>
      </c>
      <c r="G1952" t="str">
        <f t="shared" si="152"/>
        <v>M</v>
      </c>
      <c r="H1952" t="str">
        <f t="shared" si="153"/>
        <v>71</v>
      </c>
      <c r="I1952" t="str">
        <f t="shared" si="154"/>
        <v>711</v>
      </c>
      <c r="J1952" t="str">
        <f t="shared" si="155"/>
        <v>71111</v>
      </c>
      <c r="K1952" t="str">
        <f t="shared" si="151"/>
        <v/>
      </c>
    </row>
    <row r="1953" spans="2:11" x14ac:dyDescent="0.25">
      <c r="C1953" t="s">
        <v>1864</v>
      </c>
      <c r="D1953" t="s">
        <v>1864</v>
      </c>
      <c r="E1953" t="s">
        <v>3812</v>
      </c>
      <c r="F1953" t="s">
        <v>1536</v>
      </c>
      <c r="G1953" t="str">
        <f t="shared" si="152"/>
        <v>M</v>
      </c>
      <c r="H1953" t="str">
        <f t="shared" si="153"/>
        <v>71</v>
      </c>
      <c r="I1953" t="str">
        <f t="shared" si="154"/>
        <v>711</v>
      </c>
      <c r="J1953" t="str">
        <f t="shared" si="155"/>
        <v>71111</v>
      </c>
      <c r="K1953" t="str">
        <f t="shared" si="151"/>
        <v>7111100</v>
      </c>
    </row>
    <row r="1954" spans="2:11" x14ac:dyDescent="0.25">
      <c r="C1954" t="s">
        <v>1864</v>
      </c>
      <c r="D1954" t="s">
        <v>3813</v>
      </c>
      <c r="E1954" t="s">
        <v>1864</v>
      </c>
      <c r="F1954" t="s">
        <v>1537</v>
      </c>
      <c r="G1954" t="str">
        <f t="shared" si="152"/>
        <v>M</v>
      </c>
      <c r="H1954" t="str">
        <f t="shared" si="153"/>
        <v>71</v>
      </c>
      <c r="I1954" t="str">
        <f t="shared" si="154"/>
        <v>711</v>
      </c>
      <c r="J1954" t="str">
        <f t="shared" si="155"/>
        <v>71120</v>
      </c>
      <c r="K1954" t="str">
        <f t="shared" si="151"/>
        <v/>
      </c>
    </row>
    <row r="1955" spans="2:11" x14ac:dyDescent="0.25">
      <c r="C1955" t="s">
        <v>1864</v>
      </c>
      <c r="D1955" t="s">
        <v>1864</v>
      </c>
      <c r="E1955" t="s">
        <v>3814</v>
      </c>
      <c r="F1955" t="s">
        <v>1537</v>
      </c>
      <c r="G1955" t="str">
        <f t="shared" si="152"/>
        <v>M</v>
      </c>
      <c r="H1955" t="str">
        <f t="shared" si="153"/>
        <v>71</v>
      </c>
      <c r="I1955" t="str">
        <f t="shared" si="154"/>
        <v>711</v>
      </c>
      <c r="J1955" t="str">
        <f t="shared" si="155"/>
        <v>71120</v>
      </c>
      <c r="K1955" t="str">
        <f t="shared" si="151"/>
        <v>7112000</v>
      </c>
    </row>
    <row r="1956" spans="2:11" x14ac:dyDescent="0.25">
      <c r="C1956" t="s">
        <v>1864</v>
      </c>
      <c r="D1956" t="s">
        <v>3815</v>
      </c>
      <c r="E1956" t="s">
        <v>1864</v>
      </c>
      <c r="F1956" t="s">
        <v>1538</v>
      </c>
      <c r="G1956" t="str">
        <f t="shared" si="152"/>
        <v>M</v>
      </c>
      <c r="H1956" t="str">
        <f t="shared" si="153"/>
        <v>71</v>
      </c>
      <c r="I1956" t="str">
        <f t="shared" si="154"/>
        <v>711</v>
      </c>
      <c r="J1956" t="str">
        <f t="shared" si="155"/>
        <v>71197</v>
      </c>
      <c r="K1956" t="str">
        <f t="shared" si="151"/>
        <v/>
      </c>
    </row>
    <row r="1957" spans="2:11" x14ac:dyDescent="0.25">
      <c r="C1957" t="s">
        <v>1864</v>
      </c>
      <c r="D1957" t="s">
        <v>1864</v>
      </c>
      <c r="E1957" t="s">
        <v>3816</v>
      </c>
      <c r="F1957" t="s">
        <v>1539</v>
      </c>
      <c r="G1957" t="str">
        <f t="shared" si="152"/>
        <v>M</v>
      </c>
      <c r="H1957" t="str">
        <f t="shared" si="153"/>
        <v>71</v>
      </c>
      <c r="I1957" t="str">
        <f t="shared" si="154"/>
        <v>711</v>
      </c>
      <c r="J1957" t="str">
        <f t="shared" si="155"/>
        <v>71197</v>
      </c>
      <c r="K1957" t="str">
        <f t="shared" si="151"/>
        <v>7119701</v>
      </c>
    </row>
    <row r="1958" spans="2:11" x14ac:dyDescent="0.25">
      <c r="C1958" t="s">
        <v>1864</v>
      </c>
      <c r="D1958" t="s">
        <v>1864</v>
      </c>
      <c r="E1958" t="s">
        <v>3817</v>
      </c>
      <c r="F1958" t="s">
        <v>1540</v>
      </c>
      <c r="G1958" t="str">
        <f t="shared" si="152"/>
        <v>M</v>
      </c>
      <c r="H1958" t="str">
        <f t="shared" si="153"/>
        <v>71</v>
      </c>
      <c r="I1958" t="str">
        <f t="shared" si="154"/>
        <v>711</v>
      </c>
      <c r="J1958" t="str">
        <f t="shared" si="155"/>
        <v>71197</v>
      </c>
      <c r="K1958" t="str">
        <f t="shared" si="151"/>
        <v>7119702</v>
      </c>
    </row>
    <row r="1959" spans="2:11" x14ac:dyDescent="0.25">
      <c r="C1959" t="s">
        <v>1864</v>
      </c>
      <c r="D1959" t="s">
        <v>1864</v>
      </c>
      <c r="E1959" t="s">
        <v>3818</v>
      </c>
      <c r="F1959" t="s">
        <v>1541</v>
      </c>
      <c r="G1959" t="str">
        <f t="shared" si="152"/>
        <v>M</v>
      </c>
      <c r="H1959" t="str">
        <f t="shared" si="153"/>
        <v>71</v>
      </c>
      <c r="I1959" t="str">
        <f t="shared" si="154"/>
        <v>711</v>
      </c>
      <c r="J1959" t="str">
        <f t="shared" si="155"/>
        <v>71197</v>
      </c>
      <c r="K1959" t="str">
        <f t="shared" si="151"/>
        <v>7119703</v>
      </c>
    </row>
    <row r="1960" spans="2:11" x14ac:dyDescent="0.25">
      <c r="C1960" t="s">
        <v>1864</v>
      </c>
      <c r="D1960" t="s">
        <v>1864</v>
      </c>
      <c r="E1960" t="s">
        <v>3819</v>
      </c>
      <c r="F1960" t="s">
        <v>1542</v>
      </c>
      <c r="G1960" t="str">
        <f t="shared" si="152"/>
        <v>M</v>
      </c>
      <c r="H1960" t="str">
        <f t="shared" si="153"/>
        <v>71</v>
      </c>
      <c r="I1960" t="str">
        <f t="shared" si="154"/>
        <v>711</v>
      </c>
      <c r="J1960" t="str">
        <f t="shared" si="155"/>
        <v>71197</v>
      </c>
      <c r="K1960" t="str">
        <f t="shared" si="151"/>
        <v>7119704</v>
      </c>
    </row>
    <row r="1961" spans="2:11" x14ac:dyDescent="0.25">
      <c r="C1961" t="s">
        <v>1864</v>
      </c>
      <c r="D1961" t="s">
        <v>1864</v>
      </c>
      <c r="E1961" t="s">
        <v>3820</v>
      </c>
      <c r="F1961" t="s">
        <v>1543</v>
      </c>
      <c r="G1961" t="str">
        <f t="shared" si="152"/>
        <v>M</v>
      </c>
      <c r="H1961" t="str">
        <f t="shared" si="153"/>
        <v>71</v>
      </c>
      <c r="I1961" t="str">
        <f t="shared" si="154"/>
        <v>711</v>
      </c>
      <c r="J1961" t="str">
        <f t="shared" si="155"/>
        <v>71197</v>
      </c>
      <c r="K1961" t="str">
        <f t="shared" si="151"/>
        <v>7119799</v>
      </c>
    </row>
    <row r="1962" spans="2:11" x14ac:dyDescent="0.25">
      <c r="C1962" t="s">
        <v>3821</v>
      </c>
      <c r="D1962" t="s">
        <v>1864</v>
      </c>
      <c r="E1962" t="s">
        <v>1864</v>
      </c>
      <c r="F1962" t="s">
        <v>1544</v>
      </c>
      <c r="G1962" t="str">
        <f t="shared" si="152"/>
        <v>M</v>
      </c>
      <c r="H1962" t="str">
        <f t="shared" si="153"/>
        <v>71</v>
      </c>
      <c r="I1962" t="str">
        <f t="shared" si="154"/>
        <v>712</v>
      </c>
      <c r="J1962" t="str">
        <f t="shared" si="155"/>
        <v>71197</v>
      </c>
      <c r="K1962" t="str">
        <f t="shared" si="151"/>
        <v/>
      </c>
    </row>
    <row r="1963" spans="2:11" x14ac:dyDescent="0.25">
      <c r="C1963" t="s">
        <v>1864</v>
      </c>
      <c r="D1963" t="s">
        <v>3822</v>
      </c>
      <c r="E1963" t="s">
        <v>1864</v>
      </c>
      <c r="F1963" t="s">
        <v>1544</v>
      </c>
      <c r="G1963" t="str">
        <f t="shared" si="152"/>
        <v>M</v>
      </c>
      <c r="H1963" t="str">
        <f t="shared" si="153"/>
        <v>71</v>
      </c>
      <c r="I1963" t="str">
        <f t="shared" si="154"/>
        <v>712</v>
      </c>
      <c r="J1963" t="str">
        <f t="shared" si="155"/>
        <v>71201</v>
      </c>
      <c r="K1963" t="str">
        <f t="shared" si="151"/>
        <v/>
      </c>
    </row>
    <row r="1964" spans="2:11" x14ac:dyDescent="0.25">
      <c r="C1964" t="s">
        <v>1864</v>
      </c>
      <c r="D1964" t="s">
        <v>1864</v>
      </c>
      <c r="E1964" t="s">
        <v>3823</v>
      </c>
      <c r="F1964" t="s">
        <v>1544</v>
      </c>
      <c r="G1964" t="str">
        <f t="shared" si="152"/>
        <v>M</v>
      </c>
      <c r="H1964" t="str">
        <f t="shared" si="153"/>
        <v>71</v>
      </c>
      <c r="I1964" t="str">
        <f t="shared" si="154"/>
        <v>712</v>
      </c>
      <c r="J1964" t="str">
        <f t="shared" si="155"/>
        <v>71201</v>
      </c>
      <c r="K1964" t="str">
        <f t="shared" si="151"/>
        <v>7120100</v>
      </c>
    </row>
    <row r="1965" spans="2:11" x14ac:dyDescent="0.25">
      <c r="B1965" t="s">
        <v>3824</v>
      </c>
      <c r="C1965" t="s">
        <v>1864</v>
      </c>
      <c r="D1965" t="s">
        <v>1864</v>
      </c>
      <c r="E1965" t="s">
        <v>1864</v>
      </c>
      <c r="F1965" t="s">
        <v>1545</v>
      </c>
      <c r="G1965" t="str">
        <f t="shared" si="152"/>
        <v>M</v>
      </c>
      <c r="H1965" t="str">
        <f t="shared" si="153"/>
        <v>72</v>
      </c>
      <c r="I1965" t="str">
        <f t="shared" si="154"/>
        <v>712</v>
      </c>
      <c r="J1965" t="str">
        <f t="shared" si="155"/>
        <v>71201</v>
      </c>
      <c r="K1965" t="str">
        <f t="shared" si="151"/>
        <v/>
      </c>
    </row>
    <row r="1966" spans="2:11" x14ac:dyDescent="0.25">
      <c r="C1966" t="s">
        <v>3825</v>
      </c>
      <c r="D1966" t="s">
        <v>1864</v>
      </c>
      <c r="E1966" t="s">
        <v>1864</v>
      </c>
      <c r="F1966" t="s">
        <v>1546</v>
      </c>
      <c r="G1966" t="str">
        <f t="shared" si="152"/>
        <v>M</v>
      </c>
      <c r="H1966" t="str">
        <f t="shared" si="153"/>
        <v>72</v>
      </c>
      <c r="I1966" t="str">
        <f t="shared" si="154"/>
        <v>721</v>
      </c>
      <c r="J1966" t="str">
        <f t="shared" si="155"/>
        <v>71201</v>
      </c>
      <c r="K1966" t="str">
        <f t="shared" si="151"/>
        <v/>
      </c>
    </row>
    <row r="1967" spans="2:11" x14ac:dyDescent="0.25">
      <c r="C1967" t="s">
        <v>1864</v>
      </c>
      <c r="D1967" t="s">
        <v>3826</v>
      </c>
      <c r="E1967" t="s">
        <v>1864</v>
      </c>
      <c r="F1967" t="s">
        <v>1546</v>
      </c>
      <c r="G1967" t="str">
        <f t="shared" si="152"/>
        <v>M</v>
      </c>
      <c r="H1967" t="str">
        <f t="shared" si="153"/>
        <v>72</v>
      </c>
      <c r="I1967" t="str">
        <f t="shared" si="154"/>
        <v>721</v>
      </c>
      <c r="J1967" t="str">
        <f t="shared" si="155"/>
        <v>72100</v>
      </c>
      <c r="K1967" t="str">
        <f t="shared" si="151"/>
        <v/>
      </c>
    </row>
    <row r="1968" spans="2:11" x14ac:dyDescent="0.25">
      <c r="C1968" t="s">
        <v>1864</v>
      </c>
      <c r="D1968" t="s">
        <v>1864</v>
      </c>
      <c r="E1968" t="s">
        <v>3827</v>
      </c>
      <c r="F1968" t="s">
        <v>1546</v>
      </c>
      <c r="G1968" t="str">
        <f t="shared" si="152"/>
        <v>M</v>
      </c>
      <c r="H1968" t="str">
        <f t="shared" si="153"/>
        <v>72</v>
      </c>
      <c r="I1968" t="str">
        <f t="shared" si="154"/>
        <v>721</v>
      </c>
      <c r="J1968" t="str">
        <f t="shared" si="155"/>
        <v>72100</v>
      </c>
      <c r="K1968" t="str">
        <f t="shared" si="151"/>
        <v>7210000</v>
      </c>
    </row>
    <row r="1969" spans="2:11" x14ac:dyDescent="0.25">
      <c r="C1969" t="s">
        <v>3828</v>
      </c>
      <c r="D1969" t="s">
        <v>1864</v>
      </c>
      <c r="E1969" t="s">
        <v>1864</v>
      </c>
      <c r="F1969" t="s">
        <v>1547</v>
      </c>
      <c r="G1969" t="str">
        <f t="shared" si="152"/>
        <v>M</v>
      </c>
      <c r="H1969" t="str">
        <f t="shared" si="153"/>
        <v>72</v>
      </c>
      <c r="I1969" t="str">
        <f t="shared" si="154"/>
        <v>722</v>
      </c>
      <c r="J1969" t="str">
        <f t="shared" si="155"/>
        <v>72100</v>
      </c>
      <c r="K1969" t="str">
        <f t="shared" si="151"/>
        <v/>
      </c>
    </row>
    <row r="1970" spans="2:11" x14ac:dyDescent="0.25">
      <c r="C1970" t="s">
        <v>1864</v>
      </c>
      <c r="D1970" t="s">
        <v>3829</v>
      </c>
      <c r="E1970" t="s">
        <v>1864</v>
      </c>
      <c r="F1970" t="s">
        <v>1547</v>
      </c>
      <c r="G1970" t="str">
        <f t="shared" si="152"/>
        <v>M</v>
      </c>
      <c r="H1970" t="str">
        <f t="shared" si="153"/>
        <v>72</v>
      </c>
      <c r="I1970" t="str">
        <f t="shared" si="154"/>
        <v>722</v>
      </c>
      <c r="J1970" t="str">
        <f t="shared" si="155"/>
        <v>72207</v>
      </c>
      <c r="K1970" t="str">
        <f t="shared" si="151"/>
        <v/>
      </c>
    </row>
    <row r="1971" spans="2:11" x14ac:dyDescent="0.25">
      <c r="C1971" t="s">
        <v>1864</v>
      </c>
      <c r="D1971" t="s">
        <v>1864</v>
      </c>
      <c r="E1971" t="s">
        <v>3830</v>
      </c>
      <c r="F1971" t="s">
        <v>1547</v>
      </c>
      <c r="G1971" t="str">
        <f t="shared" si="152"/>
        <v>M</v>
      </c>
      <c r="H1971" t="str">
        <f t="shared" si="153"/>
        <v>72</v>
      </c>
      <c r="I1971" t="str">
        <f t="shared" si="154"/>
        <v>722</v>
      </c>
      <c r="J1971" t="str">
        <f t="shared" si="155"/>
        <v>72207</v>
      </c>
      <c r="K1971" t="str">
        <f t="shared" si="151"/>
        <v>7220700</v>
      </c>
    </row>
    <row r="1972" spans="2:11" x14ac:dyDescent="0.25">
      <c r="B1972" t="s">
        <v>3831</v>
      </c>
      <c r="C1972" t="s">
        <v>1864</v>
      </c>
      <c r="D1972" t="s">
        <v>1864</v>
      </c>
      <c r="E1972" t="s">
        <v>1864</v>
      </c>
      <c r="F1972" t="s">
        <v>1548</v>
      </c>
      <c r="G1972" t="str">
        <f t="shared" si="152"/>
        <v>M</v>
      </c>
      <c r="H1972" t="str">
        <f t="shared" si="153"/>
        <v>73</v>
      </c>
      <c r="I1972" t="str">
        <f t="shared" si="154"/>
        <v>722</v>
      </c>
      <c r="J1972" t="str">
        <f t="shared" si="155"/>
        <v>72207</v>
      </c>
      <c r="K1972" t="str">
        <f t="shared" si="151"/>
        <v/>
      </c>
    </row>
    <row r="1973" spans="2:11" x14ac:dyDescent="0.25">
      <c r="C1973" t="s">
        <v>3832</v>
      </c>
      <c r="D1973" t="s">
        <v>1864</v>
      </c>
      <c r="E1973" t="s">
        <v>1864</v>
      </c>
      <c r="F1973" t="s">
        <v>1549</v>
      </c>
      <c r="G1973" t="str">
        <f t="shared" si="152"/>
        <v>M</v>
      </c>
      <c r="H1973" t="str">
        <f t="shared" si="153"/>
        <v>73</v>
      </c>
      <c r="I1973" t="str">
        <f t="shared" si="154"/>
        <v>731</v>
      </c>
      <c r="J1973" t="str">
        <f t="shared" si="155"/>
        <v>72207</v>
      </c>
      <c r="K1973" t="str">
        <f t="shared" si="151"/>
        <v/>
      </c>
    </row>
    <row r="1974" spans="2:11" x14ac:dyDescent="0.25">
      <c r="C1974" t="s">
        <v>1864</v>
      </c>
      <c r="D1974" t="s">
        <v>3833</v>
      </c>
      <c r="E1974" t="s">
        <v>1864</v>
      </c>
      <c r="F1974" t="s">
        <v>1550</v>
      </c>
      <c r="G1974" t="str">
        <f t="shared" si="152"/>
        <v>M</v>
      </c>
      <c r="H1974" t="str">
        <f t="shared" si="153"/>
        <v>73</v>
      </c>
      <c r="I1974" t="str">
        <f t="shared" si="154"/>
        <v>731</v>
      </c>
      <c r="J1974" t="str">
        <f t="shared" si="155"/>
        <v>73114</v>
      </c>
      <c r="K1974" t="str">
        <f t="shared" si="151"/>
        <v/>
      </c>
    </row>
    <row r="1975" spans="2:11" x14ac:dyDescent="0.25">
      <c r="C1975" t="s">
        <v>1864</v>
      </c>
      <c r="D1975" t="s">
        <v>1864</v>
      </c>
      <c r="E1975" t="s">
        <v>3834</v>
      </c>
      <c r="F1975" t="s">
        <v>1550</v>
      </c>
      <c r="G1975" t="str">
        <f t="shared" si="152"/>
        <v>M</v>
      </c>
      <c r="H1975" t="str">
        <f t="shared" si="153"/>
        <v>73</v>
      </c>
      <c r="I1975" t="str">
        <f t="shared" si="154"/>
        <v>731</v>
      </c>
      <c r="J1975" t="str">
        <f t="shared" si="155"/>
        <v>73114</v>
      </c>
      <c r="K1975" t="str">
        <f t="shared" si="151"/>
        <v>7311400</v>
      </c>
    </row>
    <row r="1976" spans="2:11" x14ac:dyDescent="0.25">
      <c r="C1976" t="s">
        <v>1864</v>
      </c>
      <c r="D1976" t="s">
        <v>3835</v>
      </c>
      <c r="E1976" t="s">
        <v>1864</v>
      </c>
      <c r="F1976" t="s">
        <v>1551</v>
      </c>
      <c r="G1976" t="str">
        <f t="shared" si="152"/>
        <v>M</v>
      </c>
      <c r="H1976" t="str">
        <f t="shared" si="153"/>
        <v>73</v>
      </c>
      <c r="I1976" t="str">
        <f t="shared" si="154"/>
        <v>731</v>
      </c>
      <c r="J1976" t="str">
        <f t="shared" si="155"/>
        <v>73122</v>
      </c>
      <c r="K1976" t="str">
        <f t="shared" si="151"/>
        <v/>
      </c>
    </row>
    <row r="1977" spans="2:11" x14ac:dyDescent="0.25">
      <c r="C1977" t="s">
        <v>1864</v>
      </c>
      <c r="D1977" t="s">
        <v>1864</v>
      </c>
      <c r="E1977" t="s">
        <v>3836</v>
      </c>
      <c r="F1977" t="s">
        <v>1551</v>
      </c>
      <c r="G1977" t="str">
        <f t="shared" si="152"/>
        <v>M</v>
      </c>
      <c r="H1977" t="str">
        <f t="shared" si="153"/>
        <v>73</v>
      </c>
      <c r="I1977" t="str">
        <f t="shared" si="154"/>
        <v>731</v>
      </c>
      <c r="J1977" t="str">
        <f t="shared" si="155"/>
        <v>73122</v>
      </c>
      <c r="K1977" t="str">
        <f t="shared" si="151"/>
        <v>7312200</v>
      </c>
    </row>
    <row r="1978" spans="2:11" x14ac:dyDescent="0.25">
      <c r="C1978" t="s">
        <v>1864</v>
      </c>
      <c r="D1978" t="s">
        <v>3837</v>
      </c>
      <c r="E1978" t="s">
        <v>1864</v>
      </c>
      <c r="F1978" t="s">
        <v>1552</v>
      </c>
      <c r="G1978" t="str">
        <f t="shared" si="152"/>
        <v>M</v>
      </c>
      <c r="H1978" t="str">
        <f t="shared" si="153"/>
        <v>73</v>
      </c>
      <c r="I1978" t="str">
        <f t="shared" si="154"/>
        <v>731</v>
      </c>
      <c r="J1978" t="str">
        <f t="shared" si="155"/>
        <v>73190</v>
      </c>
      <c r="K1978" t="str">
        <f t="shared" si="151"/>
        <v/>
      </c>
    </row>
    <row r="1979" spans="2:11" x14ac:dyDescent="0.25">
      <c r="C1979" t="s">
        <v>1864</v>
      </c>
      <c r="D1979" t="s">
        <v>1864</v>
      </c>
      <c r="E1979" t="s">
        <v>3838</v>
      </c>
      <c r="F1979" t="s">
        <v>1553</v>
      </c>
      <c r="G1979" t="str">
        <f t="shared" si="152"/>
        <v>M</v>
      </c>
      <c r="H1979" t="str">
        <f t="shared" si="153"/>
        <v>73</v>
      </c>
      <c r="I1979" t="str">
        <f t="shared" si="154"/>
        <v>731</v>
      </c>
      <c r="J1979" t="str">
        <f t="shared" si="155"/>
        <v>73190</v>
      </c>
      <c r="K1979" t="str">
        <f t="shared" si="151"/>
        <v>7319001</v>
      </c>
    </row>
    <row r="1980" spans="2:11" x14ac:dyDescent="0.25">
      <c r="C1980" t="s">
        <v>1864</v>
      </c>
      <c r="D1980" t="s">
        <v>1864</v>
      </c>
      <c r="E1980" t="s">
        <v>3839</v>
      </c>
      <c r="F1980" t="s">
        <v>1554</v>
      </c>
      <c r="G1980" t="str">
        <f t="shared" si="152"/>
        <v>M</v>
      </c>
      <c r="H1980" t="str">
        <f t="shared" si="153"/>
        <v>73</v>
      </c>
      <c r="I1980" t="str">
        <f t="shared" si="154"/>
        <v>731</v>
      </c>
      <c r="J1980" t="str">
        <f t="shared" si="155"/>
        <v>73190</v>
      </c>
      <c r="K1980" t="str">
        <f t="shared" si="151"/>
        <v>7319002</v>
      </c>
    </row>
    <row r="1981" spans="2:11" x14ac:dyDescent="0.25">
      <c r="C1981" t="s">
        <v>1864</v>
      </c>
      <c r="D1981" t="s">
        <v>1864</v>
      </c>
      <c r="E1981" t="s">
        <v>3840</v>
      </c>
      <c r="F1981" t="s">
        <v>3841</v>
      </c>
      <c r="G1981" t="str">
        <f t="shared" si="152"/>
        <v>M</v>
      </c>
      <c r="H1981" t="str">
        <f t="shared" si="153"/>
        <v>73</v>
      </c>
      <c r="I1981" t="str">
        <f t="shared" si="154"/>
        <v>731</v>
      </c>
      <c r="J1981" t="str">
        <f t="shared" si="155"/>
        <v>73190</v>
      </c>
      <c r="K1981" t="str">
        <f t="shared" si="151"/>
        <v>7319003</v>
      </c>
    </row>
    <row r="1982" spans="2:11" x14ac:dyDescent="0.25">
      <c r="C1982" t="s">
        <v>1864</v>
      </c>
      <c r="D1982" t="s">
        <v>1864</v>
      </c>
      <c r="E1982" t="s">
        <v>3842</v>
      </c>
      <c r="F1982" t="s">
        <v>1555</v>
      </c>
      <c r="G1982" t="str">
        <f t="shared" si="152"/>
        <v>M</v>
      </c>
      <c r="H1982" t="str">
        <f t="shared" si="153"/>
        <v>73</v>
      </c>
      <c r="I1982" t="str">
        <f t="shared" si="154"/>
        <v>731</v>
      </c>
      <c r="J1982" t="str">
        <f t="shared" si="155"/>
        <v>73190</v>
      </c>
      <c r="K1982" t="str">
        <f t="shared" si="151"/>
        <v>7319004</v>
      </c>
    </row>
    <row r="1983" spans="2:11" x14ac:dyDescent="0.25">
      <c r="C1983" t="s">
        <v>1864</v>
      </c>
      <c r="D1983" t="s">
        <v>1864</v>
      </c>
      <c r="E1983" t="s">
        <v>3843</v>
      </c>
      <c r="F1983" t="s">
        <v>1556</v>
      </c>
      <c r="G1983" t="str">
        <f t="shared" si="152"/>
        <v>M</v>
      </c>
      <c r="H1983" t="str">
        <f t="shared" si="153"/>
        <v>73</v>
      </c>
      <c r="I1983" t="str">
        <f t="shared" si="154"/>
        <v>731</v>
      </c>
      <c r="J1983" t="str">
        <f t="shared" si="155"/>
        <v>73190</v>
      </c>
      <c r="K1983" t="str">
        <f t="shared" si="151"/>
        <v>7319099</v>
      </c>
    </row>
    <row r="1984" spans="2:11" x14ac:dyDescent="0.25">
      <c r="C1984" t="s">
        <v>3844</v>
      </c>
      <c r="D1984" t="s">
        <v>1864</v>
      </c>
      <c r="E1984" t="s">
        <v>1864</v>
      </c>
      <c r="F1984" t="s">
        <v>1557</v>
      </c>
      <c r="G1984" t="str">
        <f t="shared" si="152"/>
        <v>M</v>
      </c>
      <c r="H1984" t="str">
        <f t="shared" si="153"/>
        <v>73</v>
      </c>
      <c r="I1984" t="str">
        <f t="shared" si="154"/>
        <v>732</v>
      </c>
      <c r="J1984" t="str">
        <f t="shared" si="155"/>
        <v>73190</v>
      </c>
      <c r="K1984" t="str">
        <f t="shared" si="151"/>
        <v/>
      </c>
    </row>
    <row r="1985" spans="2:11" x14ac:dyDescent="0.25">
      <c r="C1985" t="s">
        <v>1864</v>
      </c>
      <c r="D1985" t="s">
        <v>3845</v>
      </c>
      <c r="E1985" t="s">
        <v>1864</v>
      </c>
      <c r="F1985" t="s">
        <v>1557</v>
      </c>
      <c r="G1985" t="str">
        <f t="shared" si="152"/>
        <v>M</v>
      </c>
      <c r="H1985" t="str">
        <f t="shared" si="153"/>
        <v>73</v>
      </c>
      <c r="I1985" t="str">
        <f t="shared" si="154"/>
        <v>732</v>
      </c>
      <c r="J1985" t="str">
        <f t="shared" si="155"/>
        <v>73203</v>
      </c>
      <c r="K1985" t="str">
        <f t="shared" si="151"/>
        <v/>
      </c>
    </row>
    <row r="1986" spans="2:11" x14ac:dyDescent="0.25">
      <c r="C1986" t="s">
        <v>1864</v>
      </c>
      <c r="D1986" t="s">
        <v>1864</v>
      </c>
      <c r="E1986" t="s">
        <v>3846</v>
      </c>
      <c r="F1986" t="s">
        <v>1557</v>
      </c>
      <c r="G1986" t="str">
        <f t="shared" si="152"/>
        <v>M</v>
      </c>
      <c r="H1986" t="str">
        <f t="shared" si="153"/>
        <v>73</v>
      </c>
      <c r="I1986" t="str">
        <f t="shared" si="154"/>
        <v>732</v>
      </c>
      <c r="J1986" t="str">
        <f t="shared" si="155"/>
        <v>73203</v>
      </c>
      <c r="K1986" t="str">
        <f t="shared" si="151"/>
        <v>7320300</v>
      </c>
    </row>
    <row r="1987" spans="2:11" x14ac:dyDescent="0.25">
      <c r="B1987" t="s">
        <v>3847</v>
      </c>
      <c r="C1987" t="s">
        <v>1864</v>
      </c>
      <c r="D1987" t="s">
        <v>1864</v>
      </c>
      <c r="E1987" t="s">
        <v>1864</v>
      </c>
      <c r="F1987" t="s">
        <v>1558</v>
      </c>
      <c r="G1987" t="str">
        <f t="shared" si="152"/>
        <v>M</v>
      </c>
      <c r="H1987" t="str">
        <f t="shared" si="153"/>
        <v>74</v>
      </c>
      <c r="I1987" t="str">
        <f t="shared" si="154"/>
        <v>732</v>
      </c>
      <c r="J1987" t="str">
        <f t="shared" si="155"/>
        <v>73203</v>
      </c>
      <c r="K1987" t="str">
        <f t="shared" si="151"/>
        <v/>
      </c>
    </row>
    <row r="1988" spans="2:11" x14ac:dyDescent="0.25">
      <c r="C1988" t="s">
        <v>3848</v>
      </c>
      <c r="D1988" t="s">
        <v>1864</v>
      </c>
      <c r="E1988" t="s">
        <v>1864</v>
      </c>
      <c r="F1988" t="s">
        <v>3849</v>
      </c>
      <c r="G1988" t="str">
        <f t="shared" si="152"/>
        <v>M</v>
      </c>
      <c r="H1988" t="str">
        <f t="shared" si="153"/>
        <v>74</v>
      </c>
      <c r="I1988" t="str">
        <f t="shared" si="154"/>
        <v>741</v>
      </c>
      <c r="J1988" t="str">
        <f t="shared" si="155"/>
        <v>73203</v>
      </c>
      <c r="K1988" t="str">
        <f t="shared" si="151"/>
        <v/>
      </c>
    </row>
    <row r="1989" spans="2:11" x14ac:dyDescent="0.25">
      <c r="C1989" t="s">
        <v>1864</v>
      </c>
      <c r="D1989" t="s">
        <v>3850</v>
      </c>
      <c r="E1989" t="s">
        <v>1864</v>
      </c>
      <c r="F1989" t="s">
        <v>3849</v>
      </c>
      <c r="G1989" t="str">
        <f t="shared" si="152"/>
        <v>M</v>
      </c>
      <c r="H1989" t="str">
        <f t="shared" si="153"/>
        <v>74</v>
      </c>
      <c r="I1989" t="str">
        <f t="shared" si="154"/>
        <v>741</v>
      </c>
      <c r="J1989" t="str">
        <f t="shared" si="155"/>
        <v>74102</v>
      </c>
      <c r="K1989" t="str">
        <f t="shared" si="151"/>
        <v/>
      </c>
    </row>
    <row r="1990" spans="2:11" x14ac:dyDescent="0.25">
      <c r="C1990" t="s">
        <v>1864</v>
      </c>
      <c r="D1990" t="s">
        <v>1864</v>
      </c>
      <c r="E1990" t="s">
        <v>3851</v>
      </c>
      <c r="F1990" t="s">
        <v>3852</v>
      </c>
      <c r="G1990" t="str">
        <f t="shared" si="152"/>
        <v>M</v>
      </c>
      <c r="H1990" t="str">
        <f t="shared" si="153"/>
        <v>74</v>
      </c>
      <c r="I1990" t="str">
        <f t="shared" si="154"/>
        <v>741</v>
      </c>
      <c r="J1990" t="str">
        <f t="shared" si="155"/>
        <v>74102</v>
      </c>
      <c r="K1990" t="str">
        <f t="shared" si="151"/>
        <v>7410202</v>
      </c>
    </row>
    <row r="1991" spans="2:11" x14ac:dyDescent="0.25">
      <c r="C1991" t="s">
        <v>1864</v>
      </c>
      <c r="D1991" t="s">
        <v>1864</v>
      </c>
      <c r="E1991" t="s">
        <v>3853</v>
      </c>
      <c r="F1991" t="s">
        <v>3854</v>
      </c>
      <c r="G1991" t="str">
        <f t="shared" si="152"/>
        <v>M</v>
      </c>
      <c r="H1991" t="str">
        <f t="shared" si="153"/>
        <v>74</v>
      </c>
      <c r="I1991" t="str">
        <f t="shared" si="154"/>
        <v>741</v>
      </c>
      <c r="J1991" t="str">
        <f t="shared" si="155"/>
        <v>74102</v>
      </c>
      <c r="K1991" t="str">
        <f t="shared" si="151"/>
        <v>7410203</v>
      </c>
    </row>
    <row r="1992" spans="2:11" x14ac:dyDescent="0.25">
      <c r="C1992" t="s">
        <v>1864</v>
      </c>
      <c r="D1992" t="s">
        <v>1864</v>
      </c>
      <c r="E1992" t="s">
        <v>3855</v>
      </c>
      <c r="F1992" t="s">
        <v>3856</v>
      </c>
      <c r="G1992" t="str">
        <f t="shared" si="152"/>
        <v>M</v>
      </c>
      <c r="H1992" t="str">
        <f t="shared" si="153"/>
        <v>74</v>
      </c>
      <c r="I1992" t="str">
        <f t="shared" si="154"/>
        <v>741</v>
      </c>
      <c r="J1992" t="str">
        <f t="shared" si="155"/>
        <v>74102</v>
      </c>
      <c r="K1992" t="str">
        <f t="shared" ref="K1992:K2055" si="156">E1992</f>
        <v>7410299</v>
      </c>
    </row>
    <row r="1993" spans="2:11" x14ac:dyDescent="0.25">
      <c r="C1993" t="s">
        <v>3857</v>
      </c>
      <c r="D1993" t="s">
        <v>1864</v>
      </c>
      <c r="E1993" t="s">
        <v>1864</v>
      </c>
      <c r="F1993" t="s">
        <v>1559</v>
      </c>
      <c r="G1993" t="str">
        <f t="shared" ref="G1993:G2056" si="157">IF(A1993="",G1992,A1993)</f>
        <v>M</v>
      </c>
      <c r="H1993" t="str">
        <f t="shared" ref="H1993:H2056" si="158">IF(B1993="",H1992,B1993)</f>
        <v>74</v>
      </c>
      <c r="I1993" t="str">
        <f t="shared" ref="I1993:I2056" si="159">IF(C1993="",I1992,C1993)</f>
        <v>742</v>
      </c>
      <c r="J1993" t="str">
        <f t="shared" ref="J1993:J2056" si="160">IF(D1993="",J1992,D1993)</f>
        <v>74102</v>
      </c>
      <c r="K1993" t="str">
        <f t="shared" si="156"/>
        <v/>
      </c>
    </row>
    <row r="1994" spans="2:11" x14ac:dyDescent="0.25">
      <c r="C1994" t="s">
        <v>1864</v>
      </c>
      <c r="D1994" t="s">
        <v>3858</v>
      </c>
      <c r="E1994" t="s">
        <v>1864</v>
      </c>
      <c r="F1994" t="s">
        <v>1559</v>
      </c>
      <c r="G1994" t="str">
        <f t="shared" si="157"/>
        <v>M</v>
      </c>
      <c r="H1994" t="str">
        <f t="shared" si="158"/>
        <v>74</v>
      </c>
      <c r="I1994" t="str">
        <f t="shared" si="159"/>
        <v>742</v>
      </c>
      <c r="J1994" t="str">
        <f t="shared" si="160"/>
        <v>74200</v>
      </c>
      <c r="K1994" t="str">
        <f t="shared" si="156"/>
        <v/>
      </c>
    </row>
    <row r="1995" spans="2:11" x14ac:dyDescent="0.25">
      <c r="C1995" t="s">
        <v>1864</v>
      </c>
      <c r="D1995" t="s">
        <v>1864</v>
      </c>
      <c r="E1995" t="s">
        <v>3859</v>
      </c>
      <c r="F1995" t="s">
        <v>1560</v>
      </c>
      <c r="G1995" t="str">
        <f t="shared" si="157"/>
        <v>M</v>
      </c>
      <c r="H1995" t="str">
        <f t="shared" si="158"/>
        <v>74</v>
      </c>
      <c r="I1995" t="str">
        <f t="shared" si="159"/>
        <v>742</v>
      </c>
      <c r="J1995" t="str">
        <f t="shared" si="160"/>
        <v>74200</v>
      </c>
      <c r="K1995" t="str">
        <f t="shared" si="156"/>
        <v>7420001</v>
      </c>
    </row>
    <row r="1996" spans="2:11" x14ac:dyDescent="0.25">
      <c r="C1996" t="s">
        <v>1864</v>
      </c>
      <c r="D1996" t="s">
        <v>1864</v>
      </c>
      <c r="E1996" t="s">
        <v>3860</v>
      </c>
      <c r="F1996" t="s">
        <v>1561</v>
      </c>
      <c r="G1996" t="str">
        <f t="shared" si="157"/>
        <v>M</v>
      </c>
      <c r="H1996" t="str">
        <f t="shared" si="158"/>
        <v>74</v>
      </c>
      <c r="I1996" t="str">
        <f t="shared" si="159"/>
        <v>742</v>
      </c>
      <c r="J1996" t="str">
        <f t="shared" si="160"/>
        <v>74200</v>
      </c>
      <c r="K1996" t="str">
        <f t="shared" si="156"/>
        <v>7420002</v>
      </c>
    </row>
    <row r="1997" spans="2:11" x14ac:dyDescent="0.25">
      <c r="C1997" t="s">
        <v>1864</v>
      </c>
      <c r="D1997" t="s">
        <v>1864</v>
      </c>
      <c r="E1997" t="s">
        <v>3861</v>
      </c>
      <c r="F1997" t="s">
        <v>1562</v>
      </c>
      <c r="G1997" t="str">
        <f t="shared" si="157"/>
        <v>M</v>
      </c>
      <c r="H1997" t="str">
        <f t="shared" si="158"/>
        <v>74</v>
      </c>
      <c r="I1997" t="str">
        <f t="shared" si="159"/>
        <v>742</v>
      </c>
      <c r="J1997" t="str">
        <f t="shared" si="160"/>
        <v>74200</v>
      </c>
      <c r="K1997" t="str">
        <f t="shared" si="156"/>
        <v>7420003</v>
      </c>
    </row>
    <row r="1998" spans="2:11" x14ac:dyDescent="0.25">
      <c r="C1998" t="s">
        <v>1864</v>
      </c>
      <c r="D1998" t="s">
        <v>1864</v>
      </c>
      <c r="E1998" t="s">
        <v>3862</v>
      </c>
      <c r="F1998" t="s">
        <v>1563</v>
      </c>
      <c r="G1998" t="str">
        <f t="shared" si="157"/>
        <v>M</v>
      </c>
      <c r="H1998" t="str">
        <f t="shared" si="158"/>
        <v>74</v>
      </c>
      <c r="I1998" t="str">
        <f t="shared" si="159"/>
        <v>742</v>
      </c>
      <c r="J1998" t="str">
        <f t="shared" si="160"/>
        <v>74200</v>
      </c>
      <c r="K1998" t="str">
        <f t="shared" si="156"/>
        <v>7420004</v>
      </c>
    </row>
    <row r="1999" spans="2:11" x14ac:dyDescent="0.25">
      <c r="C1999" t="s">
        <v>1864</v>
      </c>
      <c r="D1999" t="s">
        <v>1864</v>
      </c>
      <c r="E1999" t="s">
        <v>3863</v>
      </c>
      <c r="F1999" t="s">
        <v>1564</v>
      </c>
      <c r="G1999" t="str">
        <f t="shared" si="157"/>
        <v>M</v>
      </c>
      <c r="H1999" t="str">
        <f t="shared" si="158"/>
        <v>74</v>
      </c>
      <c r="I1999" t="str">
        <f t="shared" si="159"/>
        <v>742</v>
      </c>
      <c r="J1999" t="str">
        <f t="shared" si="160"/>
        <v>74200</v>
      </c>
      <c r="K1999" t="str">
        <f t="shared" si="156"/>
        <v>7420005</v>
      </c>
    </row>
    <row r="2000" spans="2:11" x14ac:dyDescent="0.25">
      <c r="C2000" t="s">
        <v>3864</v>
      </c>
      <c r="D2000" t="s">
        <v>1864</v>
      </c>
      <c r="E2000" t="s">
        <v>1864</v>
      </c>
      <c r="F2000" t="s">
        <v>1565</v>
      </c>
      <c r="G2000" t="str">
        <f t="shared" si="157"/>
        <v>M</v>
      </c>
      <c r="H2000" t="str">
        <f t="shared" si="158"/>
        <v>74</v>
      </c>
      <c r="I2000" t="str">
        <f t="shared" si="159"/>
        <v>749</v>
      </c>
      <c r="J2000" t="str">
        <f t="shared" si="160"/>
        <v>74200</v>
      </c>
      <c r="K2000" t="str">
        <f t="shared" si="156"/>
        <v/>
      </c>
    </row>
    <row r="2001" spans="1:11" x14ac:dyDescent="0.25">
      <c r="C2001" t="s">
        <v>1864</v>
      </c>
      <c r="D2001" t="s">
        <v>3865</v>
      </c>
      <c r="E2001" t="s">
        <v>1864</v>
      </c>
      <c r="F2001" t="s">
        <v>1565</v>
      </c>
      <c r="G2001" t="str">
        <f t="shared" si="157"/>
        <v>M</v>
      </c>
      <c r="H2001" t="str">
        <f t="shared" si="158"/>
        <v>74</v>
      </c>
      <c r="I2001" t="str">
        <f t="shared" si="159"/>
        <v>749</v>
      </c>
      <c r="J2001" t="str">
        <f t="shared" si="160"/>
        <v>74901</v>
      </c>
      <c r="K2001" t="str">
        <f t="shared" si="156"/>
        <v/>
      </c>
    </row>
    <row r="2002" spans="1:11" x14ac:dyDescent="0.25">
      <c r="C2002" t="s">
        <v>1864</v>
      </c>
      <c r="D2002" t="s">
        <v>1864</v>
      </c>
      <c r="E2002" t="s">
        <v>3866</v>
      </c>
      <c r="F2002" t="s">
        <v>1566</v>
      </c>
      <c r="G2002" t="str">
        <f t="shared" si="157"/>
        <v>M</v>
      </c>
      <c r="H2002" t="str">
        <f t="shared" si="158"/>
        <v>74</v>
      </c>
      <c r="I2002" t="str">
        <f t="shared" si="159"/>
        <v>749</v>
      </c>
      <c r="J2002" t="str">
        <f t="shared" si="160"/>
        <v>74901</v>
      </c>
      <c r="K2002" t="str">
        <f t="shared" si="156"/>
        <v>7490101</v>
      </c>
    </row>
    <row r="2003" spans="1:11" x14ac:dyDescent="0.25">
      <c r="C2003" t="s">
        <v>1864</v>
      </c>
      <c r="D2003" t="s">
        <v>1864</v>
      </c>
      <c r="E2003" t="s">
        <v>3867</v>
      </c>
      <c r="F2003" t="s">
        <v>1567</v>
      </c>
      <c r="G2003" t="str">
        <f t="shared" si="157"/>
        <v>M</v>
      </c>
      <c r="H2003" t="str">
        <f t="shared" si="158"/>
        <v>74</v>
      </c>
      <c r="I2003" t="str">
        <f t="shared" si="159"/>
        <v>749</v>
      </c>
      <c r="J2003" t="str">
        <f t="shared" si="160"/>
        <v>74901</v>
      </c>
      <c r="K2003" t="str">
        <f t="shared" si="156"/>
        <v>7490102</v>
      </c>
    </row>
    <row r="2004" spans="1:11" x14ac:dyDescent="0.25">
      <c r="C2004" t="s">
        <v>1864</v>
      </c>
      <c r="D2004" t="s">
        <v>1864</v>
      </c>
      <c r="E2004" t="s">
        <v>3868</v>
      </c>
      <c r="F2004" t="s">
        <v>1568</v>
      </c>
      <c r="G2004" t="str">
        <f t="shared" si="157"/>
        <v>M</v>
      </c>
      <c r="H2004" t="str">
        <f t="shared" si="158"/>
        <v>74</v>
      </c>
      <c r="I2004" t="str">
        <f t="shared" si="159"/>
        <v>749</v>
      </c>
      <c r="J2004" t="str">
        <f t="shared" si="160"/>
        <v>74901</v>
      </c>
      <c r="K2004" t="str">
        <f t="shared" si="156"/>
        <v>7490103</v>
      </c>
    </row>
    <row r="2005" spans="1:11" x14ac:dyDescent="0.25">
      <c r="C2005" t="s">
        <v>1864</v>
      </c>
      <c r="D2005" t="s">
        <v>1864</v>
      </c>
      <c r="E2005" t="s">
        <v>3869</v>
      </c>
      <c r="F2005" t="s">
        <v>1569</v>
      </c>
      <c r="G2005" t="str">
        <f t="shared" si="157"/>
        <v>M</v>
      </c>
      <c r="H2005" t="str">
        <f t="shared" si="158"/>
        <v>74</v>
      </c>
      <c r="I2005" t="str">
        <f t="shared" si="159"/>
        <v>749</v>
      </c>
      <c r="J2005" t="str">
        <f t="shared" si="160"/>
        <v>74901</v>
      </c>
      <c r="K2005" t="str">
        <f t="shared" si="156"/>
        <v>7490104</v>
      </c>
    </row>
    <row r="2006" spans="1:11" x14ac:dyDescent="0.25">
      <c r="C2006" t="s">
        <v>1864</v>
      </c>
      <c r="D2006" t="s">
        <v>1864</v>
      </c>
      <c r="E2006" t="s">
        <v>3870</v>
      </c>
      <c r="F2006" t="s">
        <v>1570</v>
      </c>
      <c r="G2006" t="str">
        <f t="shared" si="157"/>
        <v>M</v>
      </c>
      <c r="H2006" t="str">
        <f t="shared" si="158"/>
        <v>74</v>
      </c>
      <c r="I2006" t="str">
        <f t="shared" si="159"/>
        <v>749</v>
      </c>
      <c r="J2006" t="str">
        <f t="shared" si="160"/>
        <v>74901</v>
      </c>
      <c r="K2006" t="str">
        <f t="shared" si="156"/>
        <v>7490105</v>
      </c>
    </row>
    <row r="2007" spans="1:11" x14ac:dyDescent="0.25">
      <c r="C2007" t="s">
        <v>1864</v>
      </c>
      <c r="D2007" t="s">
        <v>1864</v>
      </c>
      <c r="E2007" t="s">
        <v>3871</v>
      </c>
      <c r="F2007" t="s">
        <v>1571</v>
      </c>
      <c r="G2007" t="str">
        <f t="shared" si="157"/>
        <v>M</v>
      </c>
      <c r="H2007" t="str">
        <f t="shared" si="158"/>
        <v>74</v>
      </c>
      <c r="I2007" t="str">
        <f t="shared" si="159"/>
        <v>749</v>
      </c>
      <c r="J2007" t="str">
        <f t="shared" si="160"/>
        <v>74901</v>
      </c>
      <c r="K2007" t="str">
        <f t="shared" si="156"/>
        <v>7490199</v>
      </c>
    </row>
    <row r="2008" spans="1:11" x14ac:dyDescent="0.25">
      <c r="B2008" t="s">
        <v>3872</v>
      </c>
      <c r="C2008" t="s">
        <v>1864</v>
      </c>
      <c r="D2008" t="s">
        <v>1864</v>
      </c>
      <c r="E2008" t="s">
        <v>1864</v>
      </c>
      <c r="F2008" t="s">
        <v>1572</v>
      </c>
      <c r="G2008" t="str">
        <f t="shared" si="157"/>
        <v>M</v>
      </c>
      <c r="H2008" t="str">
        <f t="shared" si="158"/>
        <v>75</v>
      </c>
      <c r="I2008" t="str">
        <f t="shared" si="159"/>
        <v>749</v>
      </c>
      <c r="J2008" t="str">
        <f t="shared" si="160"/>
        <v>74901</v>
      </c>
      <c r="K2008" t="str">
        <f t="shared" si="156"/>
        <v/>
      </c>
    </row>
    <row r="2009" spans="1:11" x14ac:dyDescent="0.25">
      <c r="C2009" t="s">
        <v>3873</v>
      </c>
      <c r="D2009" t="s">
        <v>1864</v>
      </c>
      <c r="E2009" t="s">
        <v>1864</v>
      </c>
      <c r="F2009" t="s">
        <v>1573</v>
      </c>
      <c r="G2009" t="str">
        <f t="shared" si="157"/>
        <v>M</v>
      </c>
      <c r="H2009" t="str">
        <f t="shared" si="158"/>
        <v>75</v>
      </c>
      <c r="I2009" t="str">
        <f t="shared" si="159"/>
        <v>750</v>
      </c>
      <c r="J2009" t="str">
        <f t="shared" si="160"/>
        <v>74901</v>
      </c>
      <c r="K2009" t="str">
        <f t="shared" si="156"/>
        <v/>
      </c>
    </row>
    <row r="2010" spans="1:11" x14ac:dyDescent="0.25">
      <c r="C2010" t="s">
        <v>1864</v>
      </c>
      <c r="D2010" t="s">
        <v>3874</v>
      </c>
      <c r="E2010" t="s">
        <v>1864</v>
      </c>
      <c r="F2010" t="s">
        <v>1573</v>
      </c>
      <c r="G2010" t="str">
        <f t="shared" si="157"/>
        <v>M</v>
      </c>
      <c r="H2010" t="str">
        <f t="shared" si="158"/>
        <v>75</v>
      </c>
      <c r="I2010" t="str">
        <f t="shared" si="159"/>
        <v>750</v>
      </c>
      <c r="J2010" t="str">
        <f t="shared" si="160"/>
        <v>75001</v>
      </c>
      <c r="K2010" t="str">
        <f t="shared" si="156"/>
        <v/>
      </c>
    </row>
    <row r="2011" spans="1:11" x14ac:dyDescent="0.25">
      <c r="C2011" t="s">
        <v>1864</v>
      </c>
      <c r="D2011" t="s">
        <v>1864</v>
      </c>
      <c r="E2011" t="s">
        <v>3875</v>
      </c>
      <c r="F2011" t="s">
        <v>1573</v>
      </c>
      <c r="G2011" t="str">
        <f t="shared" si="157"/>
        <v>M</v>
      </c>
      <c r="H2011" t="str">
        <f t="shared" si="158"/>
        <v>75</v>
      </c>
      <c r="I2011" t="str">
        <f t="shared" si="159"/>
        <v>750</v>
      </c>
      <c r="J2011" t="str">
        <f t="shared" si="160"/>
        <v>75001</v>
      </c>
      <c r="K2011" t="str">
        <f t="shared" si="156"/>
        <v>7500100</v>
      </c>
    </row>
    <row r="2012" spans="1:11" x14ac:dyDescent="0.25">
      <c r="A2012" t="s">
        <v>3876</v>
      </c>
      <c r="C2012" t="s">
        <v>1864</v>
      </c>
      <c r="D2012" t="s">
        <v>1864</v>
      </c>
      <c r="E2012" t="s">
        <v>1864</v>
      </c>
      <c r="F2012" t="s">
        <v>1574</v>
      </c>
      <c r="G2012" t="str">
        <f t="shared" si="157"/>
        <v>N</v>
      </c>
      <c r="H2012" t="str">
        <f t="shared" si="158"/>
        <v>75</v>
      </c>
      <c r="I2012" t="str">
        <f t="shared" si="159"/>
        <v>750</v>
      </c>
      <c r="J2012" t="str">
        <f t="shared" si="160"/>
        <v>75001</v>
      </c>
      <c r="K2012" t="str">
        <f t="shared" si="156"/>
        <v/>
      </c>
    </row>
    <row r="2013" spans="1:11" x14ac:dyDescent="0.25">
      <c r="B2013" t="s">
        <v>3877</v>
      </c>
      <c r="C2013" t="s">
        <v>1864</v>
      </c>
      <c r="D2013" t="s">
        <v>1864</v>
      </c>
      <c r="E2013" t="s">
        <v>1864</v>
      </c>
      <c r="F2013" t="s">
        <v>1575</v>
      </c>
      <c r="G2013" t="str">
        <f t="shared" si="157"/>
        <v>N</v>
      </c>
      <c r="H2013" t="str">
        <f t="shared" si="158"/>
        <v>77</v>
      </c>
      <c r="I2013" t="str">
        <f t="shared" si="159"/>
        <v>750</v>
      </c>
      <c r="J2013" t="str">
        <f t="shared" si="160"/>
        <v>75001</v>
      </c>
      <c r="K2013" t="str">
        <f t="shared" si="156"/>
        <v/>
      </c>
    </row>
    <row r="2014" spans="1:11" x14ac:dyDescent="0.25">
      <c r="C2014" t="s">
        <v>3878</v>
      </c>
      <c r="D2014" t="s">
        <v>1864</v>
      </c>
      <c r="E2014" t="s">
        <v>1864</v>
      </c>
      <c r="F2014" t="s">
        <v>1576</v>
      </c>
      <c r="G2014" t="str">
        <f t="shared" si="157"/>
        <v>N</v>
      </c>
      <c r="H2014" t="str">
        <f t="shared" si="158"/>
        <v>77</v>
      </c>
      <c r="I2014" t="str">
        <f t="shared" si="159"/>
        <v>771</v>
      </c>
      <c r="J2014" t="str">
        <f t="shared" si="160"/>
        <v>75001</v>
      </c>
      <c r="K2014" t="str">
        <f t="shared" si="156"/>
        <v/>
      </c>
    </row>
    <row r="2015" spans="1:11" x14ac:dyDescent="0.25">
      <c r="C2015" t="s">
        <v>1864</v>
      </c>
      <c r="D2015" t="s">
        <v>3879</v>
      </c>
      <c r="E2015" t="s">
        <v>1864</v>
      </c>
      <c r="F2015" t="s">
        <v>1577</v>
      </c>
      <c r="G2015" t="str">
        <f t="shared" si="157"/>
        <v>N</v>
      </c>
      <c r="H2015" t="str">
        <f t="shared" si="158"/>
        <v>77</v>
      </c>
      <c r="I2015" t="str">
        <f t="shared" si="159"/>
        <v>771</v>
      </c>
      <c r="J2015" t="str">
        <f t="shared" si="160"/>
        <v>77110</v>
      </c>
      <c r="K2015" t="str">
        <f t="shared" si="156"/>
        <v/>
      </c>
    </row>
    <row r="2016" spans="1:11" x14ac:dyDescent="0.25">
      <c r="C2016" t="s">
        <v>1864</v>
      </c>
      <c r="D2016" t="s">
        <v>1864</v>
      </c>
      <c r="E2016" t="s">
        <v>3880</v>
      </c>
      <c r="F2016" t="s">
        <v>1577</v>
      </c>
      <c r="G2016" t="str">
        <f t="shared" si="157"/>
        <v>N</v>
      </c>
      <c r="H2016" t="str">
        <f t="shared" si="158"/>
        <v>77</v>
      </c>
      <c r="I2016" t="str">
        <f t="shared" si="159"/>
        <v>771</v>
      </c>
      <c r="J2016" t="str">
        <f t="shared" si="160"/>
        <v>77110</v>
      </c>
      <c r="K2016" t="str">
        <f t="shared" si="156"/>
        <v>7711000</v>
      </c>
    </row>
    <row r="2017" spans="3:11" x14ac:dyDescent="0.25">
      <c r="C2017" t="s">
        <v>1864</v>
      </c>
      <c r="D2017" t="s">
        <v>3881</v>
      </c>
      <c r="E2017" t="s">
        <v>1864</v>
      </c>
      <c r="F2017" t="s">
        <v>1578</v>
      </c>
      <c r="G2017" t="str">
        <f t="shared" si="157"/>
        <v>N</v>
      </c>
      <c r="H2017" t="str">
        <f t="shared" si="158"/>
        <v>77</v>
      </c>
      <c r="I2017" t="str">
        <f t="shared" si="159"/>
        <v>771</v>
      </c>
      <c r="J2017" t="str">
        <f t="shared" si="160"/>
        <v>77195</v>
      </c>
      <c r="K2017" t="str">
        <f t="shared" si="156"/>
        <v/>
      </c>
    </row>
    <row r="2018" spans="3:11" x14ac:dyDescent="0.25">
      <c r="C2018" t="s">
        <v>1864</v>
      </c>
      <c r="D2018" t="s">
        <v>1864</v>
      </c>
      <c r="E2018" t="s">
        <v>3882</v>
      </c>
      <c r="F2018" t="s">
        <v>1579</v>
      </c>
      <c r="G2018" t="str">
        <f t="shared" si="157"/>
        <v>N</v>
      </c>
      <c r="H2018" t="str">
        <f t="shared" si="158"/>
        <v>77</v>
      </c>
      <c r="I2018" t="str">
        <f t="shared" si="159"/>
        <v>771</v>
      </c>
      <c r="J2018" t="str">
        <f t="shared" si="160"/>
        <v>77195</v>
      </c>
      <c r="K2018" t="str">
        <f t="shared" si="156"/>
        <v>7719501</v>
      </c>
    </row>
    <row r="2019" spans="3:11" x14ac:dyDescent="0.25">
      <c r="C2019" t="s">
        <v>1864</v>
      </c>
      <c r="D2019" t="s">
        <v>1864</v>
      </c>
      <c r="E2019" t="s">
        <v>3883</v>
      </c>
      <c r="F2019" t="s">
        <v>1580</v>
      </c>
      <c r="G2019" t="str">
        <f t="shared" si="157"/>
        <v>N</v>
      </c>
      <c r="H2019" t="str">
        <f t="shared" si="158"/>
        <v>77</v>
      </c>
      <c r="I2019" t="str">
        <f t="shared" si="159"/>
        <v>771</v>
      </c>
      <c r="J2019" t="str">
        <f t="shared" si="160"/>
        <v>77195</v>
      </c>
      <c r="K2019" t="str">
        <f t="shared" si="156"/>
        <v>7719502</v>
      </c>
    </row>
    <row r="2020" spans="3:11" x14ac:dyDescent="0.25">
      <c r="C2020" t="s">
        <v>1864</v>
      </c>
      <c r="D2020" t="s">
        <v>1864</v>
      </c>
      <c r="E2020" t="s">
        <v>3884</v>
      </c>
      <c r="F2020" t="s">
        <v>1581</v>
      </c>
      <c r="G2020" t="str">
        <f t="shared" si="157"/>
        <v>N</v>
      </c>
      <c r="H2020" t="str">
        <f t="shared" si="158"/>
        <v>77</v>
      </c>
      <c r="I2020" t="str">
        <f t="shared" si="159"/>
        <v>771</v>
      </c>
      <c r="J2020" t="str">
        <f t="shared" si="160"/>
        <v>77195</v>
      </c>
      <c r="K2020" t="str">
        <f t="shared" si="156"/>
        <v>7719599</v>
      </c>
    </row>
    <row r="2021" spans="3:11" x14ac:dyDescent="0.25">
      <c r="C2021" t="s">
        <v>3885</v>
      </c>
      <c r="D2021" t="s">
        <v>1864</v>
      </c>
      <c r="E2021" t="s">
        <v>1864</v>
      </c>
      <c r="F2021" t="s">
        <v>1582</v>
      </c>
      <c r="G2021" t="str">
        <f t="shared" si="157"/>
        <v>N</v>
      </c>
      <c r="H2021" t="str">
        <f t="shared" si="158"/>
        <v>77</v>
      </c>
      <c r="I2021" t="str">
        <f t="shared" si="159"/>
        <v>772</v>
      </c>
      <c r="J2021" t="str">
        <f t="shared" si="160"/>
        <v>77195</v>
      </c>
      <c r="K2021" t="str">
        <f t="shared" si="156"/>
        <v/>
      </c>
    </row>
    <row r="2022" spans="3:11" x14ac:dyDescent="0.25">
      <c r="C2022" t="s">
        <v>1864</v>
      </c>
      <c r="D2022" t="s">
        <v>3886</v>
      </c>
      <c r="E2022" t="s">
        <v>1864</v>
      </c>
      <c r="F2022" t="s">
        <v>1583</v>
      </c>
      <c r="G2022" t="str">
        <f t="shared" si="157"/>
        <v>N</v>
      </c>
      <c r="H2022" t="str">
        <f t="shared" si="158"/>
        <v>77</v>
      </c>
      <c r="I2022" t="str">
        <f t="shared" si="159"/>
        <v>772</v>
      </c>
      <c r="J2022" t="str">
        <f t="shared" si="160"/>
        <v>77217</v>
      </c>
      <c r="K2022" t="str">
        <f t="shared" si="156"/>
        <v/>
      </c>
    </row>
    <row r="2023" spans="3:11" x14ac:dyDescent="0.25">
      <c r="C2023" t="s">
        <v>1864</v>
      </c>
      <c r="D2023" t="s">
        <v>1864</v>
      </c>
      <c r="E2023" t="s">
        <v>3887</v>
      </c>
      <c r="F2023" t="s">
        <v>1583</v>
      </c>
      <c r="G2023" t="str">
        <f t="shared" si="157"/>
        <v>N</v>
      </c>
      <c r="H2023" t="str">
        <f t="shared" si="158"/>
        <v>77</v>
      </c>
      <c r="I2023" t="str">
        <f t="shared" si="159"/>
        <v>772</v>
      </c>
      <c r="J2023" t="str">
        <f t="shared" si="160"/>
        <v>77217</v>
      </c>
      <c r="K2023" t="str">
        <f t="shared" si="156"/>
        <v>7721700</v>
      </c>
    </row>
    <row r="2024" spans="3:11" x14ac:dyDescent="0.25">
      <c r="C2024" t="s">
        <v>1864</v>
      </c>
      <c r="D2024" t="s">
        <v>3888</v>
      </c>
      <c r="E2024" t="s">
        <v>1864</v>
      </c>
      <c r="F2024" t="s">
        <v>1584</v>
      </c>
      <c r="G2024" t="str">
        <f t="shared" si="157"/>
        <v>N</v>
      </c>
      <c r="H2024" t="str">
        <f t="shared" si="158"/>
        <v>77</v>
      </c>
      <c r="I2024" t="str">
        <f t="shared" si="159"/>
        <v>772</v>
      </c>
      <c r="J2024" t="str">
        <f t="shared" si="160"/>
        <v>77225</v>
      </c>
      <c r="K2024" t="str">
        <f t="shared" si="156"/>
        <v/>
      </c>
    </row>
    <row r="2025" spans="3:11" x14ac:dyDescent="0.25">
      <c r="C2025" t="s">
        <v>1864</v>
      </c>
      <c r="D2025" t="s">
        <v>1864</v>
      </c>
      <c r="E2025" t="s">
        <v>3889</v>
      </c>
      <c r="F2025" t="s">
        <v>1584</v>
      </c>
      <c r="G2025" t="str">
        <f t="shared" si="157"/>
        <v>N</v>
      </c>
      <c r="H2025" t="str">
        <f t="shared" si="158"/>
        <v>77</v>
      </c>
      <c r="I2025" t="str">
        <f t="shared" si="159"/>
        <v>772</v>
      </c>
      <c r="J2025" t="str">
        <f t="shared" si="160"/>
        <v>77225</v>
      </c>
      <c r="K2025" t="str">
        <f t="shared" si="156"/>
        <v>7722500</v>
      </c>
    </row>
    <row r="2026" spans="3:11" x14ac:dyDescent="0.25">
      <c r="C2026" t="s">
        <v>1864</v>
      </c>
      <c r="D2026" t="s">
        <v>3890</v>
      </c>
      <c r="E2026" t="s">
        <v>1864</v>
      </c>
      <c r="F2026" t="s">
        <v>1585</v>
      </c>
      <c r="G2026" t="str">
        <f t="shared" si="157"/>
        <v>N</v>
      </c>
      <c r="H2026" t="str">
        <f t="shared" si="158"/>
        <v>77</v>
      </c>
      <c r="I2026" t="str">
        <f t="shared" si="159"/>
        <v>772</v>
      </c>
      <c r="J2026" t="str">
        <f t="shared" si="160"/>
        <v>77233</v>
      </c>
      <c r="K2026" t="str">
        <f t="shared" si="156"/>
        <v/>
      </c>
    </row>
    <row r="2027" spans="3:11" x14ac:dyDescent="0.25">
      <c r="C2027" t="s">
        <v>1864</v>
      </c>
      <c r="D2027" t="s">
        <v>1864</v>
      </c>
      <c r="E2027" t="s">
        <v>3891</v>
      </c>
      <c r="F2027" t="s">
        <v>1585</v>
      </c>
      <c r="G2027" t="str">
        <f t="shared" si="157"/>
        <v>N</v>
      </c>
      <c r="H2027" t="str">
        <f t="shared" si="158"/>
        <v>77</v>
      </c>
      <c r="I2027" t="str">
        <f t="shared" si="159"/>
        <v>772</v>
      </c>
      <c r="J2027" t="str">
        <f t="shared" si="160"/>
        <v>77233</v>
      </c>
      <c r="K2027" t="str">
        <f t="shared" si="156"/>
        <v>7723300</v>
      </c>
    </row>
    <row r="2028" spans="3:11" x14ac:dyDescent="0.25">
      <c r="C2028" t="s">
        <v>1864</v>
      </c>
      <c r="D2028" t="s">
        <v>3892</v>
      </c>
      <c r="E2028" t="s">
        <v>1864</v>
      </c>
      <c r="F2028" t="s">
        <v>1586</v>
      </c>
      <c r="G2028" t="str">
        <f t="shared" si="157"/>
        <v>N</v>
      </c>
      <c r="H2028" t="str">
        <f t="shared" si="158"/>
        <v>77</v>
      </c>
      <c r="I2028" t="str">
        <f t="shared" si="159"/>
        <v>772</v>
      </c>
      <c r="J2028" t="str">
        <f t="shared" si="160"/>
        <v>77292</v>
      </c>
      <c r="K2028" t="str">
        <f t="shared" si="156"/>
        <v/>
      </c>
    </row>
    <row r="2029" spans="3:11" x14ac:dyDescent="0.25">
      <c r="C2029" t="s">
        <v>1864</v>
      </c>
      <c r="D2029" t="s">
        <v>1864</v>
      </c>
      <c r="E2029" t="s">
        <v>3893</v>
      </c>
      <c r="F2029" t="s">
        <v>1587</v>
      </c>
      <c r="G2029" t="str">
        <f t="shared" si="157"/>
        <v>N</v>
      </c>
      <c r="H2029" t="str">
        <f t="shared" si="158"/>
        <v>77</v>
      </c>
      <c r="I2029" t="str">
        <f t="shared" si="159"/>
        <v>772</v>
      </c>
      <c r="J2029" t="str">
        <f t="shared" si="160"/>
        <v>77292</v>
      </c>
      <c r="K2029" t="str">
        <f t="shared" si="156"/>
        <v>7729201</v>
      </c>
    </row>
    <row r="2030" spans="3:11" x14ac:dyDescent="0.25">
      <c r="C2030" t="s">
        <v>1864</v>
      </c>
      <c r="D2030" t="s">
        <v>1864</v>
      </c>
      <c r="E2030" t="s">
        <v>3894</v>
      </c>
      <c r="F2030" t="s">
        <v>1588</v>
      </c>
      <c r="G2030" t="str">
        <f t="shared" si="157"/>
        <v>N</v>
      </c>
      <c r="H2030" t="str">
        <f t="shared" si="158"/>
        <v>77</v>
      </c>
      <c r="I2030" t="str">
        <f t="shared" si="159"/>
        <v>772</v>
      </c>
      <c r="J2030" t="str">
        <f t="shared" si="160"/>
        <v>77292</v>
      </c>
      <c r="K2030" t="str">
        <f t="shared" si="156"/>
        <v>7729202</v>
      </c>
    </row>
    <row r="2031" spans="3:11" x14ac:dyDescent="0.25">
      <c r="C2031" t="s">
        <v>1864</v>
      </c>
      <c r="D2031" t="s">
        <v>1864</v>
      </c>
      <c r="E2031" t="s">
        <v>3895</v>
      </c>
      <c r="F2031" t="s">
        <v>1589</v>
      </c>
      <c r="G2031" t="str">
        <f t="shared" si="157"/>
        <v>N</v>
      </c>
      <c r="H2031" t="str">
        <f t="shared" si="158"/>
        <v>77</v>
      </c>
      <c r="I2031" t="str">
        <f t="shared" si="159"/>
        <v>772</v>
      </c>
      <c r="J2031" t="str">
        <f t="shared" si="160"/>
        <v>77292</v>
      </c>
      <c r="K2031" t="str">
        <f t="shared" si="156"/>
        <v>7729203</v>
      </c>
    </row>
    <row r="2032" spans="3:11" x14ac:dyDescent="0.25">
      <c r="C2032" t="s">
        <v>1864</v>
      </c>
      <c r="D2032" t="s">
        <v>1864</v>
      </c>
      <c r="E2032" t="s">
        <v>3896</v>
      </c>
      <c r="F2032" t="s">
        <v>1590</v>
      </c>
      <c r="G2032" t="str">
        <f t="shared" si="157"/>
        <v>N</v>
      </c>
      <c r="H2032" t="str">
        <f t="shared" si="158"/>
        <v>77</v>
      </c>
      <c r="I2032" t="str">
        <f t="shared" si="159"/>
        <v>772</v>
      </c>
      <c r="J2032" t="str">
        <f t="shared" si="160"/>
        <v>77292</v>
      </c>
      <c r="K2032" t="str">
        <f t="shared" si="156"/>
        <v>7729299</v>
      </c>
    </row>
    <row r="2033" spans="3:11" x14ac:dyDescent="0.25">
      <c r="C2033" t="s">
        <v>3897</v>
      </c>
      <c r="D2033" t="s">
        <v>1864</v>
      </c>
      <c r="E2033" t="s">
        <v>1864</v>
      </c>
      <c r="F2033" t="s">
        <v>1591</v>
      </c>
      <c r="G2033" t="str">
        <f t="shared" si="157"/>
        <v>N</v>
      </c>
      <c r="H2033" t="str">
        <f t="shared" si="158"/>
        <v>77</v>
      </c>
      <c r="I2033" t="str">
        <f t="shared" si="159"/>
        <v>773</v>
      </c>
      <c r="J2033" t="str">
        <f t="shared" si="160"/>
        <v>77292</v>
      </c>
      <c r="K2033" t="str">
        <f t="shared" si="156"/>
        <v/>
      </c>
    </row>
    <row r="2034" spans="3:11" x14ac:dyDescent="0.25">
      <c r="C2034" t="s">
        <v>1864</v>
      </c>
      <c r="D2034" t="s">
        <v>3898</v>
      </c>
      <c r="E2034" t="s">
        <v>1864</v>
      </c>
      <c r="F2034" t="s">
        <v>1592</v>
      </c>
      <c r="G2034" t="str">
        <f t="shared" si="157"/>
        <v>N</v>
      </c>
      <c r="H2034" t="str">
        <f t="shared" si="158"/>
        <v>77</v>
      </c>
      <c r="I2034" t="str">
        <f t="shared" si="159"/>
        <v>773</v>
      </c>
      <c r="J2034" t="str">
        <f t="shared" si="160"/>
        <v>77314</v>
      </c>
      <c r="K2034" t="str">
        <f t="shared" si="156"/>
        <v/>
      </c>
    </row>
    <row r="2035" spans="3:11" x14ac:dyDescent="0.25">
      <c r="C2035" t="s">
        <v>1864</v>
      </c>
      <c r="D2035" t="s">
        <v>1864</v>
      </c>
      <c r="E2035" t="s">
        <v>3899</v>
      </c>
      <c r="F2035" t="s">
        <v>1592</v>
      </c>
      <c r="G2035" t="str">
        <f t="shared" si="157"/>
        <v>N</v>
      </c>
      <c r="H2035" t="str">
        <f t="shared" si="158"/>
        <v>77</v>
      </c>
      <c r="I2035" t="str">
        <f t="shared" si="159"/>
        <v>773</v>
      </c>
      <c r="J2035" t="str">
        <f t="shared" si="160"/>
        <v>77314</v>
      </c>
      <c r="K2035" t="str">
        <f t="shared" si="156"/>
        <v>7731400</v>
      </c>
    </row>
    <row r="2036" spans="3:11" x14ac:dyDescent="0.25">
      <c r="C2036" t="s">
        <v>1864</v>
      </c>
      <c r="D2036" t="s">
        <v>3900</v>
      </c>
      <c r="E2036" t="s">
        <v>1864</v>
      </c>
      <c r="F2036" t="s">
        <v>1593</v>
      </c>
      <c r="G2036" t="str">
        <f t="shared" si="157"/>
        <v>N</v>
      </c>
      <c r="H2036" t="str">
        <f t="shared" si="158"/>
        <v>77</v>
      </c>
      <c r="I2036" t="str">
        <f t="shared" si="159"/>
        <v>773</v>
      </c>
      <c r="J2036" t="str">
        <f t="shared" si="160"/>
        <v>77322</v>
      </c>
      <c r="K2036" t="str">
        <f t="shared" si="156"/>
        <v/>
      </c>
    </row>
    <row r="2037" spans="3:11" x14ac:dyDescent="0.25">
      <c r="C2037" t="s">
        <v>1864</v>
      </c>
      <c r="D2037" t="s">
        <v>1864</v>
      </c>
      <c r="E2037" t="s">
        <v>3901</v>
      </c>
      <c r="F2037" t="s">
        <v>1594</v>
      </c>
      <c r="G2037" t="str">
        <f t="shared" si="157"/>
        <v>N</v>
      </c>
      <c r="H2037" t="str">
        <f t="shared" si="158"/>
        <v>77</v>
      </c>
      <c r="I2037" t="str">
        <f t="shared" si="159"/>
        <v>773</v>
      </c>
      <c r="J2037" t="str">
        <f t="shared" si="160"/>
        <v>77322</v>
      </c>
      <c r="K2037" t="str">
        <f t="shared" si="156"/>
        <v>7732201</v>
      </c>
    </row>
    <row r="2038" spans="3:11" x14ac:dyDescent="0.25">
      <c r="C2038" t="s">
        <v>1864</v>
      </c>
      <c r="D2038" t="s">
        <v>1864</v>
      </c>
      <c r="E2038" t="s">
        <v>3902</v>
      </c>
      <c r="F2038" t="s">
        <v>1595</v>
      </c>
      <c r="G2038" t="str">
        <f t="shared" si="157"/>
        <v>N</v>
      </c>
      <c r="H2038" t="str">
        <f t="shared" si="158"/>
        <v>77</v>
      </c>
      <c r="I2038" t="str">
        <f t="shared" si="159"/>
        <v>773</v>
      </c>
      <c r="J2038" t="str">
        <f t="shared" si="160"/>
        <v>77322</v>
      </c>
      <c r="K2038" t="str">
        <f t="shared" si="156"/>
        <v>7732202</v>
      </c>
    </row>
    <row r="2039" spans="3:11" x14ac:dyDescent="0.25">
      <c r="C2039" t="s">
        <v>1864</v>
      </c>
      <c r="D2039" t="s">
        <v>3903</v>
      </c>
      <c r="E2039" t="s">
        <v>1864</v>
      </c>
      <c r="F2039" t="s">
        <v>1596</v>
      </c>
      <c r="G2039" t="str">
        <f t="shared" si="157"/>
        <v>N</v>
      </c>
      <c r="H2039" t="str">
        <f t="shared" si="158"/>
        <v>77</v>
      </c>
      <c r="I2039" t="str">
        <f t="shared" si="159"/>
        <v>773</v>
      </c>
      <c r="J2039" t="str">
        <f t="shared" si="160"/>
        <v>77331</v>
      </c>
      <c r="K2039" t="str">
        <f t="shared" si="156"/>
        <v/>
      </c>
    </row>
    <row r="2040" spans="3:11" x14ac:dyDescent="0.25">
      <c r="C2040" t="s">
        <v>1864</v>
      </c>
      <c r="D2040" t="s">
        <v>1864</v>
      </c>
      <c r="E2040" t="s">
        <v>3904</v>
      </c>
      <c r="F2040" t="s">
        <v>1596</v>
      </c>
      <c r="G2040" t="str">
        <f t="shared" si="157"/>
        <v>N</v>
      </c>
      <c r="H2040" t="str">
        <f t="shared" si="158"/>
        <v>77</v>
      </c>
      <c r="I2040" t="str">
        <f t="shared" si="159"/>
        <v>773</v>
      </c>
      <c r="J2040" t="str">
        <f t="shared" si="160"/>
        <v>77331</v>
      </c>
      <c r="K2040" t="str">
        <f t="shared" si="156"/>
        <v>7733100</v>
      </c>
    </row>
    <row r="2041" spans="3:11" x14ac:dyDescent="0.25">
      <c r="C2041" t="s">
        <v>1864</v>
      </c>
      <c r="D2041" t="s">
        <v>3905</v>
      </c>
      <c r="E2041" t="s">
        <v>1864</v>
      </c>
      <c r="F2041" t="s">
        <v>1597</v>
      </c>
      <c r="G2041" t="str">
        <f t="shared" si="157"/>
        <v>N</v>
      </c>
      <c r="H2041" t="str">
        <f t="shared" si="158"/>
        <v>77</v>
      </c>
      <c r="I2041" t="str">
        <f t="shared" si="159"/>
        <v>773</v>
      </c>
      <c r="J2041" t="str">
        <f t="shared" si="160"/>
        <v>77390</v>
      </c>
      <c r="K2041" t="str">
        <f t="shared" si="156"/>
        <v/>
      </c>
    </row>
    <row r="2042" spans="3:11" x14ac:dyDescent="0.25">
      <c r="C2042" t="s">
        <v>1864</v>
      </c>
      <c r="D2042" t="s">
        <v>1864</v>
      </c>
      <c r="E2042" t="s">
        <v>3906</v>
      </c>
      <c r="F2042" t="s">
        <v>1598</v>
      </c>
      <c r="G2042" t="str">
        <f t="shared" si="157"/>
        <v>N</v>
      </c>
      <c r="H2042" t="str">
        <f t="shared" si="158"/>
        <v>77</v>
      </c>
      <c r="I2042" t="str">
        <f t="shared" si="159"/>
        <v>773</v>
      </c>
      <c r="J2042" t="str">
        <f t="shared" si="160"/>
        <v>77390</v>
      </c>
      <c r="K2042" t="str">
        <f t="shared" si="156"/>
        <v>7739001</v>
      </c>
    </row>
    <row r="2043" spans="3:11" x14ac:dyDescent="0.25">
      <c r="C2043" t="s">
        <v>1864</v>
      </c>
      <c r="D2043" t="s">
        <v>1864</v>
      </c>
      <c r="E2043" t="s">
        <v>3907</v>
      </c>
      <c r="F2043" t="s">
        <v>1599</v>
      </c>
      <c r="G2043" t="str">
        <f t="shared" si="157"/>
        <v>N</v>
      </c>
      <c r="H2043" t="str">
        <f t="shared" si="158"/>
        <v>77</v>
      </c>
      <c r="I2043" t="str">
        <f t="shared" si="159"/>
        <v>773</v>
      </c>
      <c r="J2043" t="str">
        <f t="shared" si="160"/>
        <v>77390</v>
      </c>
      <c r="K2043" t="str">
        <f t="shared" si="156"/>
        <v>7739002</v>
      </c>
    </row>
    <row r="2044" spans="3:11" x14ac:dyDescent="0.25">
      <c r="C2044" t="s">
        <v>1864</v>
      </c>
      <c r="D2044" t="s">
        <v>1864</v>
      </c>
      <c r="E2044" t="s">
        <v>3908</v>
      </c>
      <c r="F2044" t="s">
        <v>1600</v>
      </c>
      <c r="G2044" t="str">
        <f t="shared" si="157"/>
        <v>N</v>
      </c>
      <c r="H2044" t="str">
        <f t="shared" si="158"/>
        <v>77</v>
      </c>
      <c r="I2044" t="str">
        <f t="shared" si="159"/>
        <v>773</v>
      </c>
      <c r="J2044" t="str">
        <f t="shared" si="160"/>
        <v>77390</v>
      </c>
      <c r="K2044" t="str">
        <f t="shared" si="156"/>
        <v>7739003</v>
      </c>
    </row>
    <row r="2045" spans="3:11" x14ac:dyDescent="0.25">
      <c r="C2045" t="s">
        <v>1864</v>
      </c>
      <c r="D2045" t="s">
        <v>1864</v>
      </c>
      <c r="E2045" t="s">
        <v>3909</v>
      </c>
      <c r="F2045" t="s">
        <v>1601</v>
      </c>
      <c r="G2045" t="str">
        <f t="shared" si="157"/>
        <v>N</v>
      </c>
      <c r="H2045" t="str">
        <f t="shared" si="158"/>
        <v>77</v>
      </c>
      <c r="I2045" t="str">
        <f t="shared" si="159"/>
        <v>773</v>
      </c>
      <c r="J2045" t="str">
        <f t="shared" si="160"/>
        <v>77390</v>
      </c>
      <c r="K2045" t="str">
        <f t="shared" si="156"/>
        <v>7739099</v>
      </c>
    </row>
    <row r="2046" spans="3:11" x14ac:dyDescent="0.25">
      <c r="C2046" t="s">
        <v>3910</v>
      </c>
      <c r="D2046" t="s">
        <v>1864</v>
      </c>
      <c r="E2046" t="s">
        <v>1864</v>
      </c>
      <c r="F2046" t="s">
        <v>1602</v>
      </c>
      <c r="G2046" t="str">
        <f t="shared" si="157"/>
        <v>N</v>
      </c>
      <c r="H2046" t="str">
        <f t="shared" si="158"/>
        <v>77</v>
      </c>
      <c r="I2046" t="str">
        <f t="shared" si="159"/>
        <v>774</v>
      </c>
      <c r="J2046" t="str">
        <f t="shared" si="160"/>
        <v>77390</v>
      </c>
      <c r="K2046" t="str">
        <f t="shared" si="156"/>
        <v/>
      </c>
    </row>
    <row r="2047" spans="3:11" x14ac:dyDescent="0.25">
      <c r="C2047" t="s">
        <v>1864</v>
      </c>
      <c r="D2047" t="s">
        <v>3911</v>
      </c>
      <c r="E2047" t="s">
        <v>1864</v>
      </c>
      <c r="F2047" t="s">
        <v>1602</v>
      </c>
      <c r="G2047" t="str">
        <f t="shared" si="157"/>
        <v>N</v>
      </c>
      <c r="H2047" t="str">
        <f t="shared" si="158"/>
        <v>77</v>
      </c>
      <c r="I2047" t="str">
        <f t="shared" si="159"/>
        <v>774</v>
      </c>
      <c r="J2047" t="str">
        <f t="shared" si="160"/>
        <v>77403</v>
      </c>
      <c r="K2047" t="str">
        <f t="shared" si="156"/>
        <v/>
      </c>
    </row>
    <row r="2048" spans="3:11" x14ac:dyDescent="0.25">
      <c r="C2048" t="s">
        <v>1864</v>
      </c>
      <c r="D2048" t="s">
        <v>1864</v>
      </c>
      <c r="E2048" t="s">
        <v>3912</v>
      </c>
      <c r="F2048" t="s">
        <v>1602</v>
      </c>
      <c r="G2048" t="str">
        <f t="shared" si="157"/>
        <v>N</v>
      </c>
      <c r="H2048" t="str">
        <f t="shared" si="158"/>
        <v>77</v>
      </c>
      <c r="I2048" t="str">
        <f t="shared" si="159"/>
        <v>774</v>
      </c>
      <c r="J2048" t="str">
        <f t="shared" si="160"/>
        <v>77403</v>
      </c>
      <c r="K2048" t="str">
        <f t="shared" si="156"/>
        <v>7740300</v>
      </c>
    </row>
    <row r="2049" spans="2:11" x14ac:dyDescent="0.25">
      <c r="B2049" t="s">
        <v>3913</v>
      </c>
      <c r="C2049" t="s">
        <v>1864</v>
      </c>
      <c r="D2049" t="s">
        <v>1864</v>
      </c>
      <c r="E2049" t="s">
        <v>1864</v>
      </c>
      <c r="F2049" t="s">
        <v>1603</v>
      </c>
      <c r="G2049" t="str">
        <f t="shared" si="157"/>
        <v>N</v>
      </c>
      <c r="H2049" t="str">
        <f t="shared" si="158"/>
        <v>78</v>
      </c>
      <c r="I2049" t="str">
        <f t="shared" si="159"/>
        <v>774</v>
      </c>
      <c r="J2049" t="str">
        <f t="shared" si="160"/>
        <v>77403</v>
      </c>
      <c r="K2049" t="str">
        <f t="shared" si="156"/>
        <v/>
      </c>
    </row>
    <row r="2050" spans="2:11" x14ac:dyDescent="0.25">
      <c r="C2050" t="s">
        <v>3914</v>
      </c>
      <c r="D2050" t="s">
        <v>1864</v>
      </c>
      <c r="E2050" t="s">
        <v>1864</v>
      </c>
      <c r="F2050" t="s">
        <v>1604</v>
      </c>
      <c r="G2050" t="str">
        <f t="shared" si="157"/>
        <v>N</v>
      </c>
      <c r="H2050" t="str">
        <f t="shared" si="158"/>
        <v>78</v>
      </c>
      <c r="I2050" t="str">
        <f t="shared" si="159"/>
        <v>781</v>
      </c>
      <c r="J2050" t="str">
        <f t="shared" si="160"/>
        <v>77403</v>
      </c>
      <c r="K2050" t="str">
        <f t="shared" si="156"/>
        <v/>
      </c>
    </row>
    <row r="2051" spans="2:11" x14ac:dyDescent="0.25">
      <c r="C2051" t="s">
        <v>1864</v>
      </c>
      <c r="D2051" t="s">
        <v>3915</v>
      </c>
      <c r="E2051" t="s">
        <v>1864</v>
      </c>
      <c r="F2051" t="s">
        <v>1604</v>
      </c>
      <c r="G2051" t="str">
        <f t="shared" si="157"/>
        <v>N</v>
      </c>
      <c r="H2051" t="str">
        <f t="shared" si="158"/>
        <v>78</v>
      </c>
      <c r="I2051" t="str">
        <f t="shared" si="159"/>
        <v>781</v>
      </c>
      <c r="J2051" t="str">
        <f t="shared" si="160"/>
        <v>78108</v>
      </c>
      <c r="K2051" t="str">
        <f t="shared" si="156"/>
        <v/>
      </c>
    </row>
    <row r="2052" spans="2:11" x14ac:dyDescent="0.25">
      <c r="C2052" t="s">
        <v>1864</v>
      </c>
      <c r="D2052" t="s">
        <v>1864</v>
      </c>
      <c r="E2052" t="s">
        <v>3916</v>
      </c>
      <c r="F2052" t="s">
        <v>1604</v>
      </c>
      <c r="G2052" t="str">
        <f t="shared" si="157"/>
        <v>N</v>
      </c>
      <c r="H2052" t="str">
        <f t="shared" si="158"/>
        <v>78</v>
      </c>
      <c r="I2052" t="str">
        <f t="shared" si="159"/>
        <v>781</v>
      </c>
      <c r="J2052" t="str">
        <f t="shared" si="160"/>
        <v>78108</v>
      </c>
      <c r="K2052" t="str">
        <f t="shared" si="156"/>
        <v>7810800</v>
      </c>
    </row>
    <row r="2053" spans="2:11" x14ac:dyDescent="0.25">
      <c r="C2053" t="s">
        <v>3917</v>
      </c>
      <c r="D2053" t="s">
        <v>1864</v>
      </c>
      <c r="E2053" t="s">
        <v>1864</v>
      </c>
      <c r="F2053" t="s">
        <v>1605</v>
      </c>
      <c r="G2053" t="str">
        <f t="shared" si="157"/>
        <v>N</v>
      </c>
      <c r="H2053" t="str">
        <f t="shared" si="158"/>
        <v>78</v>
      </c>
      <c r="I2053" t="str">
        <f t="shared" si="159"/>
        <v>782</v>
      </c>
      <c r="J2053" t="str">
        <f t="shared" si="160"/>
        <v>78108</v>
      </c>
      <c r="K2053" t="str">
        <f t="shared" si="156"/>
        <v/>
      </c>
    </row>
    <row r="2054" spans="2:11" x14ac:dyDescent="0.25">
      <c r="C2054" t="s">
        <v>1864</v>
      </c>
      <c r="D2054" t="s">
        <v>3918</v>
      </c>
      <c r="E2054" t="s">
        <v>1864</v>
      </c>
      <c r="F2054" t="s">
        <v>1605</v>
      </c>
      <c r="G2054" t="str">
        <f t="shared" si="157"/>
        <v>N</v>
      </c>
      <c r="H2054" t="str">
        <f t="shared" si="158"/>
        <v>78</v>
      </c>
      <c r="I2054" t="str">
        <f t="shared" si="159"/>
        <v>782</v>
      </c>
      <c r="J2054" t="str">
        <f t="shared" si="160"/>
        <v>78205</v>
      </c>
      <c r="K2054" t="str">
        <f t="shared" si="156"/>
        <v/>
      </c>
    </row>
    <row r="2055" spans="2:11" x14ac:dyDescent="0.25">
      <c r="C2055" t="s">
        <v>1864</v>
      </c>
      <c r="D2055" t="s">
        <v>1864</v>
      </c>
      <c r="E2055" t="s">
        <v>3919</v>
      </c>
      <c r="F2055" t="s">
        <v>1605</v>
      </c>
      <c r="G2055" t="str">
        <f t="shared" si="157"/>
        <v>N</v>
      </c>
      <c r="H2055" t="str">
        <f t="shared" si="158"/>
        <v>78</v>
      </c>
      <c r="I2055" t="str">
        <f t="shared" si="159"/>
        <v>782</v>
      </c>
      <c r="J2055" t="str">
        <f t="shared" si="160"/>
        <v>78205</v>
      </c>
      <c r="K2055" t="str">
        <f t="shared" si="156"/>
        <v>7820500</v>
      </c>
    </row>
    <row r="2056" spans="2:11" x14ac:dyDescent="0.25">
      <c r="C2056" t="s">
        <v>3920</v>
      </c>
      <c r="D2056" t="s">
        <v>1864</v>
      </c>
      <c r="E2056" t="s">
        <v>1864</v>
      </c>
      <c r="F2056" t="s">
        <v>1606</v>
      </c>
      <c r="G2056" t="str">
        <f t="shared" si="157"/>
        <v>N</v>
      </c>
      <c r="H2056" t="str">
        <f t="shared" si="158"/>
        <v>78</v>
      </c>
      <c r="I2056" t="str">
        <f t="shared" si="159"/>
        <v>783</v>
      </c>
      <c r="J2056" t="str">
        <f t="shared" si="160"/>
        <v>78205</v>
      </c>
      <c r="K2056" t="str">
        <f t="shared" ref="K2056:K2119" si="161">E2056</f>
        <v/>
      </c>
    </row>
    <row r="2057" spans="2:11" x14ac:dyDescent="0.25">
      <c r="C2057" t="s">
        <v>1864</v>
      </c>
      <c r="D2057" t="s">
        <v>3921</v>
      </c>
      <c r="E2057" t="s">
        <v>1864</v>
      </c>
      <c r="F2057" t="s">
        <v>1606</v>
      </c>
      <c r="G2057" t="str">
        <f t="shared" ref="G2057:G2120" si="162">IF(A2057="",G2056,A2057)</f>
        <v>N</v>
      </c>
      <c r="H2057" t="str">
        <f t="shared" ref="H2057:H2120" si="163">IF(B2057="",H2056,B2057)</f>
        <v>78</v>
      </c>
      <c r="I2057" t="str">
        <f t="shared" ref="I2057:I2120" si="164">IF(C2057="",I2056,C2057)</f>
        <v>783</v>
      </c>
      <c r="J2057" t="str">
        <f t="shared" ref="J2057:J2120" si="165">IF(D2057="",J2056,D2057)</f>
        <v>78302</v>
      </c>
      <c r="K2057" t="str">
        <f t="shared" si="161"/>
        <v/>
      </c>
    </row>
    <row r="2058" spans="2:11" x14ac:dyDescent="0.25">
      <c r="C2058" t="s">
        <v>1864</v>
      </c>
      <c r="D2058" t="s">
        <v>1864</v>
      </c>
      <c r="E2058" t="s">
        <v>3922</v>
      </c>
      <c r="F2058" t="s">
        <v>1606</v>
      </c>
      <c r="G2058" t="str">
        <f t="shared" si="162"/>
        <v>N</v>
      </c>
      <c r="H2058" t="str">
        <f t="shared" si="163"/>
        <v>78</v>
      </c>
      <c r="I2058" t="str">
        <f t="shared" si="164"/>
        <v>783</v>
      </c>
      <c r="J2058" t="str">
        <f t="shared" si="165"/>
        <v>78302</v>
      </c>
      <c r="K2058" t="str">
        <f t="shared" si="161"/>
        <v>7830200</v>
      </c>
    </row>
    <row r="2059" spans="2:11" x14ac:dyDescent="0.25">
      <c r="B2059" t="s">
        <v>3923</v>
      </c>
      <c r="C2059" t="s">
        <v>1864</v>
      </c>
      <c r="D2059" t="s">
        <v>1864</v>
      </c>
      <c r="E2059" t="s">
        <v>1864</v>
      </c>
      <c r="F2059" t="s">
        <v>1607</v>
      </c>
      <c r="G2059" t="str">
        <f t="shared" si="162"/>
        <v>N</v>
      </c>
      <c r="H2059" t="str">
        <f t="shared" si="163"/>
        <v>79</v>
      </c>
      <c r="I2059" t="str">
        <f t="shared" si="164"/>
        <v>783</v>
      </c>
      <c r="J2059" t="str">
        <f t="shared" si="165"/>
        <v>78302</v>
      </c>
      <c r="K2059" t="str">
        <f t="shared" si="161"/>
        <v/>
      </c>
    </row>
    <row r="2060" spans="2:11" x14ac:dyDescent="0.25">
      <c r="C2060" t="s">
        <v>3924</v>
      </c>
      <c r="D2060" t="s">
        <v>1864</v>
      </c>
      <c r="E2060" t="s">
        <v>1864</v>
      </c>
      <c r="F2060" t="s">
        <v>1608</v>
      </c>
      <c r="G2060" t="str">
        <f t="shared" si="162"/>
        <v>N</v>
      </c>
      <c r="H2060" t="str">
        <f t="shared" si="163"/>
        <v>79</v>
      </c>
      <c r="I2060" t="str">
        <f t="shared" si="164"/>
        <v>791</v>
      </c>
      <c r="J2060" t="str">
        <f t="shared" si="165"/>
        <v>78302</v>
      </c>
      <c r="K2060" t="str">
        <f t="shared" si="161"/>
        <v/>
      </c>
    </row>
    <row r="2061" spans="2:11" x14ac:dyDescent="0.25">
      <c r="C2061" t="s">
        <v>1864</v>
      </c>
      <c r="D2061" t="s">
        <v>3925</v>
      </c>
      <c r="E2061" t="s">
        <v>1864</v>
      </c>
      <c r="F2061" t="s">
        <v>1609</v>
      </c>
      <c r="G2061" t="str">
        <f t="shared" si="162"/>
        <v>N</v>
      </c>
      <c r="H2061" t="str">
        <f t="shared" si="163"/>
        <v>79</v>
      </c>
      <c r="I2061" t="str">
        <f t="shared" si="164"/>
        <v>791</v>
      </c>
      <c r="J2061" t="str">
        <f t="shared" si="165"/>
        <v>79112</v>
      </c>
      <c r="K2061" t="str">
        <f t="shared" si="161"/>
        <v/>
      </c>
    </row>
    <row r="2062" spans="2:11" x14ac:dyDescent="0.25">
      <c r="C2062" t="s">
        <v>1864</v>
      </c>
      <c r="D2062" t="s">
        <v>1864</v>
      </c>
      <c r="E2062" t="s">
        <v>3926</v>
      </c>
      <c r="F2062" t="s">
        <v>1609</v>
      </c>
      <c r="G2062" t="str">
        <f t="shared" si="162"/>
        <v>N</v>
      </c>
      <c r="H2062" t="str">
        <f t="shared" si="163"/>
        <v>79</v>
      </c>
      <c r="I2062" t="str">
        <f t="shared" si="164"/>
        <v>791</v>
      </c>
      <c r="J2062" t="str">
        <f t="shared" si="165"/>
        <v>79112</v>
      </c>
      <c r="K2062" t="str">
        <f t="shared" si="161"/>
        <v>7911200</v>
      </c>
    </row>
    <row r="2063" spans="2:11" x14ac:dyDescent="0.25">
      <c r="C2063" t="s">
        <v>1864</v>
      </c>
      <c r="D2063" t="s">
        <v>3927</v>
      </c>
      <c r="E2063" t="s">
        <v>1864</v>
      </c>
      <c r="F2063" t="s">
        <v>1610</v>
      </c>
      <c r="G2063" t="str">
        <f t="shared" si="162"/>
        <v>N</v>
      </c>
      <c r="H2063" t="str">
        <f t="shared" si="163"/>
        <v>79</v>
      </c>
      <c r="I2063" t="str">
        <f t="shared" si="164"/>
        <v>791</v>
      </c>
      <c r="J2063" t="str">
        <f t="shared" si="165"/>
        <v>79121</v>
      </c>
      <c r="K2063" t="str">
        <f t="shared" si="161"/>
        <v/>
      </c>
    </row>
    <row r="2064" spans="2:11" x14ac:dyDescent="0.25">
      <c r="C2064" t="s">
        <v>1864</v>
      </c>
      <c r="D2064" t="s">
        <v>1864</v>
      </c>
      <c r="E2064" t="s">
        <v>3928</v>
      </c>
      <c r="F2064" t="s">
        <v>1610</v>
      </c>
      <c r="G2064" t="str">
        <f t="shared" si="162"/>
        <v>N</v>
      </c>
      <c r="H2064" t="str">
        <f t="shared" si="163"/>
        <v>79</v>
      </c>
      <c r="I2064" t="str">
        <f t="shared" si="164"/>
        <v>791</v>
      </c>
      <c r="J2064" t="str">
        <f t="shared" si="165"/>
        <v>79121</v>
      </c>
      <c r="K2064" t="str">
        <f t="shared" si="161"/>
        <v>7912100</v>
      </c>
    </row>
    <row r="2065" spans="2:11" x14ac:dyDescent="0.25">
      <c r="C2065" t="s">
        <v>3929</v>
      </c>
      <c r="D2065" t="s">
        <v>1864</v>
      </c>
      <c r="E2065" t="s">
        <v>1864</v>
      </c>
      <c r="F2065" t="s">
        <v>1611</v>
      </c>
      <c r="G2065" t="str">
        <f t="shared" si="162"/>
        <v>N</v>
      </c>
      <c r="H2065" t="str">
        <f t="shared" si="163"/>
        <v>79</v>
      </c>
      <c r="I2065" t="str">
        <f t="shared" si="164"/>
        <v>799</v>
      </c>
      <c r="J2065" t="str">
        <f t="shared" si="165"/>
        <v>79121</v>
      </c>
      <c r="K2065" t="str">
        <f t="shared" si="161"/>
        <v/>
      </c>
    </row>
    <row r="2066" spans="2:11" x14ac:dyDescent="0.25">
      <c r="C2066" t="s">
        <v>1864</v>
      </c>
      <c r="D2066" t="s">
        <v>3930</v>
      </c>
      <c r="E2066" t="s">
        <v>1864</v>
      </c>
      <c r="F2066" t="s">
        <v>1611</v>
      </c>
      <c r="G2066" t="str">
        <f t="shared" si="162"/>
        <v>N</v>
      </c>
      <c r="H2066" t="str">
        <f t="shared" si="163"/>
        <v>79</v>
      </c>
      <c r="I2066" t="str">
        <f t="shared" si="164"/>
        <v>799</v>
      </c>
      <c r="J2066" t="str">
        <f t="shared" si="165"/>
        <v>79902</v>
      </c>
      <c r="K2066" t="str">
        <f t="shared" si="161"/>
        <v/>
      </c>
    </row>
    <row r="2067" spans="2:11" x14ac:dyDescent="0.25">
      <c r="C2067" t="s">
        <v>1864</v>
      </c>
      <c r="D2067" t="s">
        <v>1864</v>
      </c>
      <c r="E2067" t="s">
        <v>3931</v>
      </c>
      <c r="F2067" t="s">
        <v>1611</v>
      </c>
      <c r="G2067" t="str">
        <f t="shared" si="162"/>
        <v>N</v>
      </c>
      <c r="H2067" t="str">
        <f t="shared" si="163"/>
        <v>79</v>
      </c>
      <c r="I2067" t="str">
        <f t="shared" si="164"/>
        <v>799</v>
      </c>
      <c r="J2067" t="str">
        <f t="shared" si="165"/>
        <v>79902</v>
      </c>
      <c r="K2067" t="str">
        <f t="shared" si="161"/>
        <v>7990200</v>
      </c>
    </row>
    <row r="2068" spans="2:11" x14ac:dyDescent="0.25">
      <c r="B2068" t="s">
        <v>3932</v>
      </c>
      <c r="C2068" t="s">
        <v>1864</v>
      </c>
      <c r="D2068" t="s">
        <v>1864</v>
      </c>
      <c r="E2068" t="s">
        <v>1864</v>
      </c>
      <c r="F2068" t="s">
        <v>1612</v>
      </c>
      <c r="G2068" t="str">
        <f t="shared" si="162"/>
        <v>N</v>
      </c>
      <c r="H2068" t="str">
        <f t="shared" si="163"/>
        <v>80</v>
      </c>
      <c r="I2068" t="str">
        <f t="shared" si="164"/>
        <v>799</v>
      </c>
      <c r="J2068" t="str">
        <f t="shared" si="165"/>
        <v>79902</v>
      </c>
      <c r="K2068" t="str">
        <f t="shared" si="161"/>
        <v/>
      </c>
    </row>
    <row r="2069" spans="2:11" x14ac:dyDescent="0.25">
      <c r="C2069" t="s">
        <v>3933</v>
      </c>
      <c r="D2069" t="s">
        <v>1864</v>
      </c>
      <c r="E2069" t="s">
        <v>1864</v>
      </c>
      <c r="F2069" t="s">
        <v>1613</v>
      </c>
      <c r="G2069" t="str">
        <f t="shared" si="162"/>
        <v>N</v>
      </c>
      <c r="H2069" t="str">
        <f t="shared" si="163"/>
        <v>80</v>
      </c>
      <c r="I2069" t="str">
        <f t="shared" si="164"/>
        <v>801</v>
      </c>
      <c r="J2069" t="str">
        <f t="shared" si="165"/>
        <v>79902</v>
      </c>
      <c r="K2069" t="str">
        <f t="shared" si="161"/>
        <v/>
      </c>
    </row>
    <row r="2070" spans="2:11" x14ac:dyDescent="0.25">
      <c r="C2070" t="s">
        <v>1864</v>
      </c>
      <c r="D2070" t="s">
        <v>3934</v>
      </c>
      <c r="E2070" t="s">
        <v>1864</v>
      </c>
      <c r="F2070" t="s">
        <v>1614</v>
      </c>
      <c r="G2070" t="str">
        <f t="shared" si="162"/>
        <v>N</v>
      </c>
      <c r="H2070" t="str">
        <f t="shared" si="163"/>
        <v>80</v>
      </c>
      <c r="I2070" t="str">
        <f t="shared" si="164"/>
        <v>801</v>
      </c>
      <c r="J2070" t="str">
        <f t="shared" si="165"/>
        <v>80111</v>
      </c>
      <c r="K2070" t="str">
        <f t="shared" si="161"/>
        <v/>
      </c>
    </row>
    <row r="2071" spans="2:11" x14ac:dyDescent="0.25">
      <c r="C2071" t="s">
        <v>1864</v>
      </c>
      <c r="D2071" t="s">
        <v>1864</v>
      </c>
      <c r="E2071" t="s">
        <v>3935</v>
      </c>
      <c r="F2071" t="s">
        <v>1614</v>
      </c>
      <c r="G2071" t="str">
        <f t="shared" si="162"/>
        <v>N</v>
      </c>
      <c r="H2071" t="str">
        <f t="shared" si="163"/>
        <v>80</v>
      </c>
      <c r="I2071" t="str">
        <f t="shared" si="164"/>
        <v>801</v>
      </c>
      <c r="J2071" t="str">
        <f t="shared" si="165"/>
        <v>80111</v>
      </c>
      <c r="K2071" t="str">
        <f t="shared" si="161"/>
        <v>8011101</v>
      </c>
    </row>
    <row r="2072" spans="2:11" x14ac:dyDescent="0.25">
      <c r="C2072" t="s">
        <v>1864</v>
      </c>
      <c r="D2072" t="s">
        <v>1864</v>
      </c>
      <c r="E2072" t="s">
        <v>3936</v>
      </c>
      <c r="F2072" t="s">
        <v>1615</v>
      </c>
      <c r="G2072" t="str">
        <f t="shared" si="162"/>
        <v>N</v>
      </c>
      <c r="H2072" t="str">
        <f t="shared" si="163"/>
        <v>80</v>
      </c>
      <c r="I2072" t="str">
        <f t="shared" si="164"/>
        <v>801</v>
      </c>
      <c r="J2072" t="str">
        <f t="shared" si="165"/>
        <v>80111</v>
      </c>
      <c r="K2072" t="str">
        <f t="shared" si="161"/>
        <v>8011102</v>
      </c>
    </row>
    <row r="2073" spans="2:11" x14ac:dyDescent="0.25">
      <c r="C2073" t="s">
        <v>1864</v>
      </c>
      <c r="D2073" t="s">
        <v>3937</v>
      </c>
      <c r="E2073" t="s">
        <v>1864</v>
      </c>
      <c r="F2073" t="s">
        <v>1616</v>
      </c>
      <c r="G2073" t="str">
        <f t="shared" si="162"/>
        <v>N</v>
      </c>
      <c r="H2073" t="str">
        <f t="shared" si="163"/>
        <v>80</v>
      </c>
      <c r="I2073" t="str">
        <f t="shared" si="164"/>
        <v>801</v>
      </c>
      <c r="J2073" t="str">
        <f t="shared" si="165"/>
        <v>80129</v>
      </c>
      <c r="K2073" t="str">
        <f t="shared" si="161"/>
        <v/>
      </c>
    </row>
    <row r="2074" spans="2:11" x14ac:dyDescent="0.25">
      <c r="C2074" t="s">
        <v>1864</v>
      </c>
      <c r="D2074" t="s">
        <v>1864</v>
      </c>
      <c r="E2074" t="s">
        <v>3938</v>
      </c>
      <c r="F2074" t="s">
        <v>1616</v>
      </c>
      <c r="G2074" t="str">
        <f t="shared" si="162"/>
        <v>N</v>
      </c>
      <c r="H2074" t="str">
        <f t="shared" si="163"/>
        <v>80</v>
      </c>
      <c r="I2074" t="str">
        <f t="shared" si="164"/>
        <v>801</v>
      </c>
      <c r="J2074" t="str">
        <f t="shared" si="165"/>
        <v>80129</v>
      </c>
      <c r="K2074" t="str">
        <f t="shared" si="161"/>
        <v>8012900</v>
      </c>
    </row>
    <row r="2075" spans="2:11" x14ac:dyDescent="0.25">
      <c r="C2075" t="s">
        <v>3939</v>
      </c>
      <c r="D2075" t="s">
        <v>1864</v>
      </c>
      <c r="E2075" t="s">
        <v>1864</v>
      </c>
      <c r="F2075" t="s">
        <v>1617</v>
      </c>
      <c r="G2075" t="str">
        <f t="shared" si="162"/>
        <v>N</v>
      </c>
      <c r="H2075" t="str">
        <f t="shared" si="163"/>
        <v>80</v>
      </c>
      <c r="I2075" t="str">
        <f t="shared" si="164"/>
        <v>802</v>
      </c>
      <c r="J2075" t="str">
        <f t="shared" si="165"/>
        <v>80129</v>
      </c>
      <c r="K2075" t="str">
        <f t="shared" si="161"/>
        <v/>
      </c>
    </row>
    <row r="2076" spans="2:11" x14ac:dyDescent="0.25">
      <c r="C2076" t="s">
        <v>1864</v>
      </c>
      <c r="D2076" t="s">
        <v>3940</v>
      </c>
      <c r="E2076" t="s">
        <v>1864</v>
      </c>
      <c r="F2076" t="s">
        <v>1617</v>
      </c>
      <c r="G2076" t="str">
        <f t="shared" si="162"/>
        <v>N</v>
      </c>
      <c r="H2076" t="str">
        <f t="shared" si="163"/>
        <v>80</v>
      </c>
      <c r="I2076" t="str">
        <f t="shared" si="164"/>
        <v>802</v>
      </c>
      <c r="J2076" t="str">
        <f t="shared" si="165"/>
        <v>80200</v>
      </c>
      <c r="K2076" t="str">
        <f t="shared" si="161"/>
        <v/>
      </c>
    </row>
    <row r="2077" spans="2:11" x14ac:dyDescent="0.25">
      <c r="C2077" t="s">
        <v>1864</v>
      </c>
      <c r="D2077" t="s">
        <v>1864</v>
      </c>
      <c r="E2077" t="s">
        <v>3941</v>
      </c>
      <c r="F2077" t="s">
        <v>1618</v>
      </c>
      <c r="G2077" t="str">
        <f t="shared" si="162"/>
        <v>N</v>
      </c>
      <c r="H2077" t="str">
        <f t="shared" si="163"/>
        <v>80</v>
      </c>
      <c r="I2077" t="str">
        <f t="shared" si="164"/>
        <v>802</v>
      </c>
      <c r="J2077" t="str">
        <f t="shared" si="165"/>
        <v>80200</v>
      </c>
      <c r="K2077" t="str">
        <f t="shared" si="161"/>
        <v>8020001</v>
      </c>
    </row>
    <row r="2078" spans="2:11" x14ac:dyDescent="0.25">
      <c r="C2078" t="s">
        <v>1864</v>
      </c>
      <c r="D2078" t="s">
        <v>1864</v>
      </c>
      <c r="E2078" t="s">
        <v>3942</v>
      </c>
      <c r="F2078" t="s">
        <v>1619</v>
      </c>
      <c r="G2078" t="str">
        <f t="shared" si="162"/>
        <v>N</v>
      </c>
      <c r="H2078" t="str">
        <f t="shared" si="163"/>
        <v>80</v>
      </c>
      <c r="I2078" t="str">
        <f t="shared" si="164"/>
        <v>802</v>
      </c>
      <c r="J2078" t="str">
        <f t="shared" si="165"/>
        <v>80200</v>
      </c>
      <c r="K2078" t="str">
        <f t="shared" si="161"/>
        <v>8020002</v>
      </c>
    </row>
    <row r="2079" spans="2:11" x14ac:dyDescent="0.25">
      <c r="C2079" t="s">
        <v>3943</v>
      </c>
      <c r="D2079" t="s">
        <v>1864</v>
      </c>
      <c r="E2079" t="s">
        <v>1864</v>
      </c>
      <c r="F2079" t="s">
        <v>1620</v>
      </c>
      <c r="G2079" t="str">
        <f t="shared" si="162"/>
        <v>N</v>
      </c>
      <c r="H2079" t="str">
        <f t="shared" si="163"/>
        <v>80</v>
      </c>
      <c r="I2079" t="str">
        <f t="shared" si="164"/>
        <v>803</v>
      </c>
      <c r="J2079" t="str">
        <f t="shared" si="165"/>
        <v>80200</v>
      </c>
      <c r="K2079" t="str">
        <f t="shared" si="161"/>
        <v/>
      </c>
    </row>
    <row r="2080" spans="2:11" x14ac:dyDescent="0.25">
      <c r="C2080" t="s">
        <v>1864</v>
      </c>
      <c r="D2080" t="s">
        <v>3944</v>
      </c>
      <c r="E2080" t="s">
        <v>1864</v>
      </c>
      <c r="F2080" t="s">
        <v>1620</v>
      </c>
      <c r="G2080" t="str">
        <f t="shared" si="162"/>
        <v>N</v>
      </c>
      <c r="H2080" t="str">
        <f t="shared" si="163"/>
        <v>80</v>
      </c>
      <c r="I2080" t="str">
        <f t="shared" si="164"/>
        <v>803</v>
      </c>
      <c r="J2080" t="str">
        <f t="shared" si="165"/>
        <v>80307</v>
      </c>
      <c r="K2080" t="str">
        <f t="shared" si="161"/>
        <v/>
      </c>
    </row>
    <row r="2081" spans="2:11" x14ac:dyDescent="0.25">
      <c r="C2081" t="s">
        <v>1864</v>
      </c>
      <c r="D2081" t="s">
        <v>1864</v>
      </c>
      <c r="E2081" t="s">
        <v>3945</v>
      </c>
      <c r="F2081" t="s">
        <v>1620</v>
      </c>
      <c r="G2081" t="str">
        <f t="shared" si="162"/>
        <v>N</v>
      </c>
      <c r="H2081" t="str">
        <f t="shared" si="163"/>
        <v>80</v>
      </c>
      <c r="I2081" t="str">
        <f t="shared" si="164"/>
        <v>803</v>
      </c>
      <c r="J2081" t="str">
        <f t="shared" si="165"/>
        <v>80307</v>
      </c>
      <c r="K2081" t="str">
        <f t="shared" si="161"/>
        <v>8030700</v>
      </c>
    </row>
    <row r="2082" spans="2:11" x14ac:dyDescent="0.25">
      <c r="B2082" t="s">
        <v>3946</v>
      </c>
      <c r="C2082" t="s">
        <v>1864</v>
      </c>
      <c r="D2082" t="s">
        <v>1864</v>
      </c>
      <c r="E2082" t="s">
        <v>1864</v>
      </c>
      <c r="F2082" t="s">
        <v>1621</v>
      </c>
      <c r="G2082" t="str">
        <f t="shared" si="162"/>
        <v>N</v>
      </c>
      <c r="H2082" t="str">
        <f t="shared" si="163"/>
        <v>81</v>
      </c>
      <c r="I2082" t="str">
        <f t="shared" si="164"/>
        <v>803</v>
      </c>
      <c r="J2082" t="str">
        <f t="shared" si="165"/>
        <v>80307</v>
      </c>
      <c r="K2082" t="str">
        <f t="shared" si="161"/>
        <v/>
      </c>
    </row>
    <row r="2083" spans="2:11" x14ac:dyDescent="0.25">
      <c r="C2083" t="s">
        <v>3947</v>
      </c>
      <c r="D2083" t="s">
        <v>1864</v>
      </c>
      <c r="E2083" t="s">
        <v>1864</v>
      </c>
      <c r="F2083" t="s">
        <v>1622</v>
      </c>
      <c r="G2083" t="str">
        <f t="shared" si="162"/>
        <v>N</v>
      </c>
      <c r="H2083" t="str">
        <f t="shared" si="163"/>
        <v>81</v>
      </c>
      <c r="I2083" t="str">
        <f t="shared" si="164"/>
        <v>811</v>
      </c>
      <c r="J2083" t="str">
        <f t="shared" si="165"/>
        <v>80307</v>
      </c>
      <c r="K2083" t="str">
        <f t="shared" si="161"/>
        <v/>
      </c>
    </row>
    <row r="2084" spans="2:11" x14ac:dyDescent="0.25">
      <c r="C2084" t="s">
        <v>1864</v>
      </c>
      <c r="D2084" t="s">
        <v>3948</v>
      </c>
      <c r="E2084" t="s">
        <v>1864</v>
      </c>
      <c r="F2084" t="s">
        <v>1623</v>
      </c>
      <c r="G2084" t="str">
        <f t="shared" si="162"/>
        <v>N</v>
      </c>
      <c r="H2084" t="str">
        <f t="shared" si="163"/>
        <v>81</v>
      </c>
      <c r="I2084" t="str">
        <f t="shared" si="164"/>
        <v>811</v>
      </c>
      <c r="J2084" t="str">
        <f t="shared" si="165"/>
        <v>81117</v>
      </c>
      <c r="K2084" t="str">
        <f t="shared" si="161"/>
        <v/>
      </c>
    </row>
    <row r="2085" spans="2:11" x14ac:dyDescent="0.25">
      <c r="C2085" t="s">
        <v>1864</v>
      </c>
      <c r="D2085" t="s">
        <v>1864</v>
      </c>
      <c r="E2085" t="s">
        <v>3949</v>
      </c>
      <c r="F2085" t="s">
        <v>1623</v>
      </c>
      <c r="G2085" t="str">
        <f t="shared" si="162"/>
        <v>N</v>
      </c>
      <c r="H2085" t="str">
        <f t="shared" si="163"/>
        <v>81</v>
      </c>
      <c r="I2085" t="str">
        <f t="shared" si="164"/>
        <v>811</v>
      </c>
      <c r="J2085" t="str">
        <f t="shared" si="165"/>
        <v>81117</v>
      </c>
      <c r="K2085" t="str">
        <f t="shared" si="161"/>
        <v>8111700</v>
      </c>
    </row>
    <row r="2086" spans="2:11" x14ac:dyDescent="0.25">
      <c r="C2086" t="s">
        <v>1864</v>
      </c>
      <c r="D2086" t="s">
        <v>3950</v>
      </c>
      <c r="E2086" t="s">
        <v>1864</v>
      </c>
      <c r="F2086" t="s">
        <v>1624</v>
      </c>
      <c r="G2086" t="str">
        <f t="shared" si="162"/>
        <v>N</v>
      </c>
      <c r="H2086" t="str">
        <f t="shared" si="163"/>
        <v>81</v>
      </c>
      <c r="I2086" t="str">
        <f t="shared" si="164"/>
        <v>811</v>
      </c>
      <c r="J2086" t="str">
        <f t="shared" si="165"/>
        <v>81125</v>
      </c>
      <c r="K2086" t="str">
        <f t="shared" si="161"/>
        <v/>
      </c>
    </row>
    <row r="2087" spans="2:11" x14ac:dyDescent="0.25">
      <c r="C2087" t="s">
        <v>1864</v>
      </c>
      <c r="D2087" t="s">
        <v>1864</v>
      </c>
      <c r="E2087" t="s">
        <v>3951</v>
      </c>
      <c r="F2087" t="s">
        <v>1624</v>
      </c>
      <c r="G2087" t="str">
        <f t="shared" si="162"/>
        <v>N</v>
      </c>
      <c r="H2087" t="str">
        <f t="shared" si="163"/>
        <v>81</v>
      </c>
      <c r="I2087" t="str">
        <f t="shared" si="164"/>
        <v>811</v>
      </c>
      <c r="J2087" t="str">
        <f t="shared" si="165"/>
        <v>81125</v>
      </c>
      <c r="K2087" t="str">
        <f t="shared" si="161"/>
        <v>8112500</v>
      </c>
    </row>
    <row r="2088" spans="2:11" x14ac:dyDescent="0.25">
      <c r="C2088" t="s">
        <v>3952</v>
      </c>
      <c r="D2088" t="s">
        <v>1864</v>
      </c>
      <c r="E2088" t="s">
        <v>1864</v>
      </c>
      <c r="F2088" t="s">
        <v>1625</v>
      </c>
      <c r="G2088" t="str">
        <f t="shared" si="162"/>
        <v>N</v>
      </c>
      <c r="H2088" t="str">
        <f t="shared" si="163"/>
        <v>81</v>
      </c>
      <c r="I2088" t="str">
        <f t="shared" si="164"/>
        <v>812</v>
      </c>
      <c r="J2088" t="str">
        <f t="shared" si="165"/>
        <v>81125</v>
      </c>
      <c r="K2088" t="str">
        <f t="shared" si="161"/>
        <v/>
      </c>
    </row>
    <row r="2089" spans="2:11" x14ac:dyDescent="0.25">
      <c r="C2089" t="s">
        <v>1864</v>
      </c>
      <c r="D2089" t="s">
        <v>3953</v>
      </c>
      <c r="E2089" t="s">
        <v>1864</v>
      </c>
      <c r="F2089" t="s">
        <v>1626</v>
      </c>
      <c r="G2089" t="str">
        <f t="shared" si="162"/>
        <v>N</v>
      </c>
      <c r="H2089" t="str">
        <f t="shared" si="163"/>
        <v>81</v>
      </c>
      <c r="I2089" t="str">
        <f t="shared" si="164"/>
        <v>812</v>
      </c>
      <c r="J2089" t="str">
        <f t="shared" si="165"/>
        <v>81214</v>
      </c>
      <c r="K2089" t="str">
        <f t="shared" si="161"/>
        <v/>
      </c>
    </row>
    <row r="2090" spans="2:11" x14ac:dyDescent="0.25">
      <c r="C2090" t="s">
        <v>1864</v>
      </c>
      <c r="D2090" t="s">
        <v>1864</v>
      </c>
      <c r="E2090" t="s">
        <v>3954</v>
      </c>
      <c r="F2090" t="s">
        <v>1626</v>
      </c>
      <c r="G2090" t="str">
        <f t="shared" si="162"/>
        <v>N</v>
      </c>
      <c r="H2090" t="str">
        <f t="shared" si="163"/>
        <v>81</v>
      </c>
      <c r="I2090" t="str">
        <f t="shared" si="164"/>
        <v>812</v>
      </c>
      <c r="J2090" t="str">
        <f t="shared" si="165"/>
        <v>81214</v>
      </c>
      <c r="K2090" t="str">
        <f t="shared" si="161"/>
        <v>8121400</v>
      </c>
    </row>
    <row r="2091" spans="2:11" x14ac:dyDescent="0.25">
      <c r="C2091" t="s">
        <v>1864</v>
      </c>
      <c r="D2091" t="s">
        <v>3955</v>
      </c>
      <c r="E2091" t="s">
        <v>1864</v>
      </c>
      <c r="F2091" t="s">
        <v>1627</v>
      </c>
      <c r="G2091" t="str">
        <f t="shared" si="162"/>
        <v>N</v>
      </c>
      <c r="H2091" t="str">
        <f t="shared" si="163"/>
        <v>81</v>
      </c>
      <c r="I2091" t="str">
        <f t="shared" si="164"/>
        <v>812</v>
      </c>
      <c r="J2091" t="str">
        <f t="shared" si="165"/>
        <v>81222</v>
      </c>
      <c r="K2091" t="str">
        <f t="shared" si="161"/>
        <v/>
      </c>
    </row>
    <row r="2092" spans="2:11" x14ac:dyDescent="0.25">
      <c r="C2092" t="s">
        <v>1864</v>
      </c>
      <c r="D2092" t="s">
        <v>1864</v>
      </c>
      <c r="E2092" t="s">
        <v>3956</v>
      </c>
      <c r="F2092" t="s">
        <v>1627</v>
      </c>
      <c r="G2092" t="str">
        <f t="shared" si="162"/>
        <v>N</v>
      </c>
      <c r="H2092" t="str">
        <f t="shared" si="163"/>
        <v>81</v>
      </c>
      <c r="I2092" t="str">
        <f t="shared" si="164"/>
        <v>812</v>
      </c>
      <c r="J2092" t="str">
        <f t="shared" si="165"/>
        <v>81222</v>
      </c>
      <c r="K2092" t="str">
        <f t="shared" si="161"/>
        <v>8122200</v>
      </c>
    </row>
    <row r="2093" spans="2:11" x14ac:dyDescent="0.25">
      <c r="C2093" t="s">
        <v>1864</v>
      </c>
      <c r="D2093" t="s">
        <v>3957</v>
      </c>
      <c r="E2093" t="s">
        <v>1864</v>
      </c>
      <c r="F2093" t="s">
        <v>1628</v>
      </c>
      <c r="G2093" t="str">
        <f t="shared" si="162"/>
        <v>N</v>
      </c>
      <c r="H2093" t="str">
        <f t="shared" si="163"/>
        <v>81</v>
      </c>
      <c r="I2093" t="str">
        <f t="shared" si="164"/>
        <v>812</v>
      </c>
      <c r="J2093" t="str">
        <f t="shared" si="165"/>
        <v>81290</v>
      </c>
      <c r="K2093" t="str">
        <f t="shared" si="161"/>
        <v/>
      </c>
    </row>
    <row r="2094" spans="2:11" x14ac:dyDescent="0.25">
      <c r="C2094" t="s">
        <v>1864</v>
      </c>
      <c r="D2094" t="s">
        <v>1864</v>
      </c>
      <c r="E2094" t="s">
        <v>3958</v>
      </c>
      <c r="F2094" t="s">
        <v>1628</v>
      </c>
      <c r="G2094" t="str">
        <f t="shared" si="162"/>
        <v>N</v>
      </c>
      <c r="H2094" t="str">
        <f t="shared" si="163"/>
        <v>81</v>
      </c>
      <c r="I2094" t="str">
        <f t="shared" si="164"/>
        <v>812</v>
      </c>
      <c r="J2094" t="str">
        <f t="shared" si="165"/>
        <v>81290</v>
      </c>
      <c r="K2094" t="str">
        <f t="shared" si="161"/>
        <v>8129000</v>
      </c>
    </row>
    <row r="2095" spans="2:11" x14ac:dyDescent="0.25">
      <c r="C2095" t="s">
        <v>3959</v>
      </c>
      <c r="D2095" t="s">
        <v>1864</v>
      </c>
      <c r="E2095" t="s">
        <v>1864</v>
      </c>
      <c r="F2095" t="s">
        <v>1629</v>
      </c>
      <c r="G2095" t="str">
        <f t="shared" si="162"/>
        <v>N</v>
      </c>
      <c r="H2095" t="str">
        <f t="shared" si="163"/>
        <v>81</v>
      </c>
      <c r="I2095" t="str">
        <f t="shared" si="164"/>
        <v>813</v>
      </c>
      <c r="J2095" t="str">
        <f t="shared" si="165"/>
        <v>81290</v>
      </c>
      <c r="K2095" t="str">
        <f t="shared" si="161"/>
        <v/>
      </c>
    </row>
    <row r="2096" spans="2:11" x14ac:dyDescent="0.25">
      <c r="C2096" t="s">
        <v>1864</v>
      </c>
      <c r="D2096" t="s">
        <v>3960</v>
      </c>
      <c r="E2096" t="s">
        <v>1864</v>
      </c>
      <c r="F2096" t="s">
        <v>1629</v>
      </c>
      <c r="G2096" t="str">
        <f t="shared" si="162"/>
        <v>N</v>
      </c>
      <c r="H2096" t="str">
        <f t="shared" si="163"/>
        <v>81</v>
      </c>
      <c r="I2096" t="str">
        <f t="shared" si="164"/>
        <v>813</v>
      </c>
      <c r="J2096" t="str">
        <f t="shared" si="165"/>
        <v>81303</v>
      </c>
      <c r="K2096" t="str">
        <f t="shared" si="161"/>
        <v/>
      </c>
    </row>
    <row r="2097" spans="2:11" x14ac:dyDescent="0.25">
      <c r="C2097" t="s">
        <v>1864</v>
      </c>
      <c r="D2097" t="s">
        <v>1864</v>
      </c>
      <c r="E2097" t="s">
        <v>3961</v>
      </c>
      <c r="F2097" t="s">
        <v>1629</v>
      </c>
      <c r="G2097" t="str">
        <f t="shared" si="162"/>
        <v>N</v>
      </c>
      <c r="H2097" t="str">
        <f t="shared" si="163"/>
        <v>81</v>
      </c>
      <c r="I2097" t="str">
        <f t="shared" si="164"/>
        <v>813</v>
      </c>
      <c r="J2097" t="str">
        <f t="shared" si="165"/>
        <v>81303</v>
      </c>
      <c r="K2097" t="str">
        <f t="shared" si="161"/>
        <v>8130300</v>
      </c>
    </row>
    <row r="2098" spans="2:11" x14ac:dyDescent="0.25">
      <c r="B2098" t="s">
        <v>3962</v>
      </c>
      <c r="C2098" t="s">
        <v>1864</v>
      </c>
      <c r="D2098" t="s">
        <v>1864</v>
      </c>
      <c r="E2098" t="s">
        <v>1864</v>
      </c>
      <c r="F2098" t="s">
        <v>1630</v>
      </c>
      <c r="G2098" t="str">
        <f t="shared" si="162"/>
        <v>N</v>
      </c>
      <c r="H2098" t="str">
        <f t="shared" si="163"/>
        <v>82</v>
      </c>
      <c r="I2098" t="str">
        <f t="shared" si="164"/>
        <v>813</v>
      </c>
      <c r="J2098" t="str">
        <f t="shared" si="165"/>
        <v>81303</v>
      </c>
      <c r="K2098" t="str">
        <f t="shared" si="161"/>
        <v/>
      </c>
    </row>
    <row r="2099" spans="2:11" x14ac:dyDescent="0.25">
      <c r="C2099" t="s">
        <v>3963</v>
      </c>
      <c r="D2099" t="s">
        <v>1864</v>
      </c>
      <c r="E2099" t="s">
        <v>1864</v>
      </c>
      <c r="F2099" t="s">
        <v>1631</v>
      </c>
      <c r="G2099" t="str">
        <f t="shared" si="162"/>
        <v>N</v>
      </c>
      <c r="H2099" t="str">
        <f t="shared" si="163"/>
        <v>82</v>
      </c>
      <c r="I2099" t="str">
        <f t="shared" si="164"/>
        <v>821</v>
      </c>
      <c r="J2099" t="str">
        <f t="shared" si="165"/>
        <v>81303</v>
      </c>
      <c r="K2099" t="str">
        <f t="shared" si="161"/>
        <v/>
      </c>
    </row>
    <row r="2100" spans="2:11" x14ac:dyDescent="0.25">
      <c r="C2100" t="s">
        <v>1864</v>
      </c>
      <c r="D2100" t="s">
        <v>3964</v>
      </c>
      <c r="E2100" t="s">
        <v>1864</v>
      </c>
      <c r="F2100" t="s">
        <v>1632</v>
      </c>
      <c r="G2100" t="str">
        <f t="shared" si="162"/>
        <v>N</v>
      </c>
      <c r="H2100" t="str">
        <f t="shared" si="163"/>
        <v>82</v>
      </c>
      <c r="I2100" t="str">
        <f t="shared" si="164"/>
        <v>821</v>
      </c>
      <c r="J2100" t="str">
        <f t="shared" si="165"/>
        <v>82113</v>
      </c>
      <c r="K2100" t="str">
        <f t="shared" si="161"/>
        <v/>
      </c>
    </row>
    <row r="2101" spans="2:11" x14ac:dyDescent="0.25">
      <c r="C2101" t="s">
        <v>1864</v>
      </c>
      <c r="D2101" t="s">
        <v>1864</v>
      </c>
      <c r="E2101" t="s">
        <v>3965</v>
      </c>
      <c r="F2101" t="s">
        <v>1632</v>
      </c>
      <c r="G2101" t="str">
        <f t="shared" si="162"/>
        <v>N</v>
      </c>
      <c r="H2101" t="str">
        <f t="shared" si="163"/>
        <v>82</v>
      </c>
      <c r="I2101" t="str">
        <f t="shared" si="164"/>
        <v>821</v>
      </c>
      <c r="J2101" t="str">
        <f t="shared" si="165"/>
        <v>82113</v>
      </c>
      <c r="K2101" t="str">
        <f t="shared" si="161"/>
        <v>8211300</v>
      </c>
    </row>
    <row r="2102" spans="2:11" x14ac:dyDescent="0.25">
      <c r="C2102" t="s">
        <v>1864</v>
      </c>
      <c r="D2102" t="s">
        <v>3966</v>
      </c>
      <c r="E2102" t="s">
        <v>1864</v>
      </c>
      <c r="F2102" t="s">
        <v>1633</v>
      </c>
      <c r="G2102" t="str">
        <f t="shared" si="162"/>
        <v>N</v>
      </c>
      <c r="H2102" t="str">
        <f t="shared" si="163"/>
        <v>82</v>
      </c>
      <c r="I2102" t="str">
        <f t="shared" si="164"/>
        <v>821</v>
      </c>
      <c r="J2102" t="str">
        <f t="shared" si="165"/>
        <v>82199</v>
      </c>
      <c r="K2102" t="str">
        <f t="shared" si="161"/>
        <v/>
      </c>
    </row>
    <row r="2103" spans="2:11" x14ac:dyDescent="0.25">
      <c r="C2103" t="s">
        <v>1864</v>
      </c>
      <c r="D2103" t="s">
        <v>1864</v>
      </c>
      <c r="E2103" t="s">
        <v>3967</v>
      </c>
      <c r="F2103" t="s">
        <v>1634</v>
      </c>
      <c r="G2103" t="str">
        <f t="shared" si="162"/>
        <v>N</v>
      </c>
      <c r="H2103" t="str">
        <f t="shared" si="163"/>
        <v>82</v>
      </c>
      <c r="I2103" t="str">
        <f t="shared" si="164"/>
        <v>821</v>
      </c>
      <c r="J2103" t="str">
        <f t="shared" si="165"/>
        <v>82199</v>
      </c>
      <c r="K2103" t="str">
        <f t="shared" si="161"/>
        <v>8219901</v>
      </c>
    </row>
    <row r="2104" spans="2:11" x14ac:dyDescent="0.25">
      <c r="C2104" t="s">
        <v>1864</v>
      </c>
      <c r="D2104" t="s">
        <v>1864</v>
      </c>
      <c r="E2104" t="s">
        <v>3968</v>
      </c>
      <c r="F2104" t="s">
        <v>1635</v>
      </c>
      <c r="G2104" t="str">
        <f t="shared" si="162"/>
        <v>N</v>
      </c>
      <c r="H2104" t="str">
        <f t="shared" si="163"/>
        <v>82</v>
      </c>
      <c r="I2104" t="str">
        <f t="shared" si="164"/>
        <v>821</v>
      </c>
      <c r="J2104" t="str">
        <f t="shared" si="165"/>
        <v>82199</v>
      </c>
      <c r="K2104" t="str">
        <f t="shared" si="161"/>
        <v>8219999</v>
      </c>
    </row>
    <row r="2105" spans="2:11" x14ac:dyDescent="0.25">
      <c r="C2105" t="s">
        <v>3969</v>
      </c>
      <c r="D2105" t="s">
        <v>1864</v>
      </c>
      <c r="E2105" t="s">
        <v>1864</v>
      </c>
      <c r="F2105" t="s">
        <v>1636</v>
      </c>
      <c r="G2105" t="str">
        <f t="shared" si="162"/>
        <v>N</v>
      </c>
      <c r="H2105" t="str">
        <f t="shared" si="163"/>
        <v>82</v>
      </c>
      <c r="I2105" t="str">
        <f t="shared" si="164"/>
        <v>822</v>
      </c>
      <c r="J2105" t="str">
        <f t="shared" si="165"/>
        <v>82199</v>
      </c>
      <c r="K2105" t="str">
        <f t="shared" si="161"/>
        <v/>
      </c>
    </row>
    <row r="2106" spans="2:11" x14ac:dyDescent="0.25">
      <c r="C2106" t="s">
        <v>1864</v>
      </c>
      <c r="D2106" t="s">
        <v>3970</v>
      </c>
      <c r="E2106" t="s">
        <v>1864</v>
      </c>
      <c r="F2106" t="s">
        <v>1636</v>
      </c>
      <c r="G2106" t="str">
        <f t="shared" si="162"/>
        <v>N</v>
      </c>
      <c r="H2106" t="str">
        <f t="shared" si="163"/>
        <v>82</v>
      </c>
      <c r="I2106" t="str">
        <f t="shared" si="164"/>
        <v>822</v>
      </c>
      <c r="J2106" t="str">
        <f t="shared" si="165"/>
        <v>82202</v>
      </c>
      <c r="K2106" t="str">
        <f t="shared" si="161"/>
        <v/>
      </c>
    </row>
    <row r="2107" spans="2:11" x14ac:dyDescent="0.25">
      <c r="C2107" t="s">
        <v>1864</v>
      </c>
      <c r="D2107" t="s">
        <v>1864</v>
      </c>
      <c r="E2107" t="s">
        <v>3971</v>
      </c>
      <c r="F2107" t="s">
        <v>1636</v>
      </c>
      <c r="G2107" t="str">
        <f t="shared" si="162"/>
        <v>N</v>
      </c>
      <c r="H2107" t="str">
        <f t="shared" si="163"/>
        <v>82</v>
      </c>
      <c r="I2107" t="str">
        <f t="shared" si="164"/>
        <v>822</v>
      </c>
      <c r="J2107" t="str">
        <f t="shared" si="165"/>
        <v>82202</v>
      </c>
      <c r="K2107" t="str">
        <f t="shared" si="161"/>
        <v>8220200</v>
      </c>
    </row>
    <row r="2108" spans="2:11" x14ac:dyDescent="0.25">
      <c r="C2108" t="s">
        <v>3972</v>
      </c>
      <c r="D2108" t="s">
        <v>1864</v>
      </c>
      <c r="E2108" t="s">
        <v>1864</v>
      </c>
      <c r="F2108" t="s">
        <v>1637</v>
      </c>
      <c r="G2108" t="str">
        <f t="shared" si="162"/>
        <v>N</v>
      </c>
      <c r="H2108" t="str">
        <f t="shared" si="163"/>
        <v>82</v>
      </c>
      <c r="I2108" t="str">
        <f t="shared" si="164"/>
        <v>823</v>
      </c>
      <c r="J2108" t="str">
        <f t="shared" si="165"/>
        <v>82202</v>
      </c>
      <c r="K2108" t="str">
        <f t="shared" si="161"/>
        <v/>
      </c>
    </row>
    <row r="2109" spans="2:11" x14ac:dyDescent="0.25">
      <c r="C2109" t="s">
        <v>1864</v>
      </c>
      <c r="D2109" t="s">
        <v>3973</v>
      </c>
      <c r="E2109" t="s">
        <v>1864</v>
      </c>
      <c r="F2109" t="s">
        <v>1637</v>
      </c>
      <c r="G2109" t="str">
        <f t="shared" si="162"/>
        <v>N</v>
      </c>
      <c r="H2109" t="str">
        <f t="shared" si="163"/>
        <v>82</v>
      </c>
      <c r="I2109" t="str">
        <f t="shared" si="164"/>
        <v>823</v>
      </c>
      <c r="J2109" t="str">
        <f t="shared" si="165"/>
        <v>82300</v>
      </c>
      <c r="K2109" t="str">
        <f t="shared" si="161"/>
        <v/>
      </c>
    </row>
    <row r="2110" spans="2:11" x14ac:dyDescent="0.25">
      <c r="C2110" t="s">
        <v>1864</v>
      </c>
      <c r="D2110" t="s">
        <v>1864</v>
      </c>
      <c r="E2110" t="s">
        <v>3974</v>
      </c>
      <c r="F2110" t="s">
        <v>1638</v>
      </c>
      <c r="G2110" t="str">
        <f t="shared" si="162"/>
        <v>N</v>
      </c>
      <c r="H2110" t="str">
        <f t="shared" si="163"/>
        <v>82</v>
      </c>
      <c r="I2110" t="str">
        <f t="shared" si="164"/>
        <v>823</v>
      </c>
      <c r="J2110" t="str">
        <f t="shared" si="165"/>
        <v>82300</v>
      </c>
      <c r="K2110" t="str">
        <f t="shared" si="161"/>
        <v>8230001</v>
      </c>
    </row>
    <row r="2111" spans="2:11" x14ac:dyDescent="0.25">
      <c r="C2111" t="s">
        <v>1864</v>
      </c>
      <c r="D2111" t="s">
        <v>1864</v>
      </c>
      <c r="E2111" t="s">
        <v>3975</v>
      </c>
      <c r="F2111" t="s">
        <v>1639</v>
      </c>
      <c r="G2111" t="str">
        <f t="shared" si="162"/>
        <v>N</v>
      </c>
      <c r="H2111" t="str">
        <f t="shared" si="163"/>
        <v>82</v>
      </c>
      <c r="I2111" t="str">
        <f t="shared" si="164"/>
        <v>823</v>
      </c>
      <c r="J2111" t="str">
        <f t="shared" si="165"/>
        <v>82300</v>
      </c>
      <c r="K2111" t="str">
        <f t="shared" si="161"/>
        <v>8230002</v>
      </c>
    </row>
    <row r="2112" spans="2:11" x14ac:dyDescent="0.25">
      <c r="C2112" t="s">
        <v>3976</v>
      </c>
      <c r="D2112" t="s">
        <v>1864</v>
      </c>
      <c r="E2112" t="s">
        <v>1864</v>
      </c>
      <c r="F2112" t="s">
        <v>1640</v>
      </c>
      <c r="G2112" t="str">
        <f t="shared" si="162"/>
        <v>N</v>
      </c>
      <c r="H2112" t="str">
        <f t="shared" si="163"/>
        <v>82</v>
      </c>
      <c r="I2112" t="str">
        <f t="shared" si="164"/>
        <v>829</v>
      </c>
      <c r="J2112" t="str">
        <f t="shared" si="165"/>
        <v>82300</v>
      </c>
      <c r="K2112" t="str">
        <f t="shared" si="161"/>
        <v/>
      </c>
    </row>
    <row r="2113" spans="1:11" x14ac:dyDescent="0.25">
      <c r="C2113" t="s">
        <v>1864</v>
      </c>
      <c r="D2113" t="s">
        <v>3977</v>
      </c>
      <c r="E2113" t="s">
        <v>1864</v>
      </c>
      <c r="F2113" t="s">
        <v>1641</v>
      </c>
      <c r="G2113" t="str">
        <f t="shared" si="162"/>
        <v>N</v>
      </c>
      <c r="H2113" t="str">
        <f t="shared" si="163"/>
        <v>82</v>
      </c>
      <c r="I2113" t="str">
        <f t="shared" si="164"/>
        <v>829</v>
      </c>
      <c r="J2113" t="str">
        <f t="shared" si="165"/>
        <v>82911</v>
      </c>
      <c r="K2113" t="str">
        <f t="shared" si="161"/>
        <v/>
      </c>
    </row>
    <row r="2114" spans="1:11" x14ac:dyDescent="0.25">
      <c r="C2114" t="s">
        <v>1864</v>
      </c>
      <c r="D2114" t="s">
        <v>1864</v>
      </c>
      <c r="E2114" t="s">
        <v>3978</v>
      </c>
      <c r="F2114" t="s">
        <v>1641</v>
      </c>
      <c r="G2114" t="str">
        <f t="shared" si="162"/>
        <v>N</v>
      </c>
      <c r="H2114" t="str">
        <f t="shared" si="163"/>
        <v>82</v>
      </c>
      <c r="I2114" t="str">
        <f t="shared" si="164"/>
        <v>829</v>
      </c>
      <c r="J2114" t="str">
        <f t="shared" si="165"/>
        <v>82911</v>
      </c>
      <c r="K2114" t="str">
        <f t="shared" si="161"/>
        <v>8291100</v>
      </c>
    </row>
    <row r="2115" spans="1:11" x14ac:dyDescent="0.25">
      <c r="C2115" t="s">
        <v>1864</v>
      </c>
      <c r="D2115" t="s">
        <v>3979</v>
      </c>
      <c r="E2115" t="s">
        <v>1864</v>
      </c>
      <c r="F2115" t="s">
        <v>1642</v>
      </c>
      <c r="G2115" t="str">
        <f t="shared" si="162"/>
        <v>N</v>
      </c>
      <c r="H2115" t="str">
        <f t="shared" si="163"/>
        <v>82</v>
      </c>
      <c r="I2115" t="str">
        <f t="shared" si="164"/>
        <v>829</v>
      </c>
      <c r="J2115" t="str">
        <f t="shared" si="165"/>
        <v>82920</v>
      </c>
      <c r="K2115" t="str">
        <f t="shared" si="161"/>
        <v/>
      </c>
    </row>
    <row r="2116" spans="1:11" x14ac:dyDescent="0.25">
      <c r="C2116" t="s">
        <v>1864</v>
      </c>
      <c r="D2116" t="s">
        <v>1864</v>
      </c>
      <c r="E2116" t="s">
        <v>3980</v>
      </c>
      <c r="F2116" t="s">
        <v>1642</v>
      </c>
      <c r="G2116" t="str">
        <f t="shared" si="162"/>
        <v>N</v>
      </c>
      <c r="H2116" t="str">
        <f t="shared" si="163"/>
        <v>82</v>
      </c>
      <c r="I2116" t="str">
        <f t="shared" si="164"/>
        <v>829</v>
      </c>
      <c r="J2116" t="str">
        <f t="shared" si="165"/>
        <v>82920</v>
      </c>
      <c r="K2116" t="str">
        <f t="shared" si="161"/>
        <v>8292000</v>
      </c>
    </row>
    <row r="2117" spans="1:11" x14ac:dyDescent="0.25">
      <c r="C2117" t="s">
        <v>1864</v>
      </c>
      <c r="D2117" t="s">
        <v>3981</v>
      </c>
      <c r="E2117" t="s">
        <v>1864</v>
      </c>
      <c r="F2117" t="s">
        <v>1643</v>
      </c>
      <c r="G2117" t="str">
        <f t="shared" si="162"/>
        <v>N</v>
      </c>
      <c r="H2117" t="str">
        <f t="shared" si="163"/>
        <v>82</v>
      </c>
      <c r="I2117" t="str">
        <f t="shared" si="164"/>
        <v>829</v>
      </c>
      <c r="J2117" t="str">
        <f t="shared" si="165"/>
        <v>82997</v>
      </c>
      <c r="K2117" t="str">
        <f t="shared" si="161"/>
        <v/>
      </c>
    </row>
    <row r="2118" spans="1:11" x14ac:dyDescent="0.25">
      <c r="C2118" t="s">
        <v>1864</v>
      </c>
      <c r="D2118" t="s">
        <v>1864</v>
      </c>
      <c r="E2118" t="s">
        <v>3982</v>
      </c>
      <c r="F2118" t="s">
        <v>1644</v>
      </c>
      <c r="G2118" t="str">
        <f t="shared" si="162"/>
        <v>N</v>
      </c>
      <c r="H2118" t="str">
        <f t="shared" si="163"/>
        <v>82</v>
      </c>
      <c r="I2118" t="str">
        <f t="shared" si="164"/>
        <v>829</v>
      </c>
      <c r="J2118" t="str">
        <f t="shared" si="165"/>
        <v>82997</v>
      </c>
      <c r="K2118" t="str">
        <f t="shared" si="161"/>
        <v>8299701</v>
      </c>
    </row>
    <row r="2119" spans="1:11" x14ac:dyDescent="0.25">
      <c r="C2119" t="s">
        <v>1864</v>
      </c>
      <c r="D2119" t="s">
        <v>1864</v>
      </c>
      <c r="E2119" t="s">
        <v>3983</v>
      </c>
      <c r="F2119" t="s">
        <v>1645</v>
      </c>
      <c r="G2119" t="str">
        <f t="shared" si="162"/>
        <v>N</v>
      </c>
      <c r="H2119" t="str">
        <f t="shared" si="163"/>
        <v>82</v>
      </c>
      <c r="I2119" t="str">
        <f t="shared" si="164"/>
        <v>829</v>
      </c>
      <c r="J2119" t="str">
        <f t="shared" si="165"/>
        <v>82997</v>
      </c>
      <c r="K2119" t="str">
        <f t="shared" si="161"/>
        <v>8299702</v>
      </c>
    </row>
    <row r="2120" spans="1:11" x14ac:dyDescent="0.25">
      <c r="C2120" t="s">
        <v>1864</v>
      </c>
      <c r="D2120" t="s">
        <v>1864</v>
      </c>
      <c r="E2120" t="s">
        <v>3984</v>
      </c>
      <c r="F2120" t="s">
        <v>1646</v>
      </c>
      <c r="G2120" t="str">
        <f t="shared" si="162"/>
        <v>N</v>
      </c>
      <c r="H2120" t="str">
        <f t="shared" si="163"/>
        <v>82</v>
      </c>
      <c r="I2120" t="str">
        <f t="shared" si="164"/>
        <v>829</v>
      </c>
      <c r="J2120" t="str">
        <f t="shared" si="165"/>
        <v>82997</v>
      </c>
      <c r="K2120" t="str">
        <f t="shared" ref="K2120:K2183" si="166">E2120</f>
        <v>8299703</v>
      </c>
    </row>
    <row r="2121" spans="1:11" x14ac:dyDescent="0.25">
      <c r="C2121" t="s">
        <v>1864</v>
      </c>
      <c r="D2121" t="s">
        <v>1864</v>
      </c>
      <c r="E2121" t="s">
        <v>3985</v>
      </c>
      <c r="F2121" t="s">
        <v>1647</v>
      </c>
      <c r="G2121" t="str">
        <f t="shared" ref="G2121:G2184" si="167">IF(A2121="",G2120,A2121)</f>
        <v>N</v>
      </c>
      <c r="H2121" t="str">
        <f t="shared" ref="H2121:H2184" si="168">IF(B2121="",H2120,B2121)</f>
        <v>82</v>
      </c>
      <c r="I2121" t="str">
        <f t="shared" ref="I2121:I2184" si="169">IF(C2121="",I2120,C2121)</f>
        <v>829</v>
      </c>
      <c r="J2121" t="str">
        <f t="shared" ref="J2121:J2184" si="170">IF(D2121="",J2120,D2121)</f>
        <v>82997</v>
      </c>
      <c r="K2121" t="str">
        <f t="shared" si="166"/>
        <v>8299704</v>
      </c>
    </row>
    <row r="2122" spans="1:11" x14ac:dyDescent="0.25">
      <c r="C2122" t="s">
        <v>1864</v>
      </c>
      <c r="D2122" t="s">
        <v>1864</v>
      </c>
      <c r="E2122" t="s">
        <v>3986</v>
      </c>
      <c r="F2122" t="s">
        <v>1648</v>
      </c>
      <c r="G2122" t="str">
        <f t="shared" si="167"/>
        <v>N</v>
      </c>
      <c r="H2122" t="str">
        <f t="shared" si="168"/>
        <v>82</v>
      </c>
      <c r="I2122" t="str">
        <f t="shared" si="169"/>
        <v>829</v>
      </c>
      <c r="J2122" t="str">
        <f t="shared" si="170"/>
        <v>82997</v>
      </c>
      <c r="K2122" t="str">
        <f t="shared" si="166"/>
        <v>8299705</v>
      </c>
    </row>
    <row r="2123" spans="1:11" x14ac:dyDescent="0.25">
      <c r="C2123" t="s">
        <v>1864</v>
      </c>
      <c r="D2123" t="s">
        <v>1864</v>
      </c>
      <c r="E2123" t="s">
        <v>3987</v>
      </c>
      <c r="F2123" t="s">
        <v>1649</v>
      </c>
      <c r="G2123" t="str">
        <f t="shared" si="167"/>
        <v>N</v>
      </c>
      <c r="H2123" t="str">
        <f t="shared" si="168"/>
        <v>82</v>
      </c>
      <c r="I2123" t="str">
        <f t="shared" si="169"/>
        <v>829</v>
      </c>
      <c r="J2123" t="str">
        <f t="shared" si="170"/>
        <v>82997</v>
      </c>
      <c r="K2123" t="str">
        <f t="shared" si="166"/>
        <v>8299706</v>
      </c>
    </row>
    <row r="2124" spans="1:11" x14ac:dyDescent="0.25">
      <c r="C2124" t="s">
        <v>1864</v>
      </c>
      <c r="D2124" t="s">
        <v>1864</v>
      </c>
      <c r="E2124" t="s">
        <v>3988</v>
      </c>
      <c r="F2124" t="s">
        <v>1650</v>
      </c>
      <c r="G2124" t="str">
        <f t="shared" si="167"/>
        <v>N</v>
      </c>
      <c r="H2124" t="str">
        <f t="shared" si="168"/>
        <v>82</v>
      </c>
      <c r="I2124" t="str">
        <f t="shared" si="169"/>
        <v>829</v>
      </c>
      <c r="J2124" t="str">
        <f t="shared" si="170"/>
        <v>82997</v>
      </c>
      <c r="K2124" t="str">
        <f t="shared" si="166"/>
        <v>8299707</v>
      </c>
    </row>
    <row r="2125" spans="1:11" x14ac:dyDescent="0.25">
      <c r="C2125" t="s">
        <v>1864</v>
      </c>
      <c r="D2125" t="s">
        <v>1864</v>
      </c>
      <c r="E2125" t="s">
        <v>3989</v>
      </c>
      <c r="F2125" t="s">
        <v>1651</v>
      </c>
      <c r="G2125" t="str">
        <f t="shared" si="167"/>
        <v>N</v>
      </c>
      <c r="H2125" t="str">
        <f t="shared" si="168"/>
        <v>82</v>
      </c>
      <c r="I2125" t="str">
        <f t="shared" si="169"/>
        <v>829</v>
      </c>
      <c r="J2125" t="str">
        <f t="shared" si="170"/>
        <v>82997</v>
      </c>
      <c r="K2125" t="str">
        <f t="shared" si="166"/>
        <v>8299799</v>
      </c>
    </row>
    <row r="2126" spans="1:11" x14ac:dyDescent="0.25">
      <c r="A2126" t="s">
        <v>3990</v>
      </c>
      <c r="C2126" t="s">
        <v>1864</v>
      </c>
      <c r="D2126" t="s">
        <v>1864</v>
      </c>
      <c r="E2126" t="s">
        <v>1864</v>
      </c>
      <c r="F2126" t="s">
        <v>1652</v>
      </c>
      <c r="G2126" t="str">
        <f t="shared" si="167"/>
        <v>O</v>
      </c>
      <c r="H2126" t="str">
        <f t="shared" si="168"/>
        <v>82</v>
      </c>
      <c r="I2126" t="str">
        <f t="shared" si="169"/>
        <v>829</v>
      </c>
      <c r="J2126" t="str">
        <f t="shared" si="170"/>
        <v>82997</v>
      </c>
      <c r="K2126" t="str">
        <f t="shared" si="166"/>
        <v/>
      </c>
    </row>
    <row r="2127" spans="1:11" x14ac:dyDescent="0.25">
      <c r="B2127" t="s">
        <v>3991</v>
      </c>
      <c r="C2127" t="s">
        <v>1864</v>
      </c>
      <c r="D2127" t="s">
        <v>1864</v>
      </c>
      <c r="E2127" t="s">
        <v>1864</v>
      </c>
      <c r="F2127" t="s">
        <v>1652</v>
      </c>
      <c r="G2127" t="str">
        <f t="shared" si="167"/>
        <v>O</v>
      </c>
      <c r="H2127" t="str">
        <f t="shared" si="168"/>
        <v>84</v>
      </c>
      <c r="I2127" t="str">
        <f t="shared" si="169"/>
        <v>829</v>
      </c>
      <c r="J2127" t="str">
        <f t="shared" si="170"/>
        <v>82997</v>
      </c>
      <c r="K2127" t="str">
        <f t="shared" si="166"/>
        <v/>
      </c>
    </row>
    <row r="2128" spans="1:11" x14ac:dyDescent="0.25">
      <c r="C2128" t="s">
        <v>3992</v>
      </c>
      <c r="D2128" t="s">
        <v>1864</v>
      </c>
      <c r="E2128" t="s">
        <v>1864</v>
      </c>
      <c r="F2128" t="s">
        <v>1653</v>
      </c>
      <c r="G2128" t="str">
        <f t="shared" si="167"/>
        <v>O</v>
      </c>
      <c r="H2128" t="str">
        <f t="shared" si="168"/>
        <v>84</v>
      </c>
      <c r="I2128" t="str">
        <f t="shared" si="169"/>
        <v>841</v>
      </c>
      <c r="J2128" t="str">
        <f t="shared" si="170"/>
        <v>82997</v>
      </c>
      <c r="K2128" t="str">
        <f t="shared" si="166"/>
        <v/>
      </c>
    </row>
    <row r="2129" spans="3:11" x14ac:dyDescent="0.25">
      <c r="C2129" t="s">
        <v>1864</v>
      </c>
      <c r="D2129" t="s">
        <v>3993</v>
      </c>
      <c r="E2129" t="s">
        <v>1864</v>
      </c>
      <c r="F2129" t="s">
        <v>1654</v>
      </c>
      <c r="G2129" t="str">
        <f t="shared" si="167"/>
        <v>O</v>
      </c>
      <c r="H2129" t="str">
        <f t="shared" si="168"/>
        <v>84</v>
      </c>
      <c r="I2129" t="str">
        <f t="shared" si="169"/>
        <v>841</v>
      </c>
      <c r="J2129" t="str">
        <f t="shared" si="170"/>
        <v>84116</v>
      </c>
      <c r="K2129" t="str">
        <f t="shared" si="166"/>
        <v/>
      </c>
    </row>
    <row r="2130" spans="3:11" x14ac:dyDescent="0.25">
      <c r="C2130" t="s">
        <v>1864</v>
      </c>
      <c r="D2130" t="s">
        <v>1864</v>
      </c>
      <c r="E2130" t="s">
        <v>3994</v>
      </c>
      <c r="F2130" t="s">
        <v>1654</v>
      </c>
      <c r="G2130" t="str">
        <f t="shared" si="167"/>
        <v>O</v>
      </c>
      <c r="H2130" t="str">
        <f t="shared" si="168"/>
        <v>84</v>
      </c>
      <c r="I2130" t="str">
        <f t="shared" si="169"/>
        <v>841</v>
      </c>
      <c r="J2130" t="str">
        <f t="shared" si="170"/>
        <v>84116</v>
      </c>
      <c r="K2130" t="str">
        <f t="shared" si="166"/>
        <v>8411600</v>
      </c>
    </row>
    <row r="2131" spans="3:11" x14ac:dyDescent="0.25">
      <c r="C2131" t="s">
        <v>1864</v>
      </c>
      <c r="D2131" t="s">
        <v>3995</v>
      </c>
      <c r="E2131" t="s">
        <v>1864</v>
      </c>
      <c r="F2131" t="s">
        <v>1655</v>
      </c>
      <c r="G2131" t="str">
        <f t="shared" si="167"/>
        <v>O</v>
      </c>
      <c r="H2131" t="str">
        <f t="shared" si="168"/>
        <v>84</v>
      </c>
      <c r="I2131" t="str">
        <f t="shared" si="169"/>
        <v>841</v>
      </c>
      <c r="J2131" t="str">
        <f t="shared" si="170"/>
        <v>84124</v>
      </c>
      <c r="K2131" t="str">
        <f t="shared" si="166"/>
        <v/>
      </c>
    </row>
    <row r="2132" spans="3:11" x14ac:dyDescent="0.25">
      <c r="C2132" t="s">
        <v>1864</v>
      </c>
      <c r="D2132" t="s">
        <v>1864</v>
      </c>
      <c r="E2132" t="s">
        <v>3996</v>
      </c>
      <c r="F2132" t="s">
        <v>1655</v>
      </c>
      <c r="G2132" t="str">
        <f t="shared" si="167"/>
        <v>O</v>
      </c>
      <c r="H2132" t="str">
        <f t="shared" si="168"/>
        <v>84</v>
      </c>
      <c r="I2132" t="str">
        <f t="shared" si="169"/>
        <v>841</v>
      </c>
      <c r="J2132" t="str">
        <f t="shared" si="170"/>
        <v>84124</v>
      </c>
      <c r="K2132" t="str">
        <f t="shared" si="166"/>
        <v>8412400</v>
      </c>
    </row>
    <row r="2133" spans="3:11" x14ac:dyDescent="0.25">
      <c r="C2133" t="s">
        <v>1864</v>
      </c>
      <c r="D2133" t="s">
        <v>3997</v>
      </c>
      <c r="E2133" t="s">
        <v>1864</v>
      </c>
      <c r="F2133" t="s">
        <v>1656</v>
      </c>
      <c r="G2133" t="str">
        <f t="shared" si="167"/>
        <v>O</v>
      </c>
      <c r="H2133" t="str">
        <f t="shared" si="168"/>
        <v>84</v>
      </c>
      <c r="I2133" t="str">
        <f t="shared" si="169"/>
        <v>841</v>
      </c>
      <c r="J2133" t="str">
        <f t="shared" si="170"/>
        <v>84132</v>
      </c>
      <c r="K2133" t="str">
        <f t="shared" si="166"/>
        <v/>
      </c>
    </row>
    <row r="2134" spans="3:11" x14ac:dyDescent="0.25">
      <c r="C2134" t="s">
        <v>1864</v>
      </c>
      <c r="D2134" t="s">
        <v>1864</v>
      </c>
      <c r="E2134" t="s">
        <v>3998</v>
      </c>
      <c r="F2134" t="s">
        <v>1656</v>
      </c>
      <c r="G2134" t="str">
        <f t="shared" si="167"/>
        <v>O</v>
      </c>
      <c r="H2134" t="str">
        <f t="shared" si="168"/>
        <v>84</v>
      </c>
      <c r="I2134" t="str">
        <f t="shared" si="169"/>
        <v>841</v>
      </c>
      <c r="J2134" t="str">
        <f t="shared" si="170"/>
        <v>84132</v>
      </c>
      <c r="K2134" t="str">
        <f t="shared" si="166"/>
        <v>8413200</v>
      </c>
    </row>
    <row r="2135" spans="3:11" x14ac:dyDescent="0.25">
      <c r="C2135" t="s">
        <v>3999</v>
      </c>
      <c r="D2135" t="s">
        <v>1864</v>
      </c>
      <c r="E2135" t="s">
        <v>1864</v>
      </c>
      <c r="F2135" t="s">
        <v>1657</v>
      </c>
      <c r="G2135" t="str">
        <f t="shared" si="167"/>
        <v>O</v>
      </c>
      <c r="H2135" t="str">
        <f t="shared" si="168"/>
        <v>84</v>
      </c>
      <c r="I2135" t="str">
        <f t="shared" si="169"/>
        <v>842</v>
      </c>
      <c r="J2135" t="str">
        <f t="shared" si="170"/>
        <v>84132</v>
      </c>
      <c r="K2135" t="str">
        <f t="shared" si="166"/>
        <v/>
      </c>
    </row>
    <row r="2136" spans="3:11" x14ac:dyDescent="0.25">
      <c r="C2136" t="s">
        <v>1864</v>
      </c>
      <c r="D2136" t="s">
        <v>4000</v>
      </c>
      <c r="E2136" t="s">
        <v>1864</v>
      </c>
      <c r="F2136" t="s">
        <v>1658</v>
      </c>
      <c r="G2136" t="str">
        <f t="shared" si="167"/>
        <v>O</v>
      </c>
      <c r="H2136" t="str">
        <f t="shared" si="168"/>
        <v>84</v>
      </c>
      <c r="I2136" t="str">
        <f t="shared" si="169"/>
        <v>842</v>
      </c>
      <c r="J2136" t="str">
        <f t="shared" si="170"/>
        <v>84213</v>
      </c>
      <c r="K2136" t="str">
        <f t="shared" si="166"/>
        <v/>
      </c>
    </row>
    <row r="2137" spans="3:11" x14ac:dyDescent="0.25">
      <c r="C2137" t="s">
        <v>1864</v>
      </c>
      <c r="D2137" t="s">
        <v>1864</v>
      </c>
      <c r="E2137" t="s">
        <v>4001</v>
      </c>
      <c r="F2137" t="s">
        <v>1658</v>
      </c>
      <c r="G2137" t="str">
        <f t="shared" si="167"/>
        <v>O</v>
      </c>
      <c r="H2137" t="str">
        <f t="shared" si="168"/>
        <v>84</v>
      </c>
      <c r="I2137" t="str">
        <f t="shared" si="169"/>
        <v>842</v>
      </c>
      <c r="J2137" t="str">
        <f t="shared" si="170"/>
        <v>84213</v>
      </c>
      <c r="K2137" t="str">
        <f t="shared" si="166"/>
        <v>8421300</v>
      </c>
    </row>
    <row r="2138" spans="3:11" x14ac:dyDescent="0.25">
      <c r="C2138" t="s">
        <v>1864</v>
      </c>
      <c r="D2138" t="s">
        <v>4002</v>
      </c>
      <c r="E2138" t="s">
        <v>1864</v>
      </c>
      <c r="F2138" t="s">
        <v>1659</v>
      </c>
      <c r="G2138" t="str">
        <f t="shared" si="167"/>
        <v>O</v>
      </c>
      <c r="H2138" t="str">
        <f t="shared" si="168"/>
        <v>84</v>
      </c>
      <c r="I2138" t="str">
        <f t="shared" si="169"/>
        <v>842</v>
      </c>
      <c r="J2138" t="str">
        <f t="shared" si="170"/>
        <v>84221</v>
      </c>
      <c r="K2138" t="str">
        <f t="shared" si="166"/>
        <v/>
      </c>
    </row>
    <row r="2139" spans="3:11" x14ac:dyDescent="0.25">
      <c r="C2139" t="s">
        <v>1864</v>
      </c>
      <c r="D2139" t="s">
        <v>1864</v>
      </c>
      <c r="E2139" t="s">
        <v>4003</v>
      </c>
      <c r="F2139" t="s">
        <v>1659</v>
      </c>
      <c r="G2139" t="str">
        <f t="shared" si="167"/>
        <v>O</v>
      </c>
      <c r="H2139" t="str">
        <f t="shared" si="168"/>
        <v>84</v>
      </c>
      <c r="I2139" t="str">
        <f t="shared" si="169"/>
        <v>842</v>
      </c>
      <c r="J2139" t="str">
        <f t="shared" si="170"/>
        <v>84221</v>
      </c>
      <c r="K2139" t="str">
        <f t="shared" si="166"/>
        <v>8422100</v>
      </c>
    </row>
    <row r="2140" spans="3:11" x14ac:dyDescent="0.25">
      <c r="C2140" t="s">
        <v>1864</v>
      </c>
      <c r="D2140" t="s">
        <v>4004</v>
      </c>
      <c r="E2140" t="s">
        <v>1864</v>
      </c>
      <c r="F2140" t="s">
        <v>1660</v>
      </c>
      <c r="G2140" t="str">
        <f t="shared" si="167"/>
        <v>O</v>
      </c>
      <c r="H2140" t="str">
        <f t="shared" si="168"/>
        <v>84</v>
      </c>
      <c r="I2140" t="str">
        <f t="shared" si="169"/>
        <v>842</v>
      </c>
      <c r="J2140" t="str">
        <f t="shared" si="170"/>
        <v>84230</v>
      </c>
      <c r="K2140" t="str">
        <f t="shared" si="166"/>
        <v/>
      </c>
    </row>
    <row r="2141" spans="3:11" x14ac:dyDescent="0.25">
      <c r="C2141" t="s">
        <v>1864</v>
      </c>
      <c r="D2141" t="s">
        <v>1864</v>
      </c>
      <c r="E2141" t="s">
        <v>4005</v>
      </c>
      <c r="F2141" t="s">
        <v>1660</v>
      </c>
      <c r="G2141" t="str">
        <f t="shared" si="167"/>
        <v>O</v>
      </c>
      <c r="H2141" t="str">
        <f t="shared" si="168"/>
        <v>84</v>
      </c>
      <c r="I2141" t="str">
        <f t="shared" si="169"/>
        <v>842</v>
      </c>
      <c r="J2141" t="str">
        <f t="shared" si="170"/>
        <v>84230</v>
      </c>
      <c r="K2141" t="str">
        <f t="shared" si="166"/>
        <v>8423000</v>
      </c>
    </row>
    <row r="2142" spans="3:11" x14ac:dyDescent="0.25">
      <c r="C2142" t="s">
        <v>1864</v>
      </c>
      <c r="D2142" t="s">
        <v>4006</v>
      </c>
      <c r="E2142" t="s">
        <v>1864</v>
      </c>
      <c r="F2142" t="s">
        <v>1661</v>
      </c>
      <c r="G2142" t="str">
        <f t="shared" si="167"/>
        <v>O</v>
      </c>
      <c r="H2142" t="str">
        <f t="shared" si="168"/>
        <v>84</v>
      </c>
      <c r="I2142" t="str">
        <f t="shared" si="169"/>
        <v>842</v>
      </c>
      <c r="J2142" t="str">
        <f t="shared" si="170"/>
        <v>84248</v>
      </c>
      <c r="K2142" t="str">
        <f t="shared" si="166"/>
        <v/>
      </c>
    </row>
    <row r="2143" spans="3:11" x14ac:dyDescent="0.25">
      <c r="C2143" t="s">
        <v>1864</v>
      </c>
      <c r="D2143" t="s">
        <v>1864</v>
      </c>
      <c r="E2143" t="s">
        <v>4007</v>
      </c>
      <c r="F2143" t="s">
        <v>1661</v>
      </c>
      <c r="G2143" t="str">
        <f t="shared" si="167"/>
        <v>O</v>
      </c>
      <c r="H2143" t="str">
        <f t="shared" si="168"/>
        <v>84</v>
      </c>
      <c r="I2143" t="str">
        <f t="shared" si="169"/>
        <v>842</v>
      </c>
      <c r="J2143" t="str">
        <f t="shared" si="170"/>
        <v>84248</v>
      </c>
      <c r="K2143" t="str">
        <f t="shared" si="166"/>
        <v>8424800</v>
      </c>
    </row>
    <row r="2144" spans="3:11" x14ac:dyDescent="0.25">
      <c r="C2144" t="s">
        <v>1864</v>
      </c>
      <c r="D2144" t="s">
        <v>4008</v>
      </c>
      <c r="E2144" t="s">
        <v>1864</v>
      </c>
      <c r="F2144" t="s">
        <v>1662</v>
      </c>
      <c r="G2144" t="str">
        <f t="shared" si="167"/>
        <v>O</v>
      </c>
      <c r="H2144" t="str">
        <f t="shared" si="168"/>
        <v>84</v>
      </c>
      <c r="I2144" t="str">
        <f t="shared" si="169"/>
        <v>842</v>
      </c>
      <c r="J2144" t="str">
        <f t="shared" si="170"/>
        <v>84256</v>
      </c>
      <c r="K2144" t="str">
        <f t="shared" si="166"/>
        <v/>
      </c>
    </row>
    <row r="2145" spans="1:11" x14ac:dyDescent="0.25">
      <c r="C2145" t="s">
        <v>1864</v>
      </c>
      <c r="D2145" t="s">
        <v>1864</v>
      </c>
      <c r="E2145" t="s">
        <v>4009</v>
      </c>
      <c r="F2145" t="s">
        <v>1662</v>
      </c>
      <c r="G2145" t="str">
        <f t="shared" si="167"/>
        <v>O</v>
      </c>
      <c r="H2145" t="str">
        <f t="shared" si="168"/>
        <v>84</v>
      </c>
      <c r="I2145" t="str">
        <f t="shared" si="169"/>
        <v>842</v>
      </c>
      <c r="J2145" t="str">
        <f t="shared" si="170"/>
        <v>84256</v>
      </c>
      <c r="K2145" t="str">
        <f t="shared" si="166"/>
        <v>8425600</v>
      </c>
    </row>
    <row r="2146" spans="1:11" x14ac:dyDescent="0.25">
      <c r="C2146" t="s">
        <v>4010</v>
      </c>
      <c r="D2146" t="s">
        <v>1864</v>
      </c>
      <c r="E2146" t="s">
        <v>1864</v>
      </c>
      <c r="F2146" t="s">
        <v>1663</v>
      </c>
      <c r="G2146" t="str">
        <f t="shared" si="167"/>
        <v>O</v>
      </c>
      <c r="H2146" t="str">
        <f t="shared" si="168"/>
        <v>84</v>
      </c>
      <c r="I2146" t="str">
        <f t="shared" si="169"/>
        <v>843</v>
      </c>
      <c r="J2146" t="str">
        <f t="shared" si="170"/>
        <v>84256</v>
      </c>
      <c r="K2146" t="str">
        <f t="shared" si="166"/>
        <v/>
      </c>
    </row>
    <row r="2147" spans="1:11" x14ac:dyDescent="0.25">
      <c r="C2147" t="s">
        <v>1864</v>
      </c>
      <c r="D2147" t="s">
        <v>4011</v>
      </c>
      <c r="E2147" t="s">
        <v>1864</v>
      </c>
      <c r="F2147" t="s">
        <v>1663</v>
      </c>
      <c r="G2147" t="str">
        <f t="shared" si="167"/>
        <v>O</v>
      </c>
      <c r="H2147" t="str">
        <f t="shared" si="168"/>
        <v>84</v>
      </c>
      <c r="I2147" t="str">
        <f t="shared" si="169"/>
        <v>843</v>
      </c>
      <c r="J2147" t="str">
        <f t="shared" si="170"/>
        <v>84302</v>
      </c>
      <c r="K2147" t="str">
        <f t="shared" si="166"/>
        <v/>
      </c>
    </row>
    <row r="2148" spans="1:11" x14ac:dyDescent="0.25">
      <c r="C2148" t="s">
        <v>1864</v>
      </c>
      <c r="D2148" t="s">
        <v>1864</v>
      </c>
      <c r="E2148" t="s">
        <v>4012</v>
      </c>
      <c r="F2148" t="s">
        <v>1663</v>
      </c>
      <c r="G2148" t="str">
        <f t="shared" si="167"/>
        <v>O</v>
      </c>
      <c r="H2148" t="str">
        <f t="shared" si="168"/>
        <v>84</v>
      </c>
      <c r="I2148" t="str">
        <f t="shared" si="169"/>
        <v>843</v>
      </c>
      <c r="J2148" t="str">
        <f t="shared" si="170"/>
        <v>84302</v>
      </c>
      <c r="K2148" t="str">
        <f t="shared" si="166"/>
        <v>8430200</v>
      </c>
    </row>
    <row r="2149" spans="1:11" x14ac:dyDescent="0.25">
      <c r="A2149" t="s">
        <v>4013</v>
      </c>
      <c r="C2149" t="s">
        <v>1864</v>
      </c>
      <c r="D2149" t="s">
        <v>1864</v>
      </c>
      <c r="E2149" t="s">
        <v>1864</v>
      </c>
      <c r="F2149" t="s">
        <v>1664</v>
      </c>
      <c r="G2149" t="str">
        <f t="shared" si="167"/>
        <v>P</v>
      </c>
      <c r="H2149" t="str">
        <f t="shared" si="168"/>
        <v>84</v>
      </c>
      <c r="I2149" t="str">
        <f t="shared" si="169"/>
        <v>843</v>
      </c>
      <c r="J2149" t="str">
        <f t="shared" si="170"/>
        <v>84302</v>
      </c>
      <c r="K2149" t="str">
        <f t="shared" si="166"/>
        <v/>
      </c>
    </row>
    <row r="2150" spans="1:11" x14ac:dyDescent="0.25">
      <c r="B2150" t="s">
        <v>4014</v>
      </c>
      <c r="C2150" t="s">
        <v>1864</v>
      </c>
      <c r="D2150" t="s">
        <v>1864</v>
      </c>
      <c r="E2150" t="s">
        <v>1864</v>
      </c>
      <c r="F2150" t="s">
        <v>1664</v>
      </c>
      <c r="G2150" t="str">
        <f t="shared" si="167"/>
        <v>P</v>
      </c>
      <c r="H2150" t="str">
        <f t="shared" si="168"/>
        <v>85</v>
      </c>
      <c r="I2150" t="str">
        <f t="shared" si="169"/>
        <v>843</v>
      </c>
      <c r="J2150" t="str">
        <f t="shared" si="170"/>
        <v>84302</v>
      </c>
      <c r="K2150" t="str">
        <f t="shared" si="166"/>
        <v/>
      </c>
    </row>
    <row r="2151" spans="1:11" x14ac:dyDescent="0.25">
      <c r="C2151" t="s">
        <v>4015</v>
      </c>
      <c r="D2151" t="s">
        <v>1864</v>
      </c>
      <c r="E2151" t="s">
        <v>1864</v>
      </c>
      <c r="F2151" t="s">
        <v>1665</v>
      </c>
      <c r="G2151" t="str">
        <f t="shared" si="167"/>
        <v>P</v>
      </c>
      <c r="H2151" t="str">
        <f t="shared" si="168"/>
        <v>85</v>
      </c>
      <c r="I2151" t="str">
        <f t="shared" si="169"/>
        <v>851</v>
      </c>
      <c r="J2151" t="str">
        <f t="shared" si="170"/>
        <v>84302</v>
      </c>
      <c r="K2151" t="str">
        <f t="shared" si="166"/>
        <v/>
      </c>
    </row>
    <row r="2152" spans="1:11" x14ac:dyDescent="0.25">
      <c r="C2152" t="s">
        <v>1864</v>
      </c>
      <c r="D2152" t="s">
        <v>4016</v>
      </c>
      <c r="E2152" t="s">
        <v>1864</v>
      </c>
      <c r="F2152" t="s">
        <v>1666</v>
      </c>
      <c r="G2152" t="str">
        <f t="shared" si="167"/>
        <v>P</v>
      </c>
      <c r="H2152" t="str">
        <f t="shared" si="168"/>
        <v>85</v>
      </c>
      <c r="I2152" t="str">
        <f t="shared" si="169"/>
        <v>851</v>
      </c>
      <c r="J2152" t="str">
        <f t="shared" si="170"/>
        <v>85112</v>
      </c>
      <c r="K2152" t="str">
        <f t="shared" si="166"/>
        <v/>
      </c>
    </row>
    <row r="2153" spans="1:11" x14ac:dyDescent="0.25">
      <c r="C2153" t="s">
        <v>1864</v>
      </c>
      <c r="D2153" t="s">
        <v>1864</v>
      </c>
      <c r="E2153" t="s">
        <v>4017</v>
      </c>
      <c r="F2153" t="s">
        <v>1666</v>
      </c>
      <c r="G2153" t="str">
        <f t="shared" si="167"/>
        <v>P</v>
      </c>
      <c r="H2153" t="str">
        <f t="shared" si="168"/>
        <v>85</v>
      </c>
      <c r="I2153" t="str">
        <f t="shared" si="169"/>
        <v>851</v>
      </c>
      <c r="J2153" t="str">
        <f t="shared" si="170"/>
        <v>85112</v>
      </c>
      <c r="K2153" t="str">
        <f t="shared" si="166"/>
        <v>8511200</v>
      </c>
    </row>
    <row r="2154" spans="1:11" x14ac:dyDescent="0.25">
      <c r="C2154" t="s">
        <v>1864</v>
      </c>
      <c r="D2154" t="s">
        <v>4018</v>
      </c>
      <c r="E2154" t="s">
        <v>1864</v>
      </c>
      <c r="F2154" t="s">
        <v>1667</v>
      </c>
      <c r="G2154" t="str">
        <f t="shared" si="167"/>
        <v>P</v>
      </c>
      <c r="H2154" t="str">
        <f t="shared" si="168"/>
        <v>85</v>
      </c>
      <c r="I2154" t="str">
        <f t="shared" si="169"/>
        <v>851</v>
      </c>
      <c r="J2154" t="str">
        <f t="shared" si="170"/>
        <v>85121</v>
      </c>
      <c r="K2154" t="str">
        <f t="shared" si="166"/>
        <v/>
      </c>
    </row>
    <row r="2155" spans="1:11" x14ac:dyDescent="0.25">
      <c r="C2155" t="s">
        <v>1864</v>
      </c>
      <c r="D2155" t="s">
        <v>1864</v>
      </c>
      <c r="E2155" t="s">
        <v>4019</v>
      </c>
      <c r="F2155" t="s">
        <v>1667</v>
      </c>
      <c r="G2155" t="str">
        <f t="shared" si="167"/>
        <v>P</v>
      </c>
      <c r="H2155" t="str">
        <f t="shared" si="168"/>
        <v>85</v>
      </c>
      <c r="I2155" t="str">
        <f t="shared" si="169"/>
        <v>851</v>
      </c>
      <c r="J2155" t="str">
        <f t="shared" si="170"/>
        <v>85121</v>
      </c>
      <c r="K2155" t="str">
        <f t="shared" si="166"/>
        <v>8512100</v>
      </c>
    </row>
    <row r="2156" spans="1:11" x14ac:dyDescent="0.25">
      <c r="C2156" t="s">
        <v>1864</v>
      </c>
      <c r="D2156" t="s">
        <v>4020</v>
      </c>
      <c r="E2156" t="s">
        <v>1864</v>
      </c>
      <c r="F2156" t="s">
        <v>1668</v>
      </c>
      <c r="G2156" t="str">
        <f t="shared" si="167"/>
        <v>P</v>
      </c>
      <c r="H2156" t="str">
        <f t="shared" si="168"/>
        <v>85</v>
      </c>
      <c r="I2156" t="str">
        <f t="shared" si="169"/>
        <v>851</v>
      </c>
      <c r="J2156" t="str">
        <f t="shared" si="170"/>
        <v>85139</v>
      </c>
      <c r="K2156" t="str">
        <f t="shared" si="166"/>
        <v/>
      </c>
    </row>
    <row r="2157" spans="1:11" x14ac:dyDescent="0.25">
      <c r="C2157" t="s">
        <v>1864</v>
      </c>
      <c r="D2157" t="s">
        <v>1864</v>
      </c>
      <c r="E2157" t="s">
        <v>4021</v>
      </c>
      <c r="F2157" t="s">
        <v>1668</v>
      </c>
      <c r="G2157" t="str">
        <f t="shared" si="167"/>
        <v>P</v>
      </c>
      <c r="H2157" t="str">
        <f t="shared" si="168"/>
        <v>85</v>
      </c>
      <c r="I2157" t="str">
        <f t="shared" si="169"/>
        <v>851</v>
      </c>
      <c r="J2157" t="str">
        <f t="shared" si="170"/>
        <v>85139</v>
      </c>
      <c r="K2157" t="str">
        <f t="shared" si="166"/>
        <v>8513900</v>
      </c>
    </row>
    <row r="2158" spans="1:11" x14ac:dyDescent="0.25">
      <c r="C2158" t="s">
        <v>4022</v>
      </c>
      <c r="D2158" t="s">
        <v>1864</v>
      </c>
      <c r="E2158" t="s">
        <v>1864</v>
      </c>
      <c r="F2158" t="s">
        <v>1669</v>
      </c>
      <c r="G2158" t="str">
        <f t="shared" si="167"/>
        <v>P</v>
      </c>
      <c r="H2158" t="str">
        <f t="shared" si="168"/>
        <v>85</v>
      </c>
      <c r="I2158" t="str">
        <f t="shared" si="169"/>
        <v>852</v>
      </c>
      <c r="J2158" t="str">
        <f t="shared" si="170"/>
        <v>85139</v>
      </c>
      <c r="K2158" t="str">
        <f t="shared" si="166"/>
        <v/>
      </c>
    </row>
    <row r="2159" spans="1:11" x14ac:dyDescent="0.25">
      <c r="C2159" t="s">
        <v>1864</v>
      </c>
      <c r="D2159" t="s">
        <v>4023</v>
      </c>
      <c r="E2159" t="s">
        <v>1864</v>
      </c>
      <c r="F2159" t="s">
        <v>1669</v>
      </c>
      <c r="G2159" t="str">
        <f t="shared" si="167"/>
        <v>P</v>
      </c>
      <c r="H2159" t="str">
        <f t="shared" si="168"/>
        <v>85</v>
      </c>
      <c r="I2159" t="str">
        <f t="shared" si="169"/>
        <v>852</v>
      </c>
      <c r="J2159" t="str">
        <f t="shared" si="170"/>
        <v>85201</v>
      </c>
      <c r="K2159" t="str">
        <f t="shared" si="166"/>
        <v/>
      </c>
    </row>
    <row r="2160" spans="1:11" x14ac:dyDescent="0.25">
      <c r="C2160" t="s">
        <v>1864</v>
      </c>
      <c r="D2160" t="s">
        <v>1864</v>
      </c>
      <c r="E2160" t="s">
        <v>4024</v>
      </c>
      <c r="F2160" t="s">
        <v>1669</v>
      </c>
      <c r="G2160" t="str">
        <f t="shared" si="167"/>
        <v>P</v>
      </c>
      <c r="H2160" t="str">
        <f t="shared" si="168"/>
        <v>85</v>
      </c>
      <c r="I2160" t="str">
        <f t="shared" si="169"/>
        <v>852</v>
      </c>
      <c r="J2160" t="str">
        <f t="shared" si="170"/>
        <v>85201</v>
      </c>
      <c r="K2160" t="str">
        <f t="shared" si="166"/>
        <v>8520100</v>
      </c>
    </row>
    <row r="2161" spans="3:11" x14ac:dyDescent="0.25">
      <c r="C2161" t="s">
        <v>4025</v>
      </c>
      <c r="D2161" t="s">
        <v>1864</v>
      </c>
      <c r="E2161" t="s">
        <v>1864</v>
      </c>
      <c r="F2161" t="s">
        <v>1670</v>
      </c>
      <c r="G2161" t="str">
        <f t="shared" si="167"/>
        <v>P</v>
      </c>
      <c r="H2161" t="str">
        <f t="shared" si="168"/>
        <v>85</v>
      </c>
      <c r="I2161" t="str">
        <f t="shared" si="169"/>
        <v>853</v>
      </c>
      <c r="J2161" t="str">
        <f t="shared" si="170"/>
        <v>85201</v>
      </c>
      <c r="K2161" t="str">
        <f t="shared" si="166"/>
        <v/>
      </c>
    </row>
    <row r="2162" spans="3:11" x14ac:dyDescent="0.25">
      <c r="C2162" t="s">
        <v>1864</v>
      </c>
      <c r="D2162" t="s">
        <v>4026</v>
      </c>
      <c r="E2162" t="s">
        <v>1864</v>
      </c>
      <c r="F2162" t="s">
        <v>1671</v>
      </c>
      <c r="G2162" t="str">
        <f t="shared" si="167"/>
        <v>P</v>
      </c>
      <c r="H2162" t="str">
        <f t="shared" si="168"/>
        <v>85</v>
      </c>
      <c r="I2162" t="str">
        <f t="shared" si="169"/>
        <v>853</v>
      </c>
      <c r="J2162" t="str">
        <f t="shared" si="170"/>
        <v>85317</v>
      </c>
      <c r="K2162" t="str">
        <f t="shared" si="166"/>
        <v/>
      </c>
    </row>
    <row r="2163" spans="3:11" x14ac:dyDescent="0.25">
      <c r="C2163" t="s">
        <v>1864</v>
      </c>
      <c r="D2163" t="s">
        <v>1864</v>
      </c>
      <c r="E2163" t="s">
        <v>4027</v>
      </c>
      <c r="F2163" t="s">
        <v>1671</v>
      </c>
      <c r="G2163" t="str">
        <f t="shared" si="167"/>
        <v>P</v>
      </c>
      <c r="H2163" t="str">
        <f t="shared" si="168"/>
        <v>85</v>
      </c>
      <c r="I2163" t="str">
        <f t="shared" si="169"/>
        <v>853</v>
      </c>
      <c r="J2163" t="str">
        <f t="shared" si="170"/>
        <v>85317</v>
      </c>
      <c r="K2163" t="str">
        <f t="shared" si="166"/>
        <v>8531700</v>
      </c>
    </row>
    <row r="2164" spans="3:11" x14ac:dyDescent="0.25">
      <c r="C2164" t="s">
        <v>1864</v>
      </c>
      <c r="D2164" t="s">
        <v>4028</v>
      </c>
      <c r="E2164" t="s">
        <v>1864</v>
      </c>
      <c r="F2164" t="s">
        <v>1672</v>
      </c>
      <c r="G2164" t="str">
        <f t="shared" si="167"/>
        <v>P</v>
      </c>
      <c r="H2164" t="str">
        <f t="shared" si="168"/>
        <v>85</v>
      </c>
      <c r="I2164" t="str">
        <f t="shared" si="169"/>
        <v>853</v>
      </c>
      <c r="J2164" t="str">
        <f t="shared" si="170"/>
        <v>85325</v>
      </c>
      <c r="K2164" t="str">
        <f t="shared" si="166"/>
        <v/>
      </c>
    </row>
    <row r="2165" spans="3:11" x14ac:dyDescent="0.25">
      <c r="C2165" t="s">
        <v>1864</v>
      </c>
      <c r="D2165" t="s">
        <v>1864</v>
      </c>
      <c r="E2165" t="s">
        <v>4029</v>
      </c>
      <c r="F2165" t="s">
        <v>1672</v>
      </c>
      <c r="G2165" t="str">
        <f t="shared" si="167"/>
        <v>P</v>
      </c>
      <c r="H2165" t="str">
        <f t="shared" si="168"/>
        <v>85</v>
      </c>
      <c r="I2165" t="str">
        <f t="shared" si="169"/>
        <v>853</v>
      </c>
      <c r="J2165" t="str">
        <f t="shared" si="170"/>
        <v>85325</v>
      </c>
      <c r="K2165" t="str">
        <f t="shared" si="166"/>
        <v>8532500</v>
      </c>
    </row>
    <row r="2166" spans="3:11" x14ac:dyDescent="0.25">
      <c r="C2166" t="s">
        <v>1864</v>
      </c>
      <c r="D2166" t="s">
        <v>4030</v>
      </c>
      <c r="E2166" t="s">
        <v>1864</v>
      </c>
      <c r="F2166" t="s">
        <v>1673</v>
      </c>
      <c r="G2166" t="str">
        <f t="shared" si="167"/>
        <v>P</v>
      </c>
      <c r="H2166" t="str">
        <f t="shared" si="168"/>
        <v>85</v>
      </c>
      <c r="I2166" t="str">
        <f t="shared" si="169"/>
        <v>853</v>
      </c>
      <c r="J2166" t="str">
        <f t="shared" si="170"/>
        <v>85333</v>
      </c>
      <c r="K2166" t="str">
        <f t="shared" si="166"/>
        <v/>
      </c>
    </row>
    <row r="2167" spans="3:11" x14ac:dyDescent="0.25">
      <c r="C2167" t="s">
        <v>1864</v>
      </c>
      <c r="D2167" t="s">
        <v>1864</v>
      </c>
      <c r="E2167" t="s">
        <v>4031</v>
      </c>
      <c r="F2167" t="s">
        <v>1673</v>
      </c>
      <c r="G2167" t="str">
        <f t="shared" si="167"/>
        <v>P</v>
      </c>
      <c r="H2167" t="str">
        <f t="shared" si="168"/>
        <v>85</v>
      </c>
      <c r="I2167" t="str">
        <f t="shared" si="169"/>
        <v>853</v>
      </c>
      <c r="J2167" t="str">
        <f t="shared" si="170"/>
        <v>85333</v>
      </c>
      <c r="K2167" t="str">
        <f t="shared" si="166"/>
        <v>8533300</v>
      </c>
    </row>
    <row r="2168" spans="3:11" x14ac:dyDescent="0.25">
      <c r="C2168" t="s">
        <v>4032</v>
      </c>
      <c r="D2168" t="s">
        <v>1864</v>
      </c>
      <c r="E2168" t="s">
        <v>1864</v>
      </c>
      <c r="F2168" t="s">
        <v>1674</v>
      </c>
      <c r="G2168" t="str">
        <f t="shared" si="167"/>
        <v>P</v>
      </c>
      <c r="H2168" t="str">
        <f t="shared" si="168"/>
        <v>85</v>
      </c>
      <c r="I2168" t="str">
        <f t="shared" si="169"/>
        <v>854</v>
      </c>
      <c r="J2168" t="str">
        <f t="shared" si="170"/>
        <v>85333</v>
      </c>
      <c r="K2168" t="str">
        <f t="shared" si="166"/>
        <v/>
      </c>
    </row>
    <row r="2169" spans="3:11" x14ac:dyDescent="0.25">
      <c r="C2169" t="s">
        <v>1864</v>
      </c>
      <c r="D2169" t="s">
        <v>4033</v>
      </c>
      <c r="E2169" t="s">
        <v>1864</v>
      </c>
      <c r="F2169" t="s">
        <v>1675</v>
      </c>
      <c r="G2169" t="str">
        <f t="shared" si="167"/>
        <v>P</v>
      </c>
      <c r="H2169" t="str">
        <f t="shared" si="168"/>
        <v>85</v>
      </c>
      <c r="I2169" t="str">
        <f t="shared" si="169"/>
        <v>854</v>
      </c>
      <c r="J2169" t="str">
        <f t="shared" si="170"/>
        <v>85414</v>
      </c>
      <c r="K2169" t="str">
        <f t="shared" si="166"/>
        <v/>
      </c>
    </row>
    <row r="2170" spans="3:11" x14ac:dyDescent="0.25">
      <c r="C2170" t="s">
        <v>1864</v>
      </c>
      <c r="D2170" t="s">
        <v>1864</v>
      </c>
      <c r="E2170" t="s">
        <v>4034</v>
      </c>
      <c r="F2170" t="s">
        <v>1675</v>
      </c>
      <c r="G2170" t="str">
        <f t="shared" si="167"/>
        <v>P</v>
      </c>
      <c r="H2170" t="str">
        <f t="shared" si="168"/>
        <v>85</v>
      </c>
      <c r="I2170" t="str">
        <f t="shared" si="169"/>
        <v>854</v>
      </c>
      <c r="J2170" t="str">
        <f t="shared" si="170"/>
        <v>85414</v>
      </c>
      <c r="K2170" t="str">
        <f t="shared" si="166"/>
        <v>8541400</v>
      </c>
    </row>
    <row r="2171" spans="3:11" x14ac:dyDescent="0.25">
      <c r="C2171" t="s">
        <v>1864</v>
      </c>
      <c r="D2171" t="s">
        <v>4035</v>
      </c>
      <c r="E2171" t="s">
        <v>1864</v>
      </c>
      <c r="F2171" t="s">
        <v>1676</v>
      </c>
      <c r="G2171" t="str">
        <f t="shared" si="167"/>
        <v>P</v>
      </c>
      <c r="H2171" t="str">
        <f t="shared" si="168"/>
        <v>85</v>
      </c>
      <c r="I2171" t="str">
        <f t="shared" si="169"/>
        <v>854</v>
      </c>
      <c r="J2171" t="str">
        <f t="shared" si="170"/>
        <v>85422</v>
      </c>
      <c r="K2171" t="str">
        <f t="shared" si="166"/>
        <v/>
      </c>
    </row>
    <row r="2172" spans="3:11" x14ac:dyDescent="0.25">
      <c r="C2172" t="s">
        <v>1864</v>
      </c>
      <c r="D2172" t="s">
        <v>1864</v>
      </c>
      <c r="E2172" t="s">
        <v>4036</v>
      </c>
      <c r="F2172" t="s">
        <v>1676</v>
      </c>
      <c r="G2172" t="str">
        <f t="shared" si="167"/>
        <v>P</v>
      </c>
      <c r="H2172" t="str">
        <f t="shared" si="168"/>
        <v>85</v>
      </c>
      <c r="I2172" t="str">
        <f t="shared" si="169"/>
        <v>854</v>
      </c>
      <c r="J2172" t="str">
        <f t="shared" si="170"/>
        <v>85422</v>
      </c>
      <c r="K2172" t="str">
        <f t="shared" si="166"/>
        <v>8542200</v>
      </c>
    </row>
    <row r="2173" spans="3:11" x14ac:dyDescent="0.25">
      <c r="C2173" t="s">
        <v>4037</v>
      </c>
      <c r="D2173" t="s">
        <v>1864</v>
      </c>
      <c r="E2173" t="s">
        <v>1864</v>
      </c>
      <c r="F2173" t="s">
        <v>1677</v>
      </c>
      <c r="G2173" t="str">
        <f t="shared" si="167"/>
        <v>P</v>
      </c>
      <c r="H2173" t="str">
        <f t="shared" si="168"/>
        <v>85</v>
      </c>
      <c r="I2173" t="str">
        <f t="shared" si="169"/>
        <v>855</v>
      </c>
      <c r="J2173" t="str">
        <f t="shared" si="170"/>
        <v>85422</v>
      </c>
      <c r="K2173" t="str">
        <f t="shared" si="166"/>
        <v/>
      </c>
    </row>
    <row r="2174" spans="3:11" x14ac:dyDescent="0.25">
      <c r="C2174" t="s">
        <v>1864</v>
      </c>
      <c r="D2174" t="s">
        <v>4038</v>
      </c>
      <c r="E2174" t="s">
        <v>1864</v>
      </c>
      <c r="F2174" t="s">
        <v>1677</v>
      </c>
      <c r="G2174" t="str">
        <f t="shared" si="167"/>
        <v>P</v>
      </c>
      <c r="H2174" t="str">
        <f t="shared" si="168"/>
        <v>85</v>
      </c>
      <c r="I2174" t="str">
        <f t="shared" si="169"/>
        <v>855</v>
      </c>
      <c r="J2174" t="str">
        <f t="shared" si="170"/>
        <v>85503</v>
      </c>
      <c r="K2174" t="str">
        <f t="shared" si="166"/>
        <v/>
      </c>
    </row>
    <row r="2175" spans="3:11" x14ac:dyDescent="0.25">
      <c r="C2175" t="s">
        <v>1864</v>
      </c>
      <c r="D2175" t="s">
        <v>1864</v>
      </c>
      <c r="E2175" t="s">
        <v>4039</v>
      </c>
      <c r="F2175" t="s">
        <v>1678</v>
      </c>
      <c r="G2175" t="str">
        <f t="shared" si="167"/>
        <v>P</v>
      </c>
      <c r="H2175" t="str">
        <f t="shared" si="168"/>
        <v>85</v>
      </c>
      <c r="I2175" t="str">
        <f t="shared" si="169"/>
        <v>855</v>
      </c>
      <c r="J2175" t="str">
        <f t="shared" si="170"/>
        <v>85503</v>
      </c>
      <c r="K2175" t="str">
        <f t="shared" si="166"/>
        <v>8550301</v>
      </c>
    </row>
    <row r="2176" spans="3:11" x14ac:dyDescent="0.25">
      <c r="C2176" t="s">
        <v>1864</v>
      </c>
      <c r="D2176" t="s">
        <v>1864</v>
      </c>
      <c r="E2176" t="s">
        <v>4040</v>
      </c>
      <c r="F2176" t="s">
        <v>1679</v>
      </c>
      <c r="G2176" t="str">
        <f t="shared" si="167"/>
        <v>P</v>
      </c>
      <c r="H2176" t="str">
        <f t="shared" si="168"/>
        <v>85</v>
      </c>
      <c r="I2176" t="str">
        <f t="shared" si="169"/>
        <v>855</v>
      </c>
      <c r="J2176" t="str">
        <f t="shared" si="170"/>
        <v>85503</v>
      </c>
      <c r="K2176" t="str">
        <f t="shared" si="166"/>
        <v>8550302</v>
      </c>
    </row>
    <row r="2177" spans="3:11" x14ac:dyDescent="0.25">
      <c r="C2177" t="s">
        <v>4041</v>
      </c>
      <c r="D2177" t="s">
        <v>1864</v>
      </c>
      <c r="E2177" t="s">
        <v>1864</v>
      </c>
      <c r="F2177" t="s">
        <v>1680</v>
      </c>
      <c r="G2177" t="str">
        <f t="shared" si="167"/>
        <v>P</v>
      </c>
      <c r="H2177" t="str">
        <f t="shared" si="168"/>
        <v>85</v>
      </c>
      <c r="I2177" t="str">
        <f t="shared" si="169"/>
        <v>859</v>
      </c>
      <c r="J2177" t="str">
        <f t="shared" si="170"/>
        <v>85503</v>
      </c>
      <c r="K2177" t="str">
        <f t="shared" si="166"/>
        <v/>
      </c>
    </row>
    <row r="2178" spans="3:11" x14ac:dyDescent="0.25">
      <c r="C2178" t="s">
        <v>1864</v>
      </c>
      <c r="D2178" t="s">
        <v>4042</v>
      </c>
      <c r="E2178" t="s">
        <v>1864</v>
      </c>
      <c r="F2178" t="s">
        <v>1681</v>
      </c>
      <c r="G2178" t="str">
        <f t="shared" si="167"/>
        <v>P</v>
      </c>
      <c r="H2178" t="str">
        <f t="shared" si="168"/>
        <v>85</v>
      </c>
      <c r="I2178" t="str">
        <f t="shared" si="169"/>
        <v>859</v>
      </c>
      <c r="J2178" t="str">
        <f t="shared" si="170"/>
        <v>85911</v>
      </c>
      <c r="K2178" t="str">
        <f t="shared" si="166"/>
        <v/>
      </c>
    </row>
    <row r="2179" spans="3:11" x14ac:dyDescent="0.25">
      <c r="C2179" t="s">
        <v>1864</v>
      </c>
      <c r="D2179" t="s">
        <v>1864</v>
      </c>
      <c r="E2179" t="s">
        <v>4043</v>
      </c>
      <c r="F2179" t="s">
        <v>1681</v>
      </c>
      <c r="G2179" t="str">
        <f t="shared" si="167"/>
        <v>P</v>
      </c>
      <c r="H2179" t="str">
        <f t="shared" si="168"/>
        <v>85</v>
      </c>
      <c r="I2179" t="str">
        <f t="shared" si="169"/>
        <v>859</v>
      </c>
      <c r="J2179" t="str">
        <f t="shared" si="170"/>
        <v>85911</v>
      </c>
      <c r="K2179" t="str">
        <f t="shared" si="166"/>
        <v>8591100</v>
      </c>
    </row>
    <row r="2180" spans="3:11" x14ac:dyDescent="0.25">
      <c r="C2180" t="s">
        <v>1864</v>
      </c>
      <c r="D2180" t="s">
        <v>4044</v>
      </c>
      <c r="E2180" t="s">
        <v>1864</v>
      </c>
      <c r="F2180" t="s">
        <v>1682</v>
      </c>
      <c r="G2180" t="str">
        <f t="shared" si="167"/>
        <v>P</v>
      </c>
      <c r="H2180" t="str">
        <f t="shared" si="168"/>
        <v>85</v>
      </c>
      <c r="I2180" t="str">
        <f t="shared" si="169"/>
        <v>859</v>
      </c>
      <c r="J2180" t="str">
        <f t="shared" si="170"/>
        <v>85929</v>
      </c>
      <c r="K2180" t="str">
        <f t="shared" si="166"/>
        <v/>
      </c>
    </row>
    <row r="2181" spans="3:11" x14ac:dyDescent="0.25">
      <c r="C2181" t="s">
        <v>1864</v>
      </c>
      <c r="D2181" t="s">
        <v>1864</v>
      </c>
      <c r="E2181" t="s">
        <v>4045</v>
      </c>
      <c r="F2181" t="s">
        <v>1683</v>
      </c>
      <c r="G2181" t="str">
        <f t="shared" si="167"/>
        <v>P</v>
      </c>
      <c r="H2181" t="str">
        <f t="shared" si="168"/>
        <v>85</v>
      </c>
      <c r="I2181" t="str">
        <f t="shared" si="169"/>
        <v>859</v>
      </c>
      <c r="J2181" t="str">
        <f t="shared" si="170"/>
        <v>85929</v>
      </c>
      <c r="K2181" t="str">
        <f t="shared" si="166"/>
        <v>8592901</v>
      </c>
    </row>
    <row r="2182" spans="3:11" x14ac:dyDescent="0.25">
      <c r="C2182" t="s">
        <v>1864</v>
      </c>
      <c r="D2182" t="s">
        <v>1864</v>
      </c>
      <c r="E2182" t="s">
        <v>4046</v>
      </c>
      <c r="F2182" t="s">
        <v>1684</v>
      </c>
      <c r="G2182" t="str">
        <f t="shared" si="167"/>
        <v>P</v>
      </c>
      <c r="H2182" t="str">
        <f t="shared" si="168"/>
        <v>85</v>
      </c>
      <c r="I2182" t="str">
        <f t="shared" si="169"/>
        <v>859</v>
      </c>
      <c r="J2182" t="str">
        <f t="shared" si="170"/>
        <v>85929</v>
      </c>
      <c r="K2182" t="str">
        <f t="shared" si="166"/>
        <v>8592902</v>
      </c>
    </row>
    <row r="2183" spans="3:11" x14ac:dyDescent="0.25">
      <c r="C2183" t="s">
        <v>1864</v>
      </c>
      <c r="D2183" t="s">
        <v>1864</v>
      </c>
      <c r="E2183" t="s">
        <v>4047</v>
      </c>
      <c r="F2183" t="s">
        <v>1685</v>
      </c>
      <c r="G2183" t="str">
        <f t="shared" si="167"/>
        <v>P</v>
      </c>
      <c r="H2183" t="str">
        <f t="shared" si="168"/>
        <v>85</v>
      </c>
      <c r="I2183" t="str">
        <f t="shared" si="169"/>
        <v>859</v>
      </c>
      <c r="J2183" t="str">
        <f t="shared" si="170"/>
        <v>85929</v>
      </c>
      <c r="K2183" t="str">
        <f t="shared" si="166"/>
        <v>8592903</v>
      </c>
    </row>
    <row r="2184" spans="3:11" x14ac:dyDescent="0.25">
      <c r="C2184" t="s">
        <v>1864</v>
      </c>
      <c r="D2184" t="s">
        <v>1864</v>
      </c>
      <c r="E2184" t="s">
        <v>4048</v>
      </c>
      <c r="F2184" t="s">
        <v>1686</v>
      </c>
      <c r="G2184" t="str">
        <f t="shared" si="167"/>
        <v>P</v>
      </c>
      <c r="H2184" t="str">
        <f t="shared" si="168"/>
        <v>85</v>
      </c>
      <c r="I2184" t="str">
        <f t="shared" si="169"/>
        <v>859</v>
      </c>
      <c r="J2184" t="str">
        <f t="shared" si="170"/>
        <v>85929</v>
      </c>
      <c r="K2184" t="str">
        <f t="shared" ref="K2184:K2247" si="171">E2184</f>
        <v>8592999</v>
      </c>
    </row>
    <row r="2185" spans="3:11" x14ac:dyDescent="0.25">
      <c r="C2185" t="s">
        <v>1864</v>
      </c>
      <c r="D2185" t="s">
        <v>4049</v>
      </c>
      <c r="E2185" t="s">
        <v>1864</v>
      </c>
      <c r="F2185" t="s">
        <v>1687</v>
      </c>
      <c r="G2185" t="str">
        <f t="shared" ref="G2185:G2248" si="172">IF(A2185="",G2184,A2185)</f>
        <v>P</v>
      </c>
      <c r="H2185" t="str">
        <f t="shared" ref="H2185:H2248" si="173">IF(B2185="",H2184,B2185)</f>
        <v>85</v>
      </c>
      <c r="I2185" t="str">
        <f t="shared" ref="I2185:I2248" si="174">IF(C2185="",I2184,C2185)</f>
        <v>859</v>
      </c>
      <c r="J2185" t="str">
        <f t="shared" ref="J2185:J2248" si="175">IF(D2185="",J2184,D2185)</f>
        <v>85937</v>
      </c>
      <c r="K2185" t="str">
        <f t="shared" si="171"/>
        <v/>
      </c>
    </row>
    <row r="2186" spans="3:11" x14ac:dyDescent="0.25">
      <c r="C2186" t="s">
        <v>1864</v>
      </c>
      <c r="D2186" t="s">
        <v>1864</v>
      </c>
      <c r="E2186" t="s">
        <v>4050</v>
      </c>
      <c r="F2186" t="s">
        <v>1687</v>
      </c>
      <c r="G2186" t="str">
        <f t="shared" si="172"/>
        <v>P</v>
      </c>
      <c r="H2186" t="str">
        <f t="shared" si="173"/>
        <v>85</v>
      </c>
      <c r="I2186" t="str">
        <f t="shared" si="174"/>
        <v>859</v>
      </c>
      <c r="J2186" t="str">
        <f t="shared" si="175"/>
        <v>85937</v>
      </c>
      <c r="K2186" t="str">
        <f t="shared" si="171"/>
        <v>8593700</v>
      </c>
    </row>
    <row r="2187" spans="3:11" x14ac:dyDescent="0.25">
      <c r="C2187" t="s">
        <v>1864</v>
      </c>
      <c r="D2187" t="s">
        <v>4051</v>
      </c>
      <c r="E2187" t="s">
        <v>1864</v>
      </c>
      <c r="F2187" t="s">
        <v>1688</v>
      </c>
      <c r="G2187" t="str">
        <f t="shared" si="172"/>
        <v>P</v>
      </c>
      <c r="H2187" t="str">
        <f t="shared" si="173"/>
        <v>85</v>
      </c>
      <c r="I2187" t="str">
        <f t="shared" si="174"/>
        <v>859</v>
      </c>
      <c r="J2187" t="str">
        <f t="shared" si="175"/>
        <v>85996</v>
      </c>
      <c r="K2187" t="str">
        <f t="shared" si="171"/>
        <v/>
      </c>
    </row>
    <row r="2188" spans="3:11" x14ac:dyDescent="0.25">
      <c r="C2188" t="s">
        <v>1864</v>
      </c>
      <c r="D2188" t="s">
        <v>1864</v>
      </c>
      <c r="E2188" t="s">
        <v>4052</v>
      </c>
      <c r="F2188" t="s">
        <v>1689</v>
      </c>
      <c r="G2188" t="str">
        <f t="shared" si="172"/>
        <v>P</v>
      </c>
      <c r="H2188" t="str">
        <f t="shared" si="173"/>
        <v>85</v>
      </c>
      <c r="I2188" t="str">
        <f t="shared" si="174"/>
        <v>859</v>
      </c>
      <c r="J2188" t="str">
        <f t="shared" si="175"/>
        <v>85996</v>
      </c>
      <c r="K2188" t="str">
        <f t="shared" si="171"/>
        <v>8599601</v>
      </c>
    </row>
    <row r="2189" spans="3:11" x14ac:dyDescent="0.25">
      <c r="C2189" t="s">
        <v>1864</v>
      </c>
      <c r="D2189" t="s">
        <v>1864</v>
      </c>
      <c r="E2189" t="s">
        <v>4053</v>
      </c>
      <c r="F2189" t="s">
        <v>1690</v>
      </c>
      <c r="G2189" t="str">
        <f t="shared" si="172"/>
        <v>P</v>
      </c>
      <c r="H2189" t="str">
        <f t="shared" si="173"/>
        <v>85</v>
      </c>
      <c r="I2189" t="str">
        <f t="shared" si="174"/>
        <v>859</v>
      </c>
      <c r="J2189" t="str">
        <f t="shared" si="175"/>
        <v>85996</v>
      </c>
      <c r="K2189" t="str">
        <f t="shared" si="171"/>
        <v>8599602</v>
      </c>
    </row>
    <row r="2190" spans="3:11" x14ac:dyDescent="0.25">
      <c r="C2190" t="s">
        <v>1864</v>
      </c>
      <c r="D2190" t="s">
        <v>1864</v>
      </c>
      <c r="E2190" t="s">
        <v>4054</v>
      </c>
      <c r="F2190" t="s">
        <v>1691</v>
      </c>
      <c r="G2190" t="str">
        <f t="shared" si="172"/>
        <v>P</v>
      </c>
      <c r="H2190" t="str">
        <f t="shared" si="173"/>
        <v>85</v>
      </c>
      <c r="I2190" t="str">
        <f t="shared" si="174"/>
        <v>859</v>
      </c>
      <c r="J2190" t="str">
        <f t="shared" si="175"/>
        <v>85996</v>
      </c>
      <c r="K2190" t="str">
        <f t="shared" si="171"/>
        <v>8599603</v>
      </c>
    </row>
    <row r="2191" spans="3:11" x14ac:dyDescent="0.25">
      <c r="C2191" t="s">
        <v>1864</v>
      </c>
      <c r="D2191" t="s">
        <v>1864</v>
      </c>
      <c r="E2191" t="s">
        <v>4055</v>
      </c>
      <c r="F2191" t="s">
        <v>1692</v>
      </c>
      <c r="G2191" t="str">
        <f t="shared" si="172"/>
        <v>P</v>
      </c>
      <c r="H2191" t="str">
        <f t="shared" si="173"/>
        <v>85</v>
      </c>
      <c r="I2191" t="str">
        <f t="shared" si="174"/>
        <v>859</v>
      </c>
      <c r="J2191" t="str">
        <f t="shared" si="175"/>
        <v>85996</v>
      </c>
      <c r="K2191" t="str">
        <f t="shared" si="171"/>
        <v>8599604</v>
      </c>
    </row>
    <row r="2192" spans="3:11" x14ac:dyDescent="0.25">
      <c r="C2192" t="s">
        <v>1864</v>
      </c>
      <c r="D2192" t="s">
        <v>1864</v>
      </c>
      <c r="E2192" t="s">
        <v>4056</v>
      </c>
      <c r="F2192" t="s">
        <v>1693</v>
      </c>
      <c r="G2192" t="str">
        <f t="shared" si="172"/>
        <v>P</v>
      </c>
      <c r="H2192" t="str">
        <f t="shared" si="173"/>
        <v>85</v>
      </c>
      <c r="I2192" t="str">
        <f t="shared" si="174"/>
        <v>859</v>
      </c>
      <c r="J2192" t="str">
        <f t="shared" si="175"/>
        <v>85996</v>
      </c>
      <c r="K2192" t="str">
        <f t="shared" si="171"/>
        <v>8599605</v>
      </c>
    </row>
    <row r="2193" spans="1:11" x14ac:dyDescent="0.25">
      <c r="C2193" t="s">
        <v>1864</v>
      </c>
      <c r="D2193" t="s">
        <v>1864</v>
      </c>
      <c r="E2193" t="s">
        <v>4057</v>
      </c>
      <c r="F2193" t="s">
        <v>1694</v>
      </c>
      <c r="G2193" t="str">
        <f t="shared" si="172"/>
        <v>P</v>
      </c>
      <c r="H2193" t="str">
        <f t="shared" si="173"/>
        <v>85</v>
      </c>
      <c r="I2193" t="str">
        <f t="shared" si="174"/>
        <v>859</v>
      </c>
      <c r="J2193" t="str">
        <f t="shared" si="175"/>
        <v>85996</v>
      </c>
      <c r="K2193" t="str">
        <f t="shared" si="171"/>
        <v>8599699</v>
      </c>
    </row>
    <row r="2194" spans="1:11" x14ac:dyDescent="0.25">
      <c r="A2194" t="s">
        <v>4058</v>
      </c>
      <c r="C2194" t="s">
        <v>1864</v>
      </c>
      <c r="D2194" t="s">
        <v>1864</v>
      </c>
      <c r="E2194" t="s">
        <v>1864</v>
      </c>
      <c r="F2194" t="s">
        <v>1695</v>
      </c>
      <c r="G2194" t="str">
        <f t="shared" si="172"/>
        <v>Q</v>
      </c>
      <c r="H2194" t="str">
        <f t="shared" si="173"/>
        <v>85</v>
      </c>
      <c r="I2194" t="str">
        <f t="shared" si="174"/>
        <v>859</v>
      </c>
      <c r="J2194" t="str">
        <f t="shared" si="175"/>
        <v>85996</v>
      </c>
      <c r="K2194" t="str">
        <f t="shared" si="171"/>
        <v/>
      </c>
    </row>
    <row r="2195" spans="1:11" x14ac:dyDescent="0.25">
      <c r="B2195" t="s">
        <v>4059</v>
      </c>
      <c r="C2195" t="s">
        <v>1864</v>
      </c>
      <c r="D2195" t="s">
        <v>1864</v>
      </c>
      <c r="E2195" t="s">
        <v>1864</v>
      </c>
      <c r="F2195" t="s">
        <v>1696</v>
      </c>
      <c r="G2195" t="str">
        <f t="shared" si="172"/>
        <v>Q</v>
      </c>
      <c r="H2195" t="str">
        <f t="shared" si="173"/>
        <v>86</v>
      </c>
      <c r="I2195" t="str">
        <f t="shared" si="174"/>
        <v>859</v>
      </c>
      <c r="J2195" t="str">
        <f t="shared" si="175"/>
        <v>85996</v>
      </c>
      <c r="K2195" t="str">
        <f t="shared" si="171"/>
        <v/>
      </c>
    </row>
    <row r="2196" spans="1:11" x14ac:dyDescent="0.25">
      <c r="C2196" t="s">
        <v>4060</v>
      </c>
      <c r="D2196" t="s">
        <v>1864</v>
      </c>
      <c r="E2196" t="s">
        <v>1864</v>
      </c>
      <c r="F2196" t="s">
        <v>1697</v>
      </c>
      <c r="G2196" t="str">
        <f t="shared" si="172"/>
        <v>Q</v>
      </c>
      <c r="H2196" t="str">
        <f t="shared" si="173"/>
        <v>86</v>
      </c>
      <c r="I2196" t="str">
        <f t="shared" si="174"/>
        <v>861</v>
      </c>
      <c r="J2196" t="str">
        <f t="shared" si="175"/>
        <v>85996</v>
      </c>
      <c r="K2196" t="str">
        <f t="shared" si="171"/>
        <v/>
      </c>
    </row>
    <row r="2197" spans="1:11" x14ac:dyDescent="0.25">
      <c r="C2197" t="s">
        <v>1864</v>
      </c>
      <c r="D2197" t="s">
        <v>4061</v>
      </c>
      <c r="E2197" t="s">
        <v>1864</v>
      </c>
      <c r="F2197" t="s">
        <v>1697</v>
      </c>
      <c r="G2197" t="str">
        <f t="shared" si="172"/>
        <v>Q</v>
      </c>
      <c r="H2197" t="str">
        <f t="shared" si="173"/>
        <v>86</v>
      </c>
      <c r="I2197" t="str">
        <f t="shared" si="174"/>
        <v>861</v>
      </c>
      <c r="J2197" t="str">
        <f t="shared" si="175"/>
        <v>86101</v>
      </c>
      <c r="K2197" t="str">
        <f t="shared" si="171"/>
        <v/>
      </c>
    </row>
    <row r="2198" spans="1:11" x14ac:dyDescent="0.25">
      <c r="C2198" t="s">
        <v>1864</v>
      </c>
      <c r="D2198" t="s">
        <v>1864</v>
      </c>
      <c r="E2198" t="s">
        <v>4062</v>
      </c>
      <c r="F2198" t="s">
        <v>1698</v>
      </c>
      <c r="G2198" t="str">
        <f t="shared" si="172"/>
        <v>Q</v>
      </c>
      <c r="H2198" t="str">
        <f t="shared" si="173"/>
        <v>86</v>
      </c>
      <c r="I2198" t="str">
        <f t="shared" si="174"/>
        <v>861</v>
      </c>
      <c r="J2198" t="str">
        <f t="shared" si="175"/>
        <v>86101</v>
      </c>
      <c r="K2198" t="str">
        <f t="shared" si="171"/>
        <v>8610101</v>
      </c>
    </row>
    <row r="2199" spans="1:11" x14ac:dyDescent="0.25">
      <c r="C2199" t="s">
        <v>1864</v>
      </c>
      <c r="D2199" t="s">
        <v>1864</v>
      </c>
      <c r="E2199" t="s">
        <v>4063</v>
      </c>
      <c r="F2199" t="s">
        <v>1699</v>
      </c>
      <c r="G2199" t="str">
        <f t="shared" si="172"/>
        <v>Q</v>
      </c>
      <c r="H2199" t="str">
        <f t="shared" si="173"/>
        <v>86</v>
      </c>
      <c r="I2199" t="str">
        <f t="shared" si="174"/>
        <v>861</v>
      </c>
      <c r="J2199" t="str">
        <f t="shared" si="175"/>
        <v>86101</v>
      </c>
      <c r="K2199" t="str">
        <f t="shared" si="171"/>
        <v>8610102</v>
      </c>
    </row>
    <row r="2200" spans="1:11" x14ac:dyDescent="0.25">
      <c r="C2200" t="s">
        <v>4064</v>
      </c>
      <c r="D2200" t="s">
        <v>1864</v>
      </c>
      <c r="E2200" t="s">
        <v>1864</v>
      </c>
      <c r="F2200" t="s">
        <v>1700</v>
      </c>
      <c r="G2200" t="str">
        <f t="shared" si="172"/>
        <v>Q</v>
      </c>
      <c r="H2200" t="str">
        <f t="shared" si="173"/>
        <v>86</v>
      </c>
      <c r="I2200" t="str">
        <f t="shared" si="174"/>
        <v>862</v>
      </c>
      <c r="J2200" t="str">
        <f t="shared" si="175"/>
        <v>86101</v>
      </c>
      <c r="K2200" t="str">
        <f t="shared" si="171"/>
        <v/>
      </c>
    </row>
    <row r="2201" spans="1:11" x14ac:dyDescent="0.25">
      <c r="C2201" t="s">
        <v>1864</v>
      </c>
      <c r="D2201" t="s">
        <v>4065</v>
      </c>
      <c r="E2201" t="s">
        <v>1864</v>
      </c>
      <c r="F2201" t="s">
        <v>1701</v>
      </c>
      <c r="G2201" t="str">
        <f t="shared" si="172"/>
        <v>Q</v>
      </c>
      <c r="H2201" t="str">
        <f t="shared" si="173"/>
        <v>86</v>
      </c>
      <c r="I2201" t="str">
        <f t="shared" si="174"/>
        <v>862</v>
      </c>
      <c r="J2201" t="str">
        <f t="shared" si="175"/>
        <v>86216</v>
      </c>
      <c r="K2201" t="str">
        <f t="shared" si="171"/>
        <v/>
      </c>
    </row>
    <row r="2202" spans="1:11" x14ac:dyDescent="0.25">
      <c r="C2202" t="s">
        <v>1864</v>
      </c>
      <c r="D2202" t="s">
        <v>1864</v>
      </c>
      <c r="E2202" t="s">
        <v>4066</v>
      </c>
      <c r="F2202" t="s">
        <v>1702</v>
      </c>
      <c r="G2202" t="str">
        <f t="shared" si="172"/>
        <v>Q</v>
      </c>
      <c r="H2202" t="str">
        <f t="shared" si="173"/>
        <v>86</v>
      </c>
      <c r="I2202" t="str">
        <f t="shared" si="174"/>
        <v>862</v>
      </c>
      <c r="J2202" t="str">
        <f t="shared" si="175"/>
        <v>86216</v>
      </c>
      <c r="K2202" t="str">
        <f t="shared" si="171"/>
        <v>8621601</v>
      </c>
    </row>
    <row r="2203" spans="1:11" x14ac:dyDescent="0.25">
      <c r="C2203" t="s">
        <v>1864</v>
      </c>
      <c r="D2203" t="s">
        <v>1864</v>
      </c>
      <c r="E2203" t="s">
        <v>4067</v>
      </c>
      <c r="F2203" t="s">
        <v>1703</v>
      </c>
      <c r="G2203" t="str">
        <f t="shared" si="172"/>
        <v>Q</v>
      </c>
      <c r="H2203" t="str">
        <f t="shared" si="173"/>
        <v>86</v>
      </c>
      <c r="I2203" t="str">
        <f t="shared" si="174"/>
        <v>862</v>
      </c>
      <c r="J2203" t="str">
        <f t="shared" si="175"/>
        <v>86216</v>
      </c>
      <c r="K2203" t="str">
        <f t="shared" si="171"/>
        <v>8621602</v>
      </c>
    </row>
    <row r="2204" spans="1:11" x14ac:dyDescent="0.25">
      <c r="C2204" t="s">
        <v>1864</v>
      </c>
      <c r="D2204" t="s">
        <v>4068</v>
      </c>
      <c r="E2204" t="s">
        <v>1864</v>
      </c>
      <c r="F2204" t="s">
        <v>1704</v>
      </c>
      <c r="G2204" t="str">
        <f t="shared" si="172"/>
        <v>Q</v>
      </c>
      <c r="H2204" t="str">
        <f t="shared" si="173"/>
        <v>86</v>
      </c>
      <c r="I2204" t="str">
        <f t="shared" si="174"/>
        <v>862</v>
      </c>
      <c r="J2204" t="str">
        <f t="shared" si="175"/>
        <v>86224</v>
      </c>
      <c r="K2204" t="str">
        <f t="shared" si="171"/>
        <v/>
      </c>
    </row>
    <row r="2205" spans="1:11" x14ac:dyDescent="0.25">
      <c r="C2205" t="s">
        <v>1864</v>
      </c>
      <c r="D2205" t="s">
        <v>1864</v>
      </c>
      <c r="E2205" t="s">
        <v>4069</v>
      </c>
      <c r="F2205" t="s">
        <v>1704</v>
      </c>
      <c r="G2205" t="str">
        <f t="shared" si="172"/>
        <v>Q</v>
      </c>
      <c r="H2205" t="str">
        <f t="shared" si="173"/>
        <v>86</v>
      </c>
      <c r="I2205" t="str">
        <f t="shared" si="174"/>
        <v>862</v>
      </c>
      <c r="J2205" t="str">
        <f t="shared" si="175"/>
        <v>86224</v>
      </c>
      <c r="K2205" t="str">
        <f t="shared" si="171"/>
        <v>8622400</v>
      </c>
    </row>
    <row r="2206" spans="1:11" x14ac:dyDescent="0.25">
      <c r="C2206" t="s">
        <v>4070</v>
      </c>
      <c r="D2206" t="s">
        <v>1864</v>
      </c>
      <c r="E2206" t="s">
        <v>1864</v>
      </c>
      <c r="F2206" t="s">
        <v>1705</v>
      </c>
      <c r="G2206" t="str">
        <f t="shared" si="172"/>
        <v>Q</v>
      </c>
      <c r="H2206" t="str">
        <f t="shared" si="173"/>
        <v>86</v>
      </c>
      <c r="I2206" t="str">
        <f t="shared" si="174"/>
        <v>863</v>
      </c>
      <c r="J2206" t="str">
        <f t="shared" si="175"/>
        <v>86224</v>
      </c>
      <c r="K2206" t="str">
        <f t="shared" si="171"/>
        <v/>
      </c>
    </row>
    <row r="2207" spans="1:11" x14ac:dyDescent="0.25">
      <c r="C2207" t="s">
        <v>1864</v>
      </c>
      <c r="D2207" t="s">
        <v>4071</v>
      </c>
      <c r="E2207" t="s">
        <v>1864</v>
      </c>
      <c r="F2207" t="s">
        <v>1705</v>
      </c>
      <c r="G2207" t="str">
        <f t="shared" si="172"/>
        <v>Q</v>
      </c>
      <c r="H2207" t="str">
        <f t="shared" si="173"/>
        <v>86</v>
      </c>
      <c r="I2207" t="str">
        <f t="shared" si="174"/>
        <v>863</v>
      </c>
      <c r="J2207" t="str">
        <f t="shared" si="175"/>
        <v>86305</v>
      </c>
      <c r="K2207" t="str">
        <f t="shared" si="171"/>
        <v/>
      </c>
    </row>
    <row r="2208" spans="1:11" x14ac:dyDescent="0.25">
      <c r="C2208" t="s">
        <v>1864</v>
      </c>
      <c r="D2208" t="s">
        <v>1864</v>
      </c>
      <c r="E2208" t="s">
        <v>4072</v>
      </c>
      <c r="F2208" t="s">
        <v>1706</v>
      </c>
      <c r="G2208" t="str">
        <f t="shared" si="172"/>
        <v>Q</v>
      </c>
      <c r="H2208" t="str">
        <f t="shared" si="173"/>
        <v>86</v>
      </c>
      <c r="I2208" t="str">
        <f t="shared" si="174"/>
        <v>863</v>
      </c>
      <c r="J2208" t="str">
        <f t="shared" si="175"/>
        <v>86305</v>
      </c>
      <c r="K2208" t="str">
        <f t="shared" si="171"/>
        <v>8630501</v>
      </c>
    </row>
    <row r="2209" spans="3:11" x14ac:dyDescent="0.25">
      <c r="C2209" t="s">
        <v>1864</v>
      </c>
      <c r="D2209" t="s">
        <v>1864</v>
      </c>
      <c r="E2209" t="s">
        <v>4073</v>
      </c>
      <c r="F2209" t="s">
        <v>1707</v>
      </c>
      <c r="G2209" t="str">
        <f t="shared" si="172"/>
        <v>Q</v>
      </c>
      <c r="H2209" t="str">
        <f t="shared" si="173"/>
        <v>86</v>
      </c>
      <c r="I2209" t="str">
        <f t="shared" si="174"/>
        <v>863</v>
      </c>
      <c r="J2209" t="str">
        <f t="shared" si="175"/>
        <v>86305</v>
      </c>
      <c r="K2209" t="str">
        <f t="shared" si="171"/>
        <v>8630502</v>
      </c>
    </row>
    <row r="2210" spans="3:11" x14ac:dyDescent="0.25">
      <c r="C2210" t="s">
        <v>1864</v>
      </c>
      <c r="D2210" t="s">
        <v>1864</v>
      </c>
      <c r="E2210" t="s">
        <v>4074</v>
      </c>
      <c r="F2210" t="s">
        <v>1708</v>
      </c>
      <c r="G2210" t="str">
        <f t="shared" si="172"/>
        <v>Q</v>
      </c>
      <c r="H2210" t="str">
        <f t="shared" si="173"/>
        <v>86</v>
      </c>
      <c r="I2210" t="str">
        <f t="shared" si="174"/>
        <v>863</v>
      </c>
      <c r="J2210" t="str">
        <f t="shared" si="175"/>
        <v>86305</v>
      </c>
      <c r="K2210" t="str">
        <f t="shared" si="171"/>
        <v>8630503</v>
      </c>
    </row>
    <row r="2211" spans="3:11" x14ac:dyDescent="0.25">
      <c r="C2211" t="s">
        <v>1864</v>
      </c>
      <c r="D2211" t="s">
        <v>1864</v>
      </c>
      <c r="E2211" t="s">
        <v>4075</v>
      </c>
      <c r="F2211" t="s">
        <v>1709</v>
      </c>
      <c r="G2211" t="str">
        <f t="shared" si="172"/>
        <v>Q</v>
      </c>
      <c r="H2211" t="str">
        <f t="shared" si="173"/>
        <v>86</v>
      </c>
      <c r="I2211" t="str">
        <f t="shared" si="174"/>
        <v>863</v>
      </c>
      <c r="J2211" t="str">
        <f t="shared" si="175"/>
        <v>86305</v>
      </c>
      <c r="K2211" t="str">
        <f t="shared" si="171"/>
        <v>8630504</v>
      </c>
    </row>
    <row r="2212" spans="3:11" x14ac:dyDescent="0.25">
      <c r="C2212" t="s">
        <v>1864</v>
      </c>
      <c r="D2212" t="s">
        <v>1864</v>
      </c>
      <c r="E2212" t="s">
        <v>4076</v>
      </c>
      <c r="F2212" t="s">
        <v>1710</v>
      </c>
      <c r="G2212" t="str">
        <f t="shared" si="172"/>
        <v>Q</v>
      </c>
      <c r="H2212" t="str">
        <f t="shared" si="173"/>
        <v>86</v>
      </c>
      <c r="I2212" t="str">
        <f t="shared" si="174"/>
        <v>863</v>
      </c>
      <c r="J2212" t="str">
        <f t="shared" si="175"/>
        <v>86305</v>
      </c>
      <c r="K2212" t="str">
        <f t="shared" si="171"/>
        <v>8630506</v>
      </c>
    </row>
    <row r="2213" spans="3:11" x14ac:dyDescent="0.25">
      <c r="C2213" t="s">
        <v>1864</v>
      </c>
      <c r="D2213" t="s">
        <v>1864</v>
      </c>
      <c r="E2213" t="s">
        <v>4077</v>
      </c>
      <c r="F2213" t="s">
        <v>1711</v>
      </c>
      <c r="G2213" t="str">
        <f t="shared" si="172"/>
        <v>Q</v>
      </c>
      <c r="H2213" t="str">
        <f t="shared" si="173"/>
        <v>86</v>
      </c>
      <c r="I2213" t="str">
        <f t="shared" si="174"/>
        <v>863</v>
      </c>
      <c r="J2213" t="str">
        <f t="shared" si="175"/>
        <v>86305</v>
      </c>
      <c r="K2213" t="str">
        <f t="shared" si="171"/>
        <v>8630507</v>
      </c>
    </row>
    <row r="2214" spans="3:11" x14ac:dyDescent="0.25">
      <c r="C2214" t="s">
        <v>1864</v>
      </c>
      <c r="D2214" t="s">
        <v>1864</v>
      </c>
      <c r="E2214" t="s">
        <v>4078</v>
      </c>
      <c r="F2214" t="s">
        <v>1712</v>
      </c>
      <c r="G2214" t="str">
        <f t="shared" si="172"/>
        <v>Q</v>
      </c>
      <c r="H2214" t="str">
        <f t="shared" si="173"/>
        <v>86</v>
      </c>
      <c r="I2214" t="str">
        <f t="shared" si="174"/>
        <v>863</v>
      </c>
      <c r="J2214" t="str">
        <f t="shared" si="175"/>
        <v>86305</v>
      </c>
      <c r="K2214" t="str">
        <f t="shared" si="171"/>
        <v>8630599</v>
      </c>
    </row>
    <row r="2215" spans="3:11" x14ac:dyDescent="0.25">
      <c r="C2215" t="s">
        <v>4079</v>
      </c>
      <c r="D2215" t="s">
        <v>1864</v>
      </c>
      <c r="E2215" t="s">
        <v>1864</v>
      </c>
      <c r="F2215" t="s">
        <v>1713</v>
      </c>
      <c r="G2215" t="str">
        <f t="shared" si="172"/>
        <v>Q</v>
      </c>
      <c r="H2215" t="str">
        <f t="shared" si="173"/>
        <v>86</v>
      </c>
      <c r="I2215" t="str">
        <f t="shared" si="174"/>
        <v>864</v>
      </c>
      <c r="J2215" t="str">
        <f t="shared" si="175"/>
        <v>86305</v>
      </c>
      <c r="K2215" t="str">
        <f t="shared" si="171"/>
        <v/>
      </c>
    </row>
    <row r="2216" spans="3:11" x14ac:dyDescent="0.25">
      <c r="C2216" t="s">
        <v>1864</v>
      </c>
      <c r="D2216" t="s">
        <v>4080</v>
      </c>
      <c r="E2216" t="s">
        <v>1864</v>
      </c>
      <c r="F2216" t="s">
        <v>1713</v>
      </c>
      <c r="G2216" t="str">
        <f t="shared" si="172"/>
        <v>Q</v>
      </c>
      <c r="H2216" t="str">
        <f t="shared" si="173"/>
        <v>86</v>
      </c>
      <c r="I2216" t="str">
        <f t="shared" si="174"/>
        <v>864</v>
      </c>
      <c r="J2216" t="str">
        <f t="shared" si="175"/>
        <v>86402</v>
      </c>
      <c r="K2216" t="str">
        <f t="shared" si="171"/>
        <v/>
      </c>
    </row>
    <row r="2217" spans="3:11" x14ac:dyDescent="0.25">
      <c r="C2217" t="s">
        <v>1864</v>
      </c>
      <c r="D2217" t="s">
        <v>1864</v>
      </c>
      <c r="E2217" t="s">
        <v>4081</v>
      </c>
      <c r="F2217" t="s">
        <v>1714</v>
      </c>
      <c r="G2217" t="str">
        <f t="shared" si="172"/>
        <v>Q</v>
      </c>
      <c r="H2217" t="str">
        <f t="shared" si="173"/>
        <v>86</v>
      </c>
      <c r="I2217" t="str">
        <f t="shared" si="174"/>
        <v>864</v>
      </c>
      <c r="J2217" t="str">
        <f t="shared" si="175"/>
        <v>86402</v>
      </c>
      <c r="K2217" t="str">
        <f t="shared" si="171"/>
        <v>8640201</v>
      </c>
    </row>
    <row r="2218" spans="3:11" x14ac:dyDescent="0.25">
      <c r="C2218" t="s">
        <v>1864</v>
      </c>
      <c r="D2218" t="s">
        <v>1864</v>
      </c>
      <c r="E2218" t="s">
        <v>4082</v>
      </c>
      <c r="F2218" t="s">
        <v>1715</v>
      </c>
      <c r="G2218" t="str">
        <f t="shared" si="172"/>
        <v>Q</v>
      </c>
      <c r="H2218" t="str">
        <f t="shared" si="173"/>
        <v>86</v>
      </c>
      <c r="I2218" t="str">
        <f t="shared" si="174"/>
        <v>864</v>
      </c>
      <c r="J2218" t="str">
        <f t="shared" si="175"/>
        <v>86402</v>
      </c>
      <c r="K2218" t="str">
        <f t="shared" si="171"/>
        <v>8640202</v>
      </c>
    </row>
    <row r="2219" spans="3:11" x14ac:dyDescent="0.25">
      <c r="C2219" t="s">
        <v>1864</v>
      </c>
      <c r="D2219" t="s">
        <v>1864</v>
      </c>
      <c r="E2219" t="s">
        <v>4083</v>
      </c>
      <c r="F2219" t="s">
        <v>1716</v>
      </c>
      <c r="G2219" t="str">
        <f t="shared" si="172"/>
        <v>Q</v>
      </c>
      <c r="H2219" t="str">
        <f t="shared" si="173"/>
        <v>86</v>
      </c>
      <c r="I2219" t="str">
        <f t="shared" si="174"/>
        <v>864</v>
      </c>
      <c r="J2219" t="str">
        <f t="shared" si="175"/>
        <v>86402</v>
      </c>
      <c r="K2219" t="str">
        <f t="shared" si="171"/>
        <v>8640203</v>
      </c>
    </row>
    <row r="2220" spans="3:11" x14ac:dyDescent="0.25">
      <c r="C2220" t="s">
        <v>1864</v>
      </c>
      <c r="D2220" t="s">
        <v>1864</v>
      </c>
      <c r="E2220" t="s">
        <v>4084</v>
      </c>
      <c r="F2220" t="s">
        <v>1717</v>
      </c>
      <c r="G2220" t="str">
        <f t="shared" si="172"/>
        <v>Q</v>
      </c>
      <c r="H2220" t="str">
        <f t="shared" si="173"/>
        <v>86</v>
      </c>
      <c r="I2220" t="str">
        <f t="shared" si="174"/>
        <v>864</v>
      </c>
      <c r="J2220" t="str">
        <f t="shared" si="175"/>
        <v>86402</v>
      </c>
      <c r="K2220" t="str">
        <f t="shared" si="171"/>
        <v>8640204</v>
      </c>
    </row>
    <row r="2221" spans="3:11" x14ac:dyDescent="0.25">
      <c r="C2221" t="s">
        <v>1864</v>
      </c>
      <c r="D2221" t="s">
        <v>1864</v>
      </c>
      <c r="E2221" t="s">
        <v>4085</v>
      </c>
      <c r="F2221" t="s">
        <v>1718</v>
      </c>
      <c r="G2221" t="str">
        <f t="shared" si="172"/>
        <v>Q</v>
      </c>
      <c r="H2221" t="str">
        <f t="shared" si="173"/>
        <v>86</v>
      </c>
      <c r="I2221" t="str">
        <f t="shared" si="174"/>
        <v>864</v>
      </c>
      <c r="J2221" t="str">
        <f t="shared" si="175"/>
        <v>86402</v>
      </c>
      <c r="K2221" t="str">
        <f t="shared" si="171"/>
        <v>8640205</v>
      </c>
    </row>
    <row r="2222" spans="3:11" x14ac:dyDescent="0.25">
      <c r="C2222" t="s">
        <v>1864</v>
      </c>
      <c r="D2222" t="s">
        <v>1864</v>
      </c>
      <c r="E2222" t="s">
        <v>4086</v>
      </c>
      <c r="F2222" t="s">
        <v>1719</v>
      </c>
      <c r="G2222" t="str">
        <f t="shared" si="172"/>
        <v>Q</v>
      </c>
      <c r="H2222" t="str">
        <f t="shared" si="173"/>
        <v>86</v>
      </c>
      <c r="I2222" t="str">
        <f t="shared" si="174"/>
        <v>864</v>
      </c>
      <c r="J2222" t="str">
        <f t="shared" si="175"/>
        <v>86402</v>
      </c>
      <c r="K2222" t="str">
        <f t="shared" si="171"/>
        <v>8640206</v>
      </c>
    </row>
    <row r="2223" spans="3:11" x14ac:dyDescent="0.25">
      <c r="C2223" t="s">
        <v>1864</v>
      </c>
      <c r="D2223" t="s">
        <v>1864</v>
      </c>
      <c r="E2223" t="s">
        <v>4087</v>
      </c>
      <c r="F2223" t="s">
        <v>1720</v>
      </c>
      <c r="G2223" t="str">
        <f t="shared" si="172"/>
        <v>Q</v>
      </c>
      <c r="H2223" t="str">
        <f t="shared" si="173"/>
        <v>86</v>
      </c>
      <c r="I2223" t="str">
        <f t="shared" si="174"/>
        <v>864</v>
      </c>
      <c r="J2223" t="str">
        <f t="shared" si="175"/>
        <v>86402</v>
      </c>
      <c r="K2223" t="str">
        <f t="shared" si="171"/>
        <v>8640207</v>
      </c>
    </row>
    <row r="2224" spans="3:11" x14ac:dyDescent="0.25">
      <c r="C2224" t="s">
        <v>1864</v>
      </c>
      <c r="D2224" t="s">
        <v>1864</v>
      </c>
      <c r="E2224" t="s">
        <v>4088</v>
      </c>
      <c r="F2224" t="s">
        <v>1721</v>
      </c>
      <c r="G2224" t="str">
        <f t="shared" si="172"/>
        <v>Q</v>
      </c>
      <c r="H2224" t="str">
        <f t="shared" si="173"/>
        <v>86</v>
      </c>
      <c r="I2224" t="str">
        <f t="shared" si="174"/>
        <v>864</v>
      </c>
      <c r="J2224" t="str">
        <f t="shared" si="175"/>
        <v>86402</v>
      </c>
      <c r="K2224" t="str">
        <f t="shared" si="171"/>
        <v>8640208</v>
      </c>
    </row>
    <row r="2225" spans="3:11" x14ac:dyDescent="0.25">
      <c r="C2225" t="s">
        <v>1864</v>
      </c>
      <c r="D2225" t="s">
        <v>1864</v>
      </c>
      <c r="E2225" t="s">
        <v>4089</v>
      </c>
      <c r="F2225" t="s">
        <v>1722</v>
      </c>
      <c r="G2225" t="str">
        <f t="shared" si="172"/>
        <v>Q</v>
      </c>
      <c r="H2225" t="str">
        <f t="shared" si="173"/>
        <v>86</v>
      </c>
      <c r="I2225" t="str">
        <f t="shared" si="174"/>
        <v>864</v>
      </c>
      <c r="J2225" t="str">
        <f t="shared" si="175"/>
        <v>86402</v>
      </c>
      <c r="K2225" t="str">
        <f t="shared" si="171"/>
        <v>8640209</v>
      </c>
    </row>
    <row r="2226" spans="3:11" x14ac:dyDescent="0.25">
      <c r="C2226" t="s">
        <v>1864</v>
      </c>
      <c r="D2226" t="s">
        <v>1864</v>
      </c>
      <c r="E2226" t="s">
        <v>4090</v>
      </c>
      <c r="F2226" t="s">
        <v>1723</v>
      </c>
      <c r="G2226" t="str">
        <f t="shared" si="172"/>
        <v>Q</v>
      </c>
      <c r="H2226" t="str">
        <f t="shared" si="173"/>
        <v>86</v>
      </c>
      <c r="I2226" t="str">
        <f t="shared" si="174"/>
        <v>864</v>
      </c>
      <c r="J2226" t="str">
        <f t="shared" si="175"/>
        <v>86402</v>
      </c>
      <c r="K2226" t="str">
        <f t="shared" si="171"/>
        <v>8640210</v>
      </c>
    </row>
    <row r="2227" spans="3:11" x14ac:dyDescent="0.25">
      <c r="C2227" t="s">
        <v>1864</v>
      </c>
      <c r="D2227" t="s">
        <v>1864</v>
      </c>
      <c r="E2227" t="s">
        <v>4091</v>
      </c>
      <c r="F2227" t="s">
        <v>1724</v>
      </c>
      <c r="G2227" t="str">
        <f t="shared" si="172"/>
        <v>Q</v>
      </c>
      <c r="H2227" t="str">
        <f t="shared" si="173"/>
        <v>86</v>
      </c>
      <c r="I2227" t="str">
        <f t="shared" si="174"/>
        <v>864</v>
      </c>
      <c r="J2227" t="str">
        <f t="shared" si="175"/>
        <v>86402</v>
      </c>
      <c r="K2227" t="str">
        <f t="shared" si="171"/>
        <v>8640211</v>
      </c>
    </row>
    <row r="2228" spans="3:11" x14ac:dyDescent="0.25">
      <c r="C2228" t="s">
        <v>1864</v>
      </c>
      <c r="D2228" t="s">
        <v>1864</v>
      </c>
      <c r="E2228" t="s">
        <v>4092</v>
      </c>
      <c r="F2228" t="s">
        <v>1725</v>
      </c>
      <c r="G2228" t="str">
        <f t="shared" si="172"/>
        <v>Q</v>
      </c>
      <c r="H2228" t="str">
        <f t="shared" si="173"/>
        <v>86</v>
      </c>
      <c r="I2228" t="str">
        <f t="shared" si="174"/>
        <v>864</v>
      </c>
      <c r="J2228" t="str">
        <f t="shared" si="175"/>
        <v>86402</v>
      </c>
      <c r="K2228" t="str">
        <f t="shared" si="171"/>
        <v>8640212</v>
      </c>
    </row>
    <row r="2229" spans="3:11" x14ac:dyDescent="0.25">
      <c r="C2229" t="s">
        <v>1864</v>
      </c>
      <c r="D2229" t="s">
        <v>1864</v>
      </c>
      <c r="E2229" t="s">
        <v>4093</v>
      </c>
      <c r="F2229" t="s">
        <v>1726</v>
      </c>
      <c r="G2229" t="str">
        <f t="shared" si="172"/>
        <v>Q</v>
      </c>
      <c r="H2229" t="str">
        <f t="shared" si="173"/>
        <v>86</v>
      </c>
      <c r="I2229" t="str">
        <f t="shared" si="174"/>
        <v>864</v>
      </c>
      <c r="J2229" t="str">
        <f t="shared" si="175"/>
        <v>86402</v>
      </c>
      <c r="K2229" t="str">
        <f t="shared" si="171"/>
        <v>8640213</v>
      </c>
    </row>
    <row r="2230" spans="3:11" x14ac:dyDescent="0.25">
      <c r="C2230" t="s">
        <v>1864</v>
      </c>
      <c r="D2230" t="s">
        <v>1864</v>
      </c>
      <c r="E2230" t="s">
        <v>4094</v>
      </c>
      <c r="F2230" t="s">
        <v>1727</v>
      </c>
      <c r="G2230" t="str">
        <f t="shared" si="172"/>
        <v>Q</v>
      </c>
      <c r="H2230" t="str">
        <f t="shared" si="173"/>
        <v>86</v>
      </c>
      <c r="I2230" t="str">
        <f t="shared" si="174"/>
        <v>864</v>
      </c>
      <c r="J2230" t="str">
        <f t="shared" si="175"/>
        <v>86402</v>
      </c>
      <c r="K2230" t="str">
        <f t="shared" si="171"/>
        <v>8640214</v>
      </c>
    </row>
    <row r="2231" spans="3:11" x14ac:dyDescent="0.25">
      <c r="C2231" t="s">
        <v>1864</v>
      </c>
      <c r="D2231" t="s">
        <v>1864</v>
      </c>
      <c r="E2231" t="s">
        <v>4095</v>
      </c>
      <c r="F2231" t="s">
        <v>1728</v>
      </c>
      <c r="G2231" t="str">
        <f t="shared" si="172"/>
        <v>Q</v>
      </c>
      <c r="H2231" t="str">
        <f t="shared" si="173"/>
        <v>86</v>
      </c>
      <c r="I2231" t="str">
        <f t="shared" si="174"/>
        <v>864</v>
      </c>
      <c r="J2231" t="str">
        <f t="shared" si="175"/>
        <v>86402</v>
      </c>
      <c r="K2231" t="str">
        <f t="shared" si="171"/>
        <v>8640299</v>
      </c>
    </row>
    <row r="2232" spans="3:11" x14ac:dyDescent="0.25">
      <c r="C2232" t="s">
        <v>4096</v>
      </c>
      <c r="D2232" t="s">
        <v>1864</v>
      </c>
      <c r="E2232" t="s">
        <v>1864</v>
      </c>
      <c r="F2232" t="s">
        <v>1729</v>
      </c>
      <c r="G2232" t="str">
        <f t="shared" si="172"/>
        <v>Q</v>
      </c>
      <c r="H2232" t="str">
        <f t="shared" si="173"/>
        <v>86</v>
      </c>
      <c r="I2232" t="str">
        <f t="shared" si="174"/>
        <v>865</v>
      </c>
      <c r="J2232" t="str">
        <f t="shared" si="175"/>
        <v>86402</v>
      </c>
      <c r="K2232" t="str">
        <f t="shared" si="171"/>
        <v/>
      </c>
    </row>
    <row r="2233" spans="3:11" x14ac:dyDescent="0.25">
      <c r="C2233" t="s">
        <v>1864</v>
      </c>
      <c r="D2233" t="s">
        <v>4097</v>
      </c>
      <c r="E2233" t="s">
        <v>1864</v>
      </c>
      <c r="F2233" t="s">
        <v>1729</v>
      </c>
      <c r="G2233" t="str">
        <f t="shared" si="172"/>
        <v>Q</v>
      </c>
      <c r="H2233" t="str">
        <f t="shared" si="173"/>
        <v>86</v>
      </c>
      <c r="I2233" t="str">
        <f t="shared" si="174"/>
        <v>865</v>
      </c>
      <c r="J2233" t="str">
        <f t="shared" si="175"/>
        <v>86500</v>
      </c>
      <c r="K2233" t="str">
        <f t="shared" si="171"/>
        <v/>
      </c>
    </row>
    <row r="2234" spans="3:11" x14ac:dyDescent="0.25">
      <c r="C2234" t="s">
        <v>1864</v>
      </c>
      <c r="D2234" t="s">
        <v>1864</v>
      </c>
      <c r="E2234" t="s">
        <v>4098</v>
      </c>
      <c r="F2234" t="s">
        <v>1730</v>
      </c>
      <c r="G2234" t="str">
        <f t="shared" si="172"/>
        <v>Q</v>
      </c>
      <c r="H2234" t="str">
        <f t="shared" si="173"/>
        <v>86</v>
      </c>
      <c r="I2234" t="str">
        <f t="shared" si="174"/>
        <v>865</v>
      </c>
      <c r="J2234" t="str">
        <f t="shared" si="175"/>
        <v>86500</v>
      </c>
      <c r="K2234" t="str">
        <f t="shared" si="171"/>
        <v>8650001</v>
      </c>
    </row>
    <row r="2235" spans="3:11" x14ac:dyDescent="0.25">
      <c r="C2235" t="s">
        <v>1864</v>
      </c>
      <c r="D2235" t="s">
        <v>1864</v>
      </c>
      <c r="E2235" t="s">
        <v>4099</v>
      </c>
      <c r="F2235" t="s">
        <v>1731</v>
      </c>
      <c r="G2235" t="str">
        <f t="shared" si="172"/>
        <v>Q</v>
      </c>
      <c r="H2235" t="str">
        <f t="shared" si="173"/>
        <v>86</v>
      </c>
      <c r="I2235" t="str">
        <f t="shared" si="174"/>
        <v>865</v>
      </c>
      <c r="J2235" t="str">
        <f t="shared" si="175"/>
        <v>86500</v>
      </c>
      <c r="K2235" t="str">
        <f t="shared" si="171"/>
        <v>8650002</v>
      </c>
    </row>
    <row r="2236" spans="3:11" x14ac:dyDescent="0.25">
      <c r="C2236" t="s">
        <v>1864</v>
      </c>
      <c r="D2236" t="s">
        <v>1864</v>
      </c>
      <c r="E2236" t="s">
        <v>4100</v>
      </c>
      <c r="F2236" t="s">
        <v>1732</v>
      </c>
      <c r="G2236" t="str">
        <f t="shared" si="172"/>
        <v>Q</v>
      </c>
      <c r="H2236" t="str">
        <f t="shared" si="173"/>
        <v>86</v>
      </c>
      <c r="I2236" t="str">
        <f t="shared" si="174"/>
        <v>865</v>
      </c>
      <c r="J2236" t="str">
        <f t="shared" si="175"/>
        <v>86500</v>
      </c>
      <c r="K2236" t="str">
        <f t="shared" si="171"/>
        <v>8650003</v>
      </c>
    </row>
    <row r="2237" spans="3:11" x14ac:dyDescent="0.25">
      <c r="C2237" t="s">
        <v>1864</v>
      </c>
      <c r="D2237" t="s">
        <v>1864</v>
      </c>
      <c r="E2237" t="s">
        <v>4101</v>
      </c>
      <c r="F2237" t="s">
        <v>1733</v>
      </c>
      <c r="G2237" t="str">
        <f t="shared" si="172"/>
        <v>Q</v>
      </c>
      <c r="H2237" t="str">
        <f t="shared" si="173"/>
        <v>86</v>
      </c>
      <c r="I2237" t="str">
        <f t="shared" si="174"/>
        <v>865</v>
      </c>
      <c r="J2237" t="str">
        <f t="shared" si="175"/>
        <v>86500</v>
      </c>
      <c r="K2237" t="str">
        <f t="shared" si="171"/>
        <v>8650004</v>
      </c>
    </row>
    <row r="2238" spans="3:11" x14ac:dyDescent="0.25">
      <c r="C2238" t="s">
        <v>1864</v>
      </c>
      <c r="D2238" t="s">
        <v>1864</v>
      </c>
      <c r="E2238" t="s">
        <v>4102</v>
      </c>
      <c r="F2238" t="s">
        <v>1734</v>
      </c>
      <c r="G2238" t="str">
        <f t="shared" si="172"/>
        <v>Q</v>
      </c>
      <c r="H2238" t="str">
        <f t="shared" si="173"/>
        <v>86</v>
      </c>
      <c r="I2238" t="str">
        <f t="shared" si="174"/>
        <v>865</v>
      </c>
      <c r="J2238" t="str">
        <f t="shared" si="175"/>
        <v>86500</v>
      </c>
      <c r="K2238" t="str">
        <f t="shared" si="171"/>
        <v>8650005</v>
      </c>
    </row>
    <row r="2239" spans="3:11" x14ac:dyDescent="0.25">
      <c r="C2239" t="s">
        <v>1864</v>
      </c>
      <c r="D2239" t="s">
        <v>1864</v>
      </c>
      <c r="E2239" t="s">
        <v>4103</v>
      </c>
      <c r="F2239" t="s">
        <v>1735</v>
      </c>
      <c r="G2239" t="str">
        <f t="shared" si="172"/>
        <v>Q</v>
      </c>
      <c r="H2239" t="str">
        <f t="shared" si="173"/>
        <v>86</v>
      </c>
      <c r="I2239" t="str">
        <f t="shared" si="174"/>
        <v>865</v>
      </c>
      <c r="J2239" t="str">
        <f t="shared" si="175"/>
        <v>86500</v>
      </c>
      <c r="K2239" t="str">
        <f t="shared" si="171"/>
        <v>8650006</v>
      </c>
    </row>
    <row r="2240" spans="3:11" x14ac:dyDescent="0.25">
      <c r="C2240" t="s">
        <v>1864</v>
      </c>
      <c r="D2240" t="s">
        <v>1864</v>
      </c>
      <c r="E2240" t="s">
        <v>4104</v>
      </c>
      <c r="F2240" t="s">
        <v>1736</v>
      </c>
      <c r="G2240" t="str">
        <f t="shared" si="172"/>
        <v>Q</v>
      </c>
      <c r="H2240" t="str">
        <f t="shared" si="173"/>
        <v>86</v>
      </c>
      <c r="I2240" t="str">
        <f t="shared" si="174"/>
        <v>865</v>
      </c>
      <c r="J2240" t="str">
        <f t="shared" si="175"/>
        <v>86500</v>
      </c>
      <c r="K2240" t="str">
        <f t="shared" si="171"/>
        <v>8650007</v>
      </c>
    </row>
    <row r="2241" spans="2:11" x14ac:dyDescent="0.25">
      <c r="C2241" t="s">
        <v>1864</v>
      </c>
      <c r="D2241" t="s">
        <v>1864</v>
      </c>
      <c r="E2241" t="s">
        <v>4105</v>
      </c>
      <c r="F2241" t="s">
        <v>1737</v>
      </c>
      <c r="G2241" t="str">
        <f t="shared" si="172"/>
        <v>Q</v>
      </c>
      <c r="H2241" t="str">
        <f t="shared" si="173"/>
        <v>86</v>
      </c>
      <c r="I2241" t="str">
        <f t="shared" si="174"/>
        <v>865</v>
      </c>
      <c r="J2241" t="str">
        <f t="shared" si="175"/>
        <v>86500</v>
      </c>
      <c r="K2241" t="str">
        <f t="shared" si="171"/>
        <v>8650099</v>
      </c>
    </row>
    <row r="2242" spans="2:11" x14ac:dyDescent="0.25">
      <c r="C2242" t="s">
        <v>4106</v>
      </c>
      <c r="D2242" t="s">
        <v>1864</v>
      </c>
      <c r="E2242" t="s">
        <v>1864</v>
      </c>
      <c r="F2242" t="s">
        <v>1738</v>
      </c>
      <c r="G2242" t="str">
        <f t="shared" si="172"/>
        <v>Q</v>
      </c>
      <c r="H2242" t="str">
        <f t="shared" si="173"/>
        <v>86</v>
      </c>
      <c r="I2242" t="str">
        <f t="shared" si="174"/>
        <v>866</v>
      </c>
      <c r="J2242" t="str">
        <f t="shared" si="175"/>
        <v>86500</v>
      </c>
      <c r="K2242" t="str">
        <f t="shared" si="171"/>
        <v/>
      </c>
    </row>
    <row r="2243" spans="2:11" x14ac:dyDescent="0.25">
      <c r="C2243" t="s">
        <v>1864</v>
      </c>
      <c r="D2243" t="s">
        <v>4107</v>
      </c>
      <c r="E2243" t="s">
        <v>1864</v>
      </c>
      <c r="F2243" t="s">
        <v>1738</v>
      </c>
      <c r="G2243" t="str">
        <f t="shared" si="172"/>
        <v>Q</v>
      </c>
      <c r="H2243" t="str">
        <f t="shared" si="173"/>
        <v>86</v>
      </c>
      <c r="I2243" t="str">
        <f t="shared" si="174"/>
        <v>866</v>
      </c>
      <c r="J2243" t="str">
        <f t="shared" si="175"/>
        <v>86607</v>
      </c>
      <c r="K2243" t="str">
        <f t="shared" si="171"/>
        <v/>
      </c>
    </row>
    <row r="2244" spans="2:11" x14ac:dyDescent="0.25">
      <c r="C2244" t="s">
        <v>1864</v>
      </c>
      <c r="D2244" t="s">
        <v>1864</v>
      </c>
      <c r="E2244" t="s">
        <v>4108</v>
      </c>
      <c r="F2244" t="s">
        <v>1738</v>
      </c>
      <c r="G2244" t="str">
        <f t="shared" si="172"/>
        <v>Q</v>
      </c>
      <c r="H2244" t="str">
        <f t="shared" si="173"/>
        <v>86</v>
      </c>
      <c r="I2244" t="str">
        <f t="shared" si="174"/>
        <v>866</v>
      </c>
      <c r="J2244" t="str">
        <f t="shared" si="175"/>
        <v>86607</v>
      </c>
      <c r="K2244" t="str">
        <f t="shared" si="171"/>
        <v>8660700</v>
      </c>
    </row>
    <row r="2245" spans="2:11" x14ac:dyDescent="0.25">
      <c r="C2245" t="s">
        <v>4109</v>
      </c>
      <c r="D2245" t="s">
        <v>1864</v>
      </c>
      <c r="E2245" t="s">
        <v>1864</v>
      </c>
      <c r="F2245" t="s">
        <v>1739</v>
      </c>
      <c r="G2245" t="str">
        <f t="shared" si="172"/>
        <v>Q</v>
      </c>
      <c r="H2245" t="str">
        <f t="shared" si="173"/>
        <v>86</v>
      </c>
      <c r="I2245" t="str">
        <f t="shared" si="174"/>
        <v>869</v>
      </c>
      <c r="J2245" t="str">
        <f t="shared" si="175"/>
        <v>86607</v>
      </c>
      <c r="K2245" t="str">
        <f t="shared" si="171"/>
        <v/>
      </c>
    </row>
    <row r="2246" spans="2:11" x14ac:dyDescent="0.25">
      <c r="C2246" t="s">
        <v>1864</v>
      </c>
      <c r="D2246" t="s">
        <v>4110</v>
      </c>
      <c r="E2246" t="s">
        <v>1864</v>
      </c>
      <c r="F2246" t="s">
        <v>1739</v>
      </c>
      <c r="G2246" t="str">
        <f t="shared" si="172"/>
        <v>Q</v>
      </c>
      <c r="H2246" t="str">
        <f t="shared" si="173"/>
        <v>86</v>
      </c>
      <c r="I2246" t="str">
        <f t="shared" si="174"/>
        <v>869</v>
      </c>
      <c r="J2246" t="str">
        <f t="shared" si="175"/>
        <v>86909</v>
      </c>
      <c r="K2246" t="str">
        <f t="shared" si="171"/>
        <v/>
      </c>
    </row>
    <row r="2247" spans="2:11" x14ac:dyDescent="0.25">
      <c r="C2247" t="s">
        <v>1864</v>
      </c>
      <c r="D2247" t="s">
        <v>1864</v>
      </c>
      <c r="E2247" t="s">
        <v>4111</v>
      </c>
      <c r="F2247" t="s">
        <v>1740</v>
      </c>
      <c r="G2247" t="str">
        <f t="shared" si="172"/>
        <v>Q</v>
      </c>
      <c r="H2247" t="str">
        <f t="shared" si="173"/>
        <v>86</v>
      </c>
      <c r="I2247" t="str">
        <f t="shared" si="174"/>
        <v>869</v>
      </c>
      <c r="J2247" t="str">
        <f t="shared" si="175"/>
        <v>86909</v>
      </c>
      <c r="K2247" t="str">
        <f t="shared" si="171"/>
        <v>8690901</v>
      </c>
    </row>
    <row r="2248" spans="2:11" x14ac:dyDescent="0.25">
      <c r="C2248" t="s">
        <v>1864</v>
      </c>
      <c r="D2248" t="s">
        <v>1864</v>
      </c>
      <c r="E2248" t="s">
        <v>4112</v>
      </c>
      <c r="F2248" t="s">
        <v>1741</v>
      </c>
      <c r="G2248" t="str">
        <f t="shared" si="172"/>
        <v>Q</v>
      </c>
      <c r="H2248" t="str">
        <f t="shared" si="173"/>
        <v>86</v>
      </c>
      <c r="I2248" t="str">
        <f t="shared" si="174"/>
        <v>869</v>
      </c>
      <c r="J2248" t="str">
        <f t="shared" si="175"/>
        <v>86909</v>
      </c>
      <c r="K2248" t="str">
        <f t="shared" ref="K2248:K2311" si="176">E2248</f>
        <v>8690902</v>
      </c>
    </row>
    <row r="2249" spans="2:11" x14ac:dyDescent="0.25">
      <c r="C2249" t="s">
        <v>1864</v>
      </c>
      <c r="D2249" t="s">
        <v>1864</v>
      </c>
      <c r="E2249" t="s">
        <v>4113</v>
      </c>
      <c r="F2249" t="s">
        <v>1742</v>
      </c>
      <c r="G2249" t="str">
        <f t="shared" ref="G2249:G2312" si="177">IF(A2249="",G2248,A2249)</f>
        <v>Q</v>
      </c>
      <c r="H2249" t="str">
        <f t="shared" ref="H2249:H2312" si="178">IF(B2249="",H2248,B2249)</f>
        <v>86</v>
      </c>
      <c r="I2249" t="str">
        <f t="shared" ref="I2249:I2312" si="179">IF(C2249="",I2248,C2249)</f>
        <v>869</v>
      </c>
      <c r="J2249" t="str">
        <f t="shared" ref="J2249:J2312" si="180">IF(D2249="",J2248,D2249)</f>
        <v>86909</v>
      </c>
      <c r="K2249" t="str">
        <f t="shared" si="176"/>
        <v>8690903</v>
      </c>
    </row>
    <row r="2250" spans="2:11" x14ac:dyDescent="0.25">
      <c r="C2250" t="s">
        <v>1864</v>
      </c>
      <c r="D2250" t="s">
        <v>1864</v>
      </c>
      <c r="E2250" t="s">
        <v>4114</v>
      </c>
      <c r="F2250" t="s">
        <v>1743</v>
      </c>
      <c r="G2250" t="str">
        <f t="shared" si="177"/>
        <v>Q</v>
      </c>
      <c r="H2250" t="str">
        <f t="shared" si="178"/>
        <v>86</v>
      </c>
      <c r="I2250" t="str">
        <f t="shared" si="179"/>
        <v>869</v>
      </c>
      <c r="J2250" t="str">
        <f t="shared" si="180"/>
        <v>86909</v>
      </c>
      <c r="K2250" t="str">
        <f t="shared" si="176"/>
        <v>8690904</v>
      </c>
    </row>
    <row r="2251" spans="2:11" x14ac:dyDescent="0.25">
      <c r="C2251" t="s">
        <v>1864</v>
      </c>
      <c r="D2251" t="s">
        <v>1864</v>
      </c>
      <c r="E2251" t="s">
        <v>4115</v>
      </c>
      <c r="F2251" t="s">
        <v>1744</v>
      </c>
      <c r="G2251" t="str">
        <f t="shared" si="177"/>
        <v>Q</v>
      </c>
      <c r="H2251" t="str">
        <f t="shared" si="178"/>
        <v>86</v>
      </c>
      <c r="I2251" t="str">
        <f t="shared" si="179"/>
        <v>869</v>
      </c>
      <c r="J2251" t="str">
        <f t="shared" si="180"/>
        <v>86909</v>
      </c>
      <c r="K2251" t="str">
        <f t="shared" si="176"/>
        <v>8690999</v>
      </c>
    </row>
    <row r="2252" spans="2:11" x14ac:dyDescent="0.25">
      <c r="B2252" t="s">
        <v>4116</v>
      </c>
      <c r="C2252" t="s">
        <v>1864</v>
      </c>
      <c r="D2252" t="s">
        <v>1864</v>
      </c>
      <c r="E2252" t="s">
        <v>1864</v>
      </c>
      <c r="F2252" t="s">
        <v>1745</v>
      </c>
      <c r="G2252" t="str">
        <f t="shared" si="177"/>
        <v>Q</v>
      </c>
      <c r="H2252" t="str">
        <f t="shared" si="178"/>
        <v>87</v>
      </c>
      <c r="I2252" t="str">
        <f t="shared" si="179"/>
        <v>869</v>
      </c>
      <c r="J2252" t="str">
        <f t="shared" si="180"/>
        <v>86909</v>
      </c>
      <c r="K2252" t="str">
        <f t="shared" si="176"/>
        <v/>
      </c>
    </row>
    <row r="2253" spans="2:11" x14ac:dyDescent="0.25">
      <c r="C2253" t="s">
        <v>4117</v>
      </c>
      <c r="D2253" t="s">
        <v>1864</v>
      </c>
      <c r="E2253" t="s">
        <v>1864</v>
      </c>
      <c r="F2253" t="s">
        <v>1746</v>
      </c>
      <c r="G2253" t="str">
        <f t="shared" si="177"/>
        <v>Q</v>
      </c>
      <c r="H2253" t="str">
        <f t="shared" si="178"/>
        <v>87</v>
      </c>
      <c r="I2253" t="str">
        <f t="shared" si="179"/>
        <v>871</v>
      </c>
      <c r="J2253" t="str">
        <f t="shared" si="180"/>
        <v>86909</v>
      </c>
      <c r="K2253" t="str">
        <f t="shared" si="176"/>
        <v/>
      </c>
    </row>
    <row r="2254" spans="2:11" x14ac:dyDescent="0.25">
      <c r="C2254" t="s">
        <v>1864</v>
      </c>
      <c r="D2254" t="s">
        <v>4118</v>
      </c>
      <c r="E2254" t="s">
        <v>1864</v>
      </c>
      <c r="F2254" t="s">
        <v>1747</v>
      </c>
      <c r="G2254" t="str">
        <f t="shared" si="177"/>
        <v>Q</v>
      </c>
      <c r="H2254" t="str">
        <f t="shared" si="178"/>
        <v>87</v>
      </c>
      <c r="I2254" t="str">
        <f t="shared" si="179"/>
        <v>871</v>
      </c>
      <c r="J2254" t="str">
        <f t="shared" si="180"/>
        <v>87115</v>
      </c>
      <c r="K2254" t="str">
        <f t="shared" si="176"/>
        <v/>
      </c>
    </row>
    <row r="2255" spans="2:11" x14ac:dyDescent="0.25">
      <c r="C2255" t="s">
        <v>1864</v>
      </c>
      <c r="D2255" t="s">
        <v>1864</v>
      </c>
      <c r="E2255" t="s">
        <v>4119</v>
      </c>
      <c r="F2255" t="s">
        <v>1748</v>
      </c>
      <c r="G2255" t="str">
        <f t="shared" si="177"/>
        <v>Q</v>
      </c>
      <c r="H2255" t="str">
        <f t="shared" si="178"/>
        <v>87</v>
      </c>
      <c r="I2255" t="str">
        <f t="shared" si="179"/>
        <v>871</v>
      </c>
      <c r="J2255" t="str">
        <f t="shared" si="180"/>
        <v>87115</v>
      </c>
      <c r="K2255" t="str">
        <f t="shared" si="176"/>
        <v>8711501</v>
      </c>
    </row>
    <row r="2256" spans="2:11" x14ac:dyDescent="0.25">
      <c r="C2256" t="s">
        <v>1864</v>
      </c>
      <c r="D2256" t="s">
        <v>1864</v>
      </c>
      <c r="E2256" t="s">
        <v>4120</v>
      </c>
      <c r="F2256" t="s">
        <v>1749</v>
      </c>
      <c r="G2256" t="str">
        <f t="shared" si="177"/>
        <v>Q</v>
      </c>
      <c r="H2256" t="str">
        <f t="shared" si="178"/>
        <v>87</v>
      </c>
      <c r="I2256" t="str">
        <f t="shared" si="179"/>
        <v>871</v>
      </c>
      <c r="J2256" t="str">
        <f t="shared" si="180"/>
        <v>87115</v>
      </c>
      <c r="K2256" t="str">
        <f t="shared" si="176"/>
        <v>8711502</v>
      </c>
    </row>
    <row r="2257" spans="2:11" x14ac:dyDescent="0.25">
      <c r="C2257" t="s">
        <v>1864</v>
      </c>
      <c r="D2257" t="s">
        <v>1864</v>
      </c>
      <c r="E2257" t="s">
        <v>4121</v>
      </c>
      <c r="F2257" t="s">
        <v>1750</v>
      </c>
      <c r="G2257" t="str">
        <f t="shared" si="177"/>
        <v>Q</v>
      </c>
      <c r="H2257" t="str">
        <f t="shared" si="178"/>
        <v>87</v>
      </c>
      <c r="I2257" t="str">
        <f t="shared" si="179"/>
        <v>871</v>
      </c>
      <c r="J2257" t="str">
        <f t="shared" si="180"/>
        <v>87115</v>
      </c>
      <c r="K2257" t="str">
        <f t="shared" si="176"/>
        <v>8711503</v>
      </c>
    </row>
    <row r="2258" spans="2:11" x14ac:dyDescent="0.25">
      <c r="C2258" t="s">
        <v>1864</v>
      </c>
      <c r="D2258" t="s">
        <v>1864</v>
      </c>
      <c r="E2258" t="s">
        <v>4122</v>
      </c>
      <c r="F2258" t="s">
        <v>1751</v>
      </c>
      <c r="G2258" t="str">
        <f t="shared" si="177"/>
        <v>Q</v>
      </c>
      <c r="H2258" t="str">
        <f t="shared" si="178"/>
        <v>87</v>
      </c>
      <c r="I2258" t="str">
        <f t="shared" si="179"/>
        <v>871</v>
      </c>
      <c r="J2258" t="str">
        <f t="shared" si="180"/>
        <v>87115</v>
      </c>
      <c r="K2258" t="str">
        <f t="shared" si="176"/>
        <v>8711504</v>
      </c>
    </row>
    <row r="2259" spans="2:11" x14ac:dyDescent="0.25">
      <c r="C2259" t="s">
        <v>1864</v>
      </c>
      <c r="D2259" t="s">
        <v>1864</v>
      </c>
      <c r="E2259" t="s">
        <v>4123</v>
      </c>
      <c r="F2259" t="s">
        <v>1752</v>
      </c>
      <c r="G2259" t="str">
        <f t="shared" si="177"/>
        <v>Q</v>
      </c>
      <c r="H2259" t="str">
        <f t="shared" si="178"/>
        <v>87</v>
      </c>
      <c r="I2259" t="str">
        <f t="shared" si="179"/>
        <v>871</v>
      </c>
      <c r="J2259" t="str">
        <f t="shared" si="180"/>
        <v>87115</v>
      </c>
      <c r="K2259" t="str">
        <f t="shared" si="176"/>
        <v>8711505</v>
      </c>
    </row>
    <row r="2260" spans="2:11" x14ac:dyDescent="0.25">
      <c r="C2260" t="s">
        <v>1864</v>
      </c>
      <c r="D2260" t="s">
        <v>4124</v>
      </c>
      <c r="E2260" t="s">
        <v>1864</v>
      </c>
      <c r="F2260" t="s">
        <v>1753</v>
      </c>
      <c r="G2260" t="str">
        <f t="shared" si="177"/>
        <v>Q</v>
      </c>
      <c r="H2260" t="str">
        <f t="shared" si="178"/>
        <v>87</v>
      </c>
      <c r="I2260" t="str">
        <f t="shared" si="179"/>
        <v>871</v>
      </c>
      <c r="J2260" t="str">
        <f t="shared" si="180"/>
        <v>87123</v>
      </c>
      <c r="K2260" t="str">
        <f t="shared" si="176"/>
        <v/>
      </c>
    </row>
    <row r="2261" spans="2:11" x14ac:dyDescent="0.25">
      <c r="C2261" t="s">
        <v>1864</v>
      </c>
      <c r="D2261" t="s">
        <v>1864</v>
      </c>
      <c r="E2261" t="s">
        <v>4125</v>
      </c>
      <c r="F2261" t="s">
        <v>1753</v>
      </c>
      <c r="G2261" t="str">
        <f t="shared" si="177"/>
        <v>Q</v>
      </c>
      <c r="H2261" t="str">
        <f t="shared" si="178"/>
        <v>87</v>
      </c>
      <c r="I2261" t="str">
        <f t="shared" si="179"/>
        <v>871</v>
      </c>
      <c r="J2261" t="str">
        <f t="shared" si="180"/>
        <v>87123</v>
      </c>
      <c r="K2261" t="str">
        <f t="shared" si="176"/>
        <v>8712300</v>
      </c>
    </row>
    <row r="2262" spans="2:11" x14ac:dyDescent="0.25">
      <c r="C2262" t="s">
        <v>4126</v>
      </c>
      <c r="D2262" t="s">
        <v>1864</v>
      </c>
      <c r="E2262" t="s">
        <v>1864</v>
      </c>
      <c r="F2262" t="s">
        <v>1754</v>
      </c>
      <c r="G2262" t="str">
        <f t="shared" si="177"/>
        <v>Q</v>
      </c>
      <c r="H2262" t="str">
        <f t="shared" si="178"/>
        <v>87</v>
      </c>
      <c r="I2262" t="str">
        <f t="shared" si="179"/>
        <v>872</v>
      </c>
      <c r="J2262" t="str">
        <f t="shared" si="180"/>
        <v>87123</v>
      </c>
      <c r="K2262" t="str">
        <f t="shared" si="176"/>
        <v/>
      </c>
    </row>
    <row r="2263" spans="2:11" x14ac:dyDescent="0.25">
      <c r="C2263" t="s">
        <v>1864</v>
      </c>
      <c r="D2263" t="s">
        <v>4127</v>
      </c>
      <c r="E2263" t="s">
        <v>1864</v>
      </c>
      <c r="F2263" t="s">
        <v>1754</v>
      </c>
      <c r="G2263" t="str">
        <f t="shared" si="177"/>
        <v>Q</v>
      </c>
      <c r="H2263" t="str">
        <f t="shared" si="178"/>
        <v>87</v>
      </c>
      <c r="I2263" t="str">
        <f t="shared" si="179"/>
        <v>872</v>
      </c>
      <c r="J2263" t="str">
        <f t="shared" si="180"/>
        <v>87204</v>
      </c>
      <c r="K2263" t="str">
        <f t="shared" si="176"/>
        <v/>
      </c>
    </row>
    <row r="2264" spans="2:11" x14ac:dyDescent="0.25">
      <c r="C2264" t="s">
        <v>1864</v>
      </c>
      <c r="D2264" t="s">
        <v>1864</v>
      </c>
      <c r="E2264" t="s">
        <v>4128</v>
      </c>
      <c r="F2264" t="s">
        <v>1755</v>
      </c>
      <c r="G2264" t="str">
        <f t="shared" si="177"/>
        <v>Q</v>
      </c>
      <c r="H2264" t="str">
        <f t="shared" si="178"/>
        <v>87</v>
      </c>
      <c r="I2264" t="str">
        <f t="shared" si="179"/>
        <v>872</v>
      </c>
      <c r="J2264" t="str">
        <f t="shared" si="180"/>
        <v>87204</v>
      </c>
      <c r="K2264" t="str">
        <f t="shared" si="176"/>
        <v>8720401</v>
      </c>
    </row>
    <row r="2265" spans="2:11" x14ac:dyDescent="0.25">
      <c r="C2265" t="s">
        <v>1864</v>
      </c>
      <c r="D2265" t="s">
        <v>1864</v>
      </c>
      <c r="E2265" t="s">
        <v>4129</v>
      </c>
      <c r="F2265" t="s">
        <v>1756</v>
      </c>
      <c r="G2265" t="str">
        <f t="shared" si="177"/>
        <v>Q</v>
      </c>
      <c r="H2265" t="str">
        <f t="shared" si="178"/>
        <v>87</v>
      </c>
      <c r="I2265" t="str">
        <f t="shared" si="179"/>
        <v>872</v>
      </c>
      <c r="J2265" t="str">
        <f t="shared" si="180"/>
        <v>87204</v>
      </c>
      <c r="K2265" t="str">
        <f t="shared" si="176"/>
        <v>8720499</v>
      </c>
    </row>
    <row r="2266" spans="2:11" x14ac:dyDescent="0.25">
      <c r="C2266" t="s">
        <v>4130</v>
      </c>
      <c r="D2266" t="s">
        <v>1864</v>
      </c>
      <c r="E2266" t="s">
        <v>1864</v>
      </c>
      <c r="F2266" t="s">
        <v>1757</v>
      </c>
      <c r="G2266" t="str">
        <f t="shared" si="177"/>
        <v>Q</v>
      </c>
      <c r="H2266" t="str">
        <f t="shared" si="178"/>
        <v>87</v>
      </c>
      <c r="I2266" t="str">
        <f t="shared" si="179"/>
        <v>873</v>
      </c>
      <c r="J2266" t="str">
        <f t="shared" si="180"/>
        <v>87204</v>
      </c>
      <c r="K2266" t="str">
        <f t="shared" si="176"/>
        <v/>
      </c>
    </row>
    <row r="2267" spans="2:11" x14ac:dyDescent="0.25">
      <c r="C2267" t="s">
        <v>1864</v>
      </c>
      <c r="D2267" t="s">
        <v>4131</v>
      </c>
      <c r="E2267" t="s">
        <v>1864</v>
      </c>
      <c r="F2267" t="s">
        <v>1757</v>
      </c>
      <c r="G2267" t="str">
        <f t="shared" si="177"/>
        <v>Q</v>
      </c>
      <c r="H2267" t="str">
        <f t="shared" si="178"/>
        <v>87</v>
      </c>
      <c r="I2267" t="str">
        <f t="shared" si="179"/>
        <v>873</v>
      </c>
      <c r="J2267" t="str">
        <f t="shared" si="180"/>
        <v>87301</v>
      </c>
      <c r="K2267" t="str">
        <f t="shared" si="176"/>
        <v/>
      </c>
    </row>
    <row r="2268" spans="2:11" x14ac:dyDescent="0.25">
      <c r="C2268" t="s">
        <v>1864</v>
      </c>
      <c r="D2268" t="s">
        <v>1864</v>
      </c>
      <c r="E2268" t="s">
        <v>4132</v>
      </c>
      <c r="F2268" t="s">
        <v>1758</v>
      </c>
      <c r="G2268" t="str">
        <f t="shared" si="177"/>
        <v>Q</v>
      </c>
      <c r="H2268" t="str">
        <f t="shared" si="178"/>
        <v>87</v>
      </c>
      <c r="I2268" t="str">
        <f t="shared" si="179"/>
        <v>873</v>
      </c>
      <c r="J2268" t="str">
        <f t="shared" si="180"/>
        <v>87301</v>
      </c>
      <c r="K2268" t="str">
        <f t="shared" si="176"/>
        <v>8730101</v>
      </c>
    </row>
    <row r="2269" spans="2:11" x14ac:dyDescent="0.25">
      <c r="C2269" t="s">
        <v>1864</v>
      </c>
      <c r="D2269" t="s">
        <v>1864</v>
      </c>
      <c r="E2269" t="s">
        <v>4133</v>
      </c>
      <c r="F2269" t="s">
        <v>1759</v>
      </c>
      <c r="G2269" t="str">
        <f t="shared" si="177"/>
        <v>Q</v>
      </c>
      <c r="H2269" t="str">
        <f t="shared" si="178"/>
        <v>87</v>
      </c>
      <c r="I2269" t="str">
        <f t="shared" si="179"/>
        <v>873</v>
      </c>
      <c r="J2269" t="str">
        <f t="shared" si="180"/>
        <v>87301</v>
      </c>
      <c r="K2269" t="str">
        <f t="shared" si="176"/>
        <v>8730102</v>
      </c>
    </row>
    <row r="2270" spans="2:11" x14ac:dyDescent="0.25">
      <c r="C2270" t="s">
        <v>1864</v>
      </c>
      <c r="D2270" t="s">
        <v>1864</v>
      </c>
      <c r="E2270" t="s">
        <v>4134</v>
      </c>
      <c r="F2270" t="s">
        <v>1760</v>
      </c>
      <c r="G2270" t="str">
        <f t="shared" si="177"/>
        <v>Q</v>
      </c>
      <c r="H2270" t="str">
        <f t="shared" si="178"/>
        <v>87</v>
      </c>
      <c r="I2270" t="str">
        <f t="shared" si="179"/>
        <v>873</v>
      </c>
      <c r="J2270" t="str">
        <f t="shared" si="180"/>
        <v>87301</v>
      </c>
      <c r="K2270" t="str">
        <f t="shared" si="176"/>
        <v>8730199</v>
      </c>
    </row>
    <row r="2271" spans="2:11" x14ac:dyDescent="0.25">
      <c r="B2271" t="s">
        <v>4135</v>
      </c>
      <c r="C2271" t="s">
        <v>1864</v>
      </c>
      <c r="D2271" t="s">
        <v>1864</v>
      </c>
      <c r="E2271" t="s">
        <v>1864</v>
      </c>
      <c r="F2271" t="s">
        <v>1761</v>
      </c>
      <c r="G2271" t="str">
        <f t="shared" si="177"/>
        <v>Q</v>
      </c>
      <c r="H2271" t="str">
        <f t="shared" si="178"/>
        <v>88</v>
      </c>
      <c r="I2271" t="str">
        <f t="shared" si="179"/>
        <v>873</v>
      </c>
      <c r="J2271" t="str">
        <f t="shared" si="180"/>
        <v>87301</v>
      </c>
      <c r="K2271" t="str">
        <f t="shared" si="176"/>
        <v/>
      </c>
    </row>
    <row r="2272" spans="2:11" x14ac:dyDescent="0.25">
      <c r="C2272" t="s">
        <v>4136</v>
      </c>
      <c r="D2272" t="s">
        <v>1864</v>
      </c>
      <c r="E2272" t="s">
        <v>1864</v>
      </c>
      <c r="F2272" t="s">
        <v>1762</v>
      </c>
      <c r="G2272" t="str">
        <f t="shared" si="177"/>
        <v>Q</v>
      </c>
      <c r="H2272" t="str">
        <f t="shared" si="178"/>
        <v>88</v>
      </c>
      <c r="I2272" t="str">
        <f t="shared" si="179"/>
        <v>880</v>
      </c>
      <c r="J2272" t="str">
        <f t="shared" si="180"/>
        <v>87301</v>
      </c>
      <c r="K2272" t="str">
        <f t="shared" si="176"/>
        <v/>
      </c>
    </row>
    <row r="2273" spans="1:11" x14ac:dyDescent="0.25">
      <c r="C2273" t="s">
        <v>1864</v>
      </c>
      <c r="D2273" t="s">
        <v>4137</v>
      </c>
      <c r="E2273" t="s">
        <v>1864</v>
      </c>
      <c r="F2273" t="s">
        <v>1762</v>
      </c>
      <c r="G2273" t="str">
        <f t="shared" si="177"/>
        <v>Q</v>
      </c>
      <c r="H2273" t="str">
        <f t="shared" si="178"/>
        <v>88</v>
      </c>
      <c r="I2273" t="str">
        <f t="shared" si="179"/>
        <v>880</v>
      </c>
      <c r="J2273" t="str">
        <f t="shared" si="180"/>
        <v>88006</v>
      </c>
      <c r="K2273" t="str">
        <f t="shared" si="176"/>
        <v/>
      </c>
    </row>
    <row r="2274" spans="1:11" x14ac:dyDescent="0.25">
      <c r="C2274" t="s">
        <v>1864</v>
      </c>
      <c r="D2274" t="s">
        <v>1864</v>
      </c>
      <c r="E2274" t="s">
        <v>4138</v>
      </c>
      <c r="F2274" t="s">
        <v>1762</v>
      </c>
      <c r="G2274" t="str">
        <f t="shared" si="177"/>
        <v>Q</v>
      </c>
      <c r="H2274" t="str">
        <f t="shared" si="178"/>
        <v>88</v>
      </c>
      <c r="I2274" t="str">
        <f t="shared" si="179"/>
        <v>880</v>
      </c>
      <c r="J2274" t="str">
        <f t="shared" si="180"/>
        <v>88006</v>
      </c>
      <c r="K2274" t="str">
        <f t="shared" si="176"/>
        <v>8800600</v>
      </c>
    </row>
    <row r="2275" spans="1:11" x14ac:dyDescent="0.25">
      <c r="A2275" t="s">
        <v>4139</v>
      </c>
      <c r="C2275" t="s">
        <v>1864</v>
      </c>
      <c r="D2275" t="s">
        <v>1864</v>
      </c>
      <c r="E2275" t="s">
        <v>1864</v>
      </c>
      <c r="F2275" t="s">
        <v>1763</v>
      </c>
      <c r="G2275" t="str">
        <f t="shared" si="177"/>
        <v>R</v>
      </c>
      <c r="H2275" t="str">
        <f t="shared" si="178"/>
        <v>88</v>
      </c>
      <c r="I2275" t="str">
        <f t="shared" si="179"/>
        <v>880</v>
      </c>
      <c r="J2275" t="str">
        <f t="shared" si="180"/>
        <v>88006</v>
      </c>
      <c r="K2275" t="str">
        <f t="shared" si="176"/>
        <v/>
      </c>
    </row>
    <row r="2276" spans="1:11" x14ac:dyDescent="0.25">
      <c r="B2276" t="s">
        <v>4140</v>
      </c>
      <c r="C2276" t="s">
        <v>1864</v>
      </c>
      <c r="D2276" t="s">
        <v>1864</v>
      </c>
      <c r="E2276" t="s">
        <v>1864</v>
      </c>
      <c r="F2276" t="s">
        <v>1764</v>
      </c>
      <c r="G2276" t="str">
        <f t="shared" si="177"/>
        <v>R</v>
      </c>
      <c r="H2276" t="str">
        <f t="shared" si="178"/>
        <v>90</v>
      </c>
      <c r="I2276" t="str">
        <f t="shared" si="179"/>
        <v>880</v>
      </c>
      <c r="J2276" t="str">
        <f t="shared" si="180"/>
        <v>88006</v>
      </c>
      <c r="K2276" t="str">
        <f t="shared" si="176"/>
        <v/>
      </c>
    </row>
    <row r="2277" spans="1:11" x14ac:dyDescent="0.25">
      <c r="C2277" t="s">
        <v>4141</v>
      </c>
      <c r="D2277" t="s">
        <v>1864</v>
      </c>
      <c r="E2277" t="s">
        <v>1864</v>
      </c>
      <c r="F2277" t="s">
        <v>1765</v>
      </c>
      <c r="G2277" t="str">
        <f t="shared" si="177"/>
        <v>R</v>
      </c>
      <c r="H2277" t="str">
        <f t="shared" si="178"/>
        <v>90</v>
      </c>
      <c r="I2277" t="str">
        <f t="shared" si="179"/>
        <v>900</v>
      </c>
      <c r="J2277" t="str">
        <f t="shared" si="180"/>
        <v>88006</v>
      </c>
      <c r="K2277" t="str">
        <f t="shared" si="176"/>
        <v/>
      </c>
    </row>
    <row r="2278" spans="1:11" x14ac:dyDescent="0.25">
      <c r="C2278" t="s">
        <v>1864</v>
      </c>
      <c r="D2278" t="s">
        <v>4142</v>
      </c>
      <c r="E2278" t="s">
        <v>1864</v>
      </c>
      <c r="F2278" t="s">
        <v>1766</v>
      </c>
      <c r="G2278" t="str">
        <f t="shared" si="177"/>
        <v>R</v>
      </c>
      <c r="H2278" t="str">
        <f t="shared" si="178"/>
        <v>90</v>
      </c>
      <c r="I2278" t="str">
        <f t="shared" si="179"/>
        <v>900</v>
      </c>
      <c r="J2278" t="str">
        <f t="shared" si="180"/>
        <v>90019</v>
      </c>
      <c r="K2278" t="str">
        <f t="shared" si="176"/>
        <v/>
      </c>
    </row>
    <row r="2279" spans="1:11" x14ac:dyDescent="0.25">
      <c r="C2279" t="s">
        <v>1864</v>
      </c>
      <c r="D2279" t="s">
        <v>1864</v>
      </c>
      <c r="E2279" t="s">
        <v>4143</v>
      </c>
      <c r="F2279" t="s">
        <v>1767</v>
      </c>
      <c r="G2279" t="str">
        <f t="shared" si="177"/>
        <v>R</v>
      </c>
      <c r="H2279" t="str">
        <f t="shared" si="178"/>
        <v>90</v>
      </c>
      <c r="I2279" t="str">
        <f t="shared" si="179"/>
        <v>900</v>
      </c>
      <c r="J2279" t="str">
        <f t="shared" si="180"/>
        <v>90019</v>
      </c>
      <c r="K2279" t="str">
        <f t="shared" si="176"/>
        <v>9001901</v>
      </c>
    </row>
    <row r="2280" spans="1:11" x14ac:dyDescent="0.25">
      <c r="C2280" t="s">
        <v>1864</v>
      </c>
      <c r="D2280" t="s">
        <v>1864</v>
      </c>
      <c r="E2280" t="s">
        <v>4144</v>
      </c>
      <c r="F2280" t="s">
        <v>1768</v>
      </c>
      <c r="G2280" t="str">
        <f t="shared" si="177"/>
        <v>R</v>
      </c>
      <c r="H2280" t="str">
        <f t="shared" si="178"/>
        <v>90</v>
      </c>
      <c r="I2280" t="str">
        <f t="shared" si="179"/>
        <v>900</v>
      </c>
      <c r="J2280" t="str">
        <f t="shared" si="180"/>
        <v>90019</v>
      </c>
      <c r="K2280" t="str">
        <f t="shared" si="176"/>
        <v>9001902</v>
      </c>
    </row>
    <row r="2281" spans="1:11" x14ac:dyDescent="0.25">
      <c r="C2281" t="s">
        <v>1864</v>
      </c>
      <c r="D2281" t="s">
        <v>1864</v>
      </c>
      <c r="E2281" t="s">
        <v>4145</v>
      </c>
      <c r="F2281" t="s">
        <v>1769</v>
      </c>
      <c r="G2281" t="str">
        <f t="shared" si="177"/>
        <v>R</v>
      </c>
      <c r="H2281" t="str">
        <f t="shared" si="178"/>
        <v>90</v>
      </c>
      <c r="I2281" t="str">
        <f t="shared" si="179"/>
        <v>900</v>
      </c>
      <c r="J2281" t="str">
        <f t="shared" si="180"/>
        <v>90019</v>
      </c>
      <c r="K2281" t="str">
        <f t="shared" si="176"/>
        <v>9001903</v>
      </c>
    </row>
    <row r="2282" spans="1:11" x14ac:dyDescent="0.25">
      <c r="C2282" t="s">
        <v>1864</v>
      </c>
      <c r="D2282" t="s">
        <v>1864</v>
      </c>
      <c r="E2282" t="s">
        <v>4146</v>
      </c>
      <c r="F2282" t="s">
        <v>1770</v>
      </c>
      <c r="G2282" t="str">
        <f t="shared" si="177"/>
        <v>R</v>
      </c>
      <c r="H2282" t="str">
        <f t="shared" si="178"/>
        <v>90</v>
      </c>
      <c r="I2282" t="str">
        <f t="shared" si="179"/>
        <v>900</v>
      </c>
      <c r="J2282" t="str">
        <f t="shared" si="180"/>
        <v>90019</v>
      </c>
      <c r="K2282" t="str">
        <f t="shared" si="176"/>
        <v>9001904</v>
      </c>
    </row>
    <row r="2283" spans="1:11" x14ac:dyDescent="0.25">
      <c r="C2283" t="s">
        <v>1864</v>
      </c>
      <c r="D2283" t="s">
        <v>1864</v>
      </c>
      <c r="E2283" t="s">
        <v>4147</v>
      </c>
      <c r="F2283" t="s">
        <v>1771</v>
      </c>
      <c r="G2283" t="str">
        <f t="shared" si="177"/>
        <v>R</v>
      </c>
      <c r="H2283" t="str">
        <f t="shared" si="178"/>
        <v>90</v>
      </c>
      <c r="I2283" t="str">
        <f t="shared" si="179"/>
        <v>900</v>
      </c>
      <c r="J2283" t="str">
        <f t="shared" si="180"/>
        <v>90019</v>
      </c>
      <c r="K2283" t="str">
        <f t="shared" si="176"/>
        <v>9001905</v>
      </c>
    </row>
    <row r="2284" spans="1:11" x14ac:dyDescent="0.25">
      <c r="C2284" t="s">
        <v>1864</v>
      </c>
      <c r="D2284" t="s">
        <v>1864</v>
      </c>
      <c r="E2284" t="s">
        <v>4148</v>
      </c>
      <c r="F2284" t="s">
        <v>1772</v>
      </c>
      <c r="G2284" t="str">
        <f t="shared" si="177"/>
        <v>R</v>
      </c>
      <c r="H2284" t="str">
        <f t="shared" si="178"/>
        <v>90</v>
      </c>
      <c r="I2284" t="str">
        <f t="shared" si="179"/>
        <v>900</v>
      </c>
      <c r="J2284" t="str">
        <f t="shared" si="180"/>
        <v>90019</v>
      </c>
      <c r="K2284" t="str">
        <f t="shared" si="176"/>
        <v>9001906</v>
      </c>
    </row>
    <row r="2285" spans="1:11" x14ac:dyDescent="0.25">
      <c r="C2285" t="s">
        <v>1864</v>
      </c>
      <c r="D2285" t="s">
        <v>1864</v>
      </c>
      <c r="E2285" t="s">
        <v>4149</v>
      </c>
      <c r="F2285" t="s">
        <v>1773</v>
      </c>
      <c r="G2285" t="str">
        <f t="shared" si="177"/>
        <v>R</v>
      </c>
      <c r="H2285" t="str">
        <f t="shared" si="178"/>
        <v>90</v>
      </c>
      <c r="I2285" t="str">
        <f t="shared" si="179"/>
        <v>900</v>
      </c>
      <c r="J2285" t="str">
        <f t="shared" si="180"/>
        <v>90019</v>
      </c>
      <c r="K2285" t="str">
        <f t="shared" si="176"/>
        <v>9001999</v>
      </c>
    </row>
    <row r="2286" spans="1:11" x14ac:dyDescent="0.25">
      <c r="C2286" t="s">
        <v>1864</v>
      </c>
      <c r="D2286" t="s">
        <v>4150</v>
      </c>
      <c r="E2286" t="s">
        <v>1864</v>
      </c>
      <c r="F2286" t="s">
        <v>1774</v>
      </c>
      <c r="G2286" t="str">
        <f t="shared" si="177"/>
        <v>R</v>
      </c>
      <c r="H2286" t="str">
        <f t="shared" si="178"/>
        <v>90</v>
      </c>
      <c r="I2286" t="str">
        <f t="shared" si="179"/>
        <v>900</v>
      </c>
      <c r="J2286" t="str">
        <f t="shared" si="180"/>
        <v>90027</v>
      </c>
      <c r="K2286" t="str">
        <f t="shared" si="176"/>
        <v/>
      </c>
    </row>
    <row r="2287" spans="1:11" x14ac:dyDescent="0.25">
      <c r="C2287" t="s">
        <v>1864</v>
      </c>
      <c r="D2287" t="s">
        <v>1864</v>
      </c>
      <c r="E2287" t="s">
        <v>4151</v>
      </c>
      <c r="F2287" t="s">
        <v>1775</v>
      </c>
      <c r="G2287" t="str">
        <f t="shared" si="177"/>
        <v>R</v>
      </c>
      <c r="H2287" t="str">
        <f t="shared" si="178"/>
        <v>90</v>
      </c>
      <c r="I2287" t="str">
        <f t="shared" si="179"/>
        <v>900</v>
      </c>
      <c r="J2287" t="str">
        <f t="shared" si="180"/>
        <v>90027</v>
      </c>
      <c r="K2287" t="str">
        <f t="shared" si="176"/>
        <v>9002701</v>
      </c>
    </row>
    <row r="2288" spans="1:11" x14ac:dyDescent="0.25">
      <c r="C2288" t="s">
        <v>1864</v>
      </c>
      <c r="D2288" t="s">
        <v>1864</v>
      </c>
      <c r="E2288" t="s">
        <v>4152</v>
      </c>
      <c r="F2288" t="s">
        <v>1776</v>
      </c>
      <c r="G2288" t="str">
        <f t="shared" si="177"/>
        <v>R</v>
      </c>
      <c r="H2288" t="str">
        <f t="shared" si="178"/>
        <v>90</v>
      </c>
      <c r="I2288" t="str">
        <f t="shared" si="179"/>
        <v>900</v>
      </c>
      <c r="J2288" t="str">
        <f t="shared" si="180"/>
        <v>90027</v>
      </c>
      <c r="K2288" t="str">
        <f t="shared" si="176"/>
        <v>9002702</v>
      </c>
    </row>
    <row r="2289" spans="2:11" x14ac:dyDescent="0.25">
      <c r="C2289" t="s">
        <v>1864</v>
      </c>
      <c r="D2289" t="s">
        <v>4153</v>
      </c>
      <c r="E2289" t="s">
        <v>1864</v>
      </c>
      <c r="F2289" t="s">
        <v>1777</v>
      </c>
      <c r="G2289" t="str">
        <f t="shared" si="177"/>
        <v>R</v>
      </c>
      <c r="H2289" t="str">
        <f t="shared" si="178"/>
        <v>90</v>
      </c>
      <c r="I2289" t="str">
        <f t="shared" si="179"/>
        <v>900</v>
      </c>
      <c r="J2289" t="str">
        <f t="shared" si="180"/>
        <v>90035</v>
      </c>
      <c r="K2289" t="str">
        <f t="shared" si="176"/>
        <v/>
      </c>
    </row>
    <row r="2290" spans="2:11" x14ac:dyDescent="0.25">
      <c r="C2290" t="s">
        <v>1864</v>
      </c>
      <c r="D2290" t="s">
        <v>1864</v>
      </c>
      <c r="E2290" t="s">
        <v>4154</v>
      </c>
      <c r="F2290" t="s">
        <v>1777</v>
      </c>
      <c r="G2290" t="str">
        <f t="shared" si="177"/>
        <v>R</v>
      </c>
      <c r="H2290" t="str">
        <f t="shared" si="178"/>
        <v>90</v>
      </c>
      <c r="I2290" t="str">
        <f t="shared" si="179"/>
        <v>900</v>
      </c>
      <c r="J2290" t="str">
        <f t="shared" si="180"/>
        <v>90035</v>
      </c>
      <c r="K2290" t="str">
        <f t="shared" si="176"/>
        <v>9003500</v>
      </c>
    </row>
    <row r="2291" spans="2:11" x14ac:dyDescent="0.25">
      <c r="B2291" t="s">
        <v>4155</v>
      </c>
      <c r="C2291" t="s">
        <v>1864</v>
      </c>
      <c r="D2291" t="s">
        <v>1864</v>
      </c>
      <c r="E2291" t="s">
        <v>1864</v>
      </c>
      <c r="F2291" t="s">
        <v>1778</v>
      </c>
      <c r="G2291" t="str">
        <f t="shared" si="177"/>
        <v>R</v>
      </c>
      <c r="H2291" t="str">
        <f t="shared" si="178"/>
        <v>91</v>
      </c>
      <c r="I2291" t="str">
        <f t="shared" si="179"/>
        <v>900</v>
      </c>
      <c r="J2291" t="str">
        <f t="shared" si="180"/>
        <v>90035</v>
      </c>
      <c r="K2291" t="str">
        <f t="shared" si="176"/>
        <v/>
      </c>
    </row>
    <row r="2292" spans="2:11" x14ac:dyDescent="0.25">
      <c r="C2292" t="s">
        <v>4156</v>
      </c>
      <c r="D2292" t="s">
        <v>1864</v>
      </c>
      <c r="E2292" t="s">
        <v>1864</v>
      </c>
      <c r="F2292" t="s">
        <v>1779</v>
      </c>
      <c r="G2292" t="str">
        <f t="shared" si="177"/>
        <v>R</v>
      </c>
      <c r="H2292" t="str">
        <f t="shared" si="178"/>
        <v>91</v>
      </c>
      <c r="I2292" t="str">
        <f t="shared" si="179"/>
        <v>910</v>
      </c>
      <c r="J2292" t="str">
        <f t="shared" si="180"/>
        <v>90035</v>
      </c>
      <c r="K2292" t="str">
        <f t="shared" si="176"/>
        <v/>
      </c>
    </row>
    <row r="2293" spans="2:11" x14ac:dyDescent="0.25">
      <c r="C2293" t="s">
        <v>1864</v>
      </c>
      <c r="D2293" t="s">
        <v>4157</v>
      </c>
      <c r="E2293" t="s">
        <v>1864</v>
      </c>
      <c r="F2293" t="s">
        <v>1780</v>
      </c>
      <c r="G2293" t="str">
        <f t="shared" si="177"/>
        <v>R</v>
      </c>
      <c r="H2293" t="str">
        <f t="shared" si="178"/>
        <v>91</v>
      </c>
      <c r="I2293" t="str">
        <f t="shared" si="179"/>
        <v>910</v>
      </c>
      <c r="J2293" t="str">
        <f t="shared" si="180"/>
        <v>91015</v>
      </c>
      <c r="K2293" t="str">
        <f t="shared" si="176"/>
        <v/>
      </c>
    </row>
    <row r="2294" spans="2:11" x14ac:dyDescent="0.25">
      <c r="C2294" t="s">
        <v>1864</v>
      </c>
      <c r="D2294" t="s">
        <v>1864</v>
      </c>
      <c r="E2294" t="s">
        <v>4158</v>
      </c>
      <c r="F2294" t="s">
        <v>1780</v>
      </c>
      <c r="G2294" t="str">
        <f t="shared" si="177"/>
        <v>R</v>
      </c>
      <c r="H2294" t="str">
        <f t="shared" si="178"/>
        <v>91</v>
      </c>
      <c r="I2294" t="str">
        <f t="shared" si="179"/>
        <v>910</v>
      </c>
      <c r="J2294" t="str">
        <f t="shared" si="180"/>
        <v>91015</v>
      </c>
      <c r="K2294" t="str">
        <f t="shared" si="176"/>
        <v>9101500</v>
      </c>
    </row>
    <row r="2295" spans="2:11" x14ac:dyDescent="0.25">
      <c r="C2295" t="s">
        <v>1864</v>
      </c>
      <c r="D2295" t="s">
        <v>4159</v>
      </c>
      <c r="E2295" t="s">
        <v>1864</v>
      </c>
      <c r="F2295" t="s">
        <v>1781</v>
      </c>
      <c r="G2295" t="str">
        <f t="shared" si="177"/>
        <v>R</v>
      </c>
      <c r="H2295" t="str">
        <f t="shared" si="178"/>
        <v>91</v>
      </c>
      <c r="I2295" t="str">
        <f t="shared" si="179"/>
        <v>910</v>
      </c>
      <c r="J2295" t="str">
        <f t="shared" si="180"/>
        <v>91023</v>
      </c>
      <c r="K2295" t="str">
        <f t="shared" si="176"/>
        <v/>
      </c>
    </row>
    <row r="2296" spans="2:11" x14ac:dyDescent="0.25">
      <c r="C2296" t="s">
        <v>1864</v>
      </c>
      <c r="D2296" t="s">
        <v>1864</v>
      </c>
      <c r="E2296" t="s">
        <v>4160</v>
      </c>
      <c r="F2296" t="s">
        <v>1782</v>
      </c>
      <c r="G2296" t="str">
        <f t="shared" si="177"/>
        <v>R</v>
      </c>
      <c r="H2296" t="str">
        <f t="shared" si="178"/>
        <v>91</v>
      </c>
      <c r="I2296" t="str">
        <f t="shared" si="179"/>
        <v>910</v>
      </c>
      <c r="J2296" t="str">
        <f t="shared" si="180"/>
        <v>91023</v>
      </c>
      <c r="K2296" t="str">
        <f t="shared" si="176"/>
        <v>9102301</v>
      </c>
    </row>
    <row r="2297" spans="2:11" x14ac:dyDescent="0.25">
      <c r="C2297" t="s">
        <v>1864</v>
      </c>
      <c r="D2297" t="s">
        <v>1864</v>
      </c>
      <c r="E2297" t="s">
        <v>4161</v>
      </c>
      <c r="F2297" t="s">
        <v>1783</v>
      </c>
      <c r="G2297" t="str">
        <f t="shared" si="177"/>
        <v>R</v>
      </c>
      <c r="H2297" t="str">
        <f t="shared" si="178"/>
        <v>91</v>
      </c>
      <c r="I2297" t="str">
        <f t="shared" si="179"/>
        <v>910</v>
      </c>
      <c r="J2297" t="str">
        <f t="shared" si="180"/>
        <v>91023</v>
      </c>
      <c r="K2297" t="str">
        <f t="shared" si="176"/>
        <v>9102302</v>
      </c>
    </row>
    <row r="2298" spans="2:11" x14ac:dyDescent="0.25">
      <c r="C2298" t="s">
        <v>1864</v>
      </c>
      <c r="D2298" t="s">
        <v>4162</v>
      </c>
      <c r="E2298" t="s">
        <v>1864</v>
      </c>
      <c r="F2298" t="s">
        <v>1784</v>
      </c>
      <c r="G2298" t="str">
        <f t="shared" si="177"/>
        <v>R</v>
      </c>
      <c r="H2298" t="str">
        <f t="shared" si="178"/>
        <v>91</v>
      </c>
      <c r="I2298" t="str">
        <f t="shared" si="179"/>
        <v>910</v>
      </c>
      <c r="J2298" t="str">
        <f t="shared" si="180"/>
        <v>91031</v>
      </c>
      <c r="K2298" t="str">
        <f t="shared" si="176"/>
        <v/>
      </c>
    </row>
    <row r="2299" spans="2:11" x14ac:dyDescent="0.25">
      <c r="C2299" t="s">
        <v>1864</v>
      </c>
      <c r="D2299" t="s">
        <v>1864</v>
      </c>
      <c r="E2299" t="s">
        <v>4163</v>
      </c>
      <c r="F2299" t="s">
        <v>1784</v>
      </c>
      <c r="G2299" t="str">
        <f t="shared" si="177"/>
        <v>R</v>
      </c>
      <c r="H2299" t="str">
        <f t="shared" si="178"/>
        <v>91</v>
      </c>
      <c r="I2299" t="str">
        <f t="shared" si="179"/>
        <v>910</v>
      </c>
      <c r="J2299" t="str">
        <f t="shared" si="180"/>
        <v>91031</v>
      </c>
      <c r="K2299" t="str">
        <f t="shared" si="176"/>
        <v>9103100</v>
      </c>
    </row>
    <row r="2300" spans="2:11" x14ac:dyDescent="0.25">
      <c r="B2300" t="s">
        <v>4164</v>
      </c>
      <c r="C2300" t="s">
        <v>1864</v>
      </c>
      <c r="D2300" t="s">
        <v>1864</v>
      </c>
      <c r="E2300" t="s">
        <v>1864</v>
      </c>
      <c r="F2300" t="s">
        <v>1785</v>
      </c>
      <c r="G2300" t="str">
        <f t="shared" si="177"/>
        <v>R</v>
      </c>
      <c r="H2300" t="str">
        <f t="shared" si="178"/>
        <v>92</v>
      </c>
      <c r="I2300" t="str">
        <f t="shared" si="179"/>
        <v>910</v>
      </c>
      <c r="J2300" t="str">
        <f t="shared" si="180"/>
        <v>91031</v>
      </c>
      <c r="K2300" t="str">
        <f t="shared" si="176"/>
        <v/>
      </c>
    </row>
    <row r="2301" spans="2:11" x14ac:dyDescent="0.25">
      <c r="C2301" t="s">
        <v>4165</v>
      </c>
      <c r="D2301" t="s">
        <v>1864</v>
      </c>
      <c r="E2301" t="s">
        <v>1864</v>
      </c>
      <c r="F2301" t="s">
        <v>1786</v>
      </c>
      <c r="G2301" t="str">
        <f t="shared" si="177"/>
        <v>R</v>
      </c>
      <c r="H2301" t="str">
        <f t="shared" si="178"/>
        <v>92</v>
      </c>
      <c r="I2301" t="str">
        <f t="shared" si="179"/>
        <v>920</v>
      </c>
      <c r="J2301" t="str">
        <f t="shared" si="180"/>
        <v>91031</v>
      </c>
      <c r="K2301" t="str">
        <f t="shared" si="176"/>
        <v/>
      </c>
    </row>
    <row r="2302" spans="2:11" x14ac:dyDescent="0.25">
      <c r="C2302" t="s">
        <v>1864</v>
      </c>
      <c r="D2302" t="s">
        <v>4166</v>
      </c>
      <c r="E2302" t="s">
        <v>1864</v>
      </c>
      <c r="F2302" t="s">
        <v>1786</v>
      </c>
      <c r="G2302" t="str">
        <f t="shared" si="177"/>
        <v>R</v>
      </c>
      <c r="H2302" t="str">
        <f t="shared" si="178"/>
        <v>92</v>
      </c>
      <c r="I2302" t="str">
        <f t="shared" si="179"/>
        <v>920</v>
      </c>
      <c r="J2302" t="str">
        <f t="shared" si="180"/>
        <v>92003</v>
      </c>
      <c r="K2302" t="str">
        <f t="shared" si="176"/>
        <v/>
      </c>
    </row>
    <row r="2303" spans="2:11" x14ac:dyDescent="0.25">
      <c r="C2303" t="s">
        <v>1864</v>
      </c>
      <c r="D2303" t="s">
        <v>1864</v>
      </c>
      <c r="E2303" t="s">
        <v>4167</v>
      </c>
      <c r="F2303" t="s">
        <v>1787</v>
      </c>
      <c r="G2303" t="str">
        <f t="shared" si="177"/>
        <v>R</v>
      </c>
      <c r="H2303" t="str">
        <f t="shared" si="178"/>
        <v>92</v>
      </c>
      <c r="I2303" t="str">
        <f t="shared" si="179"/>
        <v>920</v>
      </c>
      <c r="J2303" t="str">
        <f t="shared" si="180"/>
        <v>92003</v>
      </c>
      <c r="K2303" t="str">
        <f t="shared" si="176"/>
        <v>9200301</v>
      </c>
    </row>
    <row r="2304" spans="2:11" x14ac:dyDescent="0.25">
      <c r="C2304" t="s">
        <v>1864</v>
      </c>
      <c r="D2304" t="s">
        <v>1864</v>
      </c>
      <c r="E2304" t="s">
        <v>4168</v>
      </c>
      <c r="F2304" t="s">
        <v>1788</v>
      </c>
      <c r="G2304" t="str">
        <f t="shared" si="177"/>
        <v>R</v>
      </c>
      <c r="H2304" t="str">
        <f t="shared" si="178"/>
        <v>92</v>
      </c>
      <c r="I2304" t="str">
        <f t="shared" si="179"/>
        <v>920</v>
      </c>
      <c r="J2304" t="str">
        <f t="shared" si="180"/>
        <v>92003</v>
      </c>
      <c r="K2304" t="str">
        <f t="shared" si="176"/>
        <v>9200302</v>
      </c>
    </row>
    <row r="2305" spans="2:11" x14ac:dyDescent="0.25">
      <c r="C2305" t="s">
        <v>1864</v>
      </c>
      <c r="D2305" t="s">
        <v>1864</v>
      </c>
      <c r="E2305" t="s">
        <v>4169</v>
      </c>
      <c r="F2305" t="s">
        <v>1789</v>
      </c>
      <c r="G2305" t="str">
        <f t="shared" si="177"/>
        <v>R</v>
      </c>
      <c r="H2305" t="str">
        <f t="shared" si="178"/>
        <v>92</v>
      </c>
      <c r="I2305" t="str">
        <f t="shared" si="179"/>
        <v>920</v>
      </c>
      <c r="J2305" t="str">
        <f t="shared" si="180"/>
        <v>92003</v>
      </c>
      <c r="K2305" t="str">
        <f t="shared" si="176"/>
        <v>9200399</v>
      </c>
    </row>
    <row r="2306" spans="2:11" x14ac:dyDescent="0.25">
      <c r="B2306" t="s">
        <v>4170</v>
      </c>
      <c r="C2306" t="s">
        <v>1864</v>
      </c>
      <c r="D2306" t="s">
        <v>1864</v>
      </c>
      <c r="E2306" t="s">
        <v>1864</v>
      </c>
      <c r="F2306" t="s">
        <v>1790</v>
      </c>
      <c r="G2306" t="str">
        <f t="shared" si="177"/>
        <v>R</v>
      </c>
      <c r="H2306" t="str">
        <f t="shared" si="178"/>
        <v>93</v>
      </c>
      <c r="I2306" t="str">
        <f t="shared" si="179"/>
        <v>920</v>
      </c>
      <c r="J2306" t="str">
        <f t="shared" si="180"/>
        <v>92003</v>
      </c>
      <c r="K2306" t="str">
        <f t="shared" si="176"/>
        <v/>
      </c>
    </row>
    <row r="2307" spans="2:11" x14ac:dyDescent="0.25">
      <c r="C2307" t="s">
        <v>4171</v>
      </c>
      <c r="D2307" t="s">
        <v>1864</v>
      </c>
      <c r="E2307" t="s">
        <v>1864</v>
      </c>
      <c r="F2307" t="s">
        <v>1791</v>
      </c>
      <c r="G2307" t="str">
        <f t="shared" si="177"/>
        <v>R</v>
      </c>
      <c r="H2307" t="str">
        <f t="shared" si="178"/>
        <v>93</v>
      </c>
      <c r="I2307" t="str">
        <f t="shared" si="179"/>
        <v>931</v>
      </c>
      <c r="J2307" t="str">
        <f t="shared" si="180"/>
        <v>92003</v>
      </c>
      <c r="K2307" t="str">
        <f t="shared" si="176"/>
        <v/>
      </c>
    </row>
    <row r="2308" spans="2:11" x14ac:dyDescent="0.25">
      <c r="C2308" t="s">
        <v>1864</v>
      </c>
      <c r="D2308" t="s">
        <v>4172</v>
      </c>
      <c r="E2308" t="s">
        <v>1864</v>
      </c>
      <c r="F2308" t="s">
        <v>1792</v>
      </c>
      <c r="G2308" t="str">
        <f t="shared" si="177"/>
        <v>R</v>
      </c>
      <c r="H2308" t="str">
        <f t="shared" si="178"/>
        <v>93</v>
      </c>
      <c r="I2308" t="str">
        <f t="shared" si="179"/>
        <v>931</v>
      </c>
      <c r="J2308" t="str">
        <f t="shared" si="180"/>
        <v>93115</v>
      </c>
      <c r="K2308" t="str">
        <f t="shared" si="176"/>
        <v/>
      </c>
    </row>
    <row r="2309" spans="2:11" x14ac:dyDescent="0.25">
      <c r="C2309" t="s">
        <v>1864</v>
      </c>
      <c r="D2309" t="s">
        <v>1864</v>
      </c>
      <c r="E2309" t="s">
        <v>4173</v>
      </c>
      <c r="F2309" t="s">
        <v>1792</v>
      </c>
      <c r="G2309" t="str">
        <f t="shared" si="177"/>
        <v>R</v>
      </c>
      <c r="H2309" t="str">
        <f t="shared" si="178"/>
        <v>93</v>
      </c>
      <c r="I2309" t="str">
        <f t="shared" si="179"/>
        <v>931</v>
      </c>
      <c r="J2309" t="str">
        <f t="shared" si="180"/>
        <v>93115</v>
      </c>
      <c r="K2309" t="str">
        <f t="shared" si="176"/>
        <v>9311500</v>
      </c>
    </row>
    <row r="2310" spans="2:11" x14ac:dyDescent="0.25">
      <c r="C2310" t="s">
        <v>1864</v>
      </c>
      <c r="D2310" t="s">
        <v>4174</v>
      </c>
      <c r="E2310" t="s">
        <v>1864</v>
      </c>
      <c r="F2310" t="s">
        <v>1793</v>
      </c>
      <c r="G2310" t="str">
        <f t="shared" si="177"/>
        <v>R</v>
      </c>
      <c r="H2310" t="str">
        <f t="shared" si="178"/>
        <v>93</v>
      </c>
      <c r="I2310" t="str">
        <f t="shared" si="179"/>
        <v>931</v>
      </c>
      <c r="J2310" t="str">
        <f t="shared" si="180"/>
        <v>93123</v>
      </c>
      <c r="K2310" t="str">
        <f t="shared" si="176"/>
        <v/>
      </c>
    </row>
    <row r="2311" spans="2:11" x14ac:dyDescent="0.25">
      <c r="C2311" t="s">
        <v>1864</v>
      </c>
      <c r="D2311" t="s">
        <v>1864</v>
      </c>
      <c r="E2311" t="s">
        <v>4175</v>
      </c>
      <c r="F2311" t="s">
        <v>1793</v>
      </c>
      <c r="G2311" t="str">
        <f t="shared" si="177"/>
        <v>R</v>
      </c>
      <c r="H2311" t="str">
        <f t="shared" si="178"/>
        <v>93</v>
      </c>
      <c r="I2311" t="str">
        <f t="shared" si="179"/>
        <v>931</v>
      </c>
      <c r="J2311" t="str">
        <f t="shared" si="180"/>
        <v>93123</v>
      </c>
      <c r="K2311" t="str">
        <f t="shared" si="176"/>
        <v>9312300</v>
      </c>
    </row>
    <row r="2312" spans="2:11" x14ac:dyDescent="0.25">
      <c r="C2312" t="s">
        <v>1864</v>
      </c>
      <c r="D2312" t="s">
        <v>4176</v>
      </c>
      <c r="E2312" t="s">
        <v>1864</v>
      </c>
      <c r="F2312" t="s">
        <v>1794</v>
      </c>
      <c r="G2312" t="str">
        <f t="shared" si="177"/>
        <v>R</v>
      </c>
      <c r="H2312" t="str">
        <f t="shared" si="178"/>
        <v>93</v>
      </c>
      <c r="I2312" t="str">
        <f t="shared" si="179"/>
        <v>931</v>
      </c>
      <c r="J2312" t="str">
        <f t="shared" si="180"/>
        <v>93131</v>
      </c>
      <c r="K2312" t="str">
        <f t="shared" ref="K2312:K2375" si="181">E2312</f>
        <v/>
      </c>
    </row>
    <row r="2313" spans="2:11" x14ac:dyDescent="0.25">
      <c r="C2313" t="s">
        <v>1864</v>
      </c>
      <c r="D2313" t="s">
        <v>1864</v>
      </c>
      <c r="E2313" t="s">
        <v>4177</v>
      </c>
      <c r="F2313" t="s">
        <v>1794</v>
      </c>
      <c r="G2313" t="str">
        <f t="shared" ref="G2313:G2376" si="182">IF(A2313="",G2312,A2313)</f>
        <v>R</v>
      </c>
      <c r="H2313" t="str">
        <f t="shared" ref="H2313:H2376" si="183">IF(B2313="",H2312,B2313)</f>
        <v>93</v>
      </c>
      <c r="I2313" t="str">
        <f t="shared" ref="I2313:I2376" si="184">IF(C2313="",I2312,C2313)</f>
        <v>931</v>
      </c>
      <c r="J2313" t="str">
        <f t="shared" ref="J2313:J2376" si="185">IF(D2313="",J2312,D2313)</f>
        <v>93131</v>
      </c>
      <c r="K2313" t="str">
        <f t="shared" si="181"/>
        <v>9313100</v>
      </c>
    </row>
    <row r="2314" spans="2:11" x14ac:dyDescent="0.25">
      <c r="C2314" t="s">
        <v>1864</v>
      </c>
      <c r="D2314" t="s">
        <v>4178</v>
      </c>
      <c r="E2314" t="s">
        <v>1864</v>
      </c>
      <c r="F2314" t="s">
        <v>1795</v>
      </c>
      <c r="G2314" t="str">
        <f t="shared" si="182"/>
        <v>R</v>
      </c>
      <c r="H2314" t="str">
        <f t="shared" si="183"/>
        <v>93</v>
      </c>
      <c r="I2314" t="str">
        <f t="shared" si="184"/>
        <v>931</v>
      </c>
      <c r="J2314" t="str">
        <f t="shared" si="185"/>
        <v>93191</v>
      </c>
      <c r="K2314" t="str">
        <f t="shared" si="181"/>
        <v/>
      </c>
    </row>
    <row r="2315" spans="2:11" x14ac:dyDescent="0.25">
      <c r="C2315" t="s">
        <v>1864</v>
      </c>
      <c r="D2315" t="s">
        <v>1864</v>
      </c>
      <c r="E2315" t="s">
        <v>4179</v>
      </c>
      <c r="F2315" t="s">
        <v>1796</v>
      </c>
      <c r="G2315" t="str">
        <f t="shared" si="182"/>
        <v>R</v>
      </c>
      <c r="H2315" t="str">
        <f t="shared" si="183"/>
        <v>93</v>
      </c>
      <c r="I2315" t="str">
        <f t="shared" si="184"/>
        <v>931</v>
      </c>
      <c r="J2315" t="str">
        <f t="shared" si="185"/>
        <v>93191</v>
      </c>
      <c r="K2315" t="str">
        <f t="shared" si="181"/>
        <v>9319101</v>
      </c>
    </row>
    <row r="2316" spans="2:11" x14ac:dyDescent="0.25">
      <c r="C2316" t="s">
        <v>1864</v>
      </c>
      <c r="D2316" t="s">
        <v>1864</v>
      </c>
      <c r="E2316" t="s">
        <v>4180</v>
      </c>
      <c r="F2316" t="s">
        <v>1797</v>
      </c>
      <c r="G2316" t="str">
        <f t="shared" si="182"/>
        <v>R</v>
      </c>
      <c r="H2316" t="str">
        <f t="shared" si="183"/>
        <v>93</v>
      </c>
      <c r="I2316" t="str">
        <f t="shared" si="184"/>
        <v>931</v>
      </c>
      <c r="J2316" t="str">
        <f t="shared" si="185"/>
        <v>93191</v>
      </c>
      <c r="K2316" t="str">
        <f t="shared" si="181"/>
        <v>9319199</v>
      </c>
    </row>
    <row r="2317" spans="2:11" x14ac:dyDescent="0.25">
      <c r="C2317" t="s">
        <v>4181</v>
      </c>
      <c r="D2317" t="s">
        <v>1864</v>
      </c>
      <c r="E2317" t="s">
        <v>1864</v>
      </c>
      <c r="F2317" t="s">
        <v>1798</v>
      </c>
      <c r="G2317" t="str">
        <f t="shared" si="182"/>
        <v>R</v>
      </c>
      <c r="H2317" t="str">
        <f t="shared" si="183"/>
        <v>93</v>
      </c>
      <c r="I2317" t="str">
        <f t="shared" si="184"/>
        <v>932</v>
      </c>
      <c r="J2317" t="str">
        <f t="shared" si="185"/>
        <v>93191</v>
      </c>
      <c r="K2317" t="str">
        <f t="shared" si="181"/>
        <v/>
      </c>
    </row>
    <row r="2318" spans="2:11" x14ac:dyDescent="0.25">
      <c r="C2318" t="s">
        <v>1864</v>
      </c>
      <c r="D2318" t="s">
        <v>4182</v>
      </c>
      <c r="E2318" t="s">
        <v>1864</v>
      </c>
      <c r="F2318" t="s">
        <v>1799</v>
      </c>
      <c r="G2318" t="str">
        <f t="shared" si="182"/>
        <v>R</v>
      </c>
      <c r="H2318" t="str">
        <f t="shared" si="183"/>
        <v>93</v>
      </c>
      <c r="I2318" t="str">
        <f t="shared" si="184"/>
        <v>932</v>
      </c>
      <c r="J2318" t="str">
        <f t="shared" si="185"/>
        <v>93212</v>
      </c>
      <c r="K2318" t="str">
        <f t="shared" si="181"/>
        <v/>
      </c>
    </row>
    <row r="2319" spans="2:11" x14ac:dyDescent="0.25">
      <c r="C2319" t="s">
        <v>1864</v>
      </c>
      <c r="D2319" t="s">
        <v>1864</v>
      </c>
      <c r="E2319" t="s">
        <v>4183</v>
      </c>
      <c r="F2319" t="s">
        <v>1799</v>
      </c>
      <c r="G2319" t="str">
        <f t="shared" si="182"/>
        <v>R</v>
      </c>
      <c r="H2319" t="str">
        <f t="shared" si="183"/>
        <v>93</v>
      </c>
      <c r="I2319" t="str">
        <f t="shared" si="184"/>
        <v>932</v>
      </c>
      <c r="J2319" t="str">
        <f t="shared" si="185"/>
        <v>93212</v>
      </c>
      <c r="K2319" t="str">
        <f t="shared" si="181"/>
        <v>9321200</v>
      </c>
    </row>
    <row r="2320" spans="2:11" x14ac:dyDescent="0.25">
      <c r="C2320" t="s">
        <v>1864</v>
      </c>
      <c r="D2320" t="s">
        <v>4184</v>
      </c>
      <c r="E2320" t="s">
        <v>1864</v>
      </c>
      <c r="F2320" t="s">
        <v>1800</v>
      </c>
      <c r="G2320" t="str">
        <f t="shared" si="182"/>
        <v>R</v>
      </c>
      <c r="H2320" t="str">
        <f t="shared" si="183"/>
        <v>93</v>
      </c>
      <c r="I2320" t="str">
        <f t="shared" si="184"/>
        <v>932</v>
      </c>
      <c r="J2320" t="str">
        <f t="shared" si="185"/>
        <v>93298</v>
      </c>
      <c r="K2320" t="str">
        <f t="shared" si="181"/>
        <v/>
      </c>
    </row>
    <row r="2321" spans="1:11" x14ac:dyDescent="0.25">
      <c r="C2321" t="s">
        <v>1864</v>
      </c>
      <c r="D2321" t="s">
        <v>1864</v>
      </c>
      <c r="E2321" t="s">
        <v>4185</v>
      </c>
      <c r="F2321" t="s">
        <v>1801</v>
      </c>
      <c r="G2321" t="str">
        <f t="shared" si="182"/>
        <v>R</v>
      </c>
      <c r="H2321" t="str">
        <f t="shared" si="183"/>
        <v>93</v>
      </c>
      <c r="I2321" t="str">
        <f t="shared" si="184"/>
        <v>932</v>
      </c>
      <c r="J2321" t="str">
        <f t="shared" si="185"/>
        <v>93298</v>
      </c>
      <c r="K2321" t="str">
        <f t="shared" si="181"/>
        <v>9329801</v>
      </c>
    </row>
    <row r="2322" spans="1:11" x14ac:dyDescent="0.25">
      <c r="C2322" t="s">
        <v>1864</v>
      </c>
      <c r="D2322" t="s">
        <v>1864</v>
      </c>
      <c r="E2322" t="s">
        <v>4186</v>
      </c>
      <c r="F2322" t="s">
        <v>1802</v>
      </c>
      <c r="G2322" t="str">
        <f t="shared" si="182"/>
        <v>R</v>
      </c>
      <c r="H2322" t="str">
        <f t="shared" si="183"/>
        <v>93</v>
      </c>
      <c r="I2322" t="str">
        <f t="shared" si="184"/>
        <v>932</v>
      </c>
      <c r="J2322" t="str">
        <f t="shared" si="185"/>
        <v>93298</v>
      </c>
      <c r="K2322" t="str">
        <f t="shared" si="181"/>
        <v>9329802</v>
      </c>
    </row>
    <row r="2323" spans="1:11" x14ac:dyDescent="0.25">
      <c r="C2323" t="s">
        <v>1864</v>
      </c>
      <c r="D2323" t="s">
        <v>1864</v>
      </c>
      <c r="E2323" t="s">
        <v>4187</v>
      </c>
      <c r="F2323" t="s">
        <v>1803</v>
      </c>
      <c r="G2323" t="str">
        <f t="shared" si="182"/>
        <v>R</v>
      </c>
      <c r="H2323" t="str">
        <f t="shared" si="183"/>
        <v>93</v>
      </c>
      <c r="I2323" t="str">
        <f t="shared" si="184"/>
        <v>932</v>
      </c>
      <c r="J2323" t="str">
        <f t="shared" si="185"/>
        <v>93298</v>
      </c>
      <c r="K2323" t="str">
        <f t="shared" si="181"/>
        <v>9329803</v>
      </c>
    </row>
    <row r="2324" spans="1:11" x14ac:dyDescent="0.25">
      <c r="C2324" t="s">
        <v>1864</v>
      </c>
      <c r="D2324" t="s">
        <v>1864</v>
      </c>
      <c r="E2324" t="s">
        <v>4188</v>
      </c>
      <c r="F2324" t="s">
        <v>1804</v>
      </c>
      <c r="G2324" t="str">
        <f t="shared" si="182"/>
        <v>R</v>
      </c>
      <c r="H2324" t="str">
        <f t="shared" si="183"/>
        <v>93</v>
      </c>
      <c r="I2324" t="str">
        <f t="shared" si="184"/>
        <v>932</v>
      </c>
      <c r="J2324" t="str">
        <f t="shared" si="185"/>
        <v>93298</v>
      </c>
      <c r="K2324" t="str">
        <f t="shared" si="181"/>
        <v>9329804</v>
      </c>
    </row>
    <row r="2325" spans="1:11" x14ac:dyDescent="0.25">
      <c r="C2325" t="s">
        <v>1864</v>
      </c>
      <c r="D2325" t="s">
        <v>1864</v>
      </c>
      <c r="E2325" t="s">
        <v>4189</v>
      </c>
      <c r="F2325" t="s">
        <v>1805</v>
      </c>
      <c r="G2325" t="str">
        <f t="shared" si="182"/>
        <v>R</v>
      </c>
      <c r="H2325" t="str">
        <f t="shared" si="183"/>
        <v>93</v>
      </c>
      <c r="I2325" t="str">
        <f t="shared" si="184"/>
        <v>932</v>
      </c>
      <c r="J2325" t="str">
        <f t="shared" si="185"/>
        <v>93298</v>
      </c>
      <c r="K2325" t="str">
        <f t="shared" si="181"/>
        <v>9329899</v>
      </c>
    </row>
    <row r="2326" spans="1:11" x14ac:dyDescent="0.25">
      <c r="A2326" t="s">
        <v>4190</v>
      </c>
      <c r="C2326" t="s">
        <v>1864</v>
      </c>
      <c r="D2326" t="s">
        <v>1864</v>
      </c>
      <c r="E2326" t="s">
        <v>1864</v>
      </c>
      <c r="F2326" t="s">
        <v>1806</v>
      </c>
      <c r="G2326" t="str">
        <f t="shared" si="182"/>
        <v>S</v>
      </c>
      <c r="H2326" t="str">
        <f t="shared" si="183"/>
        <v>93</v>
      </c>
      <c r="I2326" t="str">
        <f t="shared" si="184"/>
        <v>932</v>
      </c>
      <c r="J2326" t="str">
        <f t="shared" si="185"/>
        <v>93298</v>
      </c>
      <c r="K2326" t="str">
        <f t="shared" si="181"/>
        <v/>
      </c>
    </row>
    <row r="2327" spans="1:11" x14ac:dyDescent="0.25">
      <c r="B2327">
        <v>94</v>
      </c>
      <c r="C2327" t="s">
        <v>1864</v>
      </c>
      <c r="D2327" t="s">
        <v>1864</v>
      </c>
      <c r="E2327" t="s">
        <v>1864</v>
      </c>
      <c r="F2327" t="s">
        <v>1807</v>
      </c>
      <c r="G2327" t="str">
        <f t="shared" si="182"/>
        <v>S</v>
      </c>
      <c r="H2327">
        <f t="shared" si="183"/>
        <v>94</v>
      </c>
      <c r="I2327" t="str">
        <f t="shared" si="184"/>
        <v>932</v>
      </c>
      <c r="J2327" t="str">
        <f t="shared" si="185"/>
        <v>93298</v>
      </c>
      <c r="K2327" t="str">
        <f t="shared" si="181"/>
        <v/>
      </c>
    </row>
    <row r="2328" spans="1:11" x14ac:dyDescent="0.25">
      <c r="C2328" t="s">
        <v>4191</v>
      </c>
      <c r="D2328" t="s">
        <v>1864</v>
      </c>
      <c r="E2328" t="s">
        <v>1864</v>
      </c>
      <c r="F2328" t="s">
        <v>1808</v>
      </c>
      <c r="G2328" t="str">
        <f t="shared" si="182"/>
        <v>S</v>
      </c>
      <c r="H2328">
        <f t="shared" si="183"/>
        <v>94</v>
      </c>
      <c r="I2328" t="str">
        <f t="shared" si="184"/>
        <v>941</v>
      </c>
      <c r="J2328" t="str">
        <f t="shared" si="185"/>
        <v>93298</v>
      </c>
      <c r="K2328" t="str">
        <f t="shared" si="181"/>
        <v/>
      </c>
    </row>
    <row r="2329" spans="1:11" x14ac:dyDescent="0.25">
      <c r="C2329" t="s">
        <v>1864</v>
      </c>
      <c r="D2329" t="s">
        <v>4192</v>
      </c>
      <c r="E2329" t="s">
        <v>1864</v>
      </c>
      <c r="F2329" t="s">
        <v>1809</v>
      </c>
      <c r="G2329" t="str">
        <f t="shared" si="182"/>
        <v>S</v>
      </c>
      <c r="H2329">
        <f t="shared" si="183"/>
        <v>94</v>
      </c>
      <c r="I2329" t="str">
        <f t="shared" si="184"/>
        <v>941</v>
      </c>
      <c r="J2329" t="str">
        <f t="shared" si="185"/>
        <v>94111</v>
      </c>
      <c r="K2329" t="str">
        <f t="shared" si="181"/>
        <v/>
      </c>
    </row>
    <row r="2330" spans="1:11" x14ac:dyDescent="0.25">
      <c r="C2330" t="s">
        <v>1864</v>
      </c>
      <c r="D2330" t="s">
        <v>1864</v>
      </c>
      <c r="E2330" t="s">
        <v>4193</v>
      </c>
      <c r="F2330" t="s">
        <v>1809</v>
      </c>
      <c r="G2330" t="str">
        <f t="shared" si="182"/>
        <v>S</v>
      </c>
      <c r="H2330">
        <f t="shared" si="183"/>
        <v>94</v>
      </c>
      <c r="I2330" t="str">
        <f t="shared" si="184"/>
        <v>941</v>
      </c>
      <c r="J2330" t="str">
        <f t="shared" si="185"/>
        <v>94111</v>
      </c>
      <c r="K2330" t="str">
        <f t="shared" si="181"/>
        <v>9411100</v>
      </c>
    </row>
    <row r="2331" spans="1:11" x14ac:dyDescent="0.25">
      <c r="C2331" t="s">
        <v>1864</v>
      </c>
      <c r="D2331" t="s">
        <v>4194</v>
      </c>
      <c r="E2331" t="s">
        <v>1864</v>
      </c>
      <c r="F2331" t="s">
        <v>1810</v>
      </c>
      <c r="G2331" t="str">
        <f t="shared" si="182"/>
        <v>S</v>
      </c>
      <c r="H2331">
        <f t="shared" si="183"/>
        <v>94</v>
      </c>
      <c r="I2331" t="str">
        <f t="shared" si="184"/>
        <v>941</v>
      </c>
      <c r="J2331" t="str">
        <f t="shared" si="185"/>
        <v>94120</v>
      </c>
      <c r="K2331" t="str">
        <f t="shared" si="181"/>
        <v/>
      </c>
    </row>
    <row r="2332" spans="1:11" x14ac:dyDescent="0.25">
      <c r="C2332" t="s">
        <v>1864</v>
      </c>
      <c r="D2332" t="s">
        <v>1864</v>
      </c>
      <c r="E2332" t="s">
        <v>4195</v>
      </c>
      <c r="F2332" t="s">
        <v>1811</v>
      </c>
      <c r="G2332" t="str">
        <f t="shared" si="182"/>
        <v>S</v>
      </c>
      <c r="H2332">
        <f t="shared" si="183"/>
        <v>94</v>
      </c>
      <c r="I2332" t="str">
        <f t="shared" si="184"/>
        <v>941</v>
      </c>
      <c r="J2332" t="str">
        <f t="shared" si="185"/>
        <v>94120</v>
      </c>
      <c r="K2332" t="str">
        <f t="shared" si="181"/>
        <v>9412001</v>
      </c>
    </row>
    <row r="2333" spans="1:11" x14ac:dyDescent="0.25">
      <c r="C2333" t="s">
        <v>1864</v>
      </c>
      <c r="D2333" t="s">
        <v>1864</v>
      </c>
      <c r="E2333" t="s">
        <v>4196</v>
      </c>
      <c r="F2333" t="s">
        <v>1812</v>
      </c>
      <c r="G2333" t="str">
        <f t="shared" si="182"/>
        <v>S</v>
      </c>
      <c r="H2333">
        <f t="shared" si="183"/>
        <v>94</v>
      </c>
      <c r="I2333" t="str">
        <f t="shared" si="184"/>
        <v>941</v>
      </c>
      <c r="J2333" t="str">
        <f t="shared" si="185"/>
        <v>94120</v>
      </c>
      <c r="K2333" t="str">
        <f t="shared" si="181"/>
        <v>9412099</v>
      </c>
    </row>
    <row r="2334" spans="1:11" x14ac:dyDescent="0.25">
      <c r="C2334" t="s">
        <v>4197</v>
      </c>
      <c r="D2334" t="s">
        <v>1864</v>
      </c>
      <c r="E2334" t="s">
        <v>1864</v>
      </c>
      <c r="F2334" t="s">
        <v>1813</v>
      </c>
      <c r="G2334" t="str">
        <f t="shared" si="182"/>
        <v>S</v>
      </c>
      <c r="H2334">
        <f t="shared" si="183"/>
        <v>94</v>
      </c>
      <c r="I2334" t="str">
        <f t="shared" si="184"/>
        <v>942</v>
      </c>
      <c r="J2334" t="str">
        <f t="shared" si="185"/>
        <v>94120</v>
      </c>
      <c r="K2334" t="str">
        <f t="shared" si="181"/>
        <v/>
      </c>
    </row>
    <row r="2335" spans="1:11" x14ac:dyDescent="0.25">
      <c r="C2335" t="s">
        <v>1864</v>
      </c>
      <c r="D2335" t="s">
        <v>4198</v>
      </c>
      <c r="E2335" t="s">
        <v>1864</v>
      </c>
      <c r="F2335" t="s">
        <v>1813</v>
      </c>
      <c r="G2335" t="str">
        <f t="shared" si="182"/>
        <v>S</v>
      </c>
      <c r="H2335">
        <f t="shared" si="183"/>
        <v>94</v>
      </c>
      <c r="I2335" t="str">
        <f t="shared" si="184"/>
        <v>942</v>
      </c>
      <c r="J2335" t="str">
        <f t="shared" si="185"/>
        <v>94201</v>
      </c>
      <c r="K2335" t="str">
        <f t="shared" si="181"/>
        <v/>
      </c>
    </row>
    <row r="2336" spans="1:11" x14ac:dyDescent="0.25">
      <c r="C2336" t="s">
        <v>1864</v>
      </c>
      <c r="D2336" t="s">
        <v>1864</v>
      </c>
      <c r="E2336" t="s">
        <v>4199</v>
      </c>
      <c r="F2336" t="s">
        <v>1813</v>
      </c>
      <c r="G2336" t="str">
        <f t="shared" si="182"/>
        <v>S</v>
      </c>
      <c r="H2336">
        <f t="shared" si="183"/>
        <v>94</v>
      </c>
      <c r="I2336" t="str">
        <f t="shared" si="184"/>
        <v>942</v>
      </c>
      <c r="J2336" t="str">
        <f t="shared" si="185"/>
        <v>94201</v>
      </c>
      <c r="K2336" t="str">
        <f t="shared" si="181"/>
        <v>9420100</v>
      </c>
    </row>
    <row r="2337" spans="2:11" x14ac:dyDescent="0.25">
      <c r="C2337" t="s">
        <v>4200</v>
      </c>
      <c r="D2337" t="s">
        <v>1864</v>
      </c>
      <c r="E2337" t="s">
        <v>1864</v>
      </c>
      <c r="F2337" t="s">
        <v>1814</v>
      </c>
      <c r="G2337" t="str">
        <f t="shared" si="182"/>
        <v>S</v>
      </c>
      <c r="H2337">
        <f t="shared" si="183"/>
        <v>94</v>
      </c>
      <c r="I2337" t="str">
        <f t="shared" si="184"/>
        <v>943</v>
      </c>
      <c r="J2337" t="str">
        <f t="shared" si="185"/>
        <v>94201</v>
      </c>
      <c r="K2337" t="str">
        <f t="shared" si="181"/>
        <v/>
      </c>
    </row>
    <row r="2338" spans="2:11" x14ac:dyDescent="0.25">
      <c r="C2338" t="s">
        <v>1864</v>
      </c>
      <c r="D2338" t="s">
        <v>4201</v>
      </c>
      <c r="E2338" t="s">
        <v>1864</v>
      </c>
      <c r="F2338" t="s">
        <v>1814</v>
      </c>
      <c r="G2338" t="str">
        <f t="shared" si="182"/>
        <v>S</v>
      </c>
      <c r="H2338">
        <f t="shared" si="183"/>
        <v>94</v>
      </c>
      <c r="I2338" t="str">
        <f t="shared" si="184"/>
        <v>943</v>
      </c>
      <c r="J2338" t="str">
        <f t="shared" si="185"/>
        <v>94308</v>
      </c>
      <c r="K2338" t="str">
        <f t="shared" si="181"/>
        <v/>
      </c>
    </row>
    <row r="2339" spans="2:11" x14ac:dyDescent="0.25">
      <c r="C2339" t="s">
        <v>1864</v>
      </c>
      <c r="D2339" t="s">
        <v>1864</v>
      </c>
      <c r="E2339" t="s">
        <v>4202</v>
      </c>
      <c r="F2339" t="s">
        <v>1814</v>
      </c>
      <c r="G2339" t="str">
        <f t="shared" si="182"/>
        <v>S</v>
      </c>
      <c r="H2339">
        <f t="shared" si="183"/>
        <v>94</v>
      </c>
      <c r="I2339" t="str">
        <f t="shared" si="184"/>
        <v>943</v>
      </c>
      <c r="J2339" t="str">
        <f t="shared" si="185"/>
        <v>94308</v>
      </c>
      <c r="K2339" t="str">
        <f t="shared" si="181"/>
        <v>9430800</v>
      </c>
    </row>
    <row r="2340" spans="2:11" x14ac:dyDescent="0.25">
      <c r="C2340" t="s">
        <v>4203</v>
      </c>
      <c r="D2340" t="s">
        <v>1864</v>
      </c>
      <c r="E2340" t="s">
        <v>1864</v>
      </c>
      <c r="F2340" t="s">
        <v>1815</v>
      </c>
      <c r="G2340" t="str">
        <f t="shared" si="182"/>
        <v>S</v>
      </c>
      <c r="H2340">
        <f t="shared" si="183"/>
        <v>94</v>
      </c>
      <c r="I2340" t="str">
        <f t="shared" si="184"/>
        <v>949</v>
      </c>
      <c r="J2340" t="str">
        <f t="shared" si="185"/>
        <v>94308</v>
      </c>
      <c r="K2340" t="str">
        <f t="shared" si="181"/>
        <v/>
      </c>
    </row>
    <row r="2341" spans="2:11" x14ac:dyDescent="0.25">
      <c r="C2341" t="s">
        <v>1864</v>
      </c>
      <c r="D2341" t="s">
        <v>4204</v>
      </c>
      <c r="E2341" t="s">
        <v>1864</v>
      </c>
      <c r="F2341" t="s">
        <v>1816</v>
      </c>
      <c r="G2341" t="str">
        <f t="shared" si="182"/>
        <v>S</v>
      </c>
      <c r="H2341">
        <f t="shared" si="183"/>
        <v>94</v>
      </c>
      <c r="I2341" t="str">
        <f t="shared" si="184"/>
        <v>949</v>
      </c>
      <c r="J2341" t="str">
        <f t="shared" si="185"/>
        <v>94910</v>
      </c>
      <c r="K2341" t="str">
        <f t="shared" si="181"/>
        <v/>
      </c>
    </row>
    <row r="2342" spans="2:11" x14ac:dyDescent="0.25">
      <c r="C2342" t="s">
        <v>1864</v>
      </c>
      <c r="D2342" t="s">
        <v>1864</v>
      </c>
      <c r="E2342" t="s">
        <v>4205</v>
      </c>
      <c r="F2342" t="s">
        <v>1817</v>
      </c>
      <c r="G2342" t="str">
        <f t="shared" si="182"/>
        <v>S</v>
      </c>
      <c r="H2342">
        <f t="shared" si="183"/>
        <v>94</v>
      </c>
      <c r="I2342" t="str">
        <f t="shared" si="184"/>
        <v>949</v>
      </c>
      <c r="J2342" t="str">
        <f t="shared" si="185"/>
        <v>94910</v>
      </c>
      <c r="K2342" t="str">
        <f t="shared" si="181"/>
        <v>9491000</v>
      </c>
    </row>
    <row r="2343" spans="2:11" x14ac:dyDescent="0.25">
      <c r="C2343" t="s">
        <v>1864</v>
      </c>
      <c r="D2343" t="s">
        <v>4206</v>
      </c>
      <c r="E2343" t="s">
        <v>1864</v>
      </c>
      <c r="F2343" t="s">
        <v>1818</v>
      </c>
      <c r="G2343" t="str">
        <f t="shared" si="182"/>
        <v>S</v>
      </c>
      <c r="H2343">
        <f t="shared" si="183"/>
        <v>94</v>
      </c>
      <c r="I2343" t="str">
        <f t="shared" si="184"/>
        <v>949</v>
      </c>
      <c r="J2343" t="str">
        <f t="shared" si="185"/>
        <v>94928</v>
      </c>
      <c r="K2343" t="str">
        <f t="shared" si="181"/>
        <v/>
      </c>
    </row>
    <row r="2344" spans="2:11" x14ac:dyDescent="0.25">
      <c r="C2344" t="s">
        <v>1864</v>
      </c>
      <c r="D2344" t="s">
        <v>1864</v>
      </c>
      <c r="E2344" t="s">
        <v>4207</v>
      </c>
      <c r="F2344" t="s">
        <v>1818</v>
      </c>
      <c r="G2344" t="str">
        <f t="shared" si="182"/>
        <v>S</v>
      </c>
      <c r="H2344">
        <f t="shared" si="183"/>
        <v>94</v>
      </c>
      <c r="I2344" t="str">
        <f t="shared" si="184"/>
        <v>949</v>
      </c>
      <c r="J2344" t="str">
        <f t="shared" si="185"/>
        <v>94928</v>
      </c>
      <c r="K2344" t="str">
        <f t="shared" si="181"/>
        <v>9492800</v>
      </c>
    </row>
    <row r="2345" spans="2:11" x14ac:dyDescent="0.25">
      <c r="C2345" t="s">
        <v>1864</v>
      </c>
      <c r="D2345" t="s">
        <v>4208</v>
      </c>
      <c r="E2345" t="s">
        <v>1864</v>
      </c>
      <c r="F2345" t="s">
        <v>1819</v>
      </c>
      <c r="G2345" t="str">
        <f t="shared" si="182"/>
        <v>S</v>
      </c>
      <c r="H2345">
        <f t="shared" si="183"/>
        <v>94</v>
      </c>
      <c r="I2345" t="str">
        <f t="shared" si="184"/>
        <v>949</v>
      </c>
      <c r="J2345" t="str">
        <f t="shared" si="185"/>
        <v>94936</v>
      </c>
      <c r="K2345" t="str">
        <f t="shared" si="181"/>
        <v/>
      </c>
    </row>
    <row r="2346" spans="2:11" x14ac:dyDescent="0.25">
      <c r="C2346" t="s">
        <v>1864</v>
      </c>
      <c r="D2346" t="s">
        <v>1864</v>
      </c>
      <c r="E2346" t="s">
        <v>4209</v>
      </c>
      <c r="F2346" t="s">
        <v>1820</v>
      </c>
      <c r="G2346" t="str">
        <f t="shared" si="182"/>
        <v>S</v>
      </c>
      <c r="H2346">
        <f t="shared" si="183"/>
        <v>94</v>
      </c>
      <c r="I2346" t="str">
        <f t="shared" si="184"/>
        <v>949</v>
      </c>
      <c r="J2346" t="str">
        <f t="shared" si="185"/>
        <v>94936</v>
      </c>
      <c r="K2346" t="str">
        <f t="shared" si="181"/>
        <v>9493600</v>
      </c>
    </row>
    <row r="2347" spans="2:11" x14ac:dyDescent="0.25">
      <c r="C2347" t="s">
        <v>1864</v>
      </c>
      <c r="D2347" t="s">
        <v>4210</v>
      </c>
      <c r="E2347" t="s">
        <v>1864</v>
      </c>
      <c r="F2347" t="s">
        <v>1821</v>
      </c>
      <c r="G2347" t="str">
        <f t="shared" si="182"/>
        <v>S</v>
      </c>
      <c r="H2347">
        <f t="shared" si="183"/>
        <v>94</v>
      </c>
      <c r="I2347" t="str">
        <f t="shared" si="184"/>
        <v>949</v>
      </c>
      <c r="J2347" t="str">
        <f t="shared" si="185"/>
        <v>94995</v>
      </c>
      <c r="K2347" t="str">
        <f t="shared" si="181"/>
        <v/>
      </c>
    </row>
    <row r="2348" spans="2:11" x14ac:dyDescent="0.25">
      <c r="C2348" t="s">
        <v>1864</v>
      </c>
      <c r="D2348" t="s">
        <v>1864</v>
      </c>
      <c r="E2348" t="s">
        <v>4211</v>
      </c>
      <c r="F2348" t="s">
        <v>1821</v>
      </c>
      <c r="G2348" t="str">
        <f t="shared" si="182"/>
        <v>S</v>
      </c>
      <c r="H2348">
        <f t="shared" si="183"/>
        <v>94</v>
      </c>
      <c r="I2348" t="str">
        <f t="shared" si="184"/>
        <v>949</v>
      </c>
      <c r="J2348" t="str">
        <f t="shared" si="185"/>
        <v>94995</v>
      </c>
      <c r="K2348" t="str">
        <f t="shared" si="181"/>
        <v>9499500</v>
      </c>
    </row>
    <row r="2349" spans="2:11" x14ac:dyDescent="0.25">
      <c r="B2349">
        <v>95</v>
      </c>
      <c r="C2349" t="s">
        <v>1864</v>
      </c>
      <c r="D2349" t="s">
        <v>1864</v>
      </c>
      <c r="E2349" t="s">
        <v>1864</v>
      </c>
      <c r="F2349" t="s">
        <v>1822</v>
      </c>
      <c r="G2349" t="str">
        <f t="shared" si="182"/>
        <v>S</v>
      </c>
      <c r="H2349">
        <f t="shared" si="183"/>
        <v>95</v>
      </c>
      <c r="I2349" t="str">
        <f t="shared" si="184"/>
        <v>949</v>
      </c>
      <c r="J2349" t="str">
        <f t="shared" si="185"/>
        <v>94995</v>
      </c>
      <c r="K2349" t="str">
        <f t="shared" si="181"/>
        <v/>
      </c>
    </row>
    <row r="2350" spans="2:11" x14ac:dyDescent="0.25">
      <c r="C2350" t="s">
        <v>4212</v>
      </c>
      <c r="D2350" t="s">
        <v>1864</v>
      </c>
      <c r="E2350" t="s">
        <v>1864</v>
      </c>
      <c r="F2350" t="s">
        <v>1823</v>
      </c>
      <c r="G2350" t="str">
        <f t="shared" si="182"/>
        <v>S</v>
      </c>
      <c r="H2350">
        <f t="shared" si="183"/>
        <v>95</v>
      </c>
      <c r="I2350" t="str">
        <f t="shared" si="184"/>
        <v>951</v>
      </c>
      <c r="J2350" t="str">
        <f t="shared" si="185"/>
        <v>94995</v>
      </c>
      <c r="K2350" t="str">
        <f t="shared" si="181"/>
        <v/>
      </c>
    </row>
    <row r="2351" spans="2:11" x14ac:dyDescent="0.25">
      <c r="C2351" t="s">
        <v>1864</v>
      </c>
      <c r="D2351" t="s">
        <v>4213</v>
      </c>
      <c r="E2351" t="s">
        <v>1864</v>
      </c>
      <c r="F2351" t="s">
        <v>1824</v>
      </c>
      <c r="G2351" t="str">
        <f t="shared" si="182"/>
        <v>S</v>
      </c>
      <c r="H2351">
        <f t="shared" si="183"/>
        <v>95</v>
      </c>
      <c r="I2351" t="str">
        <f t="shared" si="184"/>
        <v>951</v>
      </c>
      <c r="J2351" t="str">
        <f t="shared" si="185"/>
        <v>95118</v>
      </c>
      <c r="K2351" t="str">
        <f t="shared" si="181"/>
        <v/>
      </c>
    </row>
    <row r="2352" spans="2:11" x14ac:dyDescent="0.25">
      <c r="C2352" t="s">
        <v>1864</v>
      </c>
      <c r="D2352" t="s">
        <v>1864</v>
      </c>
      <c r="E2352" t="s">
        <v>4214</v>
      </c>
      <c r="F2352" t="s">
        <v>1824</v>
      </c>
      <c r="G2352" t="str">
        <f t="shared" si="182"/>
        <v>S</v>
      </c>
      <c r="H2352">
        <f t="shared" si="183"/>
        <v>95</v>
      </c>
      <c r="I2352" t="str">
        <f t="shared" si="184"/>
        <v>951</v>
      </c>
      <c r="J2352" t="str">
        <f t="shared" si="185"/>
        <v>95118</v>
      </c>
      <c r="K2352" t="str">
        <f t="shared" si="181"/>
        <v>9511800</v>
      </c>
    </row>
    <row r="2353" spans="2:11" x14ac:dyDescent="0.25">
      <c r="C2353" t="s">
        <v>1864</v>
      </c>
      <c r="D2353" t="s">
        <v>4215</v>
      </c>
      <c r="E2353" t="s">
        <v>1864</v>
      </c>
      <c r="F2353" t="s">
        <v>1825</v>
      </c>
      <c r="G2353" t="str">
        <f t="shared" si="182"/>
        <v>S</v>
      </c>
      <c r="H2353">
        <f t="shared" si="183"/>
        <v>95</v>
      </c>
      <c r="I2353" t="str">
        <f t="shared" si="184"/>
        <v>951</v>
      </c>
      <c r="J2353" t="str">
        <f t="shared" si="185"/>
        <v>95126</v>
      </c>
      <c r="K2353" t="str">
        <f t="shared" si="181"/>
        <v/>
      </c>
    </row>
    <row r="2354" spans="2:11" x14ac:dyDescent="0.25">
      <c r="C2354" t="s">
        <v>1864</v>
      </c>
      <c r="D2354" t="s">
        <v>1864</v>
      </c>
      <c r="E2354" t="s">
        <v>4216</v>
      </c>
      <c r="F2354" t="s">
        <v>1825</v>
      </c>
      <c r="G2354" t="str">
        <f t="shared" si="182"/>
        <v>S</v>
      </c>
      <c r="H2354">
        <f t="shared" si="183"/>
        <v>95</v>
      </c>
      <c r="I2354" t="str">
        <f t="shared" si="184"/>
        <v>951</v>
      </c>
      <c r="J2354" t="str">
        <f t="shared" si="185"/>
        <v>95126</v>
      </c>
      <c r="K2354" t="str">
        <f t="shared" si="181"/>
        <v>9512600</v>
      </c>
    </row>
    <row r="2355" spans="2:11" x14ac:dyDescent="0.25">
      <c r="C2355" t="s">
        <v>4217</v>
      </c>
      <c r="D2355" t="s">
        <v>1864</v>
      </c>
      <c r="E2355" t="s">
        <v>1864</v>
      </c>
      <c r="F2355" t="s">
        <v>1826</v>
      </c>
      <c r="G2355" t="str">
        <f t="shared" si="182"/>
        <v>S</v>
      </c>
      <c r="H2355">
        <f t="shared" si="183"/>
        <v>95</v>
      </c>
      <c r="I2355" t="str">
        <f t="shared" si="184"/>
        <v>952</v>
      </c>
      <c r="J2355" t="str">
        <f t="shared" si="185"/>
        <v>95126</v>
      </c>
      <c r="K2355" t="str">
        <f t="shared" si="181"/>
        <v/>
      </c>
    </row>
    <row r="2356" spans="2:11" x14ac:dyDescent="0.25">
      <c r="C2356" t="s">
        <v>1864</v>
      </c>
      <c r="D2356" t="s">
        <v>4218</v>
      </c>
      <c r="E2356" t="s">
        <v>1864</v>
      </c>
      <c r="F2356" t="s">
        <v>1827</v>
      </c>
      <c r="G2356" t="str">
        <f t="shared" si="182"/>
        <v>S</v>
      </c>
      <c r="H2356">
        <f t="shared" si="183"/>
        <v>95</v>
      </c>
      <c r="I2356" t="str">
        <f t="shared" si="184"/>
        <v>952</v>
      </c>
      <c r="J2356" t="str">
        <f t="shared" si="185"/>
        <v>95215</v>
      </c>
      <c r="K2356" t="str">
        <f t="shared" si="181"/>
        <v/>
      </c>
    </row>
    <row r="2357" spans="2:11" x14ac:dyDescent="0.25">
      <c r="C2357" t="s">
        <v>1864</v>
      </c>
      <c r="D2357" t="s">
        <v>1864</v>
      </c>
      <c r="E2357" t="s">
        <v>4219</v>
      </c>
      <c r="F2357" t="s">
        <v>1827</v>
      </c>
      <c r="G2357" t="str">
        <f t="shared" si="182"/>
        <v>S</v>
      </c>
      <c r="H2357">
        <f t="shared" si="183"/>
        <v>95</v>
      </c>
      <c r="I2357" t="str">
        <f t="shared" si="184"/>
        <v>952</v>
      </c>
      <c r="J2357" t="str">
        <f t="shared" si="185"/>
        <v>95215</v>
      </c>
      <c r="K2357" t="str">
        <f t="shared" si="181"/>
        <v>9521500</v>
      </c>
    </row>
    <row r="2358" spans="2:11" x14ac:dyDescent="0.25">
      <c r="C2358" t="s">
        <v>1864</v>
      </c>
      <c r="D2358" t="s">
        <v>4220</v>
      </c>
      <c r="E2358" t="s">
        <v>1864</v>
      </c>
      <c r="F2358" t="s">
        <v>1828</v>
      </c>
      <c r="G2358" t="str">
        <f t="shared" si="182"/>
        <v>S</v>
      </c>
      <c r="H2358">
        <f t="shared" si="183"/>
        <v>95</v>
      </c>
      <c r="I2358" t="str">
        <f t="shared" si="184"/>
        <v>952</v>
      </c>
      <c r="J2358" t="str">
        <f t="shared" si="185"/>
        <v>95291</v>
      </c>
      <c r="K2358" t="str">
        <f t="shared" si="181"/>
        <v/>
      </c>
    </row>
    <row r="2359" spans="2:11" x14ac:dyDescent="0.25">
      <c r="C2359" t="s">
        <v>1864</v>
      </c>
      <c r="D2359" t="s">
        <v>1864</v>
      </c>
      <c r="E2359" t="s">
        <v>4221</v>
      </c>
      <c r="F2359" t="s">
        <v>1829</v>
      </c>
      <c r="G2359" t="str">
        <f t="shared" si="182"/>
        <v>S</v>
      </c>
      <c r="H2359">
        <f t="shared" si="183"/>
        <v>95</v>
      </c>
      <c r="I2359" t="str">
        <f t="shared" si="184"/>
        <v>952</v>
      </c>
      <c r="J2359" t="str">
        <f t="shared" si="185"/>
        <v>95291</v>
      </c>
      <c r="K2359" t="str">
        <f t="shared" si="181"/>
        <v>9529101</v>
      </c>
    </row>
    <row r="2360" spans="2:11" x14ac:dyDescent="0.25">
      <c r="C2360" t="s">
        <v>1864</v>
      </c>
      <c r="D2360" t="s">
        <v>1864</v>
      </c>
      <c r="E2360" t="s">
        <v>4222</v>
      </c>
      <c r="F2360" t="s">
        <v>1830</v>
      </c>
      <c r="G2360" t="str">
        <f t="shared" si="182"/>
        <v>S</v>
      </c>
      <c r="H2360">
        <f t="shared" si="183"/>
        <v>95</v>
      </c>
      <c r="I2360" t="str">
        <f t="shared" si="184"/>
        <v>952</v>
      </c>
      <c r="J2360" t="str">
        <f t="shared" si="185"/>
        <v>95291</v>
      </c>
      <c r="K2360" t="str">
        <f t="shared" si="181"/>
        <v>9529102</v>
      </c>
    </row>
    <row r="2361" spans="2:11" x14ac:dyDescent="0.25">
      <c r="C2361" t="s">
        <v>1864</v>
      </c>
      <c r="D2361" t="s">
        <v>1864</v>
      </c>
      <c r="E2361" t="s">
        <v>4223</v>
      </c>
      <c r="F2361" t="s">
        <v>1831</v>
      </c>
      <c r="G2361" t="str">
        <f t="shared" si="182"/>
        <v>S</v>
      </c>
      <c r="H2361">
        <f t="shared" si="183"/>
        <v>95</v>
      </c>
      <c r="I2361" t="str">
        <f t="shared" si="184"/>
        <v>952</v>
      </c>
      <c r="J2361" t="str">
        <f t="shared" si="185"/>
        <v>95291</v>
      </c>
      <c r="K2361" t="str">
        <f t="shared" si="181"/>
        <v>9529103</v>
      </c>
    </row>
    <row r="2362" spans="2:11" x14ac:dyDescent="0.25">
      <c r="C2362" t="s">
        <v>1864</v>
      </c>
      <c r="D2362" t="s">
        <v>1864</v>
      </c>
      <c r="E2362" t="s">
        <v>4224</v>
      </c>
      <c r="F2362" t="s">
        <v>1832</v>
      </c>
      <c r="G2362" t="str">
        <f t="shared" si="182"/>
        <v>S</v>
      </c>
      <c r="H2362">
        <f t="shared" si="183"/>
        <v>95</v>
      </c>
      <c r="I2362" t="str">
        <f t="shared" si="184"/>
        <v>952</v>
      </c>
      <c r="J2362" t="str">
        <f t="shared" si="185"/>
        <v>95291</v>
      </c>
      <c r="K2362" t="str">
        <f t="shared" si="181"/>
        <v>9529104</v>
      </c>
    </row>
    <row r="2363" spans="2:11" x14ac:dyDescent="0.25">
      <c r="C2363" t="s">
        <v>1864</v>
      </c>
      <c r="D2363" t="s">
        <v>1864</v>
      </c>
      <c r="E2363" t="s">
        <v>4225</v>
      </c>
      <c r="F2363" t="s">
        <v>1833</v>
      </c>
      <c r="G2363" t="str">
        <f t="shared" si="182"/>
        <v>S</v>
      </c>
      <c r="H2363">
        <f t="shared" si="183"/>
        <v>95</v>
      </c>
      <c r="I2363" t="str">
        <f t="shared" si="184"/>
        <v>952</v>
      </c>
      <c r="J2363" t="str">
        <f t="shared" si="185"/>
        <v>95291</v>
      </c>
      <c r="K2363" t="str">
        <f t="shared" si="181"/>
        <v>9529105</v>
      </c>
    </row>
    <row r="2364" spans="2:11" x14ac:dyDescent="0.25">
      <c r="C2364" t="s">
        <v>1864</v>
      </c>
      <c r="D2364" t="s">
        <v>1864</v>
      </c>
      <c r="E2364" t="s">
        <v>4226</v>
      </c>
      <c r="F2364" t="s">
        <v>1834</v>
      </c>
      <c r="G2364" t="str">
        <f t="shared" si="182"/>
        <v>S</v>
      </c>
      <c r="H2364">
        <f t="shared" si="183"/>
        <v>95</v>
      </c>
      <c r="I2364" t="str">
        <f t="shared" si="184"/>
        <v>952</v>
      </c>
      <c r="J2364" t="str">
        <f t="shared" si="185"/>
        <v>95291</v>
      </c>
      <c r="K2364" t="str">
        <f t="shared" si="181"/>
        <v>9529106</v>
      </c>
    </row>
    <row r="2365" spans="2:11" x14ac:dyDescent="0.25">
      <c r="C2365" t="s">
        <v>1864</v>
      </c>
      <c r="D2365" t="s">
        <v>1864</v>
      </c>
      <c r="E2365" t="s">
        <v>4227</v>
      </c>
      <c r="F2365" t="s">
        <v>1835</v>
      </c>
      <c r="G2365" t="str">
        <f t="shared" si="182"/>
        <v>S</v>
      </c>
      <c r="H2365">
        <f t="shared" si="183"/>
        <v>95</v>
      </c>
      <c r="I2365" t="str">
        <f t="shared" si="184"/>
        <v>952</v>
      </c>
      <c r="J2365" t="str">
        <f t="shared" si="185"/>
        <v>95291</v>
      </c>
      <c r="K2365" t="str">
        <f t="shared" si="181"/>
        <v>9529199</v>
      </c>
    </row>
    <row r="2366" spans="2:11" x14ac:dyDescent="0.25">
      <c r="B2366" t="s">
        <v>4228</v>
      </c>
      <c r="C2366" t="s">
        <v>1864</v>
      </c>
      <c r="D2366" t="s">
        <v>1864</v>
      </c>
      <c r="E2366" t="s">
        <v>1864</v>
      </c>
      <c r="F2366" t="s">
        <v>1836</v>
      </c>
      <c r="G2366" t="str">
        <f t="shared" si="182"/>
        <v>S</v>
      </c>
      <c r="H2366" t="str">
        <f t="shared" si="183"/>
        <v>96</v>
      </c>
      <c r="I2366" t="str">
        <f t="shared" si="184"/>
        <v>952</v>
      </c>
      <c r="J2366" t="str">
        <f t="shared" si="185"/>
        <v>95291</v>
      </c>
      <c r="K2366" t="str">
        <f t="shared" si="181"/>
        <v/>
      </c>
    </row>
    <row r="2367" spans="2:11" x14ac:dyDescent="0.25">
      <c r="C2367" t="s">
        <v>4229</v>
      </c>
      <c r="D2367" t="s">
        <v>1864</v>
      </c>
      <c r="E2367" t="s">
        <v>1864</v>
      </c>
      <c r="F2367" t="s">
        <v>1837</v>
      </c>
      <c r="G2367" t="str">
        <f t="shared" si="182"/>
        <v>S</v>
      </c>
      <c r="H2367" t="str">
        <f t="shared" si="183"/>
        <v>96</v>
      </c>
      <c r="I2367" t="str">
        <f t="shared" si="184"/>
        <v>960</v>
      </c>
      <c r="J2367" t="str">
        <f t="shared" si="185"/>
        <v>95291</v>
      </c>
      <c r="K2367" t="str">
        <f t="shared" si="181"/>
        <v/>
      </c>
    </row>
    <row r="2368" spans="2:11" x14ac:dyDescent="0.25">
      <c r="C2368" t="s">
        <v>1864</v>
      </c>
      <c r="D2368" t="s">
        <v>4230</v>
      </c>
      <c r="E2368" t="s">
        <v>1864</v>
      </c>
      <c r="F2368" t="s">
        <v>1838</v>
      </c>
      <c r="G2368" t="str">
        <f t="shared" si="182"/>
        <v>S</v>
      </c>
      <c r="H2368" t="str">
        <f t="shared" si="183"/>
        <v>96</v>
      </c>
      <c r="I2368" t="str">
        <f t="shared" si="184"/>
        <v>960</v>
      </c>
      <c r="J2368" t="str">
        <f t="shared" si="185"/>
        <v>96017</v>
      </c>
      <c r="K2368" t="str">
        <f t="shared" si="181"/>
        <v/>
      </c>
    </row>
    <row r="2369" spans="3:11" x14ac:dyDescent="0.25">
      <c r="C2369" t="s">
        <v>1864</v>
      </c>
      <c r="D2369" t="s">
        <v>1864</v>
      </c>
      <c r="E2369" t="s">
        <v>4231</v>
      </c>
      <c r="F2369" t="s">
        <v>1839</v>
      </c>
      <c r="G2369" t="str">
        <f t="shared" si="182"/>
        <v>S</v>
      </c>
      <c r="H2369" t="str">
        <f t="shared" si="183"/>
        <v>96</v>
      </c>
      <c r="I2369" t="str">
        <f t="shared" si="184"/>
        <v>960</v>
      </c>
      <c r="J2369" t="str">
        <f t="shared" si="185"/>
        <v>96017</v>
      </c>
      <c r="K2369" t="str">
        <f t="shared" si="181"/>
        <v>9601701</v>
      </c>
    </row>
    <row r="2370" spans="3:11" x14ac:dyDescent="0.25">
      <c r="C2370" t="s">
        <v>1864</v>
      </c>
      <c r="D2370" t="s">
        <v>1864</v>
      </c>
      <c r="E2370" t="s">
        <v>4232</v>
      </c>
      <c r="F2370" t="s">
        <v>1840</v>
      </c>
      <c r="G2370" t="str">
        <f t="shared" si="182"/>
        <v>S</v>
      </c>
      <c r="H2370" t="str">
        <f t="shared" si="183"/>
        <v>96</v>
      </c>
      <c r="I2370" t="str">
        <f t="shared" si="184"/>
        <v>960</v>
      </c>
      <c r="J2370" t="str">
        <f t="shared" si="185"/>
        <v>96017</v>
      </c>
      <c r="K2370" t="str">
        <f t="shared" si="181"/>
        <v>9601702</v>
      </c>
    </row>
    <row r="2371" spans="3:11" x14ac:dyDescent="0.25">
      <c r="C2371" t="s">
        <v>1864</v>
      </c>
      <c r="D2371" t="s">
        <v>1864</v>
      </c>
      <c r="E2371" t="s">
        <v>4233</v>
      </c>
      <c r="F2371" t="s">
        <v>1841</v>
      </c>
      <c r="G2371" t="str">
        <f t="shared" si="182"/>
        <v>S</v>
      </c>
      <c r="H2371" t="str">
        <f t="shared" si="183"/>
        <v>96</v>
      </c>
      <c r="I2371" t="str">
        <f t="shared" si="184"/>
        <v>960</v>
      </c>
      <c r="J2371" t="str">
        <f t="shared" si="185"/>
        <v>96017</v>
      </c>
      <c r="K2371" t="str">
        <f t="shared" si="181"/>
        <v>9601703</v>
      </c>
    </row>
    <row r="2372" spans="3:11" x14ac:dyDescent="0.25">
      <c r="C2372" t="s">
        <v>1864</v>
      </c>
      <c r="D2372" t="s">
        <v>4234</v>
      </c>
      <c r="E2372" t="s">
        <v>1864</v>
      </c>
      <c r="F2372" t="s">
        <v>1842</v>
      </c>
      <c r="G2372" t="str">
        <f t="shared" si="182"/>
        <v>S</v>
      </c>
      <c r="H2372" t="str">
        <f t="shared" si="183"/>
        <v>96</v>
      </c>
      <c r="I2372" t="str">
        <f t="shared" si="184"/>
        <v>960</v>
      </c>
      <c r="J2372" t="str">
        <f t="shared" si="185"/>
        <v>96025</v>
      </c>
      <c r="K2372" t="str">
        <f t="shared" si="181"/>
        <v/>
      </c>
    </row>
    <row r="2373" spans="3:11" x14ac:dyDescent="0.25">
      <c r="C2373" t="s">
        <v>1864</v>
      </c>
      <c r="D2373" t="s">
        <v>1864</v>
      </c>
      <c r="E2373" t="s">
        <v>4235</v>
      </c>
      <c r="F2373" t="s">
        <v>1843</v>
      </c>
      <c r="G2373" t="str">
        <f t="shared" si="182"/>
        <v>S</v>
      </c>
      <c r="H2373" t="str">
        <f t="shared" si="183"/>
        <v>96</v>
      </c>
      <c r="I2373" t="str">
        <f t="shared" si="184"/>
        <v>960</v>
      </c>
      <c r="J2373" t="str">
        <f t="shared" si="185"/>
        <v>96025</v>
      </c>
      <c r="K2373" t="str">
        <f t="shared" si="181"/>
        <v>9602501</v>
      </c>
    </row>
    <row r="2374" spans="3:11" x14ac:dyDescent="0.25">
      <c r="C2374" t="s">
        <v>1864</v>
      </c>
      <c r="D2374" t="s">
        <v>1864</v>
      </c>
      <c r="E2374" t="s">
        <v>4236</v>
      </c>
      <c r="F2374" t="s">
        <v>1844</v>
      </c>
      <c r="G2374" t="str">
        <f t="shared" si="182"/>
        <v>S</v>
      </c>
      <c r="H2374" t="str">
        <f t="shared" si="183"/>
        <v>96</v>
      </c>
      <c r="I2374" t="str">
        <f t="shared" si="184"/>
        <v>960</v>
      </c>
      <c r="J2374" t="str">
        <f t="shared" si="185"/>
        <v>96025</v>
      </c>
      <c r="K2374" t="str">
        <f t="shared" si="181"/>
        <v>9602502</v>
      </c>
    </row>
    <row r="2375" spans="3:11" x14ac:dyDescent="0.25">
      <c r="C2375" t="s">
        <v>1864</v>
      </c>
      <c r="D2375" t="s">
        <v>4237</v>
      </c>
      <c r="E2375" t="s">
        <v>1864</v>
      </c>
      <c r="F2375" t="s">
        <v>1845</v>
      </c>
      <c r="G2375" t="str">
        <f t="shared" si="182"/>
        <v>S</v>
      </c>
      <c r="H2375" t="str">
        <f t="shared" si="183"/>
        <v>96</v>
      </c>
      <c r="I2375" t="str">
        <f t="shared" si="184"/>
        <v>960</v>
      </c>
      <c r="J2375" t="str">
        <f t="shared" si="185"/>
        <v>96033</v>
      </c>
      <c r="K2375" t="str">
        <f t="shared" si="181"/>
        <v/>
      </c>
    </row>
    <row r="2376" spans="3:11" x14ac:dyDescent="0.25">
      <c r="C2376" t="s">
        <v>1864</v>
      </c>
      <c r="D2376" t="s">
        <v>1864</v>
      </c>
      <c r="E2376" t="s">
        <v>4238</v>
      </c>
      <c r="F2376" t="s">
        <v>1846</v>
      </c>
      <c r="G2376" t="str">
        <f t="shared" si="182"/>
        <v>S</v>
      </c>
      <c r="H2376" t="str">
        <f t="shared" si="183"/>
        <v>96</v>
      </c>
      <c r="I2376" t="str">
        <f t="shared" si="184"/>
        <v>960</v>
      </c>
      <c r="J2376" t="str">
        <f t="shared" si="185"/>
        <v>96033</v>
      </c>
      <c r="K2376" t="str">
        <f t="shared" ref="K2376:K2398" si="186">E2376</f>
        <v>9603301</v>
      </c>
    </row>
    <row r="2377" spans="3:11" x14ac:dyDescent="0.25">
      <c r="C2377" t="s">
        <v>1864</v>
      </c>
      <c r="D2377" t="s">
        <v>1864</v>
      </c>
      <c r="E2377" t="s">
        <v>4239</v>
      </c>
      <c r="F2377" t="s">
        <v>1847</v>
      </c>
      <c r="G2377" t="str">
        <f t="shared" ref="G2377:G2398" si="187">IF(A2377="",G2376,A2377)</f>
        <v>S</v>
      </c>
      <c r="H2377" t="str">
        <f t="shared" ref="H2377:H2398" si="188">IF(B2377="",H2376,B2377)</f>
        <v>96</v>
      </c>
      <c r="I2377" t="str">
        <f t="shared" ref="I2377:I2398" si="189">IF(C2377="",I2376,C2377)</f>
        <v>960</v>
      </c>
      <c r="J2377" t="str">
        <f t="shared" ref="J2377:J2398" si="190">IF(D2377="",J2376,D2377)</f>
        <v>96033</v>
      </c>
      <c r="K2377" t="str">
        <f t="shared" si="186"/>
        <v>9603302</v>
      </c>
    </row>
    <row r="2378" spans="3:11" x14ac:dyDescent="0.25">
      <c r="C2378" t="s">
        <v>1864</v>
      </c>
      <c r="D2378" t="s">
        <v>1864</v>
      </c>
      <c r="E2378" t="s">
        <v>4240</v>
      </c>
      <c r="F2378" t="s">
        <v>1848</v>
      </c>
      <c r="G2378" t="str">
        <f t="shared" si="187"/>
        <v>S</v>
      </c>
      <c r="H2378" t="str">
        <f t="shared" si="188"/>
        <v>96</v>
      </c>
      <c r="I2378" t="str">
        <f t="shared" si="189"/>
        <v>960</v>
      </c>
      <c r="J2378" t="str">
        <f t="shared" si="190"/>
        <v>96033</v>
      </c>
      <c r="K2378" t="str">
        <f t="shared" si="186"/>
        <v>9603303</v>
      </c>
    </row>
    <row r="2379" spans="3:11" x14ac:dyDescent="0.25">
      <c r="C2379" t="s">
        <v>1864</v>
      </c>
      <c r="D2379" t="s">
        <v>1864</v>
      </c>
      <c r="E2379" t="s">
        <v>4241</v>
      </c>
      <c r="F2379" t="s">
        <v>1849</v>
      </c>
      <c r="G2379" t="str">
        <f t="shared" si="187"/>
        <v>S</v>
      </c>
      <c r="H2379" t="str">
        <f t="shared" si="188"/>
        <v>96</v>
      </c>
      <c r="I2379" t="str">
        <f t="shared" si="189"/>
        <v>960</v>
      </c>
      <c r="J2379" t="str">
        <f t="shared" si="190"/>
        <v>96033</v>
      </c>
      <c r="K2379" t="str">
        <f t="shared" si="186"/>
        <v>9603304</v>
      </c>
    </row>
    <row r="2380" spans="3:11" x14ac:dyDescent="0.25">
      <c r="C2380" t="s">
        <v>1864</v>
      </c>
      <c r="D2380" t="s">
        <v>1864</v>
      </c>
      <c r="E2380" t="s">
        <v>4242</v>
      </c>
      <c r="F2380" t="s">
        <v>1850</v>
      </c>
      <c r="G2380" t="str">
        <f t="shared" si="187"/>
        <v>S</v>
      </c>
      <c r="H2380" t="str">
        <f t="shared" si="188"/>
        <v>96</v>
      </c>
      <c r="I2380" t="str">
        <f t="shared" si="189"/>
        <v>960</v>
      </c>
      <c r="J2380" t="str">
        <f t="shared" si="190"/>
        <v>96033</v>
      </c>
      <c r="K2380" t="str">
        <f t="shared" si="186"/>
        <v>9603305</v>
      </c>
    </row>
    <row r="2381" spans="3:11" x14ac:dyDescent="0.25">
      <c r="C2381" t="s">
        <v>1864</v>
      </c>
      <c r="D2381" t="s">
        <v>1864</v>
      </c>
      <c r="E2381" t="s">
        <v>4243</v>
      </c>
      <c r="F2381" t="s">
        <v>1851</v>
      </c>
      <c r="G2381" t="str">
        <f t="shared" si="187"/>
        <v>S</v>
      </c>
      <c r="H2381" t="str">
        <f t="shared" si="188"/>
        <v>96</v>
      </c>
      <c r="I2381" t="str">
        <f t="shared" si="189"/>
        <v>960</v>
      </c>
      <c r="J2381" t="str">
        <f t="shared" si="190"/>
        <v>96033</v>
      </c>
      <c r="K2381" t="str">
        <f t="shared" si="186"/>
        <v>9603399</v>
      </c>
    </row>
    <row r="2382" spans="3:11" x14ac:dyDescent="0.25">
      <c r="C2382" t="s">
        <v>1864</v>
      </c>
      <c r="D2382" t="s">
        <v>4244</v>
      </c>
      <c r="E2382" t="s">
        <v>1864</v>
      </c>
      <c r="F2382" t="s">
        <v>1852</v>
      </c>
      <c r="G2382" t="str">
        <f t="shared" si="187"/>
        <v>S</v>
      </c>
      <c r="H2382" t="str">
        <f t="shared" si="188"/>
        <v>96</v>
      </c>
      <c r="I2382" t="str">
        <f t="shared" si="189"/>
        <v>960</v>
      </c>
      <c r="J2382" t="str">
        <f t="shared" si="190"/>
        <v>96092</v>
      </c>
      <c r="K2382" t="str">
        <f t="shared" si="186"/>
        <v/>
      </c>
    </row>
    <row r="2383" spans="3:11" x14ac:dyDescent="0.25">
      <c r="C2383" t="s">
        <v>1864</v>
      </c>
      <c r="D2383" t="s">
        <v>1864</v>
      </c>
      <c r="E2383" t="s">
        <v>4245</v>
      </c>
      <c r="F2383" t="s">
        <v>1853</v>
      </c>
      <c r="G2383" t="str">
        <f t="shared" si="187"/>
        <v>S</v>
      </c>
      <c r="H2383" t="str">
        <f t="shared" si="188"/>
        <v>96</v>
      </c>
      <c r="I2383" t="str">
        <f t="shared" si="189"/>
        <v>960</v>
      </c>
      <c r="J2383" t="str">
        <f t="shared" si="190"/>
        <v>96092</v>
      </c>
      <c r="K2383" t="str">
        <f t="shared" si="186"/>
        <v>9609202</v>
      </c>
    </row>
    <row r="2384" spans="3:11" x14ac:dyDescent="0.25">
      <c r="C2384" t="s">
        <v>1864</v>
      </c>
      <c r="D2384" t="s">
        <v>1864</v>
      </c>
      <c r="E2384" t="s">
        <v>4246</v>
      </c>
      <c r="F2384" t="s">
        <v>1854</v>
      </c>
      <c r="G2384" t="str">
        <f t="shared" si="187"/>
        <v>S</v>
      </c>
      <c r="H2384" t="str">
        <f t="shared" si="188"/>
        <v>96</v>
      </c>
      <c r="I2384" t="str">
        <f t="shared" si="189"/>
        <v>960</v>
      </c>
      <c r="J2384" t="str">
        <f t="shared" si="190"/>
        <v>96092</v>
      </c>
      <c r="K2384" t="str">
        <f t="shared" si="186"/>
        <v>9609204</v>
      </c>
    </row>
    <row r="2385" spans="1:11" x14ac:dyDescent="0.25">
      <c r="C2385" t="s">
        <v>1864</v>
      </c>
      <c r="D2385" t="s">
        <v>1864</v>
      </c>
      <c r="E2385" t="s">
        <v>4247</v>
      </c>
      <c r="F2385" t="s">
        <v>1855</v>
      </c>
      <c r="G2385" t="str">
        <f t="shared" si="187"/>
        <v>S</v>
      </c>
      <c r="H2385" t="str">
        <f t="shared" si="188"/>
        <v>96</v>
      </c>
      <c r="I2385" t="str">
        <f t="shared" si="189"/>
        <v>960</v>
      </c>
      <c r="J2385" t="str">
        <f t="shared" si="190"/>
        <v>96092</v>
      </c>
      <c r="K2385" t="str">
        <f t="shared" si="186"/>
        <v>9609205</v>
      </c>
    </row>
    <row r="2386" spans="1:11" x14ac:dyDescent="0.25">
      <c r="C2386" t="s">
        <v>1864</v>
      </c>
      <c r="D2386" t="s">
        <v>1864</v>
      </c>
      <c r="E2386" t="s">
        <v>4248</v>
      </c>
      <c r="F2386" t="s">
        <v>4249</v>
      </c>
      <c r="G2386" t="str">
        <f t="shared" si="187"/>
        <v>S</v>
      </c>
      <c r="H2386" t="str">
        <f t="shared" si="188"/>
        <v>96</v>
      </c>
      <c r="I2386" t="str">
        <f t="shared" si="189"/>
        <v>960</v>
      </c>
      <c r="J2386" t="str">
        <f t="shared" si="190"/>
        <v>96092</v>
      </c>
      <c r="K2386" t="str">
        <f t="shared" si="186"/>
        <v>9609206</v>
      </c>
    </row>
    <row r="2387" spans="1:11" x14ac:dyDescent="0.25">
      <c r="C2387" t="s">
        <v>1864</v>
      </c>
      <c r="D2387" t="s">
        <v>1864</v>
      </c>
      <c r="E2387" t="s">
        <v>4250</v>
      </c>
      <c r="F2387" t="s">
        <v>1856</v>
      </c>
      <c r="G2387" t="str">
        <f t="shared" si="187"/>
        <v>S</v>
      </c>
      <c r="H2387" t="str">
        <f t="shared" si="188"/>
        <v>96</v>
      </c>
      <c r="I2387" t="str">
        <f t="shared" si="189"/>
        <v>960</v>
      </c>
      <c r="J2387" t="str">
        <f t="shared" si="190"/>
        <v>96092</v>
      </c>
      <c r="K2387" t="str">
        <f t="shared" si="186"/>
        <v>9609207</v>
      </c>
    </row>
    <row r="2388" spans="1:11" x14ac:dyDescent="0.25">
      <c r="C2388" t="s">
        <v>1864</v>
      </c>
      <c r="D2388" t="s">
        <v>1864</v>
      </c>
      <c r="E2388" t="s">
        <v>4251</v>
      </c>
      <c r="F2388" t="s">
        <v>1857</v>
      </c>
      <c r="G2388" t="str">
        <f t="shared" si="187"/>
        <v>S</v>
      </c>
      <c r="H2388" t="str">
        <f t="shared" si="188"/>
        <v>96</v>
      </c>
      <c r="I2388" t="str">
        <f t="shared" si="189"/>
        <v>960</v>
      </c>
      <c r="J2388" t="str">
        <f t="shared" si="190"/>
        <v>96092</v>
      </c>
      <c r="K2388" t="str">
        <f t="shared" si="186"/>
        <v>9609208</v>
      </c>
    </row>
    <row r="2389" spans="1:11" x14ac:dyDescent="0.25">
      <c r="C2389" t="s">
        <v>1864</v>
      </c>
      <c r="D2389" t="s">
        <v>1864</v>
      </c>
      <c r="E2389" t="s">
        <v>4252</v>
      </c>
      <c r="F2389" t="s">
        <v>1858</v>
      </c>
      <c r="G2389" t="str">
        <f t="shared" si="187"/>
        <v>S</v>
      </c>
      <c r="H2389" t="str">
        <f t="shared" si="188"/>
        <v>96</v>
      </c>
      <c r="I2389" t="str">
        <f t="shared" si="189"/>
        <v>960</v>
      </c>
      <c r="J2389" t="str">
        <f t="shared" si="190"/>
        <v>96092</v>
      </c>
      <c r="K2389" t="str">
        <f t="shared" si="186"/>
        <v>9609299</v>
      </c>
    </row>
    <row r="2390" spans="1:11" x14ac:dyDescent="0.25">
      <c r="A2390" t="s">
        <v>4253</v>
      </c>
      <c r="C2390" t="s">
        <v>1864</v>
      </c>
      <c r="D2390" t="s">
        <v>1864</v>
      </c>
      <c r="E2390" t="s">
        <v>1864</v>
      </c>
      <c r="F2390" t="s">
        <v>1859</v>
      </c>
      <c r="G2390" t="str">
        <f t="shared" si="187"/>
        <v>T</v>
      </c>
      <c r="H2390" t="str">
        <f t="shared" si="188"/>
        <v>96</v>
      </c>
      <c r="I2390" t="str">
        <f t="shared" si="189"/>
        <v>960</v>
      </c>
      <c r="J2390" t="str">
        <f t="shared" si="190"/>
        <v>96092</v>
      </c>
      <c r="K2390" t="str">
        <f t="shared" si="186"/>
        <v/>
      </c>
    </row>
    <row r="2391" spans="1:11" x14ac:dyDescent="0.25">
      <c r="B2391" t="s">
        <v>4254</v>
      </c>
      <c r="C2391" t="s">
        <v>1864</v>
      </c>
      <c r="D2391" t="s">
        <v>1864</v>
      </c>
      <c r="E2391" t="s">
        <v>1864</v>
      </c>
      <c r="F2391" t="s">
        <v>1859</v>
      </c>
      <c r="G2391" t="str">
        <f t="shared" si="187"/>
        <v>T</v>
      </c>
      <c r="H2391" t="str">
        <f t="shared" si="188"/>
        <v>97</v>
      </c>
      <c r="I2391" t="str">
        <f t="shared" si="189"/>
        <v>960</v>
      </c>
      <c r="J2391" t="str">
        <f t="shared" si="190"/>
        <v>96092</v>
      </c>
      <c r="K2391" t="str">
        <f t="shared" si="186"/>
        <v/>
      </c>
    </row>
    <row r="2392" spans="1:11" x14ac:dyDescent="0.25">
      <c r="C2392" t="s">
        <v>4255</v>
      </c>
      <c r="D2392" t="s">
        <v>1864</v>
      </c>
      <c r="E2392" t="s">
        <v>1864</v>
      </c>
      <c r="F2392" t="s">
        <v>1860</v>
      </c>
      <c r="G2392" t="str">
        <f t="shared" si="187"/>
        <v>T</v>
      </c>
      <c r="H2392" t="str">
        <f t="shared" si="188"/>
        <v>97</v>
      </c>
      <c r="I2392" t="str">
        <f t="shared" si="189"/>
        <v>970</v>
      </c>
      <c r="J2392" t="str">
        <f t="shared" si="190"/>
        <v>96092</v>
      </c>
      <c r="K2392" t="str">
        <f t="shared" si="186"/>
        <v/>
      </c>
    </row>
    <row r="2393" spans="1:11" x14ac:dyDescent="0.25">
      <c r="C2393" t="s">
        <v>1864</v>
      </c>
      <c r="D2393" t="s">
        <v>4256</v>
      </c>
      <c r="E2393" t="s">
        <v>1864</v>
      </c>
      <c r="F2393" t="s">
        <v>1860</v>
      </c>
      <c r="G2393" t="str">
        <f t="shared" si="187"/>
        <v>T</v>
      </c>
      <c r="H2393" t="str">
        <f t="shared" si="188"/>
        <v>97</v>
      </c>
      <c r="I2393" t="str">
        <f t="shared" si="189"/>
        <v>970</v>
      </c>
      <c r="J2393" t="str">
        <f t="shared" si="190"/>
        <v>97005</v>
      </c>
      <c r="K2393" t="str">
        <f t="shared" si="186"/>
        <v/>
      </c>
    </row>
    <row r="2394" spans="1:11" x14ac:dyDescent="0.25">
      <c r="C2394" t="s">
        <v>1864</v>
      </c>
      <c r="D2394" t="s">
        <v>1864</v>
      </c>
      <c r="E2394" t="s">
        <v>4257</v>
      </c>
      <c r="F2394" t="s">
        <v>1860</v>
      </c>
      <c r="G2394" t="str">
        <f t="shared" si="187"/>
        <v>T</v>
      </c>
      <c r="H2394" t="str">
        <f t="shared" si="188"/>
        <v>97</v>
      </c>
      <c r="I2394" t="str">
        <f t="shared" si="189"/>
        <v>970</v>
      </c>
      <c r="J2394" t="str">
        <f t="shared" si="190"/>
        <v>97005</v>
      </c>
      <c r="K2394" t="str">
        <f t="shared" si="186"/>
        <v>9700500</v>
      </c>
    </row>
    <row r="2395" spans="1:11" x14ac:dyDescent="0.25">
      <c r="A2395" t="s">
        <v>4258</v>
      </c>
      <c r="C2395" t="s">
        <v>1864</v>
      </c>
      <c r="D2395" t="s">
        <v>1864</v>
      </c>
      <c r="E2395" t="s">
        <v>1864</v>
      </c>
      <c r="F2395" t="s">
        <v>1861</v>
      </c>
      <c r="G2395" t="str">
        <f t="shared" si="187"/>
        <v>U</v>
      </c>
      <c r="H2395" t="str">
        <f t="shared" si="188"/>
        <v>97</v>
      </c>
      <c r="I2395" t="str">
        <f t="shared" si="189"/>
        <v>970</v>
      </c>
      <c r="J2395" t="str">
        <f t="shared" si="190"/>
        <v>97005</v>
      </c>
      <c r="K2395" t="str">
        <f t="shared" si="186"/>
        <v/>
      </c>
    </row>
    <row r="2396" spans="1:11" x14ac:dyDescent="0.25">
      <c r="B2396" t="s">
        <v>4259</v>
      </c>
      <c r="C2396" t="s">
        <v>1864</v>
      </c>
      <c r="D2396" t="s">
        <v>1864</v>
      </c>
      <c r="E2396" t="s">
        <v>1864</v>
      </c>
      <c r="F2396" t="s">
        <v>1861</v>
      </c>
      <c r="G2396" t="str">
        <f t="shared" si="187"/>
        <v>U</v>
      </c>
      <c r="H2396" t="str">
        <f t="shared" si="188"/>
        <v>99</v>
      </c>
      <c r="I2396" t="str">
        <f t="shared" si="189"/>
        <v>970</v>
      </c>
      <c r="J2396" t="str">
        <f t="shared" si="190"/>
        <v>97005</v>
      </c>
      <c r="K2396" t="str">
        <f t="shared" si="186"/>
        <v/>
      </c>
    </row>
    <row r="2397" spans="1:11" x14ac:dyDescent="0.25">
      <c r="C2397" t="s">
        <v>4260</v>
      </c>
      <c r="D2397" t="s">
        <v>1864</v>
      </c>
      <c r="E2397" t="s">
        <v>1864</v>
      </c>
      <c r="F2397" t="s">
        <v>1862</v>
      </c>
      <c r="G2397" t="str">
        <f t="shared" si="187"/>
        <v>U</v>
      </c>
      <c r="H2397" t="str">
        <f t="shared" si="188"/>
        <v>99</v>
      </c>
      <c r="I2397" t="str">
        <f t="shared" si="189"/>
        <v>990</v>
      </c>
      <c r="J2397" t="str">
        <f t="shared" si="190"/>
        <v>97005</v>
      </c>
      <c r="K2397" t="str">
        <f t="shared" si="186"/>
        <v/>
      </c>
    </row>
    <row r="2398" spans="1:11" x14ac:dyDescent="0.25">
      <c r="C2398" t="s">
        <v>1864</v>
      </c>
      <c r="D2398" t="s">
        <v>4261</v>
      </c>
      <c r="E2398" t="s">
        <v>1864</v>
      </c>
      <c r="F2398" t="s">
        <v>1862</v>
      </c>
      <c r="G2398" t="str">
        <f t="shared" si="187"/>
        <v>U</v>
      </c>
      <c r="H2398" t="str">
        <f t="shared" si="188"/>
        <v>99</v>
      </c>
      <c r="I2398" t="str">
        <f t="shared" si="189"/>
        <v>990</v>
      </c>
      <c r="J2398" t="str">
        <f t="shared" si="190"/>
        <v>99008</v>
      </c>
      <c r="K2398" t="str">
        <f t="shared" si="186"/>
        <v/>
      </c>
    </row>
  </sheetData>
  <autoFilter ref="A1:B2398" xr:uid="{D083319C-5D75-4303-AF07-A6BD64996A3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E52C-4C8D-4CF1-B129-E9FBD269661C}">
  <dimension ref="A1:N2398"/>
  <sheetViews>
    <sheetView zoomScale="140" zoomScaleNormal="140" workbookViewId="0">
      <selection activeCell="M7" sqref="M7"/>
    </sheetView>
  </sheetViews>
  <sheetFormatPr defaultRowHeight="15" x14ac:dyDescent="0.25"/>
  <cols>
    <col min="6" max="6" width="76.140625" customWidth="1"/>
    <col min="7" max="11" width="0" hidden="1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L1" t="s">
        <v>4262</v>
      </c>
      <c r="M1" t="s">
        <v>4263</v>
      </c>
      <c r="N1" t="s">
        <v>4264</v>
      </c>
    </row>
    <row r="2" spans="1:14" x14ac:dyDescent="0.25">
      <c r="A2" t="s">
        <v>1863</v>
      </c>
      <c r="C2" t="s">
        <v>1864</v>
      </c>
      <c r="D2" t="s">
        <v>1864</v>
      </c>
      <c r="E2" t="s">
        <v>1864</v>
      </c>
      <c r="F2" t="s">
        <v>6</v>
      </c>
    </row>
    <row r="3" spans="1:14" x14ac:dyDescent="0.25">
      <c r="B3" t="s">
        <v>1865</v>
      </c>
      <c r="C3" t="s">
        <v>1864</v>
      </c>
      <c r="D3" t="s">
        <v>1864</v>
      </c>
      <c r="E3" t="s">
        <v>1864</v>
      </c>
      <c r="F3" t="s">
        <v>7</v>
      </c>
    </row>
    <row r="4" spans="1:14" x14ac:dyDescent="0.25">
      <c r="C4" t="s">
        <v>1866</v>
      </c>
      <c r="D4" t="s">
        <v>1864</v>
      </c>
      <c r="E4" t="s">
        <v>1864</v>
      </c>
      <c r="F4" t="s">
        <v>8</v>
      </c>
    </row>
    <row r="5" spans="1:14" x14ac:dyDescent="0.25">
      <c r="C5" t="s">
        <v>1864</v>
      </c>
      <c r="D5" t="s">
        <v>1867</v>
      </c>
      <c r="E5" t="s">
        <v>1864</v>
      </c>
      <c r="F5" t="s">
        <v>9</v>
      </c>
    </row>
    <row r="6" spans="1:14" x14ac:dyDescent="0.25">
      <c r="C6" t="s">
        <v>1864</v>
      </c>
      <c r="D6" t="s">
        <v>1864</v>
      </c>
      <c r="E6" t="s">
        <v>1868</v>
      </c>
      <c r="F6" t="s">
        <v>10</v>
      </c>
      <c r="G6" t="str">
        <f>A2</f>
        <v>A</v>
      </c>
      <c r="H6" t="str">
        <f>B3</f>
        <v>01</v>
      </c>
      <c r="I6" t="str">
        <f>C4</f>
        <v>011</v>
      </c>
      <c r="J6" t="str">
        <f>D5</f>
        <v>01113</v>
      </c>
      <c r="K6" t="str">
        <f>E6</f>
        <v>0111301</v>
      </c>
      <c r="L6">
        <v>1</v>
      </c>
    </row>
    <row r="7" spans="1:14" x14ac:dyDescent="0.25">
      <c r="C7" t="s">
        <v>1864</v>
      </c>
      <c r="D7" t="s">
        <v>1864</v>
      </c>
      <c r="E7" t="s">
        <v>1869</v>
      </c>
      <c r="F7" t="s">
        <v>11</v>
      </c>
      <c r="G7" t="str">
        <f>IF(A7="",G6,A7)</f>
        <v>A</v>
      </c>
      <c r="H7" t="str">
        <f t="shared" ref="H7:J22" si="0">IF(B7="",H6,B7)</f>
        <v>01</v>
      </c>
      <c r="I7" t="str">
        <f t="shared" si="0"/>
        <v>011</v>
      </c>
      <c r="J7" t="str">
        <f t="shared" si="0"/>
        <v>01113</v>
      </c>
      <c r="K7" t="str">
        <f>E7</f>
        <v>0111302</v>
      </c>
      <c r="L7">
        <v>0</v>
      </c>
      <c r="M7">
        <v>1</v>
      </c>
    </row>
    <row r="8" spans="1:14" x14ac:dyDescent="0.25">
      <c r="C8" t="s">
        <v>1864</v>
      </c>
      <c r="D8" t="s">
        <v>1864</v>
      </c>
      <c r="E8" t="s">
        <v>1870</v>
      </c>
      <c r="F8" t="s">
        <v>12</v>
      </c>
      <c r="G8" t="str">
        <f>IF(A8="",G7,A8)</f>
        <v>A</v>
      </c>
      <c r="H8" t="str">
        <f t="shared" si="0"/>
        <v>01</v>
      </c>
      <c r="I8" t="str">
        <f t="shared" si="0"/>
        <v>011</v>
      </c>
      <c r="J8" t="str">
        <f t="shared" si="0"/>
        <v>01113</v>
      </c>
      <c r="K8" t="str">
        <f t="shared" ref="K8:K71" si="1">E8</f>
        <v>0111303</v>
      </c>
      <c r="L8">
        <v>0</v>
      </c>
      <c r="M8">
        <v>1</v>
      </c>
    </row>
    <row r="9" spans="1:14" x14ac:dyDescent="0.25">
      <c r="C9" t="s">
        <v>1864</v>
      </c>
      <c r="D9" t="s">
        <v>1864</v>
      </c>
      <c r="E9" t="s">
        <v>1871</v>
      </c>
      <c r="F9" t="s">
        <v>13</v>
      </c>
      <c r="G9" t="str">
        <f t="shared" ref="G9:J24" si="2">IF(A9="",G8,A9)</f>
        <v>A</v>
      </c>
      <c r="H9" t="str">
        <f t="shared" si="0"/>
        <v>01</v>
      </c>
      <c r="I9" t="str">
        <f t="shared" si="0"/>
        <v>011</v>
      </c>
      <c r="J9" t="str">
        <f>IF(D9="",J8,D9)</f>
        <v>01113</v>
      </c>
      <c r="K9" t="str">
        <f t="shared" si="1"/>
        <v>0111399</v>
      </c>
      <c r="L9">
        <v>1</v>
      </c>
    </row>
    <row r="10" spans="1:14" x14ac:dyDescent="0.25">
      <c r="C10" t="s">
        <v>1864</v>
      </c>
      <c r="D10" t="s">
        <v>1872</v>
      </c>
      <c r="E10" t="s">
        <v>1864</v>
      </c>
      <c r="F10" t="s">
        <v>14</v>
      </c>
      <c r="G10" t="str">
        <f t="shared" si="2"/>
        <v>A</v>
      </c>
      <c r="H10" t="str">
        <f t="shared" si="0"/>
        <v>01</v>
      </c>
      <c r="I10" t="str">
        <f t="shared" si="0"/>
        <v>011</v>
      </c>
      <c r="J10" t="str">
        <f>IF(D10="",J9,D10)</f>
        <v>01121</v>
      </c>
      <c r="K10" t="str">
        <f t="shared" si="1"/>
        <v/>
      </c>
    </row>
    <row r="11" spans="1:14" x14ac:dyDescent="0.25">
      <c r="C11" t="s">
        <v>1864</v>
      </c>
      <c r="D11" t="s">
        <v>1864</v>
      </c>
      <c r="E11" t="s">
        <v>1873</v>
      </c>
      <c r="F11" t="s">
        <v>15</v>
      </c>
      <c r="G11" t="str">
        <f t="shared" si="2"/>
        <v>A</v>
      </c>
      <c r="H11" t="str">
        <f t="shared" si="0"/>
        <v>01</v>
      </c>
      <c r="I11" t="str">
        <f t="shared" si="0"/>
        <v>011</v>
      </c>
      <c r="J11" t="str">
        <f t="shared" si="0"/>
        <v>01121</v>
      </c>
      <c r="K11" t="str">
        <f t="shared" si="1"/>
        <v>0112101</v>
      </c>
      <c r="L11">
        <v>0</v>
      </c>
      <c r="M11">
        <v>1</v>
      </c>
    </row>
    <row r="12" spans="1:14" x14ac:dyDescent="0.25">
      <c r="C12" t="s">
        <v>1864</v>
      </c>
      <c r="D12" t="s">
        <v>1864</v>
      </c>
      <c r="E12" t="s">
        <v>1874</v>
      </c>
      <c r="F12" t="s">
        <v>16</v>
      </c>
      <c r="G12" t="str">
        <f t="shared" si="2"/>
        <v>A</v>
      </c>
      <c r="H12" t="str">
        <f t="shared" si="0"/>
        <v>01</v>
      </c>
      <c r="I12" t="str">
        <f t="shared" si="0"/>
        <v>011</v>
      </c>
      <c r="J12" t="str">
        <f t="shared" si="0"/>
        <v>01121</v>
      </c>
      <c r="K12" t="str">
        <f t="shared" si="1"/>
        <v>0112102</v>
      </c>
      <c r="L12">
        <v>1</v>
      </c>
    </row>
    <row r="13" spans="1:14" x14ac:dyDescent="0.25">
      <c r="C13" t="s">
        <v>1864</v>
      </c>
      <c r="D13" t="s">
        <v>1864</v>
      </c>
      <c r="E13" t="s">
        <v>1875</v>
      </c>
      <c r="F13" t="s">
        <v>17</v>
      </c>
      <c r="G13" t="str">
        <f t="shared" si="2"/>
        <v>A</v>
      </c>
      <c r="H13" t="str">
        <f t="shared" si="0"/>
        <v>01</v>
      </c>
      <c r="I13" t="str">
        <f t="shared" si="0"/>
        <v>011</v>
      </c>
      <c r="J13" t="str">
        <f t="shared" si="0"/>
        <v>01121</v>
      </c>
      <c r="K13" t="str">
        <f t="shared" si="1"/>
        <v>0112199</v>
      </c>
      <c r="L13">
        <v>1</v>
      </c>
    </row>
    <row r="14" spans="1:14" x14ac:dyDescent="0.25">
      <c r="C14" t="s">
        <v>1864</v>
      </c>
      <c r="D14" t="s">
        <v>1876</v>
      </c>
      <c r="E14" t="s">
        <v>1864</v>
      </c>
      <c r="F14" t="s">
        <v>18</v>
      </c>
      <c r="G14" t="str">
        <f t="shared" si="2"/>
        <v>A</v>
      </c>
      <c r="H14" t="str">
        <f t="shared" si="0"/>
        <v>01</v>
      </c>
      <c r="I14" t="str">
        <f t="shared" si="0"/>
        <v>011</v>
      </c>
      <c r="J14" t="str">
        <f>IF(D14="",J13,D14)</f>
        <v>01130</v>
      </c>
      <c r="K14" t="str">
        <f t="shared" si="1"/>
        <v/>
      </c>
    </row>
    <row r="15" spans="1:14" x14ac:dyDescent="0.25">
      <c r="C15" t="s">
        <v>1864</v>
      </c>
      <c r="D15" t="s">
        <v>1864</v>
      </c>
      <c r="E15" t="s">
        <v>1877</v>
      </c>
      <c r="F15" t="s">
        <v>18</v>
      </c>
      <c r="G15" t="str">
        <f t="shared" si="2"/>
        <v>A</v>
      </c>
      <c r="H15" t="str">
        <f t="shared" si="0"/>
        <v>01</v>
      </c>
      <c r="I15" t="str">
        <f t="shared" si="0"/>
        <v>011</v>
      </c>
      <c r="J15" t="str">
        <f t="shared" si="0"/>
        <v>01130</v>
      </c>
      <c r="K15" t="str">
        <f t="shared" si="1"/>
        <v>0113000</v>
      </c>
      <c r="L15">
        <v>0</v>
      </c>
      <c r="M15">
        <v>1</v>
      </c>
    </row>
    <row r="16" spans="1:14" x14ac:dyDescent="0.25">
      <c r="C16" t="s">
        <v>1864</v>
      </c>
      <c r="D16" t="s">
        <v>1878</v>
      </c>
      <c r="E16" t="s">
        <v>1864</v>
      </c>
      <c r="F16" t="s">
        <v>19</v>
      </c>
      <c r="G16" t="str">
        <f t="shared" si="2"/>
        <v>A</v>
      </c>
      <c r="H16" t="str">
        <f t="shared" si="0"/>
        <v>01</v>
      </c>
      <c r="I16" t="str">
        <f t="shared" si="0"/>
        <v>011</v>
      </c>
      <c r="J16" t="str">
        <f t="shared" si="0"/>
        <v>01148</v>
      </c>
      <c r="K16" t="str">
        <f t="shared" si="1"/>
        <v/>
      </c>
    </row>
    <row r="17" spans="3:13" x14ac:dyDescent="0.25">
      <c r="C17" t="s">
        <v>1864</v>
      </c>
      <c r="D17" t="s">
        <v>1864</v>
      </c>
      <c r="E17" t="s">
        <v>1879</v>
      </c>
      <c r="F17" t="s">
        <v>19</v>
      </c>
      <c r="G17" t="str">
        <f t="shared" si="2"/>
        <v>A</v>
      </c>
      <c r="H17" t="str">
        <f t="shared" si="0"/>
        <v>01</v>
      </c>
      <c r="I17" t="str">
        <f t="shared" si="0"/>
        <v>011</v>
      </c>
      <c r="J17" t="str">
        <f t="shared" si="0"/>
        <v>01148</v>
      </c>
      <c r="K17" t="str">
        <f t="shared" si="1"/>
        <v>0114800</v>
      </c>
      <c r="L17">
        <v>0</v>
      </c>
    </row>
    <row r="18" spans="3:13" x14ac:dyDescent="0.25">
      <c r="C18" t="s">
        <v>1864</v>
      </c>
      <c r="D18" t="s">
        <v>1880</v>
      </c>
      <c r="E18" t="s">
        <v>1864</v>
      </c>
      <c r="F18" t="s">
        <v>20</v>
      </c>
      <c r="G18" t="str">
        <f t="shared" si="2"/>
        <v>A</v>
      </c>
      <c r="H18" t="str">
        <f t="shared" si="0"/>
        <v>01</v>
      </c>
      <c r="I18" t="str">
        <f t="shared" si="0"/>
        <v>011</v>
      </c>
      <c r="J18" t="str">
        <f t="shared" si="0"/>
        <v>01156</v>
      </c>
      <c r="K18" t="str">
        <f t="shared" si="1"/>
        <v/>
      </c>
    </row>
    <row r="19" spans="3:13" x14ac:dyDescent="0.25">
      <c r="C19" t="s">
        <v>1864</v>
      </c>
      <c r="D19" t="s">
        <v>1864</v>
      </c>
      <c r="E19" t="s">
        <v>1881</v>
      </c>
      <c r="F19" t="s">
        <v>20</v>
      </c>
      <c r="G19" t="str">
        <f t="shared" si="2"/>
        <v>A</v>
      </c>
      <c r="H19" t="str">
        <f t="shared" si="0"/>
        <v>01</v>
      </c>
      <c r="I19" t="str">
        <f t="shared" si="0"/>
        <v>011</v>
      </c>
      <c r="J19" t="str">
        <f t="shared" si="0"/>
        <v>01156</v>
      </c>
      <c r="K19" t="str">
        <f t="shared" si="1"/>
        <v>0115600</v>
      </c>
      <c r="L19">
        <v>0</v>
      </c>
      <c r="M19">
        <v>1</v>
      </c>
    </row>
    <row r="20" spans="3:13" x14ac:dyDescent="0.25">
      <c r="C20" t="s">
        <v>1864</v>
      </c>
      <c r="D20" t="s">
        <v>1882</v>
      </c>
      <c r="E20" t="s">
        <v>1864</v>
      </c>
      <c r="F20" t="s">
        <v>21</v>
      </c>
      <c r="G20" t="str">
        <f t="shared" si="2"/>
        <v>A</v>
      </c>
      <c r="H20" t="str">
        <f t="shared" si="0"/>
        <v>01</v>
      </c>
      <c r="I20" t="str">
        <f t="shared" si="0"/>
        <v>011</v>
      </c>
      <c r="J20" t="str">
        <f t="shared" si="0"/>
        <v>01164</v>
      </c>
      <c r="K20" t="str">
        <f t="shared" si="1"/>
        <v/>
      </c>
    </row>
    <row r="21" spans="3:13" x14ac:dyDescent="0.25">
      <c r="C21" t="s">
        <v>1864</v>
      </c>
      <c r="D21" t="s">
        <v>1864</v>
      </c>
      <c r="E21" t="s">
        <v>1883</v>
      </c>
      <c r="F21" t="s">
        <v>22</v>
      </c>
      <c r="G21" t="str">
        <f t="shared" si="2"/>
        <v>A</v>
      </c>
      <c r="H21" t="str">
        <f t="shared" si="0"/>
        <v>01</v>
      </c>
      <c r="I21" t="str">
        <f t="shared" si="0"/>
        <v>011</v>
      </c>
      <c r="J21" t="str">
        <f t="shared" si="0"/>
        <v>01164</v>
      </c>
      <c r="K21" t="str">
        <f t="shared" si="1"/>
        <v>0116401</v>
      </c>
      <c r="L21">
        <v>1</v>
      </c>
    </row>
    <row r="22" spans="3:13" x14ac:dyDescent="0.25">
      <c r="C22" t="s">
        <v>1864</v>
      </c>
      <c r="D22" t="s">
        <v>1864</v>
      </c>
      <c r="E22" t="s">
        <v>1884</v>
      </c>
      <c r="F22" t="s">
        <v>23</v>
      </c>
      <c r="G22" t="str">
        <f t="shared" si="2"/>
        <v>A</v>
      </c>
      <c r="H22" t="str">
        <f t="shared" si="0"/>
        <v>01</v>
      </c>
      <c r="I22" t="str">
        <f t="shared" si="0"/>
        <v>011</v>
      </c>
      <c r="J22" t="str">
        <f t="shared" si="0"/>
        <v>01164</v>
      </c>
      <c r="K22" t="str">
        <f t="shared" si="1"/>
        <v>0116402</v>
      </c>
      <c r="L22">
        <v>1</v>
      </c>
    </row>
    <row r="23" spans="3:13" x14ac:dyDescent="0.25">
      <c r="C23" t="s">
        <v>1864</v>
      </c>
      <c r="D23" t="s">
        <v>1864</v>
      </c>
      <c r="E23" t="s">
        <v>1885</v>
      </c>
      <c r="F23" t="s">
        <v>24</v>
      </c>
      <c r="G23" t="str">
        <f t="shared" si="2"/>
        <v>A</v>
      </c>
      <c r="H23" t="str">
        <f t="shared" si="2"/>
        <v>01</v>
      </c>
      <c r="I23" t="str">
        <f t="shared" si="2"/>
        <v>011</v>
      </c>
      <c r="J23" t="str">
        <f t="shared" si="2"/>
        <v>01164</v>
      </c>
      <c r="K23" t="str">
        <f t="shared" si="1"/>
        <v>0116403</v>
      </c>
      <c r="L23">
        <v>1</v>
      </c>
    </row>
    <row r="24" spans="3:13" x14ac:dyDescent="0.25">
      <c r="C24" t="s">
        <v>1864</v>
      </c>
      <c r="D24" t="s">
        <v>1864</v>
      </c>
      <c r="E24" t="s">
        <v>1886</v>
      </c>
      <c r="F24" t="s">
        <v>25</v>
      </c>
      <c r="G24" t="str">
        <f t="shared" si="2"/>
        <v>A</v>
      </c>
      <c r="H24" t="str">
        <f t="shared" si="2"/>
        <v>01</v>
      </c>
      <c r="I24" t="str">
        <f t="shared" si="2"/>
        <v>011</v>
      </c>
      <c r="J24" t="str">
        <f t="shared" si="2"/>
        <v>01164</v>
      </c>
      <c r="K24" t="str">
        <f t="shared" si="1"/>
        <v>0116499</v>
      </c>
      <c r="L24">
        <v>1</v>
      </c>
    </row>
    <row r="25" spans="3:13" x14ac:dyDescent="0.25">
      <c r="C25" t="s">
        <v>1864</v>
      </c>
      <c r="D25" t="s">
        <v>1887</v>
      </c>
      <c r="E25" t="s">
        <v>1864</v>
      </c>
      <c r="F25" t="s">
        <v>26</v>
      </c>
      <c r="G25" t="str">
        <f t="shared" ref="G25:J40" si="3">IF(A25="",G24,A25)</f>
        <v>A</v>
      </c>
      <c r="H25" t="str">
        <f t="shared" si="3"/>
        <v>01</v>
      </c>
      <c r="I25" t="str">
        <f t="shared" si="3"/>
        <v>011</v>
      </c>
      <c r="J25" t="str">
        <f t="shared" si="3"/>
        <v>01199</v>
      </c>
      <c r="K25" t="str">
        <f t="shared" si="1"/>
        <v/>
      </c>
    </row>
    <row r="26" spans="3:13" x14ac:dyDescent="0.25">
      <c r="C26" t="s">
        <v>1864</v>
      </c>
      <c r="D26" t="s">
        <v>1864</v>
      </c>
      <c r="E26" t="s">
        <v>1888</v>
      </c>
      <c r="F26" t="s">
        <v>27</v>
      </c>
      <c r="G26" t="str">
        <f t="shared" si="3"/>
        <v>A</v>
      </c>
      <c r="H26" t="str">
        <f t="shared" si="3"/>
        <v>01</v>
      </c>
      <c r="I26" t="str">
        <f t="shared" si="3"/>
        <v>011</v>
      </c>
      <c r="J26" t="str">
        <f t="shared" si="3"/>
        <v>01199</v>
      </c>
      <c r="K26" t="str">
        <f t="shared" si="1"/>
        <v>0119901</v>
      </c>
      <c r="L26">
        <v>1</v>
      </c>
    </row>
    <row r="27" spans="3:13" x14ac:dyDescent="0.25">
      <c r="C27" t="s">
        <v>1864</v>
      </c>
      <c r="D27" t="s">
        <v>1864</v>
      </c>
      <c r="E27" t="s">
        <v>1889</v>
      </c>
      <c r="F27" t="s">
        <v>28</v>
      </c>
      <c r="G27" t="str">
        <f t="shared" si="3"/>
        <v>A</v>
      </c>
      <c r="H27" t="str">
        <f t="shared" si="3"/>
        <v>01</v>
      </c>
      <c r="I27" t="str">
        <f t="shared" si="3"/>
        <v>011</v>
      </c>
      <c r="J27" t="str">
        <f t="shared" si="3"/>
        <v>01199</v>
      </c>
      <c r="K27" t="str">
        <f t="shared" si="1"/>
        <v>0119902</v>
      </c>
      <c r="L27">
        <v>1</v>
      </c>
    </row>
    <row r="28" spans="3:13" x14ac:dyDescent="0.25">
      <c r="C28" t="s">
        <v>1864</v>
      </c>
      <c r="D28" t="s">
        <v>1864</v>
      </c>
      <c r="E28" t="s">
        <v>1890</v>
      </c>
      <c r="F28" t="s">
        <v>29</v>
      </c>
      <c r="G28" t="str">
        <f t="shared" si="3"/>
        <v>A</v>
      </c>
      <c r="H28" t="str">
        <f t="shared" si="3"/>
        <v>01</v>
      </c>
      <c r="I28" t="str">
        <f t="shared" si="3"/>
        <v>011</v>
      </c>
      <c r="J28" t="str">
        <f t="shared" si="3"/>
        <v>01199</v>
      </c>
      <c r="K28" t="str">
        <f t="shared" si="1"/>
        <v>0119903</v>
      </c>
      <c r="L28">
        <v>1</v>
      </c>
    </row>
    <row r="29" spans="3:13" x14ac:dyDescent="0.25">
      <c r="C29" t="s">
        <v>1864</v>
      </c>
      <c r="D29" t="s">
        <v>1864</v>
      </c>
      <c r="E29" t="s">
        <v>1891</v>
      </c>
      <c r="F29" t="s">
        <v>30</v>
      </c>
      <c r="G29" t="str">
        <f t="shared" si="3"/>
        <v>A</v>
      </c>
      <c r="H29" t="str">
        <f t="shared" si="3"/>
        <v>01</v>
      </c>
      <c r="I29" t="str">
        <f t="shared" si="3"/>
        <v>011</v>
      </c>
      <c r="J29" t="str">
        <f t="shared" si="3"/>
        <v>01199</v>
      </c>
      <c r="K29" t="str">
        <f t="shared" si="1"/>
        <v>0119904</v>
      </c>
      <c r="L29">
        <v>1</v>
      </c>
    </row>
    <row r="30" spans="3:13" x14ac:dyDescent="0.25">
      <c r="C30" t="s">
        <v>1864</v>
      </c>
      <c r="D30" t="s">
        <v>1864</v>
      </c>
      <c r="E30" t="s">
        <v>1892</v>
      </c>
      <c r="F30" t="s">
        <v>31</v>
      </c>
      <c r="G30" t="str">
        <f t="shared" si="3"/>
        <v>A</v>
      </c>
      <c r="H30" t="str">
        <f t="shared" si="3"/>
        <v>01</v>
      </c>
      <c r="I30" t="str">
        <f t="shared" si="3"/>
        <v>011</v>
      </c>
      <c r="J30" t="str">
        <f t="shared" si="3"/>
        <v>01199</v>
      </c>
      <c r="K30" t="str">
        <f t="shared" si="1"/>
        <v>0119905</v>
      </c>
      <c r="L30">
        <v>1</v>
      </c>
    </row>
    <row r="31" spans="3:13" x14ac:dyDescent="0.25">
      <c r="C31" t="s">
        <v>1864</v>
      </c>
      <c r="D31" t="s">
        <v>1864</v>
      </c>
      <c r="E31" t="s">
        <v>1893</v>
      </c>
      <c r="F31" t="s">
        <v>32</v>
      </c>
      <c r="G31" t="str">
        <f t="shared" si="3"/>
        <v>A</v>
      </c>
      <c r="H31" t="str">
        <f t="shared" si="3"/>
        <v>01</v>
      </c>
      <c r="I31" t="str">
        <f t="shared" si="3"/>
        <v>011</v>
      </c>
      <c r="J31" t="str">
        <f t="shared" si="3"/>
        <v>01199</v>
      </c>
      <c r="K31" t="str">
        <f t="shared" si="1"/>
        <v>0119906</v>
      </c>
      <c r="L31">
        <v>1</v>
      </c>
    </row>
    <row r="32" spans="3:13" x14ac:dyDescent="0.25">
      <c r="C32" t="s">
        <v>1864</v>
      </c>
      <c r="D32" t="s">
        <v>1864</v>
      </c>
      <c r="E32" t="s">
        <v>1894</v>
      </c>
      <c r="F32" t="s">
        <v>33</v>
      </c>
      <c r="G32" t="str">
        <f t="shared" si="3"/>
        <v>A</v>
      </c>
      <c r="H32" t="str">
        <f t="shared" si="3"/>
        <v>01</v>
      </c>
      <c r="I32" t="str">
        <f t="shared" si="3"/>
        <v>011</v>
      </c>
      <c r="J32" t="str">
        <f t="shared" si="3"/>
        <v>01199</v>
      </c>
      <c r="K32" t="str">
        <f t="shared" si="1"/>
        <v>0119907</v>
      </c>
      <c r="L32">
        <v>1</v>
      </c>
    </row>
    <row r="33" spans="3:12" x14ac:dyDescent="0.25">
      <c r="C33" t="s">
        <v>1864</v>
      </c>
      <c r="D33" t="s">
        <v>1864</v>
      </c>
      <c r="E33" t="s">
        <v>1895</v>
      </c>
      <c r="F33" t="s">
        <v>34</v>
      </c>
      <c r="G33" t="str">
        <f t="shared" si="3"/>
        <v>A</v>
      </c>
      <c r="H33" t="str">
        <f t="shared" si="3"/>
        <v>01</v>
      </c>
      <c r="I33" t="str">
        <f t="shared" si="3"/>
        <v>011</v>
      </c>
      <c r="J33" t="str">
        <f t="shared" si="3"/>
        <v>01199</v>
      </c>
      <c r="K33" t="str">
        <f t="shared" si="1"/>
        <v>0119908</v>
      </c>
      <c r="L33">
        <v>1</v>
      </c>
    </row>
    <row r="34" spans="3:12" x14ac:dyDescent="0.25">
      <c r="C34" t="s">
        <v>1864</v>
      </c>
      <c r="D34" t="s">
        <v>1864</v>
      </c>
      <c r="E34" t="s">
        <v>1896</v>
      </c>
      <c r="F34" t="s">
        <v>35</v>
      </c>
      <c r="G34" t="str">
        <f t="shared" si="3"/>
        <v>A</v>
      </c>
      <c r="H34" t="str">
        <f t="shared" si="3"/>
        <v>01</v>
      </c>
      <c r="I34" t="str">
        <f t="shared" si="3"/>
        <v>011</v>
      </c>
      <c r="J34" t="str">
        <f t="shared" si="3"/>
        <v>01199</v>
      </c>
      <c r="K34" t="str">
        <f t="shared" si="1"/>
        <v>0119909</v>
      </c>
      <c r="L34">
        <v>1</v>
      </c>
    </row>
    <row r="35" spans="3:12" x14ac:dyDescent="0.25">
      <c r="C35" t="s">
        <v>1864</v>
      </c>
      <c r="D35" t="s">
        <v>1864</v>
      </c>
      <c r="E35" t="s">
        <v>1897</v>
      </c>
      <c r="F35" t="s">
        <v>36</v>
      </c>
      <c r="G35" t="str">
        <f t="shared" si="3"/>
        <v>A</v>
      </c>
      <c r="H35" t="str">
        <f t="shared" si="3"/>
        <v>01</v>
      </c>
      <c r="I35" t="str">
        <f t="shared" si="3"/>
        <v>011</v>
      </c>
      <c r="J35" t="str">
        <f t="shared" si="3"/>
        <v>01199</v>
      </c>
      <c r="K35" t="str">
        <f t="shared" si="1"/>
        <v>0119999</v>
      </c>
      <c r="L35">
        <v>1</v>
      </c>
    </row>
    <row r="36" spans="3:12" x14ac:dyDescent="0.25">
      <c r="C36" t="s">
        <v>1898</v>
      </c>
      <c r="D36" t="s">
        <v>1864</v>
      </c>
      <c r="E36" t="s">
        <v>1864</v>
      </c>
      <c r="F36" t="s">
        <v>37</v>
      </c>
      <c r="G36" t="str">
        <f t="shared" si="3"/>
        <v>A</v>
      </c>
      <c r="H36" t="str">
        <f t="shared" si="3"/>
        <v>01</v>
      </c>
      <c r="I36" t="str">
        <f t="shared" si="3"/>
        <v>012</v>
      </c>
      <c r="J36" t="str">
        <f t="shared" si="3"/>
        <v>01199</v>
      </c>
      <c r="K36" t="str">
        <f t="shared" si="1"/>
        <v/>
      </c>
    </row>
    <row r="37" spans="3:12" x14ac:dyDescent="0.25">
      <c r="C37" t="s">
        <v>1864</v>
      </c>
      <c r="D37" t="s">
        <v>1899</v>
      </c>
      <c r="E37" t="s">
        <v>1864</v>
      </c>
      <c r="F37" t="s">
        <v>38</v>
      </c>
      <c r="G37" t="str">
        <f t="shared" si="3"/>
        <v>A</v>
      </c>
      <c r="H37" t="str">
        <f t="shared" si="3"/>
        <v>01</v>
      </c>
      <c r="I37" t="str">
        <f t="shared" si="3"/>
        <v>012</v>
      </c>
      <c r="J37" t="str">
        <f t="shared" si="3"/>
        <v>01211</v>
      </c>
      <c r="K37" t="str">
        <f t="shared" si="1"/>
        <v/>
      </c>
    </row>
    <row r="38" spans="3:12" x14ac:dyDescent="0.25">
      <c r="C38" t="s">
        <v>1864</v>
      </c>
      <c r="D38" t="s">
        <v>1864</v>
      </c>
      <c r="E38" t="s">
        <v>1900</v>
      </c>
      <c r="F38" t="s">
        <v>39</v>
      </c>
      <c r="G38" t="str">
        <f t="shared" si="3"/>
        <v>A</v>
      </c>
      <c r="H38" t="str">
        <f t="shared" si="3"/>
        <v>01</v>
      </c>
      <c r="I38" t="str">
        <f t="shared" si="3"/>
        <v>012</v>
      </c>
      <c r="J38" t="str">
        <f t="shared" si="3"/>
        <v>01211</v>
      </c>
      <c r="K38" t="str">
        <f t="shared" si="1"/>
        <v>0121101</v>
      </c>
      <c r="L38">
        <v>1</v>
      </c>
    </row>
    <row r="39" spans="3:12" x14ac:dyDescent="0.25">
      <c r="C39" t="s">
        <v>1864</v>
      </c>
      <c r="D39" t="s">
        <v>1864</v>
      </c>
      <c r="E39" t="s">
        <v>1901</v>
      </c>
      <c r="F39" t="s">
        <v>40</v>
      </c>
      <c r="G39" t="str">
        <f t="shared" si="3"/>
        <v>A</v>
      </c>
      <c r="H39" t="str">
        <f t="shared" si="3"/>
        <v>01</v>
      </c>
      <c r="I39" t="str">
        <f t="shared" si="3"/>
        <v>012</v>
      </c>
      <c r="J39" t="str">
        <f t="shared" si="3"/>
        <v>01211</v>
      </c>
      <c r="K39" t="str">
        <f t="shared" si="1"/>
        <v>0121102</v>
      </c>
      <c r="L39">
        <v>1</v>
      </c>
    </row>
    <row r="40" spans="3:12" x14ac:dyDescent="0.25">
      <c r="C40" t="s">
        <v>1864</v>
      </c>
      <c r="D40" t="s">
        <v>1902</v>
      </c>
      <c r="E40" t="s">
        <v>1864</v>
      </c>
      <c r="F40" t="s">
        <v>41</v>
      </c>
      <c r="G40" t="str">
        <f t="shared" si="3"/>
        <v>A</v>
      </c>
      <c r="H40" t="str">
        <f t="shared" si="3"/>
        <v>01</v>
      </c>
      <c r="I40" t="str">
        <f t="shared" si="3"/>
        <v>012</v>
      </c>
      <c r="J40" t="str">
        <f t="shared" si="3"/>
        <v>01229</v>
      </c>
      <c r="K40" t="str">
        <f t="shared" si="1"/>
        <v/>
      </c>
    </row>
    <row r="41" spans="3:12" x14ac:dyDescent="0.25">
      <c r="C41" t="s">
        <v>1864</v>
      </c>
      <c r="D41" t="s">
        <v>1864</v>
      </c>
      <c r="E41" t="s">
        <v>1903</v>
      </c>
      <c r="F41" t="s">
        <v>41</v>
      </c>
      <c r="G41" t="str">
        <f t="shared" ref="G41:J56" si="4">IF(A41="",G40,A41)</f>
        <v>A</v>
      </c>
      <c r="H41" t="str">
        <f t="shared" si="4"/>
        <v>01</v>
      </c>
      <c r="I41" t="str">
        <f t="shared" si="4"/>
        <v>012</v>
      </c>
      <c r="J41" t="str">
        <f t="shared" si="4"/>
        <v>01229</v>
      </c>
      <c r="K41" t="str">
        <f t="shared" si="1"/>
        <v>0122900</v>
      </c>
      <c r="L41">
        <v>1</v>
      </c>
    </row>
    <row r="42" spans="3:12" x14ac:dyDescent="0.25">
      <c r="C42" t="s">
        <v>1904</v>
      </c>
      <c r="D42" t="s">
        <v>1864</v>
      </c>
      <c r="E42" t="s">
        <v>1864</v>
      </c>
      <c r="F42" t="s">
        <v>42</v>
      </c>
      <c r="G42" t="str">
        <f t="shared" si="4"/>
        <v>A</v>
      </c>
      <c r="H42" t="str">
        <f t="shared" si="4"/>
        <v>01</v>
      </c>
      <c r="I42" t="str">
        <f t="shared" si="4"/>
        <v>013</v>
      </c>
      <c r="J42" t="str">
        <f t="shared" si="4"/>
        <v>01229</v>
      </c>
      <c r="K42" t="str">
        <f t="shared" si="1"/>
        <v/>
      </c>
    </row>
    <row r="43" spans="3:12" x14ac:dyDescent="0.25">
      <c r="C43" t="s">
        <v>1864</v>
      </c>
      <c r="D43" t="s">
        <v>1905</v>
      </c>
      <c r="E43" t="s">
        <v>1864</v>
      </c>
      <c r="F43" t="s">
        <v>43</v>
      </c>
      <c r="G43" t="str">
        <f t="shared" si="4"/>
        <v>A</v>
      </c>
      <c r="H43" t="str">
        <f t="shared" si="4"/>
        <v>01</v>
      </c>
      <c r="I43" t="str">
        <f t="shared" si="4"/>
        <v>013</v>
      </c>
      <c r="J43" t="str">
        <f t="shared" si="4"/>
        <v>01318</v>
      </c>
      <c r="K43" t="str">
        <f t="shared" si="1"/>
        <v/>
      </c>
    </row>
    <row r="44" spans="3:12" x14ac:dyDescent="0.25">
      <c r="C44" t="s">
        <v>1864</v>
      </c>
      <c r="D44" t="s">
        <v>1864</v>
      </c>
      <c r="E44" t="s">
        <v>1906</v>
      </c>
      <c r="F44" t="s">
        <v>43</v>
      </c>
      <c r="G44" t="str">
        <f t="shared" si="4"/>
        <v>A</v>
      </c>
      <c r="H44" t="str">
        <f t="shared" si="4"/>
        <v>01</v>
      </c>
      <c r="I44" t="str">
        <f t="shared" si="4"/>
        <v>013</v>
      </c>
      <c r="J44" t="str">
        <f t="shared" si="4"/>
        <v>01318</v>
      </c>
      <c r="K44" t="str">
        <f t="shared" si="1"/>
        <v>0131800</v>
      </c>
      <c r="L44">
        <v>1</v>
      </c>
    </row>
    <row r="45" spans="3:12" x14ac:dyDescent="0.25">
      <c r="C45" t="s">
        <v>1864</v>
      </c>
      <c r="D45" t="s">
        <v>1907</v>
      </c>
      <c r="E45" t="s">
        <v>1864</v>
      </c>
      <c r="F45" t="s">
        <v>44</v>
      </c>
      <c r="G45" t="str">
        <f t="shared" si="4"/>
        <v>A</v>
      </c>
      <c r="H45" t="str">
        <f t="shared" si="4"/>
        <v>01</v>
      </c>
      <c r="I45" t="str">
        <f t="shared" si="4"/>
        <v>013</v>
      </c>
      <c r="J45" t="str">
        <f t="shared" si="4"/>
        <v>01326</v>
      </c>
      <c r="K45" t="str">
        <f t="shared" si="1"/>
        <v/>
      </c>
    </row>
    <row r="46" spans="3:12" x14ac:dyDescent="0.25">
      <c r="C46" t="s">
        <v>1864</v>
      </c>
      <c r="D46" t="s">
        <v>1864</v>
      </c>
      <c r="E46" t="s">
        <v>1908</v>
      </c>
      <c r="F46" t="s">
        <v>44</v>
      </c>
      <c r="G46" t="str">
        <f t="shared" si="4"/>
        <v>A</v>
      </c>
      <c r="H46" t="str">
        <f t="shared" si="4"/>
        <v>01</v>
      </c>
      <c r="I46" t="str">
        <f t="shared" si="4"/>
        <v>013</v>
      </c>
      <c r="J46" t="str">
        <f t="shared" si="4"/>
        <v>01326</v>
      </c>
      <c r="K46" t="str">
        <f t="shared" si="1"/>
        <v>0132600</v>
      </c>
      <c r="L46">
        <v>1</v>
      </c>
    </row>
    <row r="47" spans="3:12" x14ac:dyDescent="0.25">
      <c r="C47" t="s">
        <v>1864</v>
      </c>
      <c r="D47" t="s">
        <v>1909</v>
      </c>
      <c r="E47" t="s">
        <v>1864</v>
      </c>
      <c r="F47" t="s">
        <v>45</v>
      </c>
      <c r="G47" t="str">
        <f t="shared" si="4"/>
        <v>A</v>
      </c>
      <c r="H47" t="str">
        <f t="shared" si="4"/>
        <v>01</v>
      </c>
      <c r="I47" t="str">
        <f t="shared" si="4"/>
        <v>013</v>
      </c>
      <c r="J47" t="str">
        <f t="shared" si="4"/>
        <v>01334</v>
      </c>
      <c r="K47" t="str">
        <f t="shared" si="1"/>
        <v/>
      </c>
    </row>
    <row r="48" spans="3:12" x14ac:dyDescent="0.25">
      <c r="C48" t="s">
        <v>1864</v>
      </c>
      <c r="D48" t="s">
        <v>1864</v>
      </c>
      <c r="E48" t="s">
        <v>1910</v>
      </c>
      <c r="F48" t="s">
        <v>46</v>
      </c>
      <c r="G48" t="str">
        <f t="shared" si="4"/>
        <v>A</v>
      </c>
      <c r="H48" t="str">
        <f t="shared" si="4"/>
        <v>01</v>
      </c>
      <c r="I48" t="str">
        <f t="shared" si="4"/>
        <v>013</v>
      </c>
      <c r="J48" t="str">
        <f t="shared" si="4"/>
        <v>01334</v>
      </c>
      <c r="K48" t="str">
        <f t="shared" si="1"/>
        <v>0133401</v>
      </c>
      <c r="L48">
        <v>1</v>
      </c>
    </row>
    <row r="49" spans="3:12" x14ac:dyDescent="0.25">
      <c r="C49" t="s">
        <v>1864</v>
      </c>
      <c r="D49" t="s">
        <v>1864</v>
      </c>
      <c r="E49" t="s">
        <v>1911</v>
      </c>
      <c r="F49" t="s">
        <v>47</v>
      </c>
      <c r="G49" t="str">
        <f t="shared" si="4"/>
        <v>A</v>
      </c>
      <c r="H49" t="str">
        <f t="shared" si="4"/>
        <v>01</v>
      </c>
      <c r="I49" t="str">
        <f t="shared" si="4"/>
        <v>013</v>
      </c>
      <c r="J49" t="str">
        <f t="shared" si="4"/>
        <v>01334</v>
      </c>
      <c r="K49" t="str">
        <f t="shared" si="1"/>
        <v>0133402</v>
      </c>
      <c r="L49">
        <v>1</v>
      </c>
    </row>
    <row r="50" spans="3:12" x14ac:dyDescent="0.25">
      <c r="C50" t="s">
        <v>1864</v>
      </c>
      <c r="D50" t="s">
        <v>1864</v>
      </c>
      <c r="E50" t="s">
        <v>1912</v>
      </c>
      <c r="F50" t="s">
        <v>48</v>
      </c>
      <c r="G50" t="str">
        <f t="shared" si="4"/>
        <v>A</v>
      </c>
      <c r="H50" t="str">
        <f t="shared" si="4"/>
        <v>01</v>
      </c>
      <c r="I50" t="str">
        <f t="shared" si="4"/>
        <v>013</v>
      </c>
      <c r="J50" t="str">
        <f t="shared" si="4"/>
        <v>01334</v>
      </c>
      <c r="K50" t="str">
        <f t="shared" si="1"/>
        <v>0133403</v>
      </c>
      <c r="L50">
        <v>1</v>
      </c>
    </row>
    <row r="51" spans="3:12" x14ac:dyDescent="0.25">
      <c r="C51" t="s">
        <v>1864</v>
      </c>
      <c r="D51" t="s">
        <v>1864</v>
      </c>
      <c r="E51" t="s">
        <v>1913</v>
      </c>
      <c r="F51" t="s">
        <v>49</v>
      </c>
      <c r="G51" t="str">
        <f t="shared" si="4"/>
        <v>A</v>
      </c>
      <c r="H51" t="str">
        <f t="shared" si="4"/>
        <v>01</v>
      </c>
      <c r="I51" t="str">
        <f t="shared" si="4"/>
        <v>013</v>
      </c>
      <c r="J51" t="str">
        <f t="shared" si="4"/>
        <v>01334</v>
      </c>
      <c r="K51" t="str">
        <f t="shared" si="1"/>
        <v>0133404</v>
      </c>
      <c r="L51">
        <v>1</v>
      </c>
    </row>
    <row r="52" spans="3:12" x14ac:dyDescent="0.25">
      <c r="C52" t="s">
        <v>1864</v>
      </c>
      <c r="D52" t="s">
        <v>1864</v>
      </c>
      <c r="E52" t="s">
        <v>1914</v>
      </c>
      <c r="F52" t="s">
        <v>50</v>
      </c>
      <c r="G52" t="str">
        <f t="shared" si="4"/>
        <v>A</v>
      </c>
      <c r="H52" t="str">
        <f t="shared" si="4"/>
        <v>01</v>
      </c>
      <c r="I52" t="str">
        <f t="shared" si="4"/>
        <v>013</v>
      </c>
      <c r="J52" t="str">
        <f t="shared" si="4"/>
        <v>01334</v>
      </c>
      <c r="K52" t="str">
        <f t="shared" si="1"/>
        <v>0133405</v>
      </c>
      <c r="L52">
        <v>1</v>
      </c>
    </row>
    <row r="53" spans="3:12" x14ac:dyDescent="0.25">
      <c r="C53" t="s">
        <v>1864</v>
      </c>
      <c r="D53" t="s">
        <v>1864</v>
      </c>
      <c r="E53" t="s">
        <v>1915</v>
      </c>
      <c r="F53" t="s">
        <v>51</v>
      </c>
      <c r="G53" t="str">
        <f t="shared" si="4"/>
        <v>A</v>
      </c>
      <c r="H53" t="str">
        <f t="shared" si="4"/>
        <v>01</v>
      </c>
      <c r="I53" t="str">
        <f t="shared" si="4"/>
        <v>013</v>
      </c>
      <c r="J53" t="str">
        <f t="shared" si="4"/>
        <v>01334</v>
      </c>
      <c r="K53" t="str">
        <f t="shared" si="1"/>
        <v>0133406</v>
      </c>
      <c r="L53">
        <v>1</v>
      </c>
    </row>
    <row r="54" spans="3:12" x14ac:dyDescent="0.25">
      <c r="C54" t="s">
        <v>1864</v>
      </c>
      <c r="D54" t="s">
        <v>1864</v>
      </c>
      <c r="E54" t="s">
        <v>1916</v>
      </c>
      <c r="F54" t="s">
        <v>52</v>
      </c>
      <c r="G54" t="str">
        <f t="shared" si="4"/>
        <v>A</v>
      </c>
      <c r="H54" t="str">
        <f t="shared" si="4"/>
        <v>01</v>
      </c>
      <c r="I54" t="str">
        <f t="shared" si="4"/>
        <v>013</v>
      </c>
      <c r="J54" t="str">
        <f t="shared" si="4"/>
        <v>01334</v>
      </c>
      <c r="K54" t="str">
        <f t="shared" si="1"/>
        <v>0133407</v>
      </c>
      <c r="L54">
        <v>1</v>
      </c>
    </row>
    <row r="55" spans="3:12" x14ac:dyDescent="0.25">
      <c r="C55" t="s">
        <v>1864</v>
      </c>
      <c r="D55" t="s">
        <v>1864</v>
      </c>
      <c r="E55" t="s">
        <v>1917</v>
      </c>
      <c r="F55" t="s">
        <v>53</v>
      </c>
      <c r="G55" t="str">
        <f t="shared" si="4"/>
        <v>A</v>
      </c>
      <c r="H55" t="str">
        <f t="shared" si="4"/>
        <v>01</v>
      </c>
      <c r="I55" t="str">
        <f t="shared" si="4"/>
        <v>013</v>
      </c>
      <c r="J55" t="str">
        <f t="shared" si="4"/>
        <v>01334</v>
      </c>
      <c r="K55" t="str">
        <f t="shared" si="1"/>
        <v>0133408</v>
      </c>
      <c r="L55">
        <v>1</v>
      </c>
    </row>
    <row r="56" spans="3:12" x14ac:dyDescent="0.25">
      <c r="C56" t="s">
        <v>1864</v>
      </c>
      <c r="D56" t="s">
        <v>1864</v>
      </c>
      <c r="E56" t="s">
        <v>1918</v>
      </c>
      <c r="F56" t="s">
        <v>54</v>
      </c>
      <c r="G56" t="str">
        <f t="shared" si="4"/>
        <v>A</v>
      </c>
      <c r="H56" t="str">
        <f t="shared" si="4"/>
        <v>01</v>
      </c>
      <c r="I56" t="str">
        <f t="shared" si="4"/>
        <v>013</v>
      </c>
      <c r="J56" t="str">
        <f t="shared" si="4"/>
        <v>01334</v>
      </c>
      <c r="K56" t="str">
        <f t="shared" si="1"/>
        <v>0133409</v>
      </c>
      <c r="L56">
        <v>1</v>
      </c>
    </row>
    <row r="57" spans="3:12" x14ac:dyDescent="0.25">
      <c r="C57" t="s">
        <v>1864</v>
      </c>
      <c r="D57" t="s">
        <v>1864</v>
      </c>
      <c r="E57" t="s">
        <v>1919</v>
      </c>
      <c r="F57" t="s">
        <v>55</v>
      </c>
      <c r="G57" t="str">
        <f t="shared" ref="G57:J72" si="5">IF(A57="",G56,A57)</f>
        <v>A</v>
      </c>
      <c r="H57" t="str">
        <f t="shared" si="5"/>
        <v>01</v>
      </c>
      <c r="I57" t="str">
        <f t="shared" si="5"/>
        <v>013</v>
      </c>
      <c r="J57" t="str">
        <f t="shared" si="5"/>
        <v>01334</v>
      </c>
      <c r="K57" t="str">
        <f t="shared" si="1"/>
        <v>0133410</v>
      </c>
      <c r="L57">
        <v>1</v>
      </c>
    </row>
    <row r="58" spans="3:12" x14ac:dyDescent="0.25">
      <c r="C58" t="s">
        <v>1864</v>
      </c>
      <c r="D58" t="s">
        <v>1864</v>
      </c>
      <c r="E58" t="s">
        <v>1920</v>
      </c>
      <c r="F58" t="s">
        <v>56</v>
      </c>
      <c r="G58" t="str">
        <f t="shared" si="5"/>
        <v>A</v>
      </c>
      <c r="H58" t="str">
        <f t="shared" si="5"/>
        <v>01</v>
      </c>
      <c r="I58" t="str">
        <f t="shared" si="5"/>
        <v>013</v>
      </c>
      <c r="J58" t="str">
        <f t="shared" si="5"/>
        <v>01334</v>
      </c>
      <c r="K58" t="str">
        <f t="shared" si="1"/>
        <v>0133411</v>
      </c>
      <c r="L58">
        <v>1</v>
      </c>
    </row>
    <row r="59" spans="3:12" x14ac:dyDescent="0.25">
      <c r="C59" t="s">
        <v>1864</v>
      </c>
      <c r="D59" t="s">
        <v>1864</v>
      </c>
      <c r="E59" t="s">
        <v>1921</v>
      </c>
      <c r="F59" t="s">
        <v>57</v>
      </c>
      <c r="G59" t="str">
        <f t="shared" si="5"/>
        <v>A</v>
      </c>
      <c r="H59" t="str">
        <f t="shared" si="5"/>
        <v>01</v>
      </c>
      <c r="I59" t="str">
        <f t="shared" si="5"/>
        <v>013</v>
      </c>
      <c r="J59" t="str">
        <f t="shared" si="5"/>
        <v>01334</v>
      </c>
      <c r="K59" t="str">
        <f t="shared" si="1"/>
        <v>0133499</v>
      </c>
      <c r="L59">
        <v>1</v>
      </c>
    </row>
    <row r="60" spans="3:12" x14ac:dyDescent="0.25">
      <c r="C60" t="s">
        <v>1864</v>
      </c>
      <c r="D60" t="s">
        <v>1922</v>
      </c>
      <c r="E60" t="s">
        <v>1864</v>
      </c>
      <c r="F60" t="s">
        <v>58</v>
      </c>
      <c r="G60" t="str">
        <f t="shared" si="5"/>
        <v>A</v>
      </c>
      <c r="H60" t="str">
        <f t="shared" si="5"/>
        <v>01</v>
      </c>
      <c r="I60" t="str">
        <f t="shared" si="5"/>
        <v>013</v>
      </c>
      <c r="J60" t="str">
        <f t="shared" si="5"/>
        <v>01342</v>
      </c>
      <c r="K60" t="str">
        <f t="shared" si="1"/>
        <v/>
      </c>
    </row>
    <row r="61" spans="3:12" x14ac:dyDescent="0.25">
      <c r="C61" t="s">
        <v>1864</v>
      </c>
      <c r="D61" t="s">
        <v>1864</v>
      </c>
      <c r="E61" t="s">
        <v>1923</v>
      </c>
      <c r="F61" t="s">
        <v>58</v>
      </c>
      <c r="G61" t="str">
        <f t="shared" si="5"/>
        <v>A</v>
      </c>
      <c r="H61" t="str">
        <f t="shared" si="5"/>
        <v>01</v>
      </c>
      <c r="I61" t="str">
        <f t="shared" si="5"/>
        <v>013</v>
      </c>
      <c r="J61" t="str">
        <f t="shared" si="5"/>
        <v>01342</v>
      </c>
      <c r="K61" t="str">
        <f t="shared" si="1"/>
        <v>0134200</v>
      </c>
      <c r="L61">
        <v>1</v>
      </c>
    </row>
    <row r="62" spans="3:12" x14ac:dyDescent="0.25">
      <c r="C62" t="s">
        <v>1864</v>
      </c>
      <c r="D62" t="s">
        <v>1924</v>
      </c>
      <c r="E62" t="s">
        <v>1864</v>
      </c>
      <c r="F62" t="s">
        <v>59</v>
      </c>
      <c r="G62" t="str">
        <f t="shared" si="5"/>
        <v>A</v>
      </c>
      <c r="H62" t="str">
        <f t="shared" si="5"/>
        <v>01</v>
      </c>
      <c r="I62" t="str">
        <f t="shared" si="5"/>
        <v>013</v>
      </c>
      <c r="J62" t="str">
        <f t="shared" si="5"/>
        <v>01351</v>
      </c>
      <c r="K62" t="str">
        <f t="shared" si="1"/>
        <v/>
      </c>
    </row>
    <row r="63" spans="3:12" x14ac:dyDescent="0.25">
      <c r="C63" t="s">
        <v>1864</v>
      </c>
      <c r="D63" t="s">
        <v>1864</v>
      </c>
      <c r="E63" t="s">
        <v>1925</v>
      </c>
      <c r="F63" t="s">
        <v>59</v>
      </c>
      <c r="G63" t="str">
        <f t="shared" si="5"/>
        <v>A</v>
      </c>
      <c r="H63" t="str">
        <f t="shared" si="5"/>
        <v>01</v>
      </c>
      <c r="I63" t="str">
        <f t="shared" si="5"/>
        <v>013</v>
      </c>
      <c r="J63" t="str">
        <f t="shared" si="5"/>
        <v>01351</v>
      </c>
      <c r="K63" t="str">
        <f t="shared" si="1"/>
        <v>0135100</v>
      </c>
      <c r="L63">
        <v>1</v>
      </c>
    </row>
    <row r="64" spans="3:12" x14ac:dyDescent="0.25">
      <c r="C64" t="s">
        <v>1864</v>
      </c>
      <c r="D64" t="s">
        <v>1926</v>
      </c>
      <c r="E64" t="s">
        <v>1864</v>
      </c>
      <c r="F64" t="s">
        <v>60</v>
      </c>
      <c r="G64" t="str">
        <f t="shared" si="5"/>
        <v>A</v>
      </c>
      <c r="H64" t="str">
        <f t="shared" si="5"/>
        <v>01</v>
      </c>
      <c r="I64" t="str">
        <f t="shared" si="5"/>
        <v>013</v>
      </c>
      <c r="J64" t="str">
        <f t="shared" si="5"/>
        <v>01393</v>
      </c>
      <c r="K64" t="str">
        <f t="shared" si="1"/>
        <v/>
      </c>
    </row>
    <row r="65" spans="3:13" x14ac:dyDescent="0.25">
      <c r="C65" t="s">
        <v>1864</v>
      </c>
      <c r="D65" t="s">
        <v>1864</v>
      </c>
      <c r="E65" t="s">
        <v>1927</v>
      </c>
      <c r="F65" t="s">
        <v>61</v>
      </c>
      <c r="G65" t="str">
        <f t="shared" si="5"/>
        <v>A</v>
      </c>
      <c r="H65" t="str">
        <f t="shared" si="5"/>
        <v>01</v>
      </c>
      <c r="I65" t="str">
        <f t="shared" si="5"/>
        <v>013</v>
      </c>
      <c r="J65" t="str">
        <f t="shared" si="5"/>
        <v>01393</v>
      </c>
      <c r="K65" t="str">
        <f t="shared" si="1"/>
        <v>0139301</v>
      </c>
      <c r="L65">
        <v>1</v>
      </c>
    </row>
    <row r="66" spans="3:13" x14ac:dyDescent="0.25">
      <c r="C66" t="s">
        <v>1864</v>
      </c>
      <c r="D66" t="s">
        <v>1864</v>
      </c>
      <c r="E66" t="s">
        <v>1928</v>
      </c>
      <c r="F66" t="s">
        <v>62</v>
      </c>
      <c r="G66" t="str">
        <f t="shared" si="5"/>
        <v>A</v>
      </c>
      <c r="H66" t="str">
        <f t="shared" si="5"/>
        <v>01</v>
      </c>
      <c r="I66" t="str">
        <f t="shared" si="5"/>
        <v>013</v>
      </c>
      <c r="J66" t="str">
        <f t="shared" si="5"/>
        <v>01393</v>
      </c>
      <c r="K66" t="str">
        <f t="shared" si="1"/>
        <v>0139302</v>
      </c>
      <c r="L66">
        <v>1</v>
      </c>
    </row>
    <row r="67" spans="3:13" x14ac:dyDescent="0.25">
      <c r="C67" t="s">
        <v>1864</v>
      </c>
      <c r="D67" t="s">
        <v>1864</v>
      </c>
      <c r="E67" t="s">
        <v>1929</v>
      </c>
      <c r="F67" t="s">
        <v>63</v>
      </c>
      <c r="G67" t="str">
        <f t="shared" si="5"/>
        <v>A</v>
      </c>
      <c r="H67" t="str">
        <f t="shared" si="5"/>
        <v>01</v>
      </c>
      <c r="I67" t="str">
        <f t="shared" si="5"/>
        <v>013</v>
      </c>
      <c r="J67" t="str">
        <f t="shared" si="5"/>
        <v>01393</v>
      </c>
      <c r="K67" t="str">
        <f t="shared" si="1"/>
        <v>0139303</v>
      </c>
      <c r="L67">
        <v>1</v>
      </c>
    </row>
    <row r="68" spans="3:13" x14ac:dyDescent="0.25">
      <c r="C68" t="s">
        <v>1864</v>
      </c>
      <c r="D68" t="s">
        <v>1864</v>
      </c>
      <c r="E68" t="s">
        <v>1930</v>
      </c>
      <c r="F68" t="s">
        <v>64</v>
      </c>
      <c r="G68" t="str">
        <f t="shared" si="5"/>
        <v>A</v>
      </c>
      <c r="H68" t="str">
        <f t="shared" si="5"/>
        <v>01</v>
      </c>
      <c r="I68" t="str">
        <f t="shared" si="5"/>
        <v>013</v>
      </c>
      <c r="J68" t="str">
        <f t="shared" si="5"/>
        <v>01393</v>
      </c>
      <c r="K68" t="str">
        <f t="shared" si="1"/>
        <v>0139304</v>
      </c>
      <c r="L68">
        <v>1</v>
      </c>
    </row>
    <row r="69" spans="3:13" x14ac:dyDescent="0.25">
      <c r="C69" t="s">
        <v>1864</v>
      </c>
      <c r="D69" t="s">
        <v>1864</v>
      </c>
      <c r="E69" t="s">
        <v>1931</v>
      </c>
      <c r="F69" t="s">
        <v>65</v>
      </c>
      <c r="G69" t="str">
        <f t="shared" si="5"/>
        <v>A</v>
      </c>
      <c r="H69" t="str">
        <f t="shared" si="5"/>
        <v>01</v>
      </c>
      <c r="I69" t="str">
        <f t="shared" si="5"/>
        <v>013</v>
      </c>
      <c r="J69" t="str">
        <f t="shared" si="5"/>
        <v>01393</v>
      </c>
      <c r="K69" t="str">
        <f t="shared" si="1"/>
        <v>0139305</v>
      </c>
      <c r="L69">
        <v>1</v>
      </c>
    </row>
    <row r="70" spans="3:13" x14ac:dyDescent="0.25">
      <c r="C70" t="s">
        <v>1864</v>
      </c>
      <c r="D70" t="s">
        <v>1864</v>
      </c>
      <c r="E70" t="s">
        <v>1932</v>
      </c>
      <c r="F70" t="s">
        <v>66</v>
      </c>
      <c r="G70" t="str">
        <f t="shared" si="5"/>
        <v>A</v>
      </c>
      <c r="H70" t="str">
        <f t="shared" si="5"/>
        <v>01</v>
      </c>
      <c r="I70" t="str">
        <f t="shared" si="5"/>
        <v>013</v>
      </c>
      <c r="J70" t="str">
        <f t="shared" si="5"/>
        <v>01393</v>
      </c>
      <c r="K70" t="str">
        <f t="shared" si="1"/>
        <v>0139306</v>
      </c>
      <c r="L70">
        <v>0</v>
      </c>
    </row>
    <row r="71" spans="3:13" x14ac:dyDescent="0.25">
      <c r="C71" t="s">
        <v>1864</v>
      </c>
      <c r="D71" t="s">
        <v>1864</v>
      </c>
      <c r="E71" t="s">
        <v>1933</v>
      </c>
      <c r="F71" t="s">
        <v>67</v>
      </c>
      <c r="G71" t="str">
        <f t="shared" si="5"/>
        <v>A</v>
      </c>
      <c r="H71" t="str">
        <f t="shared" si="5"/>
        <v>01</v>
      </c>
      <c r="I71" t="str">
        <f t="shared" si="5"/>
        <v>013</v>
      </c>
      <c r="J71" t="str">
        <f t="shared" si="5"/>
        <v>01393</v>
      </c>
      <c r="K71" t="str">
        <f t="shared" si="1"/>
        <v>0139399</v>
      </c>
      <c r="L71">
        <v>1</v>
      </c>
    </row>
    <row r="72" spans="3:13" x14ac:dyDescent="0.25">
      <c r="C72" t="s">
        <v>1934</v>
      </c>
      <c r="D72" t="s">
        <v>1864</v>
      </c>
      <c r="E72" t="s">
        <v>1864</v>
      </c>
      <c r="F72" t="s">
        <v>68</v>
      </c>
      <c r="G72" t="str">
        <f t="shared" si="5"/>
        <v>A</v>
      </c>
      <c r="H72" t="str">
        <f t="shared" si="5"/>
        <v>01</v>
      </c>
      <c r="I72" t="str">
        <f t="shared" si="5"/>
        <v>014</v>
      </c>
      <c r="J72" t="str">
        <f t="shared" si="5"/>
        <v>01393</v>
      </c>
      <c r="K72" t="str">
        <f t="shared" ref="K72:K135" si="6">E72</f>
        <v/>
      </c>
    </row>
    <row r="73" spans="3:13" x14ac:dyDescent="0.25">
      <c r="C73" t="s">
        <v>1864</v>
      </c>
      <c r="D73" t="s">
        <v>1935</v>
      </c>
      <c r="E73" t="s">
        <v>1864</v>
      </c>
      <c r="F73" t="s">
        <v>69</v>
      </c>
      <c r="G73" t="str">
        <f t="shared" ref="G73:J88" si="7">IF(A73="",G72,A73)</f>
        <v>A</v>
      </c>
      <c r="H73" t="str">
        <f t="shared" si="7"/>
        <v>01</v>
      </c>
      <c r="I73" t="str">
        <f t="shared" si="7"/>
        <v>014</v>
      </c>
      <c r="J73" t="str">
        <f t="shared" si="7"/>
        <v>01415</v>
      </c>
      <c r="K73" t="str">
        <f t="shared" si="6"/>
        <v/>
      </c>
    </row>
    <row r="74" spans="3:13" x14ac:dyDescent="0.25">
      <c r="C74" t="s">
        <v>1864</v>
      </c>
      <c r="D74" t="s">
        <v>1864</v>
      </c>
      <c r="E74" t="s">
        <v>1936</v>
      </c>
      <c r="F74" t="s">
        <v>70</v>
      </c>
      <c r="G74" t="str">
        <f t="shared" si="7"/>
        <v>A</v>
      </c>
      <c r="H74" t="str">
        <f t="shared" si="7"/>
        <v>01</v>
      </c>
      <c r="I74" t="str">
        <f t="shared" si="7"/>
        <v>014</v>
      </c>
      <c r="J74" t="str">
        <f t="shared" si="7"/>
        <v>01415</v>
      </c>
      <c r="K74" t="str">
        <f t="shared" si="6"/>
        <v>0141501</v>
      </c>
      <c r="L74">
        <v>1</v>
      </c>
    </row>
    <row r="75" spans="3:13" x14ac:dyDescent="0.25">
      <c r="C75" t="s">
        <v>1864</v>
      </c>
      <c r="D75" t="s">
        <v>1864</v>
      </c>
      <c r="E75" t="s">
        <v>1937</v>
      </c>
      <c r="F75" t="s">
        <v>71</v>
      </c>
      <c r="G75" t="str">
        <f t="shared" si="7"/>
        <v>A</v>
      </c>
      <c r="H75" t="str">
        <f t="shared" si="7"/>
        <v>01</v>
      </c>
      <c r="I75" t="str">
        <f t="shared" si="7"/>
        <v>014</v>
      </c>
      <c r="J75" t="str">
        <f t="shared" si="7"/>
        <v>01415</v>
      </c>
      <c r="K75" t="str">
        <f t="shared" si="6"/>
        <v>0141502</v>
      </c>
      <c r="L75">
        <v>1</v>
      </c>
    </row>
    <row r="76" spans="3:13" x14ac:dyDescent="0.25">
      <c r="C76" t="s">
        <v>1864</v>
      </c>
      <c r="D76" t="s">
        <v>1938</v>
      </c>
      <c r="E76" t="s">
        <v>1864</v>
      </c>
      <c r="F76" t="s">
        <v>72</v>
      </c>
      <c r="G76" t="str">
        <f t="shared" si="7"/>
        <v>A</v>
      </c>
      <c r="H76" t="str">
        <f t="shared" si="7"/>
        <v>01</v>
      </c>
      <c r="I76" t="str">
        <f t="shared" si="7"/>
        <v>014</v>
      </c>
      <c r="J76" t="str">
        <f t="shared" si="7"/>
        <v>01423</v>
      </c>
      <c r="K76" t="str">
        <f t="shared" si="6"/>
        <v/>
      </c>
    </row>
    <row r="77" spans="3:13" x14ac:dyDescent="0.25">
      <c r="C77" t="s">
        <v>1864</v>
      </c>
      <c r="D77" t="s">
        <v>1864</v>
      </c>
      <c r="E77" t="s">
        <v>1939</v>
      </c>
      <c r="F77" t="s">
        <v>72</v>
      </c>
      <c r="G77" t="str">
        <f t="shared" si="7"/>
        <v>A</v>
      </c>
      <c r="H77" t="str">
        <f t="shared" si="7"/>
        <v>01</v>
      </c>
      <c r="I77" t="str">
        <f t="shared" si="7"/>
        <v>014</v>
      </c>
      <c r="J77" t="str">
        <f t="shared" si="7"/>
        <v>01423</v>
      </c>
      <c r="K77" t="str">
        <f t="shared" si="6"/>
        <v>0142300</v>
      </c>
      <c r="L77">
        <v>1</v>
      </c>
    </row>
    <row r="78" spans="3:13" x14ac:dyDescent="0.25">
      <c r="C78" t="s">
        <v>1940</v>
      </c>
      <c r="D78" t="s">
        <v>1864</v>
      </c>
      <c r="E78" t="s">
        <v>1864</v>
      </c>
      <c r="F78" t="s">
        <v>73</v>
      </c>
      <c r="G78" t="str">
        <f t="shared" si="7"/>
        <v>A</v>
      </c>
      <c r="H78" t="str">
        <f t="shared" si="7"/>
        <v>01</v>
      </c>
      <c r="I78" t="str">
        <f t="shared" si="7"/>
        <v>015</v>
      </c>
      <c r="J78" t="str">
        <f t="shared" si="7"/>
        <v>01423</v>
      </c>
      <c r="K78" t="str">
        <f t="shared" si="6"/>
        <v/>
      </c>
    </row>
    <row r="79" spans="3:13" x14ac:dyDescent="0.25">
      <c r="C79" t="s">
        <v>1864</v>
      </c>
      <c r="D79" t="s">
        <v>1941</v>
      </c>
      <c r="E79" t="s">
        <v>1864</v>
      </c>
      <c r="F79" t="s">
        <v>74</v>
      </c>
      <c r="G79" t="str">
        <f t="shared" si="7"/>
        <v>A</v>
      </c>
      <c r="H79" t="str">
        <f t="shared" si="7"/>
        <v>01</v>
      </c>
      <c r="I79" t="str">
        <f t="shared" si="7"/>
        <v>015</v>
      </c>
      <c r="J79" t="str">
        <f t="shared" si="7"/>
        <v>01512</v>
      </c>
      <c r="K79" t="str">
        <f t="shared" si="6"/>
        <v/>
      </c>
    </row>
    <row r="80" spans="3:13" x14ac:dyDescent="0.25">
      <c r="C80" t="s">
        <v>1864</v>
      </c>
      <c r="D80" t="s">
        <v>1864</v>
      </c>
      <c r="E80" t="s">
        <v>1942</v>
      </c>
      <c r="F80" t="s">
        <v>75</v>
      </c>
      <c r="G80" t="str">
        <f t="shared" si="7"/>
        <v>A</v>
      </c>
      <c r="H80" t="str">
        <f t="shared" si="7"/>
        <v>01</v>
      </c>
      <c r="I80" t="str">
        <f t="shared" si="7"/>
        <v>015</v>
      </c>
      <c r="J80" t="str">
        <f t="shared" si="7"/>
        <v>01512</v>
      </c>
      <c r="K80" t="str">
        <f t="shared" si="6"/>
        <v>0151201</v>
      </c>
      <c r="L80">
        <v>0</v>
      </c>
      <c r="M80">
        <v>1</v>
      </c>
    </row>
    <row r="81" spans="3:13" x14ac:dyDescent="0.25">
      <c r="C81" t="s">
        <v>1864</v>
      </c>
      <c r="D81" t="s">
        <v>1864</v>
      </c>
      <c r="E81" t="s">
        <v>1943</v>
      </c>
      <c r="F81" t="s">
        <v>76</v>
      </c>
      <c r="G81" t="str">
        <f t="shared" si="7"/>
        <v>A</v>
      </c>
      <c r="H81" t="str">
        <f t="shared" si="7"/>
        <v>01</v>
      </c>
      <c r="I81" t="str">
        <f t="shared" si="7"/>
        <v>015</v>
      </c>
      <c r="J81" t="str">
        <f t="shared" si="7"/>
        <v>01512</v>
      </c>
      <c r="K81" t="str">
        <f t="shared" si="6"/>
        <v>0151202</v>
      </c>
      <c r="L81">
        <v>1</v>
      </c>
    </row>
    <row r="82" spans="3:13" x14ac:dyDescent="0.25">
      <c r="C82" t="s">
        <v>1864</v>
      </c>
      <c r="D82" t="s">
        <v>1864</v>
      </c>
      <c r="E82" t="s">
        <v>1944</v>
      </c>
      <c r="F82" t="s">
        <v>77</v>
      </c>
      <c r="G82" t="str">
        <f t="shared" si="7"/>
        <v>A</v>
      </c>
      <c r="H82" t="str">
        <f t="shared" si="7"/>
        <v>01</v>
      </c>
      <c r="I82" t="str">
        <f t="shared" si="7"/>
        <v>015</v>
      </c>
      <c r="J82" t="str">
        <f t="shared" si="7"/>
        <v>01512</v>
      </c>
      <c r="K82" t="str">
        <f t="shared" si="6"/>
        <v>0151203</v>
      </c>
      <c r="L82">
        <v>0</v>
      </c>
      <c r="M82">
        <v>1</v>
      </c>
    </row>
    <row r="83" spans="3:13" x14ac:dyDescent="0.25">
      <c r="C83" t="s">
        <v>1864</v>
      </c>
      <c r="D83" t="s">
        <v>1945</v>
      </c>
      <c r="E83" t="s">
        <v>1864</v>
      </c>
      <c r="F83" t="s">
        <v>78</v>
      </c>
      <c r="G83" t="str">
        <f t="shared" si="7"/>
        <v>A</v>
      </c>
      <c r="H83" t="str">
        <f t="shared" si="7"/>
        <v>01</v>
      </c>
      <c r="I83" t="str">
        <f t="shared" si="7"/>
        <v>015</v>
      </c>
      <c r="J83" t="str">
        <f t="shared" si="7"/>
        <v>01521</v>
      </c>
      <c r="K83" t="str">
        <f t="shared" si="6"/>
        <v/>
      </c>
    </row>
    <row r="84" spans="3:13" x14ac:dyDescent="0.25">
      <c r="C84" t="s">
        <v>1864</v>
      </c>
      <c r="D84" t="s">
        <v>1864</v>
      </c>
      <c r="E84" t="s">
        <v>1946</v>
      </c>
      <c r="F84" t="s">
        <v>79</v>
      </c>
      <c r="G84" t="str">
        <f t="shared" si="7"/>
        <v>A</v>
      </c>
      <c r="H84" t="str">
        <f t="shared" si="7"/>
        <v>01</v>
      </c>
      <c r="I84" t="str">
        <f t="shared" si="7"/>
        <v>015</v>
      </c>
      <c r="J84" t="str">
        <f t="shared" si="7"/>
        <v>01521</v>
      </c>
      <c r="K84" t="str">
        <f t="shared" si="6"/>
        <v>0152101</v>
      </c>
      <c r="L84">
        <v>0</v>
      </c>
    </row>
    <row r="85" spans="3:13" x14ac:dyDescent="0.25">
      <c r="C85" t="s">
        <v>1864</v>
      </c>
      <c r="D85" t="s">
        <v>1864</v>
      </c>
      <c r="E85" t="s">
        <v>1947</v>
      </c>
      <c r="F85" t="s">
        <v>80</v>
      </c>
      <c r="G85" t="str">
        <f t="shared" si="7"/>
        <v>A</v>
      </c>
      <c r="H85" t="str">
        <f t="shared" si="7"/>
        <v>01</v>
      </c>
      <c r="I85" t="str">
        <f t="shared" si="7"/>
        <v>015</v>
      </c>
      <c r="J85" t="str">
        <f t="shared" si="7"/>
        <v>01521</v>
      </c>
      <c r="K85" t="str">
        <f t="shared" si="6"/>
        <v>0152102</v>
      </c>
      <c r="L85">
        <v>0</v>
      </c>
    </row>
    <row r="86" spans="3:13" x14ac:dyDescent="0.25">
      <c r="C86" t="s">
        <v>1864</v>
      </c>
      <c r="D86" t="s">
        <v>1864</v>
      </c>
      <c r="E86" t="s">
        <v>1948</v>
      </c>
      <c r="F86" t="s">
        <v>81</v>
      </c>
      <c r="G86" t="str">
        <f t="shared" si="7"/>
        <v>A</v>
      </c>
      <c r="H86" t="str">
        <f t="shared" si="7"/>
        <v>01</v>
      </c>
      <c r="I86" t="str">
        <f t="shared" si="7"/>
        <v>015</v>
      </c>
      <c r="J86" t="str">
        <f t="shared" si="7"/>
        <v>01521</v>
      </c>
      <c r="K86" t="str">
        <f t="shared" si="6"/>
        <v>0152103</v>
      </c>
      <c r="L86">
        <v>0</v>
      </c>
    </row>
    <row r="87" spans="3:13" x14ac:dyDescent="0.25">
      <c r="C87" t="s">
        <v>1864</v>
      </c>
      <c r="D87" t="s">
        <v>1949</v>
      </c>
      <c r="E87" t="s">
        <v>1864</v>
      </c>
      <c r="F87" t="s">
        <v>82</v>
      </c>
      <c r="G87" t="str">
        <f t="shared" si="7"/>
        <v>A</v>
      </c>
      <c r="H87" t="str">
        <f t="shared" si="7"/>
        <v>01</v>
      </c>
      <c r="I87" t="str">
        <f t="shared" si="7"/>
        <v>015</v>
      </c>
      <c r="J87" t="str">
        <f t="shared" si="7"/>
        <v>01539</v>
      </c>
      <c r="K87" t="str">
        <f t="shared" si="6"/>
        <v/>
      </c>
    </row>
    <row r="88" spans="3:13" x14ac:dyDescent="0.25">
      <c r="C88" t="s">
        <v>1864</v>
      </c>
      <c r="D88" t="s">
        <v>1864</v>
      </c>
      <c r="E88" t="s">
        <v>1950</v>
      </c>
      <c r="F88" t="s">
        <v>83</v>
      </c>
      <c r="G88" t="str">
        <f t="shared" si="7"/>
        <v>A</v>
      </c>
      <c r="H88" t="str">
        <f t="shared" si="7"/>
        <v>01</v>
      </c>
      <c r="I88" t="str">
        <f t="shared" si="7"/>
        <v>015</v>
      </c>
      <c r="J88" t="str">
        <f t="shared" si="7"/>
        <v>01539</v>
      </c>
      <c r="K88" t="str">
        <f t="shared" si="6"/>
        <v>0153901</v>
      </c>
      <c r="L88">
        <v>1</v>
      </c>
    </row>
    <row r="89" spans="3:13" x14ac:dyDescent="0.25">
      <c r="C89" t="s">
        <v>1864</v>
      </c>
      <c r="D89" t="s">
        <v>1864</v>
      </c>
      <c r="E89" t="s">
        <v>1951</v>
      </c>
      <c r="F89" t="s">
        <v>84</v>
      </c>
      <c r="G89" t="str">
        <f t="shared" ref="G89:J104" si="8">IF(A89="",G88,A89)</f>
        <v>A</v>
      </c>
      <c r="H89" t="str">
        <f t="shared" si="8"/>
        <v>01</v>
      </c>
      <c r="I89" t="str">
        <f t="shared" si="8"/>
        <v>015</v>
      </c>
      <c r="J89" t="str">
        <f t="shared" si="8"/>
        <v>01539</v>
      </c>
      <c r="K89" t="str">
        <f t="shared" si="6"/>
        <v>0153902</v>
      </c>
      <c r="L89">
        <v>1</v>
      </c>
    </row>
    <row r="90" spans="3:13" x14ac:dyDescent="0.25">
      <c r="C90" t="s">
        <v>1864</v>
      </c>
      <c r="D90" t="s">
        <v>1952</v>
      </c>
      <c r="E90" t="s">
        <v>1864</v>
      </c>
      <c r="F90" t="s">
        <v>85</v>
      </c>
      <c r="G90" t="str">
        <f t="shared" si="8"/>
        <v>A</v>
      </c>
      <c r="H90" t="str">
        <f t="shared" si="8"/>
        <v>01</v>
      </c>
      <c r="I90" t="str">
        <f t="shared" si="8"/>
        <v>015</v>
      </c>
      <c r="J90" t="str">
        <f t="shared" si="8"/>
        <v>01547</v>
      </c>
      <c r="K90" t="str">
        <f t="shared" si="6"/>
        <v/>
      </c>
    </row>
    <row r="91" spans="3:13" x14ac:dyDescent="0.25">
      <c r="C91" t="s">
        <v>1864</v>
      </c>
      <c r="D91" t="s">
        <v>1864</v>
      </c>
      <c r="E91" t="s">
        <v>1953</v>
      </c>
      <c r="F91" t="s">
        <v>85</v>
      </c>
      <c r="G91" t="str">
        <f t="shared" si="8"/>
        <v>A</v>
      </c>
      <c r="H91" t="str">
        <f t="shared" si="8"/>
        <v>01</v>
      </c>
      <c r="I91" t="str">
        <f t="shared" si="8"/>
        <v>015</v>
      </c>
      <c r="J91" t="str">
        <f t="shared" si="8"/>
        <v>01547</v>
      </c>
      <c r="K91" t="str">
        <f t="shared" si="6"/>
        <v>0154700</v>
      </c>
      <c r="L91">
        <v>1</v>
      </c>
    </row>
    <row r="92" spans="3:13" x14ac:dyDescent="0.25">
      <c r="C92" t="s">
        <v>1864</v>
      </c>
      <c r="D92" t="s">
        <v>1954</v>
      </c>
      <c r="E92" t="s">
        <v>1864</v>
      </c>
      <c r="F92" t="s">
        <v>86</v>
      </c>
      <c r="G92" t="str">
        <f t="shared" si="8"/>
        <v>A</v>
      </c>
      <c r="H92" t="str">
        <f t="shared" si="8"/>
        <v>01</v>
      </c>
      <c r="I92" t="str">
        <f t="shared" si="8"/>
        <v>015</v>
      </c>
      <c r="J92" t="str">
        <f t="shared" si="8"/>
        <v>01555</v>
      </c>
      <c r="K92" t="str">
        <f t="shared" si="6"/>
        <v/>
      </c>
    </row>
    <row r="93" spans="3:13" x14ac:dyDescent="0.25">
      <c r="C93" t="s">
        <v>1864</v>
      </c>
      <c r="D93" t="s">
        <v>1864</v>
      </c>
      <c r="E93" t="s">
        <v>1955</v>
      </c>
      <c r="F93" t="s">
        <v>87</v>
      </c>
      <c r="G93" t="str">
        <f t="shared" si="8"/>
        <v>A</v>
      </c>
      <c r="H93" t="str">
        <f t="shared" si="8"/>
        <v>01</v>
      </c>
      <c r="I93" t="str">
        <f t="shared" si="8"/>
        <v>015</v>
      </c>
      <c r="J93" t="str">
        <f t="shared" si="8"/>
        <v>01555</v>
      </c>
      <c r="K93" t="str">
        <f t="shared" si="6"/>
        <v>0155501</v>
      </c>
      <c r="L93">
        <v>1</v>
      </c>
    </row>
    <row r="94" spans="3:13" x14ac:dyDescent="0.25">
      <c r="C94" t="s">
        <v>1864</v>
      </c>
      <c r="D94" t="s">
        <v>1864</v>
      </c>
      <c r="E94" t="s">
        <v>1956</v>
      </c>
      <c r="F94" t="s">
        <v>88</v>
      </c>
      <c r="G94" t="str">
        <f t="shared" si="8"/>
        <v>A</v>
      </c>
      <c r="H94" t="str">
        <f t="shared" si="8"/>
        <v>01</v>
      </c>
      <c r="I94" t="str">
        <f t="shared" si="8"/>
        <v>015</v>
      </c>
      <c r="J94" t="str">
        <f t="shared" si="8"/>
        <v>01555</v>
      </c>
      <c r="K94" t="str">
        <f t="shared" si="6"/>
        <v>0155502</v>
      </c>
      <c r="L94">
        <v>1</v>
      </c>
    </row>
    <row r="95" spans="3:13" x14ac:dyDescent="0.25">
      <c r="C95" t="s">
        <v>1864</v>
      </c>
      <c r="D95" t="s">
        <v>1864</v>
      </c>
      <c r="E95" t="s">
        <v>1957</v>
      </c>
      <c r="F95" t="s">
        <v>89</v>
      </c>
      <c r="G95" t="str">
        <f t="shared" si="8"/>
        <v>A</v>
      </c>
      <c r="H95" t="str">
        <f t="shared" si="8"/>
        <v>01</v>
      </c>
      <c r="I95" t="str">
        <f t="shared" si="8"/>
        <v>015</v>
      </c>
      <c r="J95" t="str">
        <f t="shared" si="8"/>
        <v>01555</v>
      </c>
      <c r="K95" t="str">
        <f t="shared" si="6"/>
        <v>0155503</v>
      </c>
      <c r="L95">
        <v>1</v>
      </c>
    </row>
    <row r="96" spans="3:13" x14ac:dyDescent="0.25">
      <c r="C96" t="s">
        <v>1864</v>
      </c>
      <c r="D96" t="s">
        <v>1864</v>
      </c>
      <c r="E96" t="s">
        <v>1958</v>
      </c>
      <c r="F96" t="s">
        <v>90</v>
      </c>
      <c r="G96" t="str">
        <f t="shared" si="8"/>
        <v>A</v>
      </c>
      <c r="H96" t="str">
        <f t="shared" si="8"/>
        <v>01</v>
      </c>
      <c r="I96" t="str">
        <f t="shared" si="8"/>
        <v>015</v>
      </c>
      <c r="J96" t="str">
        <f t="shared" si="8"/>
        <v>01555</v>
      </c>
      <c r="K96" t="str">
        <f t="shared" si="6"/>
        <v>0155504</v>
      </c>
      <c r="L96">
        <v>1</v>
      </c>
    </row>
    <row r="97" spans="3:12" x14ac:dyDescent="0.25">
      <c r="C97" t="s">
        <v>1864</v>
      </c>
      <c r="D97" t="s">
        <v>1864</v>
      </c>
      <c r="E97" t="s">
        <v>1959</v>
      </c>
      <c r="F97" t="s">
        <v>91</v>
      </c>
      <c r="G97" t="str">
        <f t="shared" si="8"/>
        <v>A</v>
      </c>
      <c r="H97" t="str">
        <f t="shared" si="8"/>
        <v>01</v>
      </c>
      <c r="I97" t="str">
        <f t="shared" si="8"/>
        <v>015</v>
      </c>
      <c r="J97" t="str">
        <f t="shared" si="8"/>
        <v>01555</v>
      </c>
      <c r="K97" t="str">
        <f t="shared" si="6"/>
        <v>0155505</v>
      </c>
      <c r="L97">
        <v>1</v>
      </c>
    </row>
    <row r="98" spans="3:12" x14ac:dyDescent="0.25">
      <c r="C98" t="s">
        <v>1864</v>
      </c>
      <c r="D98" t="s">
        <v>1960</v>
      </c>
      <c r="E98" t="s">
        <v>1864</v>
      </c>
      <c r="F98" t="s">
        <v>92</v>
      </c>
      <c r="G98" t="str">
        <f t="shared" si="8"/>
        <v>A</v>
      </c>
      <c r="H98" t="str">
        <f t="shared" si="8"/>
        <v>01</v>
      </c>
      <c r="I98" t="str">
        <f t="shared" si="8"/>
        <v>015</v>
      </c>
      <c r="J98" t="str">
        <f t="shared" si="8"/>
        <v>01598</v>
      </c>
      <c r="K98" t="str">
        <f t="shared" si="6"/>
        <v/>
      </c>
    </row>
    <row r="99" spans="3:12" x14ac:dyDescent="0.25">
      <c r="C99" t="s">
        <v>1864</v>
      </c>
      <c r="D99" t="s">
        <v>1864</v>
      </c>
      <c r="E99" t="s">
        <v>1961</v>
      </c>
      <c r="F99" t="s">
        <v>93</v>
      </c>
      <c r="G99" t="str">
        <f t="shared" si="8"/>
        <v>A</v>
      </c>
      <c r="H99" t="str">
        <f t="shared" si="8"/>
        <v>01</v>
      </c>
      <c r="I99" t="str">
        <f t="shared" si="8"/>
        <v>015</v>
      </c>
      <c r="J99" t="str">
        <f t="shared" si="8"/>
        <v>01598</v>
      </c>
      <c r="K99" t="str">
        <f t="shared" si="6"/>
        <v>0159801</v>
      </c>
      <c r="L99">
        <v>1</v>
      </c>
    </row>
    <row r="100" spans="3:12" x14ac:dyDescent="0.25">
      <c r="C100" t="s">
        <v>1864</v>
      </c>
      <c r="D100" t="s">
        <v>1864</v>
      </c>
      <c r="E100" t="s">
        <v>1962</v>
      </c>
      <c r="F100" t="s">
        <v>94</v>
      </c>
      <c r="G100" t="str">
        <f t="shared" si="8"/>
        <v>A</v>
      </c>
      <c r="H100" t="str">
        <f t="shared" si="8"/>
        <v>01</v>
      </c>
      <c r="I100" t="str">
        <f t="shared" si="8"/>
        <v>015</v>
      </c>
      <c r="J100" t="str">
        <f t="shared" si="8"/>
        <v>01598</v>
      </c>
      <c r="K100" t="str">
        <f t="shared" si="6"/>
        <v>0159802</v>
      </c>
      <c r="L100">
        <v>1</v>
      </c>
    </row>
    <row r="101" spans="3:12" x14ac:dyDescent="0.25">
      <c r="C101" t="s">
        <v>1864</v>
      </c>
      <c r="D101" t="s">
        <v>1864</v>
      </c>
      <c r="E101" t="s">
        <v>1963</v>
      </c>
      <c r="F101" t="s">
        <v>95</v>
      </c>
      <c r="G101" t="str">
        <f t="shared" si="8"/>
        <v>A</v>
      </c>
      <c r="H101" t="str">
        <f t="shared" si="8"/>
        <v>01</v>
      </c>
      <c r="I101" t="str">
        <f t="shared" si="8"/>
        <v>015</v>
      </c>
      <c r="J101" t="str">
        <f t="shared" si="8"/>
        <v>01598</v>
      </c>
      <c r="K101" t="str">
        <f t="shared" si="6"/>
        <v>0159803</v>
      </c>
      <c r="L101">
        <v>1</v>
      </c>
    </row>
    <row r="102" spans="3:12" x14ac:dyDescent="0.25">
      <c r="C102" t="s">
        <v>1864</v>
      </c>
      <c r="D102" t="s">
        <v>1864</v>
      </c>
      <c r="E102" t="s">
        <v>1964</v>
      </c>
      <c r="F102" t="s">
        <v>96</v>
      </c>
      <c r="G102" t="str">
        <f t="shared" si="8"/>
        <v>A</v>
      </c>
      <c r="H102" t="str">
        <f t="shared" si="8"/>
        <v>01</v>
      </c>
      <c r="I102" t="str">
        <f t="shared" si="8"/>
        <v>015</v>
      </c>
      <c r="J102" t="str">
        <f t="shared" si="8"/>
        <v>01598</v>
      </c>
      <c r="K102" t="str">
        <f t="shared" si="6"/>
        <v>0159804</v>
      </c>
      <c r="L102">
        <v>1</v>
      </c>
    </row>
    <row r="103" spans="3:12" x14ac:dyDescent="0.25">
      <c r="C103" t="s">
        <v>1864</v>
      </c>
      <c r="D103" t="s">
        <v>1864</v>
      </c>
      <c r="E103" t="s">
        <v>1965</v>
      </c>
      <c r="F103" t="s">
        <v>97</v>
      </c>
      <c r="G103" t="str">
        <f t="shared" si="8"/>
        <v>A</v>
      </c>
      <c r="H103" t="str">
        <f t="shared" si="8"/>
        <v>01</v>
      </c>
      <c r="I103" t="str">
        <f t="shared" si="8"/>
        <v>015</v>
      </c>
      <c r="J103" t="str">
        <f t="shared" si="8"/>
        <v>01598</v>
      </c>
      <c r="K103" t="str">
        <f t="shared" si="6"/>
        <v>0159899</v>
      </c>
      <c r="L103">
        <v>1</v>
      </c>
    </row>
    <row r="104" spans="3:12" x14ac:dyDescent="0.25">
      <c r="C104" t="s">
        <v>1966</v>
      </c>
      <c r="D104" t="s">
        <v>1864</v>
      </c>
      <c r="E104" t="s">
        <v>1864</v>
      </c>
      <c r="F104" t="s">
        <v>98</v>
      </c>
      <c r="G104" t="str">
        <f t="shared" si="8"/>
        <v>A</v>
      </c>
      <c r="H104" t="str">
        <f t="shared" si="8"/>
        <v>01</v>
      </c>
      <c r="I104" t="str">
        <f t="shared" si="8"/>
        <v>016</v>
      </c>
      <c r="J104" t="str">
        <f t="shared" si="8"/>
        <v>01598</v>
      </c>
      <c r="K104" t="str">
        <f t="shared" si="6"/>
        <v/>
      </c>
    </row>
    <row r="105" spans="3:12" x14ac:dyDescent="0.25">
      <c r="C105" t="s">
        <v>1864</v>
      </c>
      <c r="D105" t="s">
        <v>1967</v>
      </c>
      <c r="E105" t="s">
        <v>1864</v>
      </c>
      <c r="F105" t="s">
        <v>99</v>
      </c>
      <c r="G105" t="str">
        <f t="shared" ref="G105:J120" si="9">IF(A105="",G104,A105)</f>
        <v>A</v>
      </c>
      <c r="H105" t="str">
        <f t="shared" si="9"/>
        <v>01</v>
      </c>
      <c r="I105" t="str">
        <f t="shared" si="9"/>
        <v>016</v>
      </c>
      <c r="J105" t="str">
        <f t="shared" si="9"/>
        <v>01610</v>
      </c>
      <c r="K105" t="str">
        <f t="shared" si="6"/>
        <v/>
      </c>
    </row>
    <row r="106" spans="3:12" x14ac:dyDescent="0.25">
      <c r="C106" t="s">
        <v>1864</v>
      </c>
      <c r="D106" t="s">
        <v>1864</v>
      </c>
      <c r="E106" t="s">
        <v>1968</v>
      </c>
      <c r="F106" t="s">
        <v>100</v>
      </c>
      <c r="G106" t="str">
        <f t="shared" si="9"/>
        <v>A</v>
      </c>
      <c r="H106" t="str">
        <f t="shared" si="9"/>
        <v>01</v>
      </c>
      <c r="I106" t="str">
        <f t="shared" si="9"/>
        <v>016</v>
      </c>
      <c r="J106" t="str">
        <f t="shared" si="9"/>
        <v>01610</v>
      </c>
      <c r="K106" t="str">
        <f t="shared" si="6"/>
        <v>0161001</v>
      </c>
      <c r="L106">
        <v>1</v>
      </c>
    </row>
    <row r="107" spans="3:12" x14ac:dyDescent="0.25">
      <c r="C107" t="s">
        <v>1864</v>
      </c>
      <c r="D107" t="s">
        <v>1864</v>
      </c>
      <c r="E107" t="s">
        <v>1969</v>
      </c>
      <c r="F107" t="s">
        <v>101</v>
      </c>
      <c r="G107" t="str">
        <f t="shared" si="9"/>
        <v>A</v>
      </c>
      <c r="H107" t="str">
        <f t="shared" si="9"/>
        <v>01</v>
      </c>
      <c r="I107" t="str">
        <f t="shared" si="9"/>
        <v>016</v>
      </c>
      <c r="J107" t="str">
        <f t="shared" si="9"/>
        <v>01610</v>
      </c>
      <c r="K107" t="str">
        <f t="shared" si="6"/>
        <v>0161002</v>
      </c>
      <c r="L107">
        <v>1</v>
      </c>
    </row>
    <row r="108" spans="3:12" x14ac:dyDescent="0.25">
      <c r="C108" t="s">
        <v>1864</v>
      </c>
      <c r="D108" t="s">
        <v>1864</v>
      </c>
      <c r="E108" t="s">
        <v>1970</v>
      </c>
      <c r="F108" t="s">
        <v>102</v>
      </c>
      <c r="G108" t="str">
        <f t="shared" si="9"/>
        <v>A</v>
      </c>
      <c r="H108" t="str">
        <f t="shared" si="9"/>
        <v>01</v>
      </c>
      <c r="I108" t="str">
        <f t="shared" si="9"/>
        <v>016</v>
      </c>
      <c r="J108" t="str">
        <f t="shared" si="9"/>
        <v>01610</v>
      </c>
      <c r="K108" t="str">
        <f t="shared" si="6"/>
        <v>0161003</v>
      </c>
      <c r="L108">
        <v>1</v>
      </c>
    </row>
    <row r="109" spans="3:12" x14ac:dyDescent="0.25">
      <c r="C109" t="s">
        <v>1864</v>
      </c>
      <c r="D109" t="s">
        <v>1864</v>
      </c>
      <c r="E109" t="s">
        <v>1971</v>
      </c>
      <c r="F109" t="s">
        <v>103</v>
      </c>
      <c r="G109" t="str">
        <f t="shared" si="9"/>
        <v>A</v>
      </c>
      <c r="H109" t="str">
        <f t="shared" si="9"/>
        <v>01</v>
      </c>
      <c r="I109" t="str">
        <f t="shared" si="9"/>
        <v>016</v>
      </c>
      <c r="J109" t="str">
        <f t="shared" si="9"/>
        <v>01610</v>
      </c>
      <c r="K109" t="str">
        <f t="shared" si="6"/>
        <v>0161099</v>
      </c>
      <c r="L109">
        <v>1</v>
      </c>
    </row>
    <row r="110" spans="3:12" x14ac:dyDescent="0.25">
      <c r="C110" t="s">
        <v>1864</v>
      </c>
      <c r="D110" t="s">
        <v>1972</v>
      </c>
      <c r="E110" t="s">
        <v>1864</v>
      </c>
      <c r="F110" t="s">
        <v>104</v>
      </c>
      <c r="G110" t="str">
        <f t="shared" si="9"/>
        <v>A</v>
      </c>
      <c r="H110" t="str">
        <f t="shared" si="9"/>
        <v>01</v>
      </c>
      <c r="I110" t="str">
        <f t="shared" si="9"/>
        <v>016</v>
      </c>
      <c r="J110" t="str">
        <f t="shared" si="9"/>
        <v>01628</v>
      </c>
      <c r="K110" t="str">
        <f t="shared" si="6"/>
        <v/>
      </c>
    </row>
    <row r="111" spans="3:12" x14ac:dyDescent="0.25">
      <c r="C111" t="s">
        <v>1864</v>
      </c>
      <c r="D111" t="s">
        <v>1864</v>
      </c>
      <c r="E111" t="s">
        <v>1973</v>
      </c>
      <c r="F111" t="s">
        <v>105</v>
      </c>
      <c r="G111" t="str">
        <f t="shared" si="9"/>
        <v>A</v>
      </c>
      <c r="H111" t="str">
        <f t="shared" si="9"/>
        <v>01</v>
      </c>
      <c r="I111" t="str">
        <f t="shared" si="9"/>
        <v>016</v>
      </c>
      <c r="J111" t="str">
        <f t="shared" si="9"/>
        <v>01628</v>
      </c>
      <c r="K111" t="str">
        <f t="shared" si="6"/>
        <v>0162801</v>
      </c>
      <c r="L111">
        <v>1</v>
      </c>
    </row>
    <row r="112" spans="3:12" x14ac:dyDescent="0.25">
      <c r="C112" t="s">
        <v>1864</v>
      </c>
      <c r="D112" t="s">
        <v>1864</v>
      </c>
      <c r="E112" t="s">
        <v>1974</v>
      </c>
      <c r="F112" t="s">
        <v>106</v>
      </c>
      <c r="G112" t="str">
        <f t="shared" si="9"/>
        <v>A</v>
      </c>
      <c r="H112" t="str">
        <f t="shared" si="9"/>
        <v>01</v>
      </c>
      <c r="I112" t="str">
        <f t="shared" si="9"/>
        <v>016</v>
      </c>
      <c r="J112" t="str">
        <f t="shared" si="9"/>
        <v>01628</v>
      </c>
      <c r="K112" t="str">
        <f t="shared" si="6"/>
        <v>0162802</v>
      </c>
      <c r="L112">
        <v>1</v>
      </c>
    </row>
    <row r="113" spans="2:13" x14ac:dyDescent="0.25">
      <c r="C113" t="s">
        <v>1864</v>
      </c>
      <c r="D113" t="s">
        <v>1864</v>
      </c>
      <c r="E113" t="s">
        <v>1975</v>
      </c>
      <c r="F113" t="s">
        <v>107</v>
      </c>
      <c r="G113" t="str">
        <f t="shared" si="9"/>
        <v>A</v>
      </c>
      <c r="H113" t="str">
        <f t="shared" si="9"/>
        <v>01</v>
      </c>
      <c r="I113" t="str">
        <f t="shared" si="9"/>
        <v>016</v>
      </c>
      <c r="J113" t="str">
        <f t="shared" si="9"/>
        <v>01628</v>
      </c>
      <c r="K113" t="str">
        <f t="shared" si="6"/>
        <v>0162803</v>
      </c>
      <c r="L113">
        <v>1</v>
      </c>
    </row>
    <row r="114" spans="2:13" x14ac:dyDescent="0.25">
      <c r="C114" t="s">
        <v>1864</v>
      </c>
      <c r="D114" t="s">
        <v>1864</v>
      </c>
      <c r="E114" t="s">
        <v>1976</v>
      </c>
      <c r="F114" t="s">
        <v>108</v>
      </c>
      <c r="G114" t="str">
        <f t="shared" si="9"/>
        <v>A</v>
      </c>
      <c r="H114" t="str">
        <f t="shared" si="9"/>
        <v>01</v>
      </c>
      <c r="I114" t="str">
        <f t="shared" si="9"/>
        <v>016</v>
      </c>
      <c r="J114" t="str">
        <f t="shared" si="9"/>
        <v>01628</v>
      </c>
      <c r="K114" t="str">
        <f t="shared" si="6"/>
        <v>0162899</v>
      </c>
      <c r="L114">
        <v>1</v>
      </c>
    </row>
    <row r="115" spans="2:13" x14ac:dyDescent="0.25">
      <c r="C115" t="s">
        <v>1864</v>
      </c>
      <c r="D115" t="s">
        <v>1977</v>
      </c>
      <c r="E115" t="s">
        <v>1864</v>
      </c>
      <c r="F115" t="s">
        <v>109</v>
      </c>
      <c r="G115" t="str">
        <f t="shared" si="9"/>
        <v>A</v>
      </c>
      <c r="H115" t="str">
        <f t="shared" si="9"/>
        <v>01</v>
      </c>
      <c r="I115" t="str">
        <f t="shared" si="9"/>
        <v>016</v>
      </c>
      <c r="J115" t="str">
        <f t="shared" si="9"/>
        <v>01636</v>
      </c>
      <c r="K115" t="str">
        <f t="shared" si="6"/>
        <v/>
      </c>
    </row>
    <row r="116" spans="2:13" x14ac:dyDescent="0.25">
      <c r="C116" t="s">
        <v>1864</v>
      </c>
      <c r="D116" t="s">
        <v>1864</v>
      </c>
      <c r="E116" t="s">
        <v>1978</v>
      </c>
      <c r="F116" t="s">
        <v>109</v>
      </c>
      <c r="G116" t="str">
        <f t="shared" si="9"/>
        <v>A</v>
      </c>
      <c r="H116" t="str">
        <f t="shared" si="9"/>
        <v>01</v>
      </c>
      <c r="I116" t="str">
        <f t="shared" si="9"/>
        <v>016</v>
      </c>
      <c r="J116" t="str">
        <f t="shared" si="9"/>
        <v>01636</v>
      </c>
      <c r="K116" t="str">
        <f t="shared" si="6"/>
        <v>0163600</v>
      </c>
      <c r="L116">
        <v>1</v>
      </c>
    </row>
    <row r="117" spans="2:13" x14ac:dyDescent="0.25">
      <c r="C117" t="s">
        <v>1979</v>
      </c>
      <c r="D117" t="s">
        <v>1864</v>
      </c>
      <c r="E117" t="s">
        <v>1864</v>
      </c>
      <c r="F117" t="s">
        <v>110</v>
      </c>
      <c r="G117" t="str">
        <f t="shared" si="9"/>
        <v>A</v>
      </c>
      <c r="H117" t="str">
        <f t="shared" si="9"/>
        <v>01</v>
      </c>
      <c r="I117" t="str">
        <f t="shared" si="9"/>
        <v>017</v>
      </c>
      <c r="J117" t="str">
        <f t="shared" si="9"/>
        <v>01636</v>
      </c>
      <c r="K117" t="str">
        <f t="shared" si="6"/>
        <v/>
      </c>
    </row>
    <row r="118" spans="2:13" x14ac:dyDescent="0.25">
      <c r="C118" t="s">
        <v>1864</v>
      </c>
      <c r="D118" t="s">
        <v>1980</v>
      </c>
      <c r="E118" t="s">
        <v>1864</v>
      </c>
      <c r="F118" t="s">
        <v>110</v>
      </c>
      <c r="G118" t="str">
        <f t="shared" si="9"/>
        <v>A</v>
      </c>
      <c r="H118" t="str">
        <f t="shared" si="9"/>
        <v>01</v>
      </c>
      <c r="I118" t="str">
        <f t="shared" si="9"/>
        <v>017</v>
      </c>
      <c r="J118" t="str">
        <f t="shared" si="9"/>
        <v>01709</v>
      </c>
      <c r="K118" t="str">
        <f t="shared" si="6"/>
        <v/>
      </c>
    </row>
    <row r="119" spans="2:13" x14ac:dyDescent="0.25">
      <c r="C119" t="s">
        <v>1864</v>
      </c>
      <c r="D119" t="s">
        <v>1864</v>
      </c>
      <c r="E119" t="s">
        <v>1981</v>
      </c>
      <c r="F119" t="s">
        <v>110</v>
      </c>
      <c r="G119" t="str">
        <f t="shared" si="9"/>
        <v>A</v>
      </c>
      <c r="H119" t="str">
        <f t="shared" si="9"/>
        <v>01</v>
      </c>
      <c r="I119" t="str">
        <f t="shared" si="9"/>
        <v>017</v>
      </c>
      <c r="J119" t="str">
        <f t="shared" si="9"/>
        <v>01709</v>
      </c>
      <c r="K119" t="str">
        <f t="shared" si="6"/>
        <v>0170900</v>
      </c>
      <c r="L119">
        <v>0</v>
      </c>
    </row>
    <row r="120" spans="2:13" x14ac:dyDescent="0.25">
      <c r="B120" t="s">
        <v>1982</v>
      </c>
      <c r="C120" t="s">
        <v>1864</v>
      </c>
      <c r="D120" t="s">
        <v>1864</v>
      </c>
      <c r="E120" t="s">
        <v>1864</v>
      </c>
      <c r="F120" t="s">
        <v>111</v>
      </c>
      <c r="G120" t="str">
        <f t="shared" si="9"/>
        <v>A</v>
      </c>
      <c r="H120" t="str">
        <f t="shared" si="9"/>
        <v>02</v>
      </c>
      <c r="I120" t="str">
        <f t="shared" si="9"/>
        <v>017</v>
      </c>
      <c r="J120" t="str">
        <f t="shared" si="9"/>
        <v>01709</v>
      </c>
      <c r="K120" t="str">
        <f t="shared" si="6"/>
        <v/>
      </c>
    </row>
    <row r="121" spans="2:13" x14ac:dyDescent="0.25">
      <c r="C121" t="s">
        <v>1983</v>
      </c>
      <c r="D121" t="s">
        <v>1864</v>
      </c>
      <c r="E121" t="s">
        <v>1864</v>
      </c>
      <c r="F121" t="s">
        <v>112</v>
      </c>
      <c r="G121" t="str">
        <f t="shared" ref="G121:J136" si="10">IF(A121="",G120,A121)</f>
        <v>A</v>
      </c>
      <c r="H121" t="str">
        <f t="shared" si="10"/>
        <v>02</v>
      </c>
      <c r="I121" t="str">
        <f t="shared" si="10"/>
        <v>021</v>
      </c>
      <c r="J121" t="str">
        <f t="shared" si="10"/>
        <v>01709</v>
      </c>
      <c r="K121" t="str">
        <f t="shared" si="6"/>
        <v/>
      </c>
    </row>
    <row r="122" spans="2:13" x14ac:dyDescent="0.25">
      <c r="C122" t="s">
        <v>1864</v>
      </c>
      <c r="D122" t="s">
        <v>1984</v>
      </c>
      <c r="E122" t="s">
        <v>1864</v>
      </c>
      <c r="F122" t="s">
        <v>112</v>
      </c>
      <c r="G122" t="str">
        <f t="shared" si="10"/>
        <v>A</v>
      </c>
      <c r="H122" t="str">
        <f t="shared" si="10"/>
        <v>02</v>
      </c>
      <c r="I122" t="str">
        <f t="shared" si="10"/>
        <v>021</v>
      </c>
      <c r="J122" t="str">
        <f t="shared" si="10"/>
        <v>02101</v>
      </c>
      <c r="K122" t="str">
        <f t="shared" si="6"/>
        <v/>
      </c>
    </row>
    <row r="123" spans="2:13" x14ac:dyDescent="0.25">
      <c r="C123" t="s">
        <v>1864</v>
      </c>
      <c r="D123" t="s">
        <v>1864</v>
      </c>
      <c r="E123" t="s">
        <v>1985</v>
      </c>
      <c r="F123" t="s">
        <v>113</v>
      </c>
      <c r="G123" t="str">
        <f t="shared" si="10"/>
        <v>A</v>
      </c>
      <c r="H123" t="str">
        <f t="shared" si="10"/>
        <v>02</v>
      </c>
      <c r="I123" t="str">
        <f t="shared" si="10"/>
        <v>021</v>
      </c>
      <c r="J123" t="str">
        <f t="shared" si="10"/>
        <v>02101</v>
      </c>
      <c r="K123" t="str">
        <f t="shared" si="6"/>
        <v>0210101</v>
      </c>
      <c r="L123">
        <v>0</v>
      </c>
      <c r="M123">
        <v>1</v>
      </c>
    </row>
    <row r="124" spans="2:13" x14ac:dyDescent="0.25">
      <c r="C124" t="s">
        <v>1864</v>
      </c>
      <c r="D124" t="s">
        <v>1864</v>
      </c>
      <c r="E124" t="s">
        <v>1986</v>
      </c>
      <c r="F124" t="s">
        <v>114</v>
      </c>
      <c r="G124" t="str">
        <f t="shared" si="10"/>
        <v>A</v>
      </c>
      <c r="H124" t="str">
        <f t="shared" si="10"/>
        <v>02</v>
      </c>
      <c r="I124" t="str">
        <f t="shared" si="10"/>
        <v>021</v>
      </c>
      <c r="J124" t="str">
        <f t="shared" si="10"/>
        <v>02101</v>
      </c>
      <c r="K124" t="str">
        <f t="shared" si="6"/>
        <v>0210102</v>
      </c>
      <c r="L124">
        <v>0</v>
      </c>
      <c r="M124">
        <v>1</v>
      </c>
    </row>
    <row r="125" spans="2:13" x14ac:dyDescent="0.25">
      <c r="C125" t="s">
        <v>1864</v>
      </c>
      <c r="D125" t="s">
        <v>1864</v>
      </c>
      <c r="E125" t="s">
        <v>1987</v>
      </c>
      <c r="F125" t="s">
        <v>115</v>
      </c>
      <c r="G125" t="str">
        <f t="shared" si="10"/>
        <v>A</v>
      </c>
      <c r="H125" t="str">
        <f t="shared" si="10"/>
        <v>02</v>
      </c>
      <c r="I125" t="str">
        <f t="shared" si="10"/>
        <v>021</v>
      </c>
      <c r="J125" t="str">
        <f t="shared" si="10"/>
        <v>02101</v>
      </c>
      <c r="K125" t="str">
        <f t="shared" si="6"/>
        <v>0210103</v>
      </c>
      <c r="L125">
        <v>0</v>
      </c>
      <c r="M125">
        <v>1</v>
      </c>
    </row>
    <row r="126" spans="2:13" x14ac:dyDescent="0.25">
      <c r="C126" t="s">
        <v>1864</v>
      </c>
      <c r="D126" t="s">
        <v>1864</v>
      </c>
      <c r="E126" t="s">
        <v>1988</v>
      </c>
      <c r="F126" t="s">
        <v>116</v>
      </c>
      <c r="G126" t="str">
        <f t="shared" si="10"/>
        <v>A</v>
      </c>
      <c r="H126" t="str">
        <f t="shared" si="10"/>
        <v>02</v>
      </c>
      <c r="I126" t="str">
        <f t="shared" si="10"/>
        <v>021</v>
      </c>
      <c r="J126" t="str">
        <f t="shared" si="10"/>
        <v>02101</v>
      </c>
      <c r="K126" t="str">
        <f t="shared" si="6"/>
        <v>0210104</v>
      </c>
      <c r="L126">
        <v>0</v>
      </c>
      <c r="M126">
        <v>1</v>
      </c>
    </row>
    <row r="127" spans="2:13" x14ac:dyDescent="0.25">
      <c r="C127" t="s">
        <v>1864</v>
      </c>
      <c r="D127" t="s">
        <v>1864</v>
      </c>
      <c r="E127" t="s">
        <v>1989</v>
      </c>
      <c r="F127" t="s">
        <v>117</v>
      </c>
      <c r="G127" t="str">
        <f t="shared" si="10"/>
        <v>A</v>
      </c>
      <c r="H127" t="str">
        <f t="shared" si="10"/>
        <v>02</v>
      </c>
      <c r="I127" t="str">
        <f t="shared" si="10"/>
        <v>021</v>
      </c>
      <c r="J127" t="str">
        <f t="shared" si="10"/>
        <v>02101</v>
      </c>
      <c r="K127" t="str">
        <f t="shared" si="6"/>
        <v>0210105</v>
      </c>
      <c r="L127">
        <v>0</v>
      </c>
      <c r="M127">
        <v>1</v>
      </c>
    </row>
    <row r="128" spans="2:13" x14ac:dyDescent="0.25">
      <c r="C128" t="s">
        <v>1864</v>
      </c>
      <c r="D128" t="s">
        <v>1864</v>
      </c>
      <c r="E128" t="s">
        <v>1990</v>
      </c>
      <c r="F128" t="s">
        <v>118</v>
      </c>
      <c r="G128" t="str">
        <f t="shared" si="10"/>
        <v>A</v>
      </c>
      <c r="H128" t="str">
        <f t="shared" si="10"/>
        <v>02</v>
      </c>
      <c r="I128" t="str">
        <f t="shared" si="10"/>
        <v>021</v>
      </c>
      <c r="J128" t="str">
        <f t="shared" si="10"/>
        <v>02101</v>
      </c>
      <c r="K128" t="str">
        <f t="shared" si="6"/>
        <v>0210106</v>
      </c>
      <c r="L128">
        <v>0</v>
      </c>
      <c r="M128">
        <v>1</v>
      </c>
    </row>
    <row r="129" spans="3:13" x14ac:dyDescent="0.25">
      <c r="C129" t="s">
        <v>1864</v>
      </c>
      <c r="D129" t="s">
        <v>1864</v>
      </c>
      <c r="E129" t="s">
        <v>1991</v>
      </c>
      <c r="F129" t="s">
        <v>119</v>
      </c>
      <c r="G129" t="str">
        <f t="shared" si="10"/>
        <v>A</v>
      </c>
      <c r="H129" t="str">
        <f t="shared" si="10"/>
        <v>02</v>
      </c>
      <c r="I129" t="str">
        <f t="shared" si="10"/>
        <v>021</v>
      </c>
      <c r="J129" t="str">
        <f t="shared" si="10"/>
        <v>02101</v>
      </c>
      <c r="K129" t="str">
        <f t="shared" si="6"/>
        <v>0210107</v>
      </c>
      <c r="L129">
        <v>0</v>
      </c>
      <c r="M129">
        <v>1</v>
      </c>
    </row>
    <row r="130" spans="3:13" x14ac:dyDescent="0.25">
      <c r="C130" t="s">
        <v>1864</v>
      </c>
      <c r="D130" t="s">
        <v>1864</v>
      </c>
      <c r="E130" t="s">
        <v>1992</v>
      </c>
      <c r="F130" t="s">
        <v>120</v>
      </c>
      <c r="G130" t="str">
        <f t="shared" si="10"/>
        <v>A</v>
      </c>
      <c r="H130" t="str">
        <f t="shared" si="10"/>
        <v>02</v>
      </c>
      <c r="I130" t="str">
        <f t="shared" si="10"/>
        <v>021</v>
      </c>
      <c r="J130" t="str">
        <f t="shared" si="10"/>
        <v>02101</v>
      </c>
      <c r="K130" t="str">
        <f t="shared" si="6"/>
        <v>0210108</v>
      </c>
      <c r="L130">
        <v>0</v>
      </c>
      <c r="M130">
        <v>1</v>
      </c>
    </row>
    <row r="131" spans="3:13" x14ac:dyDescent="0.25">
      <c r="C131" t="s">
        <v>1864</v>
      </c>
      <c r="D131" t="s">
        <v>1864</v>
      </c>
      <c r="E131" t="s">
        <v>1993</v>
      </c>
      <c r="F131" t="s">
        <v>121</v>
      </c>
      <c r="G131" t="str">
        <f t="shared" si="10"/>
        <v>A</v>
      </c>
      <c r="H131" t="str">
        <f t="shared" si="10"/>
        <v>02</v>
      </c>
      <c r="I131" t="str">
        <f t="shared" si="10"/>
        <v>021</v>
      </c>
      <c r="J131" t="str">
        <f t="shared" si="10"/>
        <v>02101</v>
      </c>
      <c r="K131" t="str">
        <f t="shared" si="6"/>
        <v>0210109</v>
      </c>
      <c r="L131">
        <v>0</v>
      </c>
      <c r="M131">
        <v>1</v>
      </c>
    </row>
    <row r="132" spans="3:13" x14ac:dyDescent="0.25">
      <c r="C132" t="s">
        <v>1864</v>
      </c>
      <c r="D132" t="s">
        <v>1864</v>
      </c>
      <c r="E132" t="s">
        <v>1994</v>
      </c>
      <c r="F132" t="s">
        <v>122</v>
      </c>
      <c r="G132" t="str">
        <f t="shared" si="10"/>
        <v>A</v>
      </c>
      <c r="H132" t="str">
        <f t="shared" si="10"/>
        <v>02</v>
      </c>
      <c r="I132" t="str">
        <f t="shared" si="10"/>
        <v>021</v>
      </c>
      <c r="J132" t="str">
        <f t="shared" si="10"/>
        <v>02101</v>
      </c>
      <c r="K132" t="str">
        <f t="shared" si="6"/>
        <v>0210199</v>
      </c>
      <c r="L132">
        <v>0</v>
      </c>
      <c r="M132">
        <v>1</v>
      </c>
    </row>
    <row r="133" spans="3:13" x14ac:dyDescent="0.25">
      <c r="C133" t="s">
        <v>1995</v>
      </c>
      <c r="D133" t="s">
        <v>1864</v>
      </c>
      <c r="E133" t="s">
        <v>1864</v>
      </c>
      <c r="F133" t="s">
        <v>123</v>
      </c>
      <c r="G133" t="str">
        <f t="shared" si="10"/>
        <v>A</v>
      </c>
      <c r="H133" t="str">
        <f t="shared" si="10"/>
        <v>02</v>
      </c>
      <c r="I133" t="str">
        <f t="shared" si="10"/>
        <v>022</v>
      </c>
      <c r="J133" t="str">
        <f t="shared" si="10"/>
        <v>02101</v>
      </c>
      <c r="K133" t="str">
        <f t="shared" si="6"/>
        <v/>
      </c>
    </row>
    <row r="134" spans="3:13" x14ac:dyDescent="0.25">
      <c r="C134" t="s">
        <v>1864</v>
      </c>
      <c r="D134" t="s">
        <v>1996</v>
      </c>
      <c r="E134" t="s">
        <v>1864</v>
      </c>
      <c r="F134" t="s">
        <v>123</v>
      </c>
      <c r="G134" t="str">
        <f t="shared" si="10"/>
        <v>A</v>
      </c>
      <c r="H134" t="str">
        <f t="shared" si="10"/>
        <v>02</v>
      </c>
      <c r="I134" t="str">
        <f t="shared" si="10"/>
        <v>022</v>
      </c>
      <c r="J134" t="str">
        <f t="shared" si="10"/>
        <v>02209</v>
      </c>
      <c r="K134" t="str">
        <f t="shared" si="6"/>
        <v/>
      </c>
    </row>
    <row r="135" spans="3:13" x14ac:dyDescent="0.25">
      <c r="C135" t="s">
        <v>1864</v>
      </c>
      <c r="D135" t="s">
        <v>1864</v>
      </c>
      <c r="E135" t="s">
        <v>1997</v>
      </c>
      <c r="F135" t="s">
        <v>124</v>
      </c>
      <c r="G135" t="str">
        <f t="shared" si="10"/>
        <v>A</v>
      </c>
      <c r="H135" t="str">
        <f t="shared" si="10"/>
        <v>02</v>
      </c>
      <c r="I135" t="str">
        <f t="shared" si="10"/>
        <v>022</v>
      </c>
      <c r="J135" t="str">
        <f t="shared" si="10"/>
        <v>02209</v>
      </c>
      <c r="K135" t="str">
        <f t="shared" si="6"/>
        <v>0220901</v>
      </c>
      <c r="L135">
        <v>0</v>
      </c>
    </row>
    <row r="136" spans="3:13" x14ac:dyDescent="0.25">
      <c r="C136" t="s">
        <v>1864</v>
      </c>
      <c r="D136" t="s">
        <v>1864</v>
      </c>
      <c r="E136" t="s">
        <v>1998</v>
      </c>
      <c r="F136" t="s">
        <v>125</v>
      </c>
      <c r="G136" t="str">
        <f t="shared" si="10"/>
        <v>A</v>
      </c>
      <c r="H136" t="str">
        <f t="shared" si="10"/>
        <v>02</v>
      </c>
      <c r="I136" t="str">
        <f t="shared" si="10"/>
        <v>022</v>
      </c>
      <c r="J136" t="str">
        <f t="shared" si="10"/>
        <v>02209</v>
      </c>
      <c r="K136" t="str">
        <f t="shared" ref="K136:K199" si="11">E136</f>
        <v>0220902</v>
      </c>
      <c r="L136">
        <v>0</v>
      </c>
    </row>
    <row r="137" spans="3:13" x14ac:dyDescent="0.25">
      <c r="C137" t="s">
        <v>1864</v>
      </c>
      <c r="D137" t="s">
        <v>1864</v>
      </c>
      <c r="E137" t="s">
        <v>1999</v>
      </c>
      <c r="F137" t="s">
        <v>126</v>
      </c>
      <c r="G137" t="str">
        <f t="shared" ref="G137:J152" si="12">IF(A137="",G136,A137)</f>
        <v>A</v>
      </c>
      <c r="H137" t="str">
        <f t="shared" si="12"/>
        <v>02</v>
      </c>
      <c r="I137" t="str">
        <f t="shared" si="12"/>
        <v>022</v>
      </c>
      <c r="J137" t="str">
        <f t="shared" si="12"/>
        <v>02209</v>
      </c>
      <c r="K137" t="str">
        <f t="shared" si="11"/>
        <v>0220903</v>
      </c>
      <c r="L137">
        <v>0</v>
      </c>
    </row>
    <row r="138" spans="3:13" x14ac:dyDescent="0.25">
      <c r="C138" t="s">
        <v>1864</v>
      </c>
      <c r="D138" t="s">
        <v>1864</v>
      </c>
      <c r="E138" t="s">
        <v>2000</v>
      </c>
      <c r="F138" t="s">
        <v>127</v>
      </c>
      <c r="G138" t="str">
        <f t="shared" si="12"/>
        <v>A</v>
      </c>
      <c r="H138" t="str">
        <f t="shared" si="12"/>
        <v>02</v>
      </c>
      <c r="I138" t="str">
        <f t="shared" si="12"/>
        <v>022</v>
      </c>
      <c r="J138" t="str">
        <f t="shared" si="12"/>
        <v>02209</v>
      </c>
      <c r="K138" t="str">
        <f t="shared" si="11"/>
        <v>0220904</v>
      </c>
      <c r="L138">
        <v>0</v>
      </c>
    </row>
    <row r="139" spans="3:13" x14ac:dyDescent="0.25">
      <c r="C139" t="s">
        <v>1864</v>
      </c>
      <c r="D139" t="s">
        <v>1864</v>
      </c>
      <c r="E139" t="s">
        <v>2001</v>
      </c>
      <c r="F139" t="s">
        <v>128</v>
      </c>
      <c r="G139" t="str">
        <f t="shared" si="12"/>
        <v>A</v>
      </c>
      <c r="H139" t="str">
        <f t="shared" si="12"/>
        <v>02</v>
      </c>
      <c r="I139" t="str">
        <f t="shared" si="12"/>
        <v>022</v>
      </c>
      <c r="J139" t="str">
        <f t="shared" si="12"/>
        <v>02209</v>
      </c>
      <c r="K139" t="str">
        <f t="shared" si="11"/>
        <v>0220905</v>
      </c>
      <c r="L139">
        <v>0</v>
      </c>
    </row>
    <row r="140" spans="3:13" x14ac:dyDescent="0.25">
      <c r="C140" t="s">
        <v>1864</v>
      </c>
      <c r="D140" t="s">
        <v>1864</v>
      </c>
      <c r="E140" t="s">
        <v>2002</v>
      </c>
      <c r="F140" t="s">
        <v>129</v>
      </c>
      <c r="G140" t="str">
        <f t="shared" si="12"/>
        <v>A</v>
      </c>
      <c r="H140" t="str">
        <f t="shared" si="12"/>
        <v>02</v>
      </c>
      <c r="I140" t="str">
        <f t="shared" si="12"/>
        <v>022</v>
      </c>
      <c r="J140" t="str">
        <f t="shared" si="12"/>
        <v>02209</v>
      </c>
      <c r="K140" t="str">
        <f t="shared" si="11"/>
        <v>0220906</v>
      </c>
      <c r="L140">
        <v>0</v>
      </c>
    </row>
    <row r="141" spans="3:13" x14ac:dyDescent="0.25">
      <c r="C141" t="s">
        <v>1864</v>
      </c>
      <c r="D141" t="s">
        <v>1864</v>
      </c>
      <c r="E141" t="s">
        <v>2003</v>
      </c>
      <c r="F141" t="s">
        <v>130</v>
      </c>
      <c r="G141" t="str">
        <f t="shared" si="12"/>
        <v>A</v>
      </c>
      <c r="H141" t="str">
        <f t="shared" si="12"/>
        <v>02</v>
      </c>
      <c r="I141" t="str">
        <f t="shared" si="12"/>
        <v>022</v>
      </c>
      <c r="J141" t="str">
        <f t="shared" si="12"/>
        <v>02209</v>
      </c>
      <c r="K141" t="str">
        <f t="shared" si="11"/>
        <v>0220999</v>
      </c>
      <c r="L141">
        <v>0</v>
      </c>
    </row>
    <row r="142" spans="3:13" x14ac:dyDescent="0.25">
      <c r="C142" t="s">
        <v>2004</v>
      </c>
      <c r="D142" t="s">
        <v>1864</v>
      </c>
      <c r="E142" t="s">
        <v>1864</v>
      </c>
      <c r="F142" t="s">
        <v>131</v>
      </c>
      <c r="G142" t="str">
        <f t="shared" si="12"/>
        <v>A</v>
      </c>
      <c r="H142" t="str">
        <f t="shared" si="12"/>
        <v>02</v>
      </c>
      <c r="I142" t="str">
        <f t="shared" si="12"/>
        <v>023</v>
      </c>
      <c r="J142" t="str">
        <f t="shared" si="12"/>
        <v>02209</v>
      </c>
      <c r="K142" t="str">
        <f t="shared" si="11"/>
        <v/>
      </c>
    </row>
    <row r="143" spans="3:13" x14ac:dyDescent="0.25">
      <c r="C143" t="s">
        <v>1864</v>
      </c>
      <c r="D143" t="s">
        <v>2005</v>
      </c>
      <c r="E143" t="s">
        <v>1864</v>
      </c>
      <c r="F143" t="s">
        <v>131</v>
      </c>
      <c r="G143" t="str">
        <f t="shared" si="12"/>
        <v>A</v>
      </c>
      <c r="H143" t="str">
        <f t="shared" si="12"/>
        <v>02</v>
      </c>
      <c r="I143" t="str">
        <f t="shared" si="12"/>
        <v>023</v>
      </c>
      <c r="J143" t="str">
        <f t="shared" si="12"/>
        <v>02306</v>
      </c>
      <c r="K143" t="str">
        <f t="shared" si="11"/>
        <v/>
      </c>
    </row>
    <row r="144" spans="3:13" x14ac:dyDescent="0.25">
      <c r="C144" t="s">
        <v>1864</v>
      </c>
      <c r="D144" t="s">
        <v>1864</v>
      </c>
      <c r="E144" t="s">
        <v>2006</v>
      </c>
      <c r="F144" t="s">
        <v>131</v>
      </c>
      <c r="G144" t="str">
        <f t="shared" si="12"/>
        <v>A</v>
      </c>
      <c r="H144" t="str">
        <f t="shared" si="12"/>
        <v>02</v>
      </c>
      <c r="I144" t="str">
        <f t="shared" si="12"/>
        <v>023</v>
      </c>
      <c r="J144" t="str">
        <f t="shared" si="12"/>
        <v>02306</v>
      </c>
      <c r="K144" t="str">
        <f t="shared" si="11"/>
        <v>0230600</v>
      </c>
      <c r="L144">
        <v>0</v>
      </c>
    </row>
    <row r="145" spans="2:12" x14ac:dyDescent="0.25">
      <c r="B145" t="s">
        <v>2007</v>
      </c>
      <c r="C145" t="s">
        <v>1864</v>
      </c>
      <c r="D145" t="s">
        <v>1864</v>
      </c>
      <c r="E145" t="s">
        <v>1864</v>
      </c>
      <c r="F145" t="s">
        <v>132</v>
      </c>
      <c r="G145" t="str">
        <f t="shared" si="12"/>
        <v>A</v>
      </c>
      <c r="H145" t="str">
        <f t="shared" si="12"/>
        <v>03</v>
      </c>
      <c r="I145" t="str">
        <f t="shared" si="12"/>
        <v>023</v>
      </c>
      <c r="J145" t="str">
        <f t="shared" si="12"/>
        <v>02306</v>
      </c>
      <c r="K145" t="str">
        <f t="shared" si="11"/>
        <v/>
      </c>
    </row>
    <row r="146" spans="2:12" x14ac:dyDescent="0.25">
      <c r="C146" t="s">
        <v>2008</v>
      </c>
      <c r="D146" t="s">
        <v>1864</v>
      </c>
      <c r="E146" t="s">
        <v>1864</v>
      </c>
      <c r="F146" t="s">
        <v>133</v>
      </c>
      <c r="G146" t="str">
        <f t="shared" si="12"/>
        <v>A</v>
      </c>
      <c r="H146" t="str">
        <f t="shared" si="12"/>
        <v>03</v>
      </c>
      <c r="I146" t="str">
        <f t="shared" si="12"/>
        <v>031</v>
      </c>
      <c r="J146" t="str">
        <f t="shared" si="12"/>
        <v>02306</v>
      </c>
      <c r="K146" t="str">
        <f t="shared" si="11"/>
        <v/>
      </c>
    </row>
    <row r="147" spans="2:12" x14ac:dyDescent="0.25">
      <c r="C147" t="s">
        <v>1864</v>
      </c>
      <c r="D147" t="s">
        <v>2009</v>
      </c>
      <c r="E147" t="s">
        <v>1864</v>
      </c>
      <c r="F147" t="s">
        <v>134</v>
      </c>
      <c r="G147" t="str">
        <f t="shared" si="12"/>
        <v>A</v>
      </c>
      <c r="H147" t="str">
        <f t="shared" si="12"/>
        <v>03</v>
      </c>
      <c r="I147" t="str">
        <f t="shared" si="12"/>
        <v>031</v>
      </c>
      <c r="J147" t="str">
        <f t="shared" si="12"/>
        <v>03116</v>
      </c>
      <c r="K147" t="str">
        <f t="shared" si="11"/>
        <v/>
      </c>
    </row>
    <row r="148" spans="2:12" x14ac:dyDescent="0.25">
      <c r="C148" t="s">
        <v>1864</v>
      </c>
      <c r="D148" t="s">
        <v>1864</v>
      </c>
      <c r="E148" t="s">
        <v>2010</v>
      </c>
      <c r="F148" t="s">
        <v>135</v>
      </c>
      <c r="G148" t="str">
        <f t="shared" si="12"/>
        <v>A</v>
      </c>
      <c r="H148" t="str">
        <f t="shared" si="12"/>
        <v>03</v>
      </c>
      <c r="I148" t="str">
        <f t="shared" si="12"/>
        <v>031</v>
      </c>
      <c r="J148" t="str">
        <f t="shared" si="12"/>
        <v>03116</v>
      </c>
      <c r="K148" t="str">
        <f t="shared" si="11"/>
        <v>0311601</v>
      </c>
      <c r="L148">
        <v>1</v>
      </c>
    </row>
    <row r="149" spans="2:12" x14ac:dyDescent="0.25">
      <c r="C149" t="s">
        <v>1864</v>
      </c>
      <c r="D149" t="s">
        <v>1864</v>
      </c>
      <c r="E149" t="s">
        <v>2011</v>
      </c>
      <c r="F149" t="s">
        <v>136</v>
      </c>
      <c r="G149" t="str">
        <f t="shared" si="12"/>
        <v>A</v>
      </c>
      <c r="H149" t="str">
        <f t="shared" si="12"/>
        <v>03</v>
      </c>
      <c r="I149" t="str">
        <f t="shared" si="12"/>
        <v>031</v>
      </c>
      <c r="J149" t="str">
        <f t="shared" si="12"/>
        <v>03116</v>
      </c>
      <c r="K149" t="str">
        <f t="shared" si="11"/>
        <v>0311602</v>
      </c>
      <c r="L149">
        <v>1</v>
      </c>
    </row>
    <row r="150" spans="2:12" x14ac:dyDescent="0.25">
      <c r="C150" t="s">
        <v>1864</v>
      </c>
      <c r="D150" t="s">
        <v>1864</v>
      </c>
      <c r="E150" t="s">
        <v>2012</v>
      </c>
      <c r="F150" t="s">
        <v>137</v>
      </c>
      <c r="G150" t="str">
        <f t="shared" si="12"/>
        <v>A</v>
      </c>
      <c r="H150" t="str">
        <f t="shared" si="12"/>
        <v>03</v>
      </c>
      <c r="I150" t="str">
        <f t="shared" si="12"/>
        <v>031</v>
      </c>
      <c r="J150" t="str">
        <f t="shared" si="12"/>
        <v>03116</v>
      </c>
      <c r="K150" t="str">
        <f t="shared" si="11"/>
        <v>0311603</v>
      </c>
      <c r="L150">
        <v>1</v>
      </c>
    </row>
    <row r="151" spans="2:12" x14ac:dyDescent="0.25">
      <c r="C151" t="s">
        <v>1864</v>
      </c>
      <c r="D151" t="s">
        <v>1864</v>
      </c>
      <c r="E151" t="s">
        <v>2013</v>
      </c>
      <c r="F151" t="s">
        <v>138</v>
      </c>
      <c r="G151" t="str">
        <f t="shared" si="12"/>
        <v>A</v>
      </c>
      <c r="H151" t="str">
        <f t="shared" si="12"/>
        <v>03</v>
      </c>
      <c r="I151" t="str">
        <f t="shared" si="12"/>
        <v>031</v>
      </c>
      <c r="J151" t="str">
        <f t="shared" si="12"/>
        <v>03116</v>
      </c>
      <c r="K151" t="str">
        <f t="shared" si="11"/>
        <v>0311604</v>
      </c>
      <c r="L151">
        <v>1</v>
      </c>
    </row>
    <row r="152" spans="2:12" x14ac:dyDescent="0.25">
      <c r="C152" t="s">
        <v>1864</v>
      </c>
      <c r="D152" t="s">
        <v>2014</v>
      </c>
      <c r="E152" t="s">
        <v>1864</v>
      </c>
      <c r="F152" t="s">
        <v>139</v>
      </c>
      <c r="G152" t="str">
        <f t="shared" si="12"/>
        <v>A</v>
      </c>
      <c r="H152" t="str">
        <f t="shared" si="12"/>
        <v>03</v>
      </c>
      <c r="I152" t="str">
        <f t="shared" si="12"/>
        <v>031</v>
      </c>
      <c r="J152" t="str">
        <f t="shared" si="12"/>
        <v>03124</v>
      </c>
      <c r="K152" t="str">
        <f t="shared" si="11"/>
        <v/>
      </c>
    </row>
    <row r="153" spans="2:12" x14ac:dyDescent="0.25">
      <c r="C153" t="s">
        <v>1864</v>
      </c>
      <c r="D153" t="s">
        <v>1864</v>
      </c>
      <c r="E153" t="s">
        <v>2015</v>
      </c>
      <c r="F153" t="s">
        <v>140</v>
      </c>
      <c r="G153" t="str">
        <f t="shared" ref="G153:J168" si="13">IF(A153="",G152,A153)</f>
        <v>A</v>
      </c>
      <c r="H153" t="str">
        <f t="shared" si="13"/>
        <v>03</v>
      </c>
      <c r="I153" t="str">
        <f t="shared" si="13"/>
        <v>031</v>
      </c>
      <c r="J153" t="str">
        <f t="shared" si="13"/>
        <v>03124</v>
      </c>
      <c r="K153" t="str">
        <f t="shared" si="11"/>
        <v>0312401</v>
      </c>
      <c r="L153">
        <v>1</v>
      </c>
    </row>
    <row r="154" spans="2:12" x14ac:dyDescent="0.25">
      <c r="C154" t="s">
        <v>1864</v>
      </c>
      <c r="D154" t="s">
        <v>1864</v>
      </c>
      <c r="E154" t="s">
        <v>2016</v>
      </c>
      <c r="F154" t="s">
        <v>141</v>
      </c>
      <c r="G154" t="str">
        <f t="shared" si="13"/>
        <v>A</v>
      </c>
      <c r="H154" t="str">
        <f t="shared" si="13"/>
        <v>03</v>
      </c>
      <c r="I154" t="str">
        <f t="shared" si="13"/>
        <v>031</v>
      </c>
      <c r="J154" t="str">
        <f t="shared" si="13"/>
        <v>03124</v>
      </c>
      <c r="K154" t="str">
        <f t="shared" si="11"/>
        <v>0312402</v>
      </c>
      <c r="L154">
        <v>1</v>
      </c>
    </row>
    <row r="155" spans="2:12" x14ac:dyDescent="0.25">
      <c r="C155" t="s">
        <v>1864</v>
      </c>
      <c r="D155" t="s">
        <v>1864</v>
      </c>
      <c r="E155" t="s">
        <v>2017</v>
      </c>
      <c r="F155" t="s">
        <v>142</v>
      </c>
      <c r="G155" t="str">
        <f t="shared" si="13"/>
        <v>A</v>
      </c>
      <c r="H155" t="str">
        <f t="shared" si="13"/>
        <v>03</v>
      </c>
      <c r="I155" t="str">
        <f t="shared" si="13"/>
        <v>031</v>
      </c>
      <c r="J155" t="str">
        <f t="shared" si="13"/>
        <v>03124</v>
      </c>
      <c r="K155" t="str">
        <f t="shared" si="11"/>
        <v>0312403</v>
      </c>
      <c r="L155">
        <v>1</v>
      </c>
    </row>
    <row r="156" spans="2:12" x14ac:dyDescent="0.25">
      <c r="C156" t="s">
        <v>1864</v>
      </c>
      <c r="D156" t="s">
        <v>1864</v>
      </c>
      <c r="E156" t="s">
        <v>2018</v>
      </c>
      <c r="F156" t="s">
        <v>143</v>
      </c>
      <c r="G156" t="str">
        <f t="shared" si="13"/>
        <v>A</v>
      </c>
      <c r="H156" t="str">
        <f t="shared" si="13"/>
        <v>03</v>
      </c>
      <c r="I156" t="str">
        <f t="shared" si="13"/>
        <v>031</v>
      </c>
      <c r="J156" t="str">
        <f t="shared" si="13"/>
        <v>03124</v>
      </c>
      <c r="K156" t="str">
        <f t="shared" si="11"/>
        <v>0312404</v>
      </c>
      <c r="L156">
        <v>1</v>
      </c>
    </row>
    <row r="157" spans="2:12" x14ac:dyDescent="0.25">
      <c r="C157" t="s">
        <v>2019</v>
      </c>
      <c r="D157" t="s">
        <v>1864</v>
      </c>
      <c r="E157" t="s">
        <v>1864</v>
      </c>
      <c r="F157" t="s">
        <v>144</v>
      </c>
      <c r="G157" t="str">
        <f t="shared" si="13"/>
        <v>A</v>
      </c>
      <c r="H157" t="str">
        <f t="shared" si="13"/>
        <v>03</v>
      </c>
      <c r="I157" t="str">
        <f t="shared" si="13"/>
        <v>032</v>
      </c>
      <c r="J157" t="str">
        <f t="shared" si="13"/>
        <v>03124</v>
      </c>
      <c r="K157" t="str">
        <f t="shared" si="11"/>
        <v/>
      </c>
    </row>
    <row r="158" spans="2:12" x14ac:dyDescent="0.25">
      <c r="C158" t="s">
        <v>1864</v>
      </c>
      <c r="D158" t="s">
        <v>2020</v>
      </c>
      <c r="E158" t="s">
        <v>1864</v>
      </c>
      <c r="F158" t="s">
        <v>145</v>
      </c>
      <c r="G158" t="str">
        <f t="shared" si="13"/>
        <v>A</v>
      </c>
      <c r="H158" t="str">
        <f t="shared" si="13"/>
        <v>03</v>
      </c>
      <c r="I158" t="str">
        <f t="shared" si="13"/>
        <v>032</v>
      </c>
      <c r="J158" t="str">
        <f t="shared" si="13"/>
        <v>03213</v>
      </c>
      <c r="K158" t="str">
        <f t="shared" si="11"/>
        <v/>
      </c>
    </row>
    <row r="159" spans="2:12" x14ac:dyDescent="0.25">
      <c r="C159" t="s">
        <v>1864</v>
      </c>
      <c r="D159" t="s">
        <v>1864</v>
      </c>
      <c r="E159" t="s">
        <v>2021</v>
      </c>
      <c r="F159" t="s">
        <v>146</v>
      </c>
      <c r="G159" t="str">
        <f t="shared" si="13"/>
        <v>A</v>
      </c>
      <c r="H159" t="str">
        <f t="shared" si="13"/>
        <v>03</v>
      </c>
      <c r="I159" t="str">
        <f t="shared" si="13"/>
        <v>032</v>
      </c>
      <c r="J159" t="str">
        <f t="shared" si="13"/>
        <v>03213</v>
      </c>
      <c r="K159" t="str">
        <f t="shared" si="11"/>
        <v>0321301</v>
      </c>
      <c r="L159">
        <v>1</v>
      </c>
    </row>
    <row r="160" spans="2:12" x14ac:dyDescent="0.25">
      <c r="C160" t="s">
        <v>1864</v>
      </c>
      <c r="D160" t="s">
        <v>1864</v>
      </c>
      <c r="E160" t="s">
        <v>2022</v>
      </c>
      <c r="F160" t="s">
        <v>147</v>
      </c>
      <c r="G160" t="str">
        <f t="shared" si="13"/>
        <v>A</v>
      </c>
      <c r="H160" t="str">
        <f t="shared" si="13"/>
        <v>03</v>
      </c>
      <c r="I160" t="str">
        <f t="shared" si="13"/>
        <v>032</v>
      </c>
      <c r="J160" t="str">
        <f t="shared" si="13"/>
        <v>03213</v>
      </c>
      <c r="K160" t="str">
        <f t="shared" si="11"/>
        <v>0321302</v>
      </c>
      <c r="L160">
        <v>1</v>
      </c>
    </row>
    <row r="161" spans="1:12" x14ac:dyDescent="0.25">
      <c r="C161" t="s">
        <v>1864</v>
      </c>
      <c r="D161" t="s">
        <v>1864</v>
      </c>
      <c r="E161" t="s">
        <v>2023</v>
      </c>
      <c r="F161" t="s">
        <v>148</v>
      </c>
      <c r="G161" t="str">
        <f t="shared" si="13"/>
        <v>A</v>
      </c>
      <c r="H161" t="str">
        <f t="shared" si="13"/>
        <v>03</v>
      </c>
      <c r="I161" t="str">
        <f t="shared" si="13"/>
        <v>032</v>
      </c>
      <c r="J161" t="str">
        <f t="shared" si="13"/>
        <v>03213</v>
      </c>
      <c r="K161" t="str">
        <f t="shared" si="11"/>
        <v>0321303</v>
      </c>
      <c r="L161">
        <v>1</v>
      </c>
    </row>
    <row r="162" spans="1:12" x14ac:dyDescent="0.25">
      <c r="C162" t="s">
        <v>1864</v>
      </c>
      <c r="D162" t="s">
        <v>1864</v>
      </c>
      <c r="E162" t="s">
        <v>2024</v>
      </c>
      <c r="F162" t="s">
        <v>149</v>
      </c>
      <c r="G162" t="str">
        <f t="shared" si="13"/>
        <v>A</v>
      </c>
      <c r="H162" t="str">
        <f t="shared" si="13"/>
        <v>03</v>
      </c>
      <c r="I162" t="str">
        <f t="shared" si="13"/>
        <v>032</v>
      </c>
      <c r="J162" t="str">
        <f t="shared" si="13"/>
        <v>03213</v>
      </c>
      <c r="K162" t="str">
        <f t="shared" si="11"/>
        <v>0321304</v>
      </c>
      <c r="L162">
        <v>1</v>
      </c>
    </row>
    <row r="163" spans="1:12" x14ac:dyDescent="0.25">
      <c r="C163" t="s">
        <v>1864</v>
      </c>
      <c r="D163" t="s">
        <v>1864</v>
      </c>
      <c r="E163" t="s">
        <v>2025</v>
      </c>
      <c r="F163" t="s">
        <v>150</v>
      </c>
      <c r="G163" t="str">
        <f t="shared" si="13"/>
        <v>A</v>
      </c>
      <c r="H163" t="str">
        <f t="shared" si="13"/>
        <v>03</v>
      </c>
      <c r="I163" t="str">
        <f t="shared" si="13"/>
        <v>032</v>
      </c>
      <c r="J163" t="str">
        <f t="shared" si="13"/>
        <v>03213</v>
      </c>
      <c r="K163" t="str">
        <f t="shared" si="11"/>
        <v>0321305</v>
      </c>
      <c r="L163">
        <v>1</v>
      </c>
    </row>
    <row r="164" spans="1:12" x14ac:dyDescent="0.25">
      <c r="C164" t="s">
        <v>1864</v>
      </c>
      <c r="D164" t="s">
        <v>1864</v>
      </c>
      <c r="E164" t="s">
        <v>2026</v>
      </c>
      <c r="F164" t="s">
        <v>151</v>
      </c>
      <c r="G164" t="str">
        <f t="shared" si="13"/>
        <v>A</v>
      </c>
      <c r="H164" t="str">
        <f t="shared" si="13"/>
        <v>03</v>
      </c>
      <c r="I164" t="str">
        <f t="shared" si="13"/>
        <v>032</v>
      </c>
      <c r="J164" t="str">
        <f t="shared" si="13"/>
        <v>03213</v>
      </c>
      <c r="K164" t="str">
        <f t="shared" si="11"/>
        <v>0321399</v>
      </c>
      <c r="L164">
        <v>1</v>
      </c>
    </row>
    <row r="165" spans="1:12" x14ac:dyDescent="0.25">
      <c r="C165" t="s">
        <v>1864</v>
      </c>
      <c r="D165" t="s">
        <v>2027</v>
      </c>
      <c r="E165" t="s">
        <v>1864</v>
      </c>
      <c r="F165" t="s">
        <v>152</v>
      </c>
      <c r="G165" t="str">
        <f t="shared" si="13"/>
        <v>A</v>
      </c>
      <c r="H165" t="str">
        <f t="shared" si="13"/>
        <v>03</v>
      </c>
      <c r="I165" t="str">
        <f t="shared" si="13"/>
        <v>032</v>
      </c>
      <c r="J165" t="str">
        <f t="shared" si="13"/>
        <v>03221</v>
      </c>
      <c r="K165" t="str">
        <f t="shared" si="11"/>
        <v/>
      </c>
    </row>
    <row r="166" spans="1:12" x14ac:dyDescent="0.25">
      <c r="C166" t="s">
        <v>1864</v>
      </c>
      <c r="D166" t="s">
        <v>1864</v>
      </c>
      <c r="E166" t="s">
        <v>2028</v>
      </c>
      <c r="F166" t="s">
        <v>153</v>
      </c>
      <c r="G166" t="str">
        <f t="shared" si="13"/>
        <v>A</v>
      </c>
      <c r="H166" t="str">
        <f t="shared" si="13"/>
        <v>03</v>
      </c>
      <c r="I166" t="str">
        <f t="shared" si="13"/>
        <v>032</v>
      </c>
      <c r="J166" t="str">
        <f t="shared" si="13"/>
        <v>03221</v>
      </c>
      <c r="K166" t="str">
        <f t="shared" si="11"/>
        <v>0322101</v>
      </c>
      <c r="L166">
        <v>1</v>
      </c>
    </row>
    <row r="167" spans="1:12" x14ac:dyDescent="0.25">
      <c r="C167" t="s">
        <v>1864</v>
      </c>
      <c r="D167" t="s">
        <v>1864</v>
      </c>
      <c r="E167" t="s">
        <v>2029</v>
      </c>
      <c r="F167" t="s">
        <v>154</v>
      </c>
      <c r="G167" t="str">
        <f t="shared" si="13"/>
        <v>A</v>
      </c>
      <c r="H167" t="str">
        <f t="shared" si="13"/>
        <v>03</v>
      </c>
      <c r="I167" t="str">
        <f t="shared" si="13"/>
        <v>032</v>
      </c>
      <c r="J167" t="str">
        <f t="shared" si="13"/>
        <v>03221</v>
      </c>
      <c r="K167" t="str">
        <f t="shared" si="11"/>
        <v>0322102</v>
      </c>
      <c r="L167">
        <v>1</v>
      </c>
    </row>
    <row r="168" spans="1:12" x14ac:dyDescent="0.25">
      <c r="C168" t="s">
        <v>1864</v>
      </c>
      <c r="D168" t="s">
        <v>1864</v>
      </c>
      <c r="E168" t="s">
        <v>2030</v>
      </c>
      <c r="F168" t="s">
        <v>155</v>
      </c>
      <c r="G168" t="str">
        <f t="shared" si="13"/>
        <v>A</v>
      </c>
      <c r="H168" t="str">
        <f t="shared" si="13"/>
        <v>03</v>
      </c>
      <c r="I168" t="str">
        <f t="shared" si="13"/>
        <v>032</v>
      </c>
      <c r="J168" t="str">
        <f t="shared" si="13"/>
        <v>03221</v>
      </c>
      <c r="K168" t="str">
        <f t="shared" si="11"/>
        <v>0322103</v>
      </c>
      <c r="L168">
        <v>1</v>
      </c>
    </row>
    <row r="169" spans="1:12" x14ac:dyDescent="0.25">
      <c r="C169" t="s">
        <v>1864</v>
      </c>
      <c r="D169" t="s">
        <v>1864</v>
      </c>
      <c r="E169" t="s">
        <v>2031</v>
      </c>
      <c r="F169" t="s">
        <v>156</v>
      </c>
      <c r="G169" t="str">
        <f t="shared" ref="G169:J184" si="14">IF(A169="",G168,A169)</f>
        <v>A</v>
      </c>
      <c r="H169" t="str">
        <f t="shared" si="14"/>
        <v>03</v>
      </c>
      <c r="I169" t="str">
        <f t="shared" si="14"/>
        <v>032</v>
      </c>
      <c r="J169" t="str">
        <f t="shared" si="14"/>
        <v>03221</v>
      </c>
      <c r="K169" t="str">
        <f t="shared" si="11"/>
        <v>0322104</v>
      </c>
      <c r="L169">
        <v>1</v>
      </c>
    </row>
    <row r="170" spans="1:12" x14ac:dyDescent="0.25">
      <c r="C170" t="s">
        <v>1864</v>
      </c>
      <c r="D170" t="s">
        <v>1864</v>
      </c>
      <c r="E170" t="s">
        <v>2032</v>
      </c>
      <c r="F170" t="s">
        <v>157</v>
      </c>
      <c r="G170" t="str">
        <f t="shared" si="14"/>
        <v>A</v>
      </c>
      <c r="H170" t="str">
        <f t="shared" si="14"/>
        <v>03</v>
      </c>
      <c r="I170" t="str">
        <f t="shared" si="14"/>
        <v>032</v>
      </c>
      <c r="J170" t="str">
        <f t="shared" si="14"/>
        <v>03221</v>
      </c>
      <c r="K170" t="str">
        <f t="shared" si="11"/>
        <v>0322105</v>
      </c>
      <c r="L170">
        <v>1</v>
      </c>
    </row>
    <row r="171" spans="1:12" x14ac:dyDescent="0.25">
      <c r="C171" t="s">
        <v>1864</v>
      </c>
      <c r="D171" t="s">
        <v>1864</v>
      </c>
      <c r="E171" t="s">
        <v>2033</v>
      </c>
      <c r="F171" t="s">
        <v>158</v>
      </c>
      <c r="G171" t="str">
        <f t="shared" si="14"/>
        <v>A</v>
      </c>
      <c r="H171" t="str">
        <f t="shared" si="14"/>
        <v>03</v>
      </c>
      <c r="I171" t="str">
        <f t="shared" si="14"/>
        <v>032</v>
      </c>
      <c r="J171" t="str">
        <f t="shared" si="14"/>
        <v>03221</v>
      </c>
      <c r="K171" t="str">
        <f t="shared" si="11"/>
        <v>0322106</v>
      </c>
      <c r="L171">
        <v>1</v>
      </c>
    </row>
    <row r="172" spans="1:12" x14ac:dyDescent="0.25">
      <c r="C172" t="s">
        <v>1864</v>
      </c>
      <c r="D172" t="s">
        <v>1864</v>
      </c>
      <c r="E172" t="s">
        <v>2034</v>
      </c>
      <c r="F172" t="s">
        <v>159</v>
      </c>
      <c r="G172" t="str">
        <f t="shared" si="14"/>
        <v>A</v>
      </c>
      <c r="H172" t="str">
        <f t="shared" si="14"/>
        <v>03</v>
      </c>
      <c r="I172" t="str">
        <f t="shared" si="14"/>
        <v>032</v>
      </c>
      <c r="J172" t="str">
        <f t="shared" si="14"/>
        <v>03221</v>
      </c>
      <c r="K172" t="str">
        <f t="shared" si="11"/>
        <v>0322107</v>
      </c>
      <c r="L172">
        <v>1</v>
      </c>
    </row>
    <row r="173" spans="1:12" x14ac:dyDescent="0.25">
      <c r="C173" t="s">
        <v>1864</v>
      </c>
      <c r="D173" t="s">
        <v>1864</v>
      </c>
      <c r="E173" t="s">
        <v>2035</v>
      </c>
      <c r="F173" t="s">
        <v>160</v>
      </c>
      <c r="G173" t="str">
        <f t="shared" si="14"/>
        <v>A</v>
      </c>
      <c r="H173" t="str">
        <f t="shared" si="14"/>
        <v>03</v>
      </c>
      <c r="I173" t="str">
        <f t="shared" si="14"/>
        <v>032</v>
      </c>
      <c r="J173" t="str">
        <f t="shared" si="14"/>
        <v>03221</v>
      </c>
      <c r="K173" t="str">
        <f t="shared" si="11"/>
        <v>0322199</v>
      </c>
      <c r="L173">
        <v>1</v>
      </c>
    </row>
    <row r="174" spans="1:12" x14ac:dyDescent="0.25">
      <c r="A174" t="s">
        <v>2036</v>
      </c>
      <c r="C174" t="s">
        <v>1864</v>
      </c>
      <c r="D174" t="s">
        <v>1864</v>
      </c>
      <c r="E174" t="s">
        <v>1864</v>
      </c>
      <c r="F174" t="s">
        <v>161</v>
      </c>
      <c r="G174" t="str">
        <f t="shared" si="14"/>
        <v>B</v>
      </c>
      <c r="H174" t="str">
        <f t="shared" si="14"/>
        <v>03</v>
      </c>
      <c r="I174" t="str">
        <f t="shared" si="14"/>
        <v>032</v>
      </c>
      <c r="J174" t="str">
        <f t="shared" si="14"/>
        <v>03221</v>
      </c>
      <c r="K174" t="str">
        <f t="shared" si="11"/>
        <v/>
      </c>
    </row>
    <row r="175" spans="1:12" x14ac:dyDescent="0.25">
      <c r="B175" t="s">
        <v>2037</v>
      </c>
      <c r="C175" t="s">
        <v>1864</v>
      </c>
      <c r="D175" t="s">
        <v>1864</v>
      </c>
      <c r="E175" t="s">
        <v>1864</v>
      </c>
      <c r="F175" t="s">
        <v>162</v>
      </c>
      <c r="G175" t="str">
        <f t="shared" si="14"/>
        <v>B</v>
      </c>
      <c r="H175" t="str">
        <f t="shared" si="14"/>
        <v>05</v>
      </c>
      <c r="I175" t="str">
        <f t="shared" si="14"/>
        <v>032</v>
      </c>
      <c r="J175" t="str">
        <f t="shared" si="14"/>
        <v>03221</v>
      </c>
      <c r="K175" t="str">
        <f t="shared" si="11"/>
        <v/>
      </c>
    </row>
    <row r="176" spans="1:12" x14ac:dyDescent="0.25">
      <c r="C176" t="s">
        <v>2038</v>
      </c>
      <c r="D176" t="s">
        <v>1864</v>
      </c>
      <c r="E176" t="s">
        <v>1864</v>
      </c>
      <c r="F176" t="s">
        <v>163</v>
      </c>
      <c r="G176" t="str">
        <f t="shared" si="14"/>
        <v>B</v>
      </c>
      <c r="H176" t="str">
        <f t="shared" si="14"/>
        <v>05</v>
      </c>
      <c r="I176" t="str">
        <f t="shared" si="14"/>
        <v>050</v>
      </c>
      <c r="J176" t="str">
        <f t="shared" si="14"/>
        <v>03221</v>
      </c>
      <c r="K176" t="str">
        <f t="shared" si="11"/>
        <v/>
      </c>
    </row>
    <row r="177" spans="2:14" x14ac:dyDescent="0.25">
      <c r="C177" t="s">
        <v>1864</v>
      </c>
      <c r="D177" t="s">
        <v>2039</v>
      </c>
      <c r="E177" t="s">
        <v>1864</v>
      </c>
      <c r="F177" t="s">
        <v>163</v>
      </c>
      <c r="G177" t="str">
        <f t="shared" si="14"/>
        <v>B</v>
      </c>
      <c r="H177" t="str">
        <f t="shared" si="14"/>
        <v>05</v>
      </c>
      <c r="I177" t="str">
        <f t="shared" si="14"/>
        <v>050</v>
      </c>
      <c r="J177" t="str">
        <f t="shared" si="14"/>
        <v>05003</v>
      </c>
      <c r="K177" t="str">
        <f t="shared" si="11"/>
        <v/>
      </c>
    </row>
    <row r="178" spans="2:14" x14ac:dyDescent="0.25">
      <c r="C178" t="s">
        <v>1864</v>
      </c>
      <c r="D178" t="s">
        <v>1864</v>
      </c>
      <c r="E178" t="s">
        <v>2040</v>
      </c>
      <c r="F178" t="s">
        <v>163</v>
      </c>
      <c r="G178" t="str">
        <f t="shared" si="14"/>
        <v>B</v>
      </c>
      <c r="H178" t="str">
        <f t="shared" si="14"/>
        <v>05</v>
      </c>
      <c r="I178" t="str">
        <f t="shared" si="14"/>
        <v>050</v>
      </c>
      <c r="J178" t="str">
        <f t="shared" si="14"/>
        <v>05003</v>
      </c>
      <c r="K178" t="str">
        <f t="shared" si="11"/>
        <v>0500301</v>
      </c>
      <c r="L178">
        <v>0</v>
      </c>
      <c r="N178">
        <v>1</v>
      </c>
    </row>
    <row r="179" spans="2:14" x14ac:dyDescent="0.25">
      <c r="C179" t="s">
        <v>1864</v>
      </c>
      <c r="D179" t="s">
        <v>1864</v>
      </c>
      <c r="E179" t="s">
        <v>2041</v>
      </c>
      <c r="F179" t="s">
        <v>164</v>
      </c>
      <c r="G179" t="str">
        <f t="shared" si="14"/>
        <v>B</v>
      </c>
      <c r="H179" t="str">
        <f t="shared" si="14"/>
        <v>05</v>
      </c>
      <c r="I179" t="str">
        <f t="shared" si="14"/>
        <v>050</v>
      </c>
      <c r="J179" t="str">
        <f t="shared" si="14"/>
        <v>05003</v>
      </c>
      <c r="K179" t="str">
        <f t="shared" si="11"/>
        <v>0500302</v>
      </c>
      <c r="L179">
        <v>0</v>
      </c>
      <c r="N179">
        <v>1</v>
      </c>
    </row>
    <row r="180" spans="2:14" x14ac:dyDescent="0.25">
      <c r="B180" t="s">
        <v>2042</v>
      </c>
      <c r="C180" t="s">
        <v>1864</v>
      </c>
      <c r="D180" t="s">
        <v>1864</v>
      </c>
      <c r="E180" t="s">
        <v>1864</v>
      </c>
      <c r="F180" t="s">
        <v>165</v>
      </c>
      <c r="G180" t="str">
        <f t="shared" si="14"/>
        <v>B</v>
      </c>
      <c r="H180" t="str">
        <f t="shared" si="14"/>
        <v>06</v>
      </c>
      <c r="I180" t="str">
        <f t="shared" si="14"/>
        <v>050</v>
      </c>
      <c r="J180" t="str">
        <f t="shared" si="14"/>
        <v>05003</v>
      </c>
      <c r="K180" t="str">
        <f t="shared" si="11"/>
        <v/>
      </c>
    </row>
    <row r="181" spans="2:14" x14ac:dyDescent="0.25">
      <c r="C181" t="s">
        <v>2043</v>
      </c>
      <c r="D181" t="s">
        <v>1864</v>
      </c>
      <c r="E181" t="s">
        <v>1864</v>
      </c>
      <c r="F181" t="s">
        <v>166</v>
      </c>
      <c r="G181" t="str">
        <f t="shared" si="14"/>
        <v>B</v>
      </c>
      <c r="H181" t="str">
        <f t="shared" si="14"/>
        <v>06</v>
      </c>
      <c r="I181" t="str">
        <f t="shared" si="14"/>
        <v>060</v>
      </c>
      <c r="J181" t="str">
        <f t="shared" si="14"/>
        <v>05003</v>
      </c>
      <c r="K181" t="str">
        <f t="shared" si="11"/>
        <v/>
      </c>
    </row>
    <row r="182" spans="2:14" x14ac:dyDescent="0.25">
      <c r="C182" t="s">
        <v>1864</v>
      </c>
      <c r="D182" t="s">
        <v>2044</v>
      </c>
      <c r="E182" t="s">
        <v>1864</v>
      </c>
      <c r="F182" t="s">
        <v>166</v>
      </c>
      <c r="G182" t="str">
        <f t="shared" si="14"/>
        <v>B</v>
      </c>
      <c r="H182" t="str">
        <f t="shared" si="14"/>
        <v>06</v>
      </c>
      <c r="I182" t="str">
        <f t="shared" si="14"/>
        <v>060</v>
      </c>
      <c r="J182" t="str">
        <f t="shared" si="14"/>
        <v>06000</v>
      </c>
      <c r="K182" t="str">
        <f t="shared" si="11"/>
        <v/>
      </c>
    </row>
    <row r="183" spans="2:14" x14ac:dyDescent="0.25">
      <c r="C183" t="s">
        <v>1864</v>
      </c>
      <c r="D183" t="s">
        <v>1864</v>
      </c>
      <c r="E183" t="s">
        <v>2045</v>
      </c>
      <c r="F183" t="s">
        <v>166</v>
      </c>
      <c r="G183" t="str">
        <f t="shared" si="14"/>
        <v>B</v>
      </c>
      <c r="H183" t="str">
        <f t="shared" si="14"/>
        <v>06</v>
      </c>
      <c r="I183" t="str">
        <f t="shared" si="14"/>
        <v>060</v>
      </c>
      <c r="J183" t="str">
        <f t="shared" si="14"/>
        <v>06000</v>
      </c>
      <c r="K183" t="str">
        <f t="shared" si="11"/>
        <v>0600001</v>
      </c>
      <c r="L183">
        <v>0</v>
      </c>
      <c r="N183">
        <v>1</v>
      </c>
    </row>
    <row r="184" spans="2:14" x14ac:dyDescent="0.25">
      <c r="C184" t="s">
        <v>1864</v>
      </c>
      <c r="D184" t="s">
        <v>1864</v>
      </c>
      <c r="E184" t="s">
        <v>2046</v>
      </c>
      <c r="F184" t="s">
        <v>167</v>
      </c>
      <c r="G184" t="str">
        <f t="shared" si="14"/>
        <v>B</v>
      </c>
      <c r="H184" t="str">
        <f t="shared" si="14"/>
        <v>06</v>
      </c>
      <c r="I184" t="str">
        <f t="shared" si="14"/>
        <v>060</v>
      </c>
      <c r="J184" t="str">
        <f t="shared" si="14"/>
        <v>06000</v>
      </c>
      <c r="K184" t="str">
        <f t="shared" si="11"/>
        <v>0600002</v>
      </c>
      <c r="L184">
        <v>0</v>
      </c>
      <c r="N184">
        <v>1</v>
      </c>
    </row>
    <row r="185" spans="2:14" x14ac:dyDescent="0.25">
      <c r="C185" t="s">
        <v>1864</v>
      </c>
      <c r="D185" t="s">
        <v>1864</v>
      </c>
      <c r="E185" t="s">
        <v>2047</v>
      </c>
      <c r="F185" t="s">
        <v>168</v>
      </c>
      <c r="G185" t="str">
        <f t="shared" ref="G185:J200" si="15">IF(A185="",G184,A185)</f>
        <v>B</v>
      </c>
      <c r="H185" t="str">
        <f t="shared" si="15"/>
        <v>06</v>
      </c>
      <c r="I185" t="str">
        <f t="shared" si="15"/>
        <v>060</v>
      </c>
      <c r="J185" t="str">
        <f t="shared" si="15"/>
        <v>06000</v>
      </c>
      <c r="K185" t="str">
        <f t="shared" si="11"/>
        <v>0600003</v>
      </c>
      <c r="L185">
        <v>0</v>
      </c>
      <c r="N185">
        <v>1</v>
      </c>
    </row>
    <row r="186" spans="2:14" x14ac:dyDescent="0.25">
      <c r="B186" t="s">
        <v>2048</v>
      </c>
      <c r="C186" t="s">
        <v>1864</v>
      </c>
      <c r="D186" t="s">
        <v>1864</v>
      </c>
      <c r="E186" t="s">
        <v>1864</v>
      </c>
      <c r="F186" t="s">
        <v>169</v>
      </c>
      <c r="G186" t="str">
        <f t="shared" si="15"/>
        <v>B</v>
      </c>
      <c r="H186" t="str">
        <f t="shared" si="15"/>
        <v>07</v>
      </c>
      <c r="I186" t="str">
        <f t="shared" si="15"/>
        <v>060</v>
      </c>
      <c r="J186" t="str">
        <f t="shared" si="15"/>
        <v>06000</v>
      </c>
      <c r="K186" t="str">
        <f t="shared" si="11"/>
        <v/>
      </c>
    </row>
    <row r="187" spans="2:14" x14ac:dyDescent="0.25">
      <c r="C187" t="s">
        <v>2049</v>
      </c>
      <c r="D187" t="s">
        <v>1864</v>
      </c>
      <c r="E187" t="s">
        <v>1864</v>
      </c>
      <c r="F187" t="s">
        <v>170</v>
      </c>
      <c r="G187" t="str">
        <f t="shared" si="15"/>
        <v>B</v>
      </c>
      <c r="H187" t="str">
        <f t="shared" si="15"/>
        <v>07</v>
      </c>
      <c r="I187" t="str">
        <f t="shared" si="15"/>
        <v>071</v>
      </c>
      <c r="J187" t="str">
        <f t="shared" si="15"/>
        <v>06000</v>
      </c>
      <c r="K187" t="str">
        <f t="shared" si="11"/>
        <v/>
      </c>
    </row>
    <row r="188" spans="2:14" x14ac:dyDescent="0.25">
      <c r="C188" t="s">
        <v>1864</v>
      </c>
      <c r="D188" t="s">
        <v>2050</v>
      </c>
      <c r="E188" t="s">
        <v>1864</v>
      </c>
      <c r="F188" t="s">
        <v>170</v>
      </c>
      <c r="G188" t="str">
        <f t="shared" si="15"/>
        <v>B</v>
      </c>
      <c r="H188" t="str">
        <f t="shared" si="15"/>
        <v>07</v>
      </c>
      <c r="I188" t="str">
        <f t="shared" si="15"/>
        <v>071</v>
      </c>
      <c r="J188" t="str">
        <f t="shared" si="15"/>
        <v>07103</v>
      </c>
      <c r="K188" t="str">
        <f t="shared" si="11"/>
        <v/>
      </c>
    </row>
    <row r="189" spans="2:14" x14ac:dyDescent="0.25">
      <c r="C189" t="s">
        <v>1864</v>
      </c>
      <c r="D189" t="s">
        <v>1864</v>
      </c>
      <c r="E189" t="s">
        <v>2051</v>
      </c>
      <c r="F189" t="s">
        <v>170</v>
      </c>
      <c r="G189" t="str">
        <f t="shared" si="15"/>
        <v>B</v>
      </c>
      <c r="H189" t="str">
        <f t="shared" si="15"/>
        <v>07</v>
      </c>
      <c r="I189" t="str">
        <f t="shared" si="15"/>
        <v>071</v>
      </c>
      <c r="J189" t="str">
        <f t="shared" si="15"/>
        <v>07103</v>
      </c>
      <c r="K189" t="str">
        <f t="shared" si="11"/>
        <v>0710301</v>
      </c>
      <c r="L189">
        <v>0</v>
      </c>
      <c r="N189">
        <v>1</v>
      </c>
    </row>
    <row r="190" spans="2:14" x14ac:dyDescent="0.25">
      <c r="C190" t="s">
        <v>1864</v>
      </c>
      <c r="D190" t="s">
        <v>1864</v>
      </c>
      <c r="E190" t="s">
        <v>2052</v>
      </c>
      <c r="F190" t="s">
        <v>171</v>
      </c>
      <c r="G190" t="str">
        <f t="shared" si="15"/>
        <v>B</v>
      </c>
      <c r="H190" t="str">
        <f t="shared" si="15"/>
        <v>07</v>
      </c>
      <c r="I190" t="str">
        <f t="shared" si="15"/>
        <v>071</v>
      </c>
      <c r="J190" t="str">
        <f t="shared" si="15"/>
        <v>07103</v>
      </c>
      <c r="K190" t="str">
        <f t="shared" si="11"/>
        <v>0710302</v>
      </c>
      <c r="L190">
        <v>0</v>
      </c>
      <c r="N190">
        <v>1</v>
      </c>
    </row>
    <row r="191" spans="2:14" x14ac:dyDescent="0.25">
      <c r="C191" t="s">
        <v>2053</v>
      </c>
      <c r="D191" t="s">
        <v>1864</v>
      </c>
      <c r="E191" t="s">
        <v>1864</v>
      </c>
      <c r="F191" t="s">
        <v>172</v>
      </c>
      <c r="G191" t="str">
        <f t="shared" si="15"/>
        <v>B</v>
      </c>
      <c r="H191" t="str">
        <f t="shared" si="15"/>
        <v>07</v>
      </c>
      <c r="I191" t="str">
        <f t="shared" si="15"/>
        <v>072</v>
      </c>
      <c r="J191" t="str">
        <f t="shared" si="15"/>
        <v>07103</v>
      </c>
      <c r="K191" t="str">
        <f t="shared" si="11"/>
        <v/>
      </c>
    </row>
    <row r="192" spans="2:14" x14ac:dyDescent="0.25">
      <c r="C192" t="s">
        <v>1864</v>
      </c>
      <c r="D192" t="s">
        <v>2054</v>
      </c>
      <c r="E192" t="s">
        <v>1864</v>
      </c>
      <c r="F192" t="s">
        <v>173</v>
      </c>
      <c r="G192" t="str">
        <f t="shared" si="15"/>
        <v>B</v>
      </c>
      <c r="H192" t="str">
        <f t="shared" si="15"/>
        <v>07</v>
      </c>
      <c r="I192" t="str">
        <f t="shared" si="15"/>
        <v>072</v>
      </c>
      <c r="J192" t="str">
        <f t="shared" si="15"/>
        <v>07219</v>
      </c>
      <c r="K192" t="str">
        <f t="shared" si="11"/>
        <v/>
      </c>
    </row>
    <row r="193" spans="3:14" x14ac:dyDescent="0.25">
      <c r="C193" t="s">
        <v>1864</v>
      </c>
      <c r="D193" t="s">
        <v>1864</v>
      </c>
      <c r="E193" t="s">
        <v>2055</v>
      </c>
      <c r="F193" t="s">
        <v>173</v>
      </c>
      <c r="G193" t="str">
        <f t="shared" si="15"/>
        <v>B</v>
      </c>
      <c r="H193" t="str">
        <f t="shared" si="15"/>
        <v>07</v>
      </c>
      <c r="I193" t="str">
        <f t="shared" si="15"/>
        <v>072</v>
      </c>
      <c r="J193" t="str">
        <f t="shared" si="15"/>
        <v>07219</v>
      </c>
      <c r="K193" t="str">
        <f t="shared" si="11"/>
        <v>0721901</v>
      </c>
      <c r="L193">
        <v>0</v>
      </c>
      <c r="N193">
        <v>1</v>
      </c>
    </row>
    <row r="194" spans="3:14" x14ac:dyDescent="0.25">
      <c r="C194" t="s">
        <v>1864</v>
      </c>
      <c r="D194" t="s">
        <v>1864</v>
      </c>
      <c r="E194" t="s">
        <v>2056</v>
      </c>
      <c r="F194" t="s">
        <v>174</v>
      </c>
      <c r="G194" t="str">
        <f t="shared" si="15"/>
        <v>B</v>
      </c>
      <c r="H194" t="str">
        <f t="shared" si="15"/>
        <v>07</v>
      </c>
      <c r="I194" t="str">
        <f t="shared" si="15"/>
        <v>072</v>
      </c>
      <c r="J194" t="str">
        <f t="shared" si="15"/>
        <v>07219</v>
      </c>
      <c r="K194" t="str">
        <f t="shared" si="11"/>
        <v>0721902</v>
      </c>
      <c r="L194">
        <v>0</v>
      </c>
      <c r="N194">
        <v>1</v>
      </c>
    </row>
    <row r="195" spans="3:14" x14ac:dyDescent="0.25">
      <c r="C195" t="s">
        <v>1864</v>
      </c>
      <c r="D195" t="s">
        <v>2057</v>
      </c>
      <c r="E195" t="s">
        <v>1864</v>
      </c>
      <c r="F195" t="s">
        <v>175</v>
      </c>
      <c r="G195" t="str">
        <f t="shared" si="15"/>
        <v>B</v>
      </c>
      <c r="H195" t="str">
        <f t="shared" si="15"/>
        <v>07</v>
      </c>
      <c r="I195" t="str">
        <f t="shared" si="15"/>
        <v>072</v>
      </c>
      <c r="J195" t="str">
        <f t="shared" si="15"/>
        <v>07227</v>
      </c>
      <c r="K195" t="str">
        <f t="shared" si="11"/>
        <v/>
      </c>
    </row>
    <row r="196" spans="3:14" x14ac:dyDescent="0.25">
      <c r="C196" t="s">
        <v>1864</v>
      </c>
      <c r="D196" t="s">
        <v>1864</v>
      </c>
      <c r="E196" t="s">
        <v>2058</v>
      </c>
      <c r="F196" t="s">
        <v>175</v>
      </c>
      <c r="G196" t="str">
        <f t="shared" si="15"/>
        <v>B</v>
      </c>
      <c r="H196" t="str">
        <f t="shared" si="15"/>
        <v>07</v>
      </c>
      <c r="I196" t="str">
        <f t="shared" si="15"/>
        <v>072</v>
      </c>
      <c r="J196" t="str">
        <f t="shared" si="15"/>
        <v>07227</v>
      </c>
      <c r="K196" t="str">
        <f t="shared" si="11"/>
        <v>0722701</v>
      </c>
      <c r="L196">
        <v>0</v>
      </c>
      <c r="N196">
        <v>1</v>
      </c>
    </row>
    <row r="197" spans="3:14" x14ac:dyDescent="0.25">
      <c r="C197" t="s">
        <v>1864</v>
      </c>
      <c r="D197" t="s">
        <v>1864</v>
      </c>
      <c r="E197" t="s">
        <v>2059</v>
      </c>
      <c r="F197" t="s">
        <v>176</v>
      </c>
      <c r="G197" t="str">
        <f t="shared" si="15"/>
        <v>B</v>
      </c>
      <c r="H197" t="str">
        <f t="shared" si="15"/>
        <v>07</v>
      </c>
      <c r="I197" t="str">
        <f t="shared" si="15"/>
        <v>072</v>
      </c>
      <c r="J197" t="str">
        <f t="shared" si="15"/>
        <v>07227</v>
      </c>
      <c r="K197" t="str">
        <f t="shared" si="11"/>
        <v>0722702</v>
      </c>
      <c r="L197">
        <v>0</v>
      </c>
      <c r="N197">
        <v>1</v>
      </c>
    </row>
    <row r="198" spans="3:14" x14ac:dyDescent="0.25">
      <c r="C198" t="s">
        <v>1864</v>
      </c>
      <c r="D198" t="s">
        <v>2060</v>
      </c>
      <c r="E198" t="s">
        <v>1864</v>
      </c>
      <c r="F198" t="s">
        <v>177</v>
      </c>
      <c r="G198" t="str">
        <f t="shared" si="15"/>
        <v>B</v>
      </c>
      <c r="H198" t="str">
        <f t="shared" si="15"/>
        <v>07</v>
      </c>
      <c r="I198" t="str">
        <f t="shared" si="15"/>
        <v>072</v>
      </c>
      <c r="J198" t="str">
        <f t="shared" si="15"/>
        <v>07235</v>
      </c>
      <c r="K198" t="str">
        <f t="shared" si="11"/>
        <v/>
      </c>
    </row>
    <row r="199" spans="3:14" x14ac:dyDescent="0.25">
      <c r="C199" t="s">
        <v>1864</v>
      </c>
      <c r="D199" t="s">
        <v>1864</v>
      </c>
      <c r="E199" t="s">
        <v>2061</v>
      </c>
      <c r="F199" t="s">
        <v>177</v>
      </c>
      <c r="G199" t="str">
        <f t="shared" si="15"/>
        <v>B</v>
      </c>
      <c r="H199" t="str">
        <f t="shared" si="15"/>
        <v>07</v>
      </c>
      <c r="I199" t="str">
        <f t="shared" si="15"/>
        <v>072</v>
      </c>
      <c r="J199" t="str">
        <f t="shared" si="15"/>
        <v>07235</v>
      </c>
      <c r="K199" t="str">
        <f t="shared" si="11"/>
        <v>0723501</v>
      </c>
      <c r="L199">
        <v>0</v>
      </c>
      <c r="N199">
        <v>1</v>
      </c>
    </row>
    <row r="200" spans="3:14" x14ac:dyDescent="0.25">
      <c r="C200" t="s">
        <v>1864</v>
      </c>
      <c r="D200" t="s">
        <v>1864</v>
      </c>
      <c r="E200" t="s">
        <v>2062</v>
      </c>
      <c r="F200" t="s">
        <v>178</v>
      </c>
      <c r="G200" t="str">
        <f t="shared" si="15"/>
        <v>B</v>
      </c>
      <c r="H200" t="str">
        <f t="shared" si="15"/>
        <v>07</v>
      </c>
      <c r="I200" t="str">
        <f t="shared" si="15"/>
        <v>072</v>
      </c>
      <c r="J200" t="str">
        <f t="shared" si="15"/>
        <v>07235</v>
      </c>
      <c r="K200" t="str">
        <f t="shared" ref="K200:K263" si="16">E200</f>
        <v>0723502</v>
      </c>
      <c r="L200">
        <v>0</v>
      </c>
      <c r="N200">
        <v>1</v>
      </c>
    </row>
    <row r="201" spans="3:14" x14ac:dyDescent="0.25">
      <c r="C201" t="s">
        <v>1864</v>
      </c>
      <c r="D201" t="s">
        <v>2063</v>
      </c>
      <c r="E201" t="s">
        <v>1864</v>
      </c>
      <c r="F201" t="s">
        <v>179</v>
      </c>
      <c r="G201" t="str">
        <f t="shared" ref="G201:J216" si="17">IF(A201="",G200,A201)</f>
        <v>B</v>
      </c>
      <c r="H201" t="str">
        <f t="shared" si="17"/>
        <v>07</v>
      </c>
      <c r="I201" t="str">
        <f t="shared" si="17"/>
        <v>072</v>
      </c>
      <c r="J201" t="str">
        <f t="shared" si="17"/>
        <v>07243</v>
      </c>
      <c r="K201" t="str">
        <f t="shared" si="16"/>
        <v/>
      </c>
    </row>
    <row r="202" spans="3:14" x14ac:dyDescent="0.25">
      <c r="C202" t="s">
        <v>1864</v>
      </c>
      <c r="D202" t="s">
        <v>1864</v>
      </c>
      <c r="E202" t="s">
        <v>2064</v>
      </c>
      <c r="F202" t="s">
        <v>179</v>
      </c>
      <c r="G202" t="str">
        <f t="shared" si="17"/>
        <v>B</v>
      </c>
      <c r="H202" t="str">
        <f t="shared" si="17"/>
        <v>07</v>
      </c>
      <c r="I202" t="str">
        <f t="shared" si="17"/>
        <v>072</v>
      </c>
      <c r="J202" t="str">
        <f t="shared" si="17"/>
        <v>07243</v>
      </c>
      <c r="K202" t="str">
        <f t="shared" si="16"/>
        <v>0724301</v>
      </c>
      <c r="L202">
        <v>0</v>
      </c>
      <c r="N202">
        <v>1</v>
      </c>
    </row>
    <row r="203" spans="3:14" x14ac:dyDescent="0.25">
      <c r="C203" t="s">
        <v>1864</v>
      </c>
      <c r="D203" t="s">
        <v>1864</v>
      </c>
      <c r="E203" t="s">
        <v>2065</v>
      </c>
      <c r="F203" t="s">
        <v>180</v>
      </c>
      <c r="G203" t="str">
        <f t="shared" si="17"/>
        <v>B</v>
      </c>
      <c r="H203" t="str">
        <f t="shared" si="17"/>
        <v>07</v>
      </c>
      <c r="I203" t="str">
        <f t="shared" si="17"/>
        <v>072</v>
      </c>
      <c r="J203" t="str">
        <f t="shared" si="17"/>
        <v>07243</v>
      </c>
      <c r="K203" t="str">
        <f t="shared" si="16"/>
        <v>0724302</v>
      </c>
      <c r="L203">
        <v>0</v>
      </c>
      <c r="N203">
        <v>1</v>
      </c>
    </row>
    <row r="204" spans="3:14" x14ac:dyDescent="0.25">
      <c r="C204" t="s">
        <v>1864</v>
      </c>
      <c r="D204" t="s">
        <v>2066</v>
      </c>
      <c r="E204" t="s">
        <v>1864</v>
      </c>
      <c r="F204" t="s">
        <v>181</v>
      </c>
      <c r="G204" t="str">
        <f t="shared" si="17"/>
        <v>B</v>
      </c>
      <c r="H204" t="str">
        <f t="shared" si="17"/>
        <v>07</v>
      </c>
      <c r="I204" t="str">
        <f t="shared" si="17"/>
        <v>072</v>
      </c>
      <c r="J204" t="str">
        <f t="shared" si="17"/>
        <v>07251</v>
      </c>
      <c r="K204" t="str">
        <f t="shared" si="16"/>
        <v/>
      </c>
    </row>
    <row r="205" spans="3:14" x14ac:dyDescent="0.25">
      <c r="C205" t="s">
        <v>1864</v>
      </c>
      <c r="D205" t="s">
        <v>1864</v>
      </c>
      <c r="E205" t="s">
        <v>2067</v>
      </c>
      <c r="F205" t="s">
        <v>181</v>
      </c>
      <c r="G205" t="str">
        <f t="shared" si="17"/>
        <v>B</v>
      </c>
      <c r="H205" t="str">
        <f t="shared" si="17"/>
        <v>07</v>
      </c>
      <c r="I205" t="str">
        <f t="shared" si="17"/>
        <v>072</v>
      </c>
      <c r="J205" t="str">
        <f t="shared" si="17"/>
        <v>07251</v>
      </c>
      <c r="K205" t="str">
        <f t="shared" si="16"/>
        <v>0725100</v>
      </c>
      <c r="L205">
        <v>0</v>
      </c>
      <c r="N205">
        <v>1</v>
      </c>
    </row>
    <row r="206" spans="3:14" x14ac:dyDescent="0.25">
      <c r="C206" t="s">
        <v>1864</v>
      </c>
      <c r="D206" t="s">
        <v>2068</v>
      </c>
      <c r="E206" t="s">
        <v>1864</v>
      </c>
      <c r="F206" t="s">
        <v>182</v>
      </c>
      <c r="G206" t="str">
        <f t="shared" si="17"/>
        <v>B</v>
      </c>
      <c r="H206" t="str">
        <f t="shared" si="17"/>
        <v>07</v>
      </c>
      <c r="I206" t="str">
        <f t="shared" si="17"/>
        <v>072</v>
      </c>
      <c r="J206" t="str">
        <f t="shared" si="17"/>
        <v>07294</v>
      </c>
      <c r="K206" t="str">
        <f t="shared" si="16"/>
        <v/>
      </c>
    </row>
    <row r="207" spans="3:14" x14ac:dyDescent="0.25">
      <c r="C207" t="s">
        <v>1864</v>
      </c>
      <c r="D207" t="s">
        <v>1864</v>
      </c>
      <c r="E207" t="s">
        <v>2069</v>
      </c>
      <c r="F207" t="s">
        <v>183</v>
      </c>
      <c r="G207" t="str">
        <f t="shared" si="17"/>
        <v>B</v>
      </c>
      <c r="H207" t="str">
        <f t="shared" si="17"/>
        <v>07</v>
      </c>
      <c r="I207" t="str">
        <f t="shared" si="17"/>
        <v>072</v>
      </c>
      <c r="J207" t="str">
        <f t="shared" si="17"/>
        <v>07294</v>
      </c>
      <c r="K207" t="str">
        <f t="shared" si="16"/>
        <v>0729401</v>
      </c>
      <c r="L207">
        <v>0</v>
      </c>
      <c r="N207">
        <v>1</v>
      </c>
    </row>
    <row r="208" spans="3:14" x14ac:dyDescent="0.25">
      <c r="C208" t="s">
        <v>1864</v>
      </c>
      <c r="D208" t="s">
        <v>1864</v>
      </c>
      <c r="E208" t="s">
        <v>2070</v>
      </c>
      <c r="F208" t="s">
        <v>184</v>
      </c>
      <c r="G208" t="str">
        <f t="shared" si="17"/>
        <v>B</v>
      </c>
      <c r="H208" t="str">
        <f t="shared" si="17"/>
        <v>07</v>
      </c>
      <c r="I208" t="str">
        <f t="shared" si="17"/>
        <v>072</v>
      </c>
      <c r="J208" t="str">
        <f t="shared" si="17"/>
        <v>07294</v>
      </c>
      <c r="K208" t="str">
        <f t="shared" si="16"/>
        <v>0729402</v>
      </c>
      <c r="L208">
        <v>0</v>
      </c>
      <c r="N208">
        <v>1</v>
      </c>
    </row>
    <row r="209" spans="2:14" x14ac:dyDescent="0.25">
      <c r="C209" t="s">
        <v>1864</v>
      </c>
      <c r="D209" t="s">
        <v>1864</v>
      </c>
      <c r="E209" t="s">
        <v>2071</v>
      </c>
      <c r="F209" t="s">
        <v>185</v>
      </c>
      <c r="G209" t="str">
        <f t="shared" si="17"/>
        <v>B</v>
      </c>
      <c r="H209" t="str">
        <f t="shared" si="17"/>
        <v>07</v>
      </c>
      <c r="I209" t="str">
        <f t="shared" si="17"/>
        <v>072</v>
      </c>
      <c r="J209" t="str">
        <f t="shared" si="17"/>
        <v>07294</v>
      </c>
      <c r="K209" t="str">
        <f t="shared" si="16"/>
        <v>0729403</v>
      </c>
      <c r="L209">
        <v>0</v>
      </c>
      <c r="N209">
        <v>1</v>
      </c>
    </row>
    <row r="210" spans="2:14" x14ac:dyDescent="0.25">
      <c r="C210" t="s">
        <v>1864</v>
      </c>
      <c r="D210" t="s">
        <v>1864</v>
      </c>
      <c r="E210" t="s">
        <v>2072</v>
      </c>
      <c r="F210" t="s">
        <v>186</v>
      </c>
      <c r="G210" t="str">
        <f t="shared" si="17"/>
        <v>B</v>
      </c>
      <c r="H210" t="str">
        <f t="shared" si="17"/>
        <v>07</v>
      </c>
      <c r="I210" t="str">
        <f t="shared" si="17"/>
        <v>072</v>
      </c>
      <c r="J210" t="str">
        <f t="shared" si="17"/>
        <v>07294</v>
      </c>
      <c r="K210" t="str">
        <f t="shared" si="16"/>
        <v>0729404</v>
      </c>
      <c r="L210">
        <v>0</v>
      </c>
      <c r="N210">
        <v>1</v>
      </c>
    </row>
    <row r="211" spans="2:14" x14ac:dyDescent="0.25">
      <c r="C211" t="s">
        <v>1864</v>
      </c>
      <c r="D211" t="s">
        <v>1864</v>
      </c>
      <c r="E211" t="s">
        <v>2073</v>
      </c>
      <c r="F211" t="s">
        <v>187</v>
      </c>
      <c r="G211" t="str">
        <f t="shared" si="17"/>
        <v>B</v>
      </c>
      <c r="H211" t="str">
        <f t="shared" si="17"/>
        <v>07</v>
      </c>
      <c r="I211" t="str">
        <f t="shared" si="17"/>
        <v>072</v>
      </c>
      <c r="J211" t="str">
        <f t="shared" si="17"/>
        <v>07294</v>
      </c>
      <c r="K211" t="str">
        <f t="shared" si="16"/>
        <v>0729405</v>
      </c>
      <c r="L211">
        <v>0</v>
      </c>
      <c r="N211">
        <v>1</v>
      </c>
    </row>
    <row r="212" spans="2:14" x14ac:dyDescent="0.25">
      <c r="B212" t="s">
        <v>2074</v>
      </c>
      <c r="C212" t="s">
        <v>1864</v>
      </c>
      <c r="D212" t="s">
        <v>1864</v>
      </c>
      <c r="E212" t="s">
        <v>1864</v>
      </c>
      <c r="F212" t="s">
        <v>188</v>
      </c>
      <c r="G212" t="str">
        <f t="shared" si="17"/>
        <v>B</v>
      </c>
      <c r="H212" t="str">
        <f t="shared" si="17"/>
        <v>08</v>
      </c>
      <c r="I212" t="str">
        <f t="shared" si="17"/>
        <v>072</v>
      </c>
      <c r="J212" t="str">
        <f t="shared" si="17"/>
        <v>07294</v>
      </c>
      <c r="K212" t="str">
        <f t="shared" si="16"/>
        <v/>
      </c>
    </row>
    <row r="213" spans="2:14" x14ac:dyDescent="0.25">
      <c r="C213" t="s">
        <v>2075</v>
      </c>
      <c r="D213" t="s">
        <v>1864</v>
      </c>
      <c r="E213" t="s">
        <v>1864</v>
      </c>
      <c r="F213" t="s">
        <v>189</v>
      </c>
      <c r="G213" t="str">
        <f t="shared" si="17"/>
        <v>B</v>
      </c>
      <c r="H213" t="str">
        <f t="shared" si="17"/>
        <v>08</v>
      </c>
      <c r="I213" t="str">
        <f t="shared" si="17"/>
        <v>081</v>
      </c>
      <c r="J213" t="str">
        <f t="shared" si="17"/>
        <v>07294</v>
      </c>
      <c r="K213" t="str">
        <f t="shared" si="16"/>
        <v/>
      </c>
    </row>
    <row r="214" spans="2:14" x14ac:dyDescent="0.25">
      <c r="C214" t="s">
        <v>1864</v>
      </c>
      <c r="D214" t="s">
        <v>2076</v>
      </c>
      <c r="E214" t="s">
        <v>1864</v>
      </c>
      <c r="F214" t="s">
        <v>189</v>
      </c>
      <c r="G214" t="str">
        <f t="shared" si="17"/>
        <v>B</v>
      </c>
      <c r="H214" t="str">
        <f t="shared" si="17"/>
        <v>08</v>
      </c>
      <c r="I214" t="str">
        <f t="shared" si="17"/>
        <v>081</v>
      </c>
      <c r="J214" t="str">
        <f t="shared" si="17"/>
        <v>08100</v>
      </c>
      <c r="K214" t="str">
        <f t="shared" si="16"/>
        <v/>
      </c>
    </row>
    <row r="215" spans="2:14" x14ac:dyDescent="0.25">
      <c r="C215" t="s">
        <v>1864</v>
      </c>
      <c r="D215" t="s">
        <v>1864</v>
      </c>
      <c r="E215" t="s">
        <v>2077</v>
      </c>
      <c r="F215" t="s">
        <v>190</v>
      </c>
      <c r="G215" t="str">
        <f t="shared" si="17"/>
        <v>B</v>
      </c>
      <c r="H215" t="str">
        <f t="shared" si="17"/>
        <v>08</v>
      </c>
      <c r="I215" t="str">
        <f t="shared" si="17"/>
        <v>081</v>
      </c>
      <c r="J215" t="str">
        <f t="shared" si="17"/>
        <v>08100</v>
      </c>
      <c r="K215" t="str">
        <f t="shared" si="16"/>
        <v>0810001</v>
      </c>
      <c r="L215">
        <v>0</v>
      </c>
      <c r="N215">
        <v>1</v>
      </c>
    </row>
    <row r="216" spans="2:14" x14ac:dyDescent="0.25">
      <c r="C216" t="s">
        <v>1864</v>
      </c>
      <c r="D216" t="s">
        <v>1864</v>
      </c>
      <c r="E216" t="s">
        <v>2078</v>
      </c>
      <c r="F216" t="s">
        <v>191</v>
      </c>
      <c r="G216" t="str">
        <f t="shared" si="17"/>
        <v>B</v>
      </c>
      <c r="H216" t="str">
        <f t="shared" si="17"/>
        <v>08</v>
      </c>
      <c r="I216" t="str">
        <f t="shared" si="17"/>
        <v>081</v>
      </c>
      <c r="J216" t="str">
        <f t="shared" si="17"/>
        <v>08100</v>
      </c>
      <c r="K216" t="str">
        <f t="shared" si="16"/>
        <v>0810002</v>
      </c>
      <c r="L216">
        <v>0</v>
      </c>
      <c r="N216">
        <v>1</v>
      </c>
    </row>
    <row r="217" spans="2:14" x14ac:dyDescent="0.25">
      <c r="C217" t="s">
        <v>1864</v>
      </c>
      <c r="D217" t="s">
        <v>1864</v>
      </c>
      <c r="E217" t="s">
        <v>2079</v>
      </c>
      <c r="F217" t="s">
        <v>192</v>
      </c>
      <c r="G217" t="str">
        <f t="shared" ref="G217:J232" si="18">IF(A217="",G216,A217)</f>
        <v>B</v>
      </c>
      <c r="H217" t="str">
        <f t="shared" si="18"/>
        <v>08</v>
      </c>
      <c r="I217" t="str">
        <f t="shared" si="18"/>
        <v>081</v>
      </c>
      <c r="J217" t="str">
        <f t="shared" si="18"/>
        <v>08100</v>
      </c>
      <c r="K217" t="str">
        <f t="shared" si="16"/>
        <v>0810003</v>
      </c>
      <c r="L217">
        <v>0</v>
      </c>
      <c r="N217">
        <v>1</v>
      </c>
    </row>
    <row r="218" spans="2:14" x14ac:dyDescent="0.25">
      <c r="C218" t="s">
        <v>1864</v>
      </c>
      <c r="D218" t="s">
        <v>1864</v>
      </c>
      <c r="E218" t="s">
        <v>2080</v>
      </c>
      <c r="F218" t="s">
        <v>193</v>
      </c>
      <c r="G218" t="str">
        <f t="shared" si="18"/>
        <v>B</v>
      </c>
      <c r="H218" t="str">
        <f t="shared" si="18"/>
        <v>08</v>
      </c>
      <c r="I218" t="str">
        <f t="shared" si="18"/>
        <v>081</v>
      </c>
      <c r="J218" t="str">
        <f t="shared" si="18"/>
        <v>08100</v>
      </c>
      <c r="K218" t="str">
        <f t="shared" si="16"/>
        <v>0810004</v>
      </c>
      <c r="L218">
        <v>1</v>
      </c>
    </row>
    <row r="219" spans="2:14" x14ac:dyDescent="0.25">
      <c r="C219" t="s">
        <v>1864</v>
      </c>
      <c r="D219" t="s">
        <v>1864</v>
      </c>
      <c r="E219" t="s">
        <v>2081</v>
      </c>
      <c r="F219" t="s">
        <v>194</v>
      </c>
      <c r="G219" t="str">
        <f t="shared" si="18"/>
        <v>B</v>
      </c>
      <c r="H219" t="str">
        <f t="shared" si="18"/>
        <v>08</v>
      </c>
      <c r="I219" t="str">
        <f t="shared" si="18"/>
        <v>081</v>
      </c>
      <c r="J219" t="str">
        <f t="shared" si="18"/>
        <v>08100</v>
      </c>
      <c r="K219" t="str">
        <f t="shared" si="16"/>
        <v>0810005</v>
      </c>
      <c r="L219">
        <v>1</v>
      </c>
    </row>
    <row r="220" spans="2:14" x14ac:dyDescent="0.25">
      <c r="C220" t="s">
        <v>1864</v>
      </c>
      <c r="D220" t="s">
        <v>1864</v>
      </c>
      <c r="E220" t="s">
        <v>2082</v>
      </c>
      <c r="F220" t="s">
        <v>195</v>
      </c>
      <c r="G220" t="str">
        <f t="shared" si="18"/>
        <v>B</v>
      </c>
      <c r="H220" t="str">
        <f t="shared" si="18"/>
        <v>08</v>
      </c>
      <c r="I220" t="str">
        <f t="shared" si="18"/>
        <v>081</v>
      </c>
      <c r="J220" t="str">
        <f t="shared" si="18"/>
        <v>08100</v>
      </c>
      <c r="K220" t="str">
        <f t="shared" si="16"/>
        <v>0810006</v>
      </c>
      <c r="L220">
        <v>0</v>
      </c>
      <c r="N220">
        <v>1</v>
      </c>
    </row>
    <row r="221" spans="2:14" x14ac:dyDescent="0.25">
      <c r="C221" t="s">
        <v>1864</v>
      </c>
      <c r="D221" t="s">
        <v>1864</v>
      </c>
      <c r="E221" t="s">
        <v>2083</v>
      </c>
      <c r="F221" t="s">
        <v>196</v>
      </c>
      <c r="G221" t="str">
        <f t="shared" si="18"/>
        <v>B</v>
      </c>
      <c r="H221" t="str">
        <f t="shared" si="18"/>
        <v>08</v>
      </c>
      <c r="I221" t="str">
        <f t="shared" si="18"/>
        <v>081</v>
      </c>
      <c r="J221" t="str">
        <f t="shared" si="18"/>
        <v>08100</v>
      </c>
      <c r="K221" t="str">
        <f t="shared" si="16"/>
        <v>0810007</v>
      </c>
      <c r="L221">
        <v>0</v>
      </c>
      <c r="N221">
        <v>1</v>
      </c>
    </row>
    <row r="222" spans="2:14" x14ac:dyDescent="0.25">
      <c r="C222" t="s">
        <v>1864</v>
      </c>
      <c r="D222" t="s">
        <v>1864</v>
      </c>
      <c r="E222" t="s">
        <v>2084</v>
      </c>
      <c r="F222" t="s">
        <v>197</v>
      </c>
      <c r="G222" t="str">
        <f t="shared" si="18"/>
        <v>B</v>
      </c>
      <c r="H222" t="str">
        <f t="shared" si="18"/>
        <v>08</v>
      </c>
      <c r="I222" t="str">
        <f t="shared" si="18"/>
        <v>081</v>
      </c>
      <c r="J222" t="str">
        <f t="shared" si="18"/>
        <v>08100</v>
      </c>
      <c r="K222" t="str">
        <f t="shared" si="16"/>
        <v>0810008</v>
      </c>
      <c r="L222">
        <v>0</v>
      </c>
      <c r="N222">
        <v>1</v>
      </c>
    </row>
    <row r="223" spans="2:14" x14ac:dyDescent="0.25">
      <c r="C223" t="s">
        <v>1864</v>
      </c>
      <c r="D223" t="s">
        <v>1864</v>
      </c>
      <c r="E223" t="s">
        <v>2085</v>
      </c>
      <c r="F223" t="s">
        <v>198</v>
      </c>
      <c r="G223" t="str">
        <f t="shared" si="18"/>
        <v>B</v>
      </c>
      <c r="H223" t="str">
        <f t="shared" si="18"/>
        <v>08</v>
      </c>
      <c r="I223" t="str">
        <f t="shared" si="18"/>
        <v>081</v>
      </c>
      <c r="J223" t="str">
        <f t="shared" si="18"/>
        <v>08100</v>
      </c>
      <c r="K223" t="str">
        <f t="shared" si="16"/>
        <v>0810009</v>
      </c>
      <c r="L223">
        <v>0</v>
      </c>
      <c r="N223">
        <v>1</v>
      </c>
    </row>
    <row r="224" spans="2:14" x14ac:dyDescent="0.25">
      <c r="C224" t="s">
        <v>1864</v>
      </c>
      <c r="D224" t="s">
        <v>1864</v>
      </c>
      <c r="E224" t="s">
        <v>2086</v>
      </c>
      <c r="F224" t="s">
        <v>199</v>
      </c>
      <c r="G224" t="str">
        <f t="shared" si="18"/>
        <v>B</v>
      </c>
      <c r="H224" t="str">
        <f t="shared" si="18"/>
        <v>08</v>
      </c>
      <c r="I224" t="str">
        <f t="shared" si="18"/>
        <v>081</v>
      </c>
      <c r="J224" t="str">
        <f t="shared" si="18"/>
        <v>08100</v>
      </c>
      <c r="K224" t="str">
        <f t="shared" si="16"/>
        <v>0810010</v>
      </c>
      <c r="L224">
        <v>1</v>
      </c>
    </row>
    <row r="225" spans="2:14" x14ac:dyDescent="0.25">
      <c r="C225" t="s">
        <v>1864</v>
      </c>
      <c r="D225" t="s">
        <v>1864</v>
      </c>
      <c r="E225" t="s">
        <v>2087</v>
      </c>
      <c r="F225" t="s">
        <v>200</v>
      </c>
      <c r="G225" t="str">
        <f t="shared" si="18"/>
        <v>B</v>
      </c>
      <c r="H225" t="str">
        <f t="shared" si="18"/>
        <v>08</v>
      </c>
      <c r="I225" t="str">
        <f t="shared" si="18"/>
        <v>081</v>
      </c>
      <c r="J225" t="str">
        <f t="shared" si="18"/>
        <v>08100</v>
      </c>
      <c r="K225" t="str">
        <f t="shared" si="16"/>
        <v>0810099</v>
      </c>
      <c r="L225">
        <v>0</v>
      </c>
      <c r="N225">
        <v>1</v>
      </c>
    </row>
    <row r="226" spans="2:14" x14ac:dyDescent="0.25">
      <c r="C226" t="s">
        <v>2088</v>
      </c>
      <c r="D226" t="s">
        <v>1864</v>
      </c>
      <c r="E226" t="s">
        <v>1864</v>
      </c>
      <c r="F226" t="s">
        <v>201</v>
      </c>
      <c r="G226" t="str">
        <f t="shared" si="18"/>
        <v>B</v>
      </c>
      <c r="H226" t="str">
        <f t="shared" si="18"/>
        <v>08</v>
      </c>
      <c r="I226" t="str">
        <f t="shared" si="18"/>
        <v>089</v>
      </c>
      <c r="J226" t="str">
        <f t="shared" si="18"/>
        <v>08100</v>
      </c>
      <c r="K226" t="str">
        <f t="shared" si="16"/>
        <v/>
      </c>
    </row>
    <row r="227" spans="2:14" x14ac:dyDescent="0.25">
      <c r="C227" t="s">
        <v>1864</v>
      </c>
      <c r="D227" t="s">
        <v>2089</v>
      </c>
      <c r="E227" t="s">
        <v>1864</v>
      </c>
      <c r="F227" t="s">
        <v>202</v>
      </c>
      <c r="G227" t="str">
        <f t="shared" si="18"/>
        <v>B</v>
      </c>
      <c r="H227" t="str">
        <f t="shared" si="18"/>
        <v>08</v>
      </c>
      <c r="I227" t="str">
        <f t="shared" si="18"/>
        <v>089</v>
      </c>
      <c r="J227" t="str">
        <f t="shared" si="18"/>
        <v>08916</v>
      </c>
      <c r="K227" t="str">
        <f t="shared" si="16"/>
        <v/>
      </c>
    </row>
    <row r="228" spans="2:14" x14ac:dyDescent="0.25">
      <c r="C228" t="s">
        <v>1864</v>
      </c>
      <c r="D228" t="s">
        <v>1864</v>
      </c>
      <c r="E228" t="s">
        <v>2090</v>
      </c>
      <c r="F228" t="s">
        <v>202</v>
      </c>
      <c r="G228" t="str">
        <f t="shared" si="18"/>
        <v>B</v>
      </c>
      <c r="H228" t="str">
        <f t="shared" si="18"/>
        <v>08</v>
      </c>
      <c r="I228" t="str">
        <f t="shared" si="18"/>
        <v>089</v>
      </c>
      <c r="J228" t="str">
        <f t="shared" si="18"/>
        <v>08916</v>
      </c>
      <c r="K228" t="str">
        <f t="shared" si="16"/>
        <v>0891600</v>
      </c>
      <c r="L228">
        <v>1</v>
      </c>
    </row>
    <row r="229" spans="2:14" x14ac:dyDescent="0.25">
      <c r="C229" t="s">
        <v>1864</v>
      </c>
      <c r="D229" t="s">
        <v>2091</v>
      </c>
      <c r="E229" t="s">
        <v>1864</v>
      </c>
      <c r="F229" t="s">
        <v>203</v>
      </c>
      <c r="G229" t="str">
        <f t="shared" si="18"/>
        <v>B</v>
      </c>
      <c r="H229" t="str">
        <f t="shared" si="18"/>
        <v>08</v>
      </c>
      <c r="I229" t="str">
        <f t="shared" si="18"/>
        <v>089</v>
      </c>
      <c r="J229" t="str">
        <f t="shared" si="18"/>
        <v>08924</v>
      </c>
      <c r="K229" t="str">
        <f t="shared" si="16"/>
        <v/>
      </c>
    </row>
    <row r="230" spans="2:14" x14ac:dyDescent="0.25">
      <c r="C230" t="s">
        <v>1864</v>
      </c>
      <c r="D230" t="s">
        <v>1864</v>
      </c>
      <c r="E230" t="s">
        <v>2092</v>
      </c>
      <c r="F230" t="s">
        <v>204</v>
      </c>
      <c r="G230" t="str">
        <f t="shared" si="18"/>
        <v>B</v>
      </c>
      <c r="H230" t="str">
        <f t="shared" si="18"/>
        <v>08</v>
      </c>
      <c r="I230" t="str">
        <f t="shared" si="18"/>
        <v>089</v>
      </c>
      <c r="J230" t="str">
        <f t="shared" si="18"/>
        <v>08924</v>
      </c>
      <c r="K230" t="str">
        <f t="shared" si="16"/>
        <v>0892401</v>
      </c>
      <c r="L230">
        <v>0</v>
      </c>
      <c r="N230">
        <v>1</v>
      </c>
    </row>
    <row r="231" spans="2:14" x14ac:dyDescent="0.25">
      <c r="C231" t="s">
        <v>1864</v>
      </c>
      <c r="D231" t="s">
        <v>1864</v>
      </c>
      <c r="E231" t="s">
        <v>2093</v>
      </c>
      <c r="F231" t="s">
        <v>205</v>
      </c>
      <c r="G231" t="str">
        <f t="shared" si="18"/>
        <v>B</v>
      </c>
      <c r="H231" t="str">
        <f t="shared" si="18"/>
        <v>08</v>
      </c>
      <c r="I231" t="str">
        <f t="shared" si="18"/>
        <v>089</v>
      </c>
      <c r="J231" t="str">
        <f t="shared" si="18"/>
        <v>08924</v>
      </c>
      <c r="K231" t="str">
        <f t="shared" si="16"/>
        <v>0892402</v>
      </c>
      <c r="L231">
        <v>0</v>
      </c>
      <c r="N231">
        <v>1</v>
      </c>
    </row>
    <row r="232" spans="2:14" x14ac:dyDescent="0.25">
      <c r="C232" t="s">
        <v>1864</v>
      </c>
      <c r="D232" t="s">
        <v>1864</v>
      </c>
      <c r="E232" t="s">
        <v>2094</v>
      </c>
      <c r="F232" t="s">
        <v>206</v>
      </c>
      <c r="G232" t="str">
        <f t="shared" si="18"/>
        <v>B</v>
      </c>
      <c r="H232" t="str">
        <f t="shared" si="18"/>
        <v>08</v>
      </c>
      <c r="I232" t="str">
        <f t="shared" si="18"/>
        <v>089</v>
      </c>
      <c r="J232" t="str">
        <f t="shared" si="18"/>
        <v>08924</v>
      </c>
      <c r="K232" t="str">
        <f t="shared" si="16"/>
        <v>0892403</v>
      </c>
      <c r="L232">
        <v>0</v>
      </c>
      <c r="N232">
        <v>1</v>
      </c>
    </row>
    <row r="233" spans="2:14" x14ac:dyDescent="0.25">
      <c r="C233" t="s">
        <v>1864</v>
      </c>
      <c r="D233" t="s">
        <v>2095</v>
      </c>
      <c r="E233" t="s">
        <v>1864</v>
      </c>
      <c r="F233" t="s">
        <v>207</v>
      </c>
      <c r="G233" t="str">
        <f t="shared" ref="G233:J248" si="19">IF(A233="",G232,A233)</f>
        <v>B</v>
      </c>
      <c r="H233" t="str">
        <f t="shared" si="19"/>
        <v>08</v>
      </c>
      <c r="I233" t="str">
        <f t="shared" si="19"/>
        <v>089</v>
      </c>
      <c r="J233" t="str">
        <f t="shared" si="19"/>
        <v>08932</v>
      </c>
      <c r="K233" t="str">
        <f t="shared" si="16"/>
        <v/>
      </c>
    </row>
    <row r="234" spans="2:14" x14ac:dyDescent="0.25">
      <c r="C234" t="s">
        <v>1864</v>
      </c>
      <c r="D234" t="s">
        <v>1864</v>
      </c>
      <c r="E234" t="s">
        <v>2096</v>
      </c>
      <c r="F234" t="s">
        <v>207</v>
      </c>
      <c r="G234" t="str">
        <f t="shared" si="19"/>
        <v>B</v>
      </c>
      <c r="H234" t="str">
        <f t="shared" si="19"/>
        <v>08</v>
      </c>
      <c r="I234" t="str">
        <f t="shared" si="19"/>
        <v>089</v>
      </c>
      <c r="J234" t="str">
        <f t="shared" si="19"/>
        <v>08932</v>
      </c>
      <c r="K234" t="str">
        <f t="shared" si="16"/>
        <v>0893200</v>
      </c>
      <c r="L234">
        <v>0</v>
      </c>
      <c r="N234">
        <v>1</v>
      </c>
    </row>
    <row r="235" spans="2:14" x14ac:dyDescent="0.25">
      <c r="C235" t="s">
        <v>1864</v>
      </c>
      <c r="D235" t="s">
        <v>2097</v>
      </c>
      <c r="E235" t="s">
        <v>1864</v>
      </c>
      <c r="F235" t="s">
        <v>208</v>
      </c>
      <c r="G235" t="str">
        <f t="shared" si="19"/>
        <v>B</v>
      </c>
      <c r="H235" t="str">
        <f t="shared" si="19"/>
        <v>08</v>
      </c>
      <c r="I235" t="str">
        <f t="shared" si="19"/>
        <v>089</v>
      </c>
      <c r="J235" t="str">
        <f t="shared" si="19"/>
        <v>08991</v>
      </c>
      <c r="K235" t="str">
        <f t="shared" si="16"/>
        <v/>
      </c>
    </row>
    <row r="236" spans="2:14" x14ac:dyDescent="0.25">
      <c r="C236" t="s">
        <v>1864</v>
      </c>
      <c r="D236" t="s">
        <v>1864</v>
      </c>
      <c r="E236" t="s">
        <v>2098</v>
      </c>
      <c r="F236" t="s">
        <v>209</v>
      </c>
      <c r="G236" t="str">
        <f t="shared" si="19"/>
        <v>B</v>
      </c>
      <c r="H236" t="str">
        <f t="shared" si="19"/>
        <v>08</v>
      </c>
      <c r="I236" t="str">
        <f t="shared" si="19"/>
        <v>089</v>
      </c>
      <c r="J236" t="str">
        <f t="shared" si="19"/>
        <v>08991</v>
      </c>
      <c r="K236" t="str">
        <f t="shared" si="16"/>
        <v>0899101</v>
      </c>
      <c r="L236">
        <v>0</v>
      </c>
      <c r="N236">
        <v>1</v>
      </c>
    </row>
    <row r="237" spans="2:14" x14ac:dyDescent="0.25">
      <c r="C237" t="s">
        <v>1864</v>
      </c>
      <c r="D237" t="s">
        <v>1864</v>
      </c>
      <c r="E237" t="s">
        <v>2099</v>
      </c>
      <c r="F237" t="s">
        <v>210</v>
      </c>
      <c r="G237" t="str">
        <f t="shared" si="19"/>
        <v>B</v>
      </c>
      <c r="H237" t="str">
        <f t="shared" si="19"/>
        <v>08</v>
      </c>
      <c r="I237" t="str">
        <f t="shared" si="19"/>
        <v>089</v>
      </c>
      <c r="J237" t="str">
        <f t="shared" si="19"/>
        <v>08991</v>
      </c>
      <c r="K237" t="str">
        <f t="shared" si="16"/>
        <v>0899102</v>
      </c>
      <c r="L237">
        <v>0</v>
      </c>
      <c r="N237">
        <v>1</v>
      </c>
    </row>
    <row r="238" spans="2:14" x14ac:dyDescent="0.25">
      <c r="C238" t="s">
        <v>1864</v>
      </c>
      <c r="D238" t="s">
        <v>1864</v>
      </c>
      <c r="E238" t="s">
        <v>2100</v>
      </c>
      <c r="F238" t="s">
        <v>211</v>
      </c>
      <c r="G238" t="str">
        <f t="shared" si="19"/>
        <v>B</v>
      </c>
      <c r="H238" t="str">
        <f t="shared" si="19"/>
        <v>08</v>
      </c>
      <c r="I238" t="str">
        <f t="shared" si="19"/>
        <v>089</v>
      </c>
      <c r="J238" t="str">
        <f t="shared" si="19"/>
        <v>08991</v>
      </c>
      <c r="K238" t="str">
        <f t="shared" si="16"/>
        <v>0899103</v>
      </c>
      <c r="L238">
        <v>0</v>
      </c>
      <c r="N238">
        <v>1</v>
      </c>
    </row>
    <row r="239" spans="2:14" x14ac:dyDescent="0.25">
      <c r="C239" t="s">
        <v>1864</v>
      </c>
      <c r="D239" t="s">
        <v>1864</v>
      </c>
      <c r="E239" t="s">
        <v>2101</v>
      </c>
      <c r="F239" t="s">
        <v>212</v>
      </c>
      <c r="G239" t="str">
        <f t="shared" si="19"/>
        <v>B</v>
      </c>
      <c r="H239" t="str">
        <f t="shared" si="19"/>
        <v>08</v>
      </c>
      <c r="I239" t="str">
        <f t="shared" si="19"/>
        <v>089</v>
      </c>
      <c r="J239" t="str">
        <f t="shared" si="19"/>
        <v>08991</v>
      </c>
      <c r="K239" t="str">
        <f t="shared" si="16"/>
        <v>0899199</v>
      </c>
      <c r="L239">
        <v>0</v>
      </c>
      <c r="N239">
        <v>1</v>
      </c>
    </row>
    <row r="240" spans="2:14" x14ac:dyDescent="0.25">
      <c r="B240" t="s">
        <v>2102</v>
      </c>
      <c r="C240" t="s">
        <v>1864</v>
      </c>
      <c r="D240" t="s">
        <v>1864</v>
      </c>
      <c r="E240" t="s">
        <v>1864</v>
      </c>
      <c r="F240" t="s">
        <v>213</v>
      </c>
      <c r="G240" t="str">
        <f t="shared" si="19"/>
        <v>B</v>
      </c>
      <c r="H240" t="str">
        <f t="shared" si="19"/>
        <v>09</v>
      </c>
      <c r="I240" t="str">
        <f t="shared" si="19"/>
        <v>089</v>
      </c>
      <c r="J240" t="str">
        <f t="shared" si="19"/>
        <v>08991</v>
      </c>
      <c r="K240" t="str">
        <f t="shared" si="16"/>
        <v/>
      </c>
    </row>
    <row r="241" spans="1:14" x14ac:dyDescent="0.25">
      <c r="C241" t="s">
        <v>2103</v>
      </c>
      <c r="D241" t="s">
        <v>1864</v>
      </c>
      <c r="E241" t="s">
        <v>1864</v>
      </c>
      <c r="F241" t="s">
        <v>214</v>
      </c>
      <c r="G241" t="str">
        <f t="shared" si="19"/>
        <v>B</v>
      </c>
      <c r="H241" t="str">
        <f t="shared" si="19"/>
        <v>09</v>
      </c>
      <c r="I241" t="str">
        <f t="shared" si="19"/>
        <v>091</v>
      </c>
      <c r="J241" t="str">
        <f t="shared" si="19"/>
        <v>08991</v>
      </c>
      <c r="K241" t="str">
        <f t="shared" si="16"/>
        <v/>
      </c>
    </row>
    <row r="242" spans="1:14" x14ac:dyDescent="0.25">
      <c r="C242" t="s">
        <v>1864</v>
      </c>
      <c r="D242" t="s">
        <v>2104</v>
      </c>
      <c r="E242" t="s">
        <v>1864</v>
      </c>
      <c r="F242" t="s">
        <v>214</v>
      </c>
      <c r="G242" t="str">
        <f t="shared" si="19"/>
        <v>B</v>
      </c>
      <c r="H242" t="str">
        <f t="shared" si="19"/>
        <v>09</v>
      </c>
      <c r="I242" t="str">
        <f t="shared" si="19"/>
        <v>091</v>
      </c>
      <c r="J242" t="str">
        <f t="shared" si="19"/>
        <v>09106</v>
      </c>
      <c r="K242" t="str">
        <f t="shared" si="16"/>
        <v/>
      </c>
    </row>
    <row r="243" spans="1:14" x14ac:dyDescent="0.25">
      <c r="C243" t="s">
        <v>1864</v>
      </c>
      <c r="D243" t="s">
        <v>1864</v>
      </c>
      <c r="E243" t="s">
        <v>2105</v>
      </c>
      <c r="F243" t="s">
        <v>214</v>
      </c>
      <c r="G243" t="str">
        <f t="shared" si="19"/>
        <v>B</v>
      </c>
      <c r="H243" t="str">
        <f t="shared" si="19"/>
        <v>09</v>
      </c>
      <c r="I243" t="str">
        <f t="shared" si="19"/>
        <v>091</v>
      </c>
      <c r="J243" t="str">
        <f t="shared" si="19"/>
        <v>09106</v>
      </c>
      <c r="K243" t="str">
        <f t="shared" si="16"/>
        <v>0910600</v>
      </c>
      <c r="L243">
        <v>0</v>
      </c>
      <c r="N243">
        <v>1</v>
      </c>
    </row>
    <row r="244" spans="1:14" x14ac:dyDescent="0.25">
      <c r="C244" t="s">
        <v>2106</v>
      </c>
      <c r="D244" t="s">
        <v>1864</v>
      </c>
      <c r="E244" t="s">
        <v>1864</v>
      </c>
      <c r="F244" t="s">
        <v>215</v>
      </c>
      <c r="G244" t="str">
        <f t="shared" si="19"/>
        <v>B</v>
      </c>
      <c r="H244" t="str">
        <f t="shared" si="19"/>
        <v>09</v>
      </c>
      <c r="I244" t="str">
        <f t="shared" si="19"/>
        <v>099</v>
      </c>
      <c r="J244" t="str">
        <f t="shared" si="19"/>
        <v>09106</v>
      </c>
      <c r="K244" t="str">
        <f t="shared" si="16"/>
        <v/>
      </c>
    </row>
    <row r="245" spans="1:14" x14ac:dyDescent="0.25">
      <c r="C245" t="s">
        <v>1864</v>
      </c>
      <c r="D245" t="s">
        <v>2107</v>
      </c>
      <c r="E245" t="s">
        <v>1864</v>
      </c>
      <c r="F245" t="s">
        <v>215</v>
      </c>
      <c r="G245" t="str">
        <f t="shared" si="19"/>
        <v>B</v>
      </c>
      <c r="H245" t="str">
        <f t="shared" si="19"/>
        <v>09</v>
      </c>
      <c r="I245" t="str">
        <f t="shared" si="19"/>
        <v>099</v>
      </c>
      <c r="J245" t="str">
        <f t="shared" si="19"/>
        <v>09904</v>
      </c>
      <c r="K245" t="str">
        <f t="shared" si="16"/>
        <v/>
      </c>
    </row>
    <row r="246" spans="1:14" x14ac:dyDescent="0.25">
      <c r="C246" t="s">
        <v>1864</v>
      </c>
      <c r="D246" t="s">
        <v>1864</v>
      </c>
      <c r="E246" t="s">
        <v>2108</v>
      </c>
      <c r="F246" t="s">
        <v>216</v>
      </c>
      <c r="G246" t="str">
        <f t="shared" si="19"/>
        <v>B</v>
      </c>
      <c r="H246" t="str">
        <f t="shared" si="19"/>
        <v>09</v>
      </c>
      <c r="I246" t="str">
        <f t="shared" si="19"/>
        <v>099</v>
      </c>
      <c r="J246" t="str">
        <f t="shared" si="19"/>
        <v>09904</v>
      </c>
      <c r="K246" t="str">
        <f t="shared" si="16"/>
        <v>0990401</v>
      </c>
      <c r="L246">
        <v>0</v>
      </c>
      <c r="N246">
        <v>1</v>
      </c>
    </row>
    <row r="247" spans="1:14" x14ac:dyDescent="0.25">
      <c r="C247" t="s">
        <v>1864</v>
      </c>
      <c r="D247" t="s">
        <v>1864</v>
      </c>
      <c r="E247" t="s">
        <v>2109</v>
      </c>
      <c r="F247" t="s">
        <v>217</v>
      </c>
      <c r="G247" t="str">
        <f t="shared" si="19"/>
        <v>B</v>
      </c>
      <c r="H247" t="str">
        <f t="shared" si="19"/>
        <v>09</v>
      </c>
      <c r="I247" t="str">
        <f t="shared" si="19"/>
        <v>099</v>
      </c>
      <c r="J247" t="str">
        <f t="shared" si="19"/>
        <v>09904</v>
      </c>
      <c r="K247" t="str">
        <f t="shared" si="16"/>
        <v>0990402</v>
      </c>
      <c r="L247">
        <v>0</v>
      </c>
      <c r="N247">
        <v>1</v>
      </c>
    </row>
    <row r="248" spans="1:14" x14ac:dyDescent="0.25">
      <c r="C248" t="s">
        <v>1864</v>
      </c>
      <c r="D248" t="s">
        <v>1864</v>
      </c>
      <c r="E248" t="s">
        <v>2110</v>
      </c>
      <c r="F248" t="s">
        <v>218</v>
      </c>
      <c r="G248" t="str">
        <f t="shared" si="19"/>
        <v>B</v>
      </c>
      <c r="H248" t="str">
        <f t="shared" si="19"/>
        <v>09</v>
      </c>
      <c r="I248" t="str">
        <f t="shared" si="19"/>
        <v>099</v>
      </c>
      <c r="J248" t="str">
        <f t="shared" si="19"/>
        <v>09904</v>
      </c>
      <c r="K248" t="str">
        <f t="shared" si="16"/>
        <v>0990403</v>
      </c>
      <c r="L248">
        <v>0</v>
      </c>
      <c r="N248">
        <v>1</v>
      </c>
    </row>
    <row r="249" spans="1:14" x14ac:dyDescent="0.25">
      <c r="A249" t="s">
        <v>2111</v>
      </c>
      <c r="C249" t="s">
        <v>1864</v>
      </c>
      <c r="D249" t="s">
        <v>1864</v>
      </c>
      <c r="E249" t="s">
        <v>1864</v>
      </c>
      <c r="F249" t="s">
        <v>219</v>
      </c>
      <c r="G249" t="str">
        <f t="shared" ref="G249:J264" si="20">IF(A249="",G248,A249)</f>
        <v>C</v>
      </c>
      <c r="H249" t="str">
        <f t="shared" si="20"/>
        <v>09</v>
      </c>
      <c r="I249" t="str">
        <f t="shared" si="20"/>
        <v>099</v>
      </c>
      <c r="J249" t="str">
        <f t="shared" si="20"/>
        <v>09904</v>
      </c>
      <c r="K249" t="str">
        <f t="shared" si="16"/>
        <v/>
      </c>
    </row>
    <row r="250" spans="1:14" x14ac:dyDescent="0.25">
      <c r="B250" t="s">
        <v>2112</v>
      </c>
      <c r="C250" t="s">
        <v>1864</v>
      </c>
      <c r="D250" t="s">
        <v>1864</v>
      </c>
      <c r="E250" t="s">
        <v>1864</v>
      </c>
      <c r="F250" t="s">
        <v>220</v>
      </c>
      <c r="G250" t="str">
        <f t="shared" si="20"/>
        <v>C</v>
      </c>
      <c r="H250" t="str">
        <f t="shared" si="20"/>
        <v>10</v>
      </c>
      <c r="I250" t="str">
        <f t="shared" si="20"/>
        <v>099</v>
      </c>
      <c r="J250" t="str">
        <f t="shared" si="20"/>
        <v>09904</v>
      </c>
      <c r="K250" t="str">
        <f t="shared" si="16"/>
        <v/>
      </c>
    </row>
    <row r="251" spans="1:14" x14ac:dyDescent="0.25">
      <c r="C251" t="s">
        <v>2113</v>
      </c>
      <c r="D251" t="s">
        <v>1864</v>
      </c>
      <c r="E251" t="s">
        <v>1864</v>
      </c>
      <c r="F251" t="s">
        <v>221</v>
      </c>
      <c r="G251" t="str">
        <f t="shared" si="20"/>
        <v>C</v>
      </c>
      <c r="H251" t="str">
        <f t="shared" si="20"/>
        <v>10</v>
      </c>
      <c r="I251" t="str">
        <f t="shared" si="20"/>
        <v>101</v>
      </c>
      <c r="J251" t="str">
        <f t="shared" si="20"/>
        <v>09904</v>
      </c>
      <c r="K251" t="str">
        <f t="shared" si="16"/>
        <v/>
      </c>
    </row>
    <row r="252" spans="1:14" x14ac:dyDescent="0.25">
      <c r="C252" t="s">
        <v>1864</v>
      </c>
      <c r="D252" t="s">
        <v>2114</v>
      </c>
      <c r="E252" t="s">
        <v>1864</v>
      </c>
      <c r="F252" t="s">
        <v>222</v>
      </c>
      <c r="G252" t="str">
        <f t="shared" si="20"/>
        <v>C</v>
      </c>
      <c r="H252" t="str">
        <f t="shared" si="20"/>
        <v>10</v>
      </c>
      <c r="I252" t="str">
        <f t="shared" si="20"/>
        <v>101</v>
      </c>
      <c r="J252" t="str">
        <f t="shared" si="20"/>
        <v>10112</v>
      </c>
      <c r="K252" t="str">
        <f t="shared" si="16"/>
        <v/>
      </c>
    </row>
    <row r="253" spans="1:14" x14ac:dyDescent="0.25">
      <c r="C253" t="s">
        <v>1864</v>
      </c>
      <c r="D253" t="s">
        <v>1864</v>
      </c>
      <c r="E253" t="s">
        <v>2115</v>
      </c>
      <c r="F253" t="s">
        <v>223</v>
      </c>
      <c r="G253" t="str">
        <f t="shared" si="20"/>
        <v>C</v>
      </c>
      <c r="H253" t="str">
        <f t="shared" si="20"/>
        <v>10</v>
      </c>
      <c r="I253" t="str">
        <f t="shared" si="20"/>
        <v>101</v>
      </c>
      <c r="J253" t="str">
        <f t="shared" si="20"/>
        <v>10112</v>
      </c>
      <c r="K253" t="str">
        <f t="shared" si="16"/>
        <v>1011201</v>
      </c>
      <c r="L253">
        <v>0</v>
      </c>
    </row>
    <row r="254" spans="1:14" x14ac:dyDescent="0.25">
      <c r="C254" t="s">
        <v>1864</v>
      </c>
      <c r="D254" t="s">
        <v>1864</v>
      </c>
      <c r="E254" t="s">
        <v>2116</v>
      </c>
      <c r="F254" t="s">
        <v>224</v>
      </c>
      <c r="G254" t="str">
        <f t="shared" si="20"/>
        <v>C</v>
      </c>
      <c r="H254" t="str">
        <f t="shared" si="20"/>
        <v>10</v>
      </c>
      <c r="I254" t="str">
        <f t="shared" si="20"/>
        <v>101</v>
      </c>
      <c r="J254" t="str">
        <f t="shared" si="20"/>
        <v>10112</v>
      </c>
      <c r="K254" t="str">
        <f t="shared" si="16"/>
        <v>1011202</v>
      </c>
      <c r="L254">
        <v>0</v>
      </c>
    </row>
    <row r="255" spans="1:14" x14ac:dyDescent="0.25">
      <c r="C255" t="s">
        <v>1864</v>
      </c>
      <c r="D255" t="s">
        <v>1864</v>
      </c>
      <c r="E255" t="s">
        <v>2117</v>
      </c>
      <c r="F255" t="s">
        <v>225</v>
      </c>
      <c r="G255" t="str">
        <f t="shared" si="20"/>
        <v>C</v>
      </c>
      <c r="H255" t="str">
        <f t="shared" si="20"/>
        <v>10</v>
      </c>
      <c r="I255" t="str">
        <f t="shared" si="20"/>
        <v>101</v>
      </c>
      <c r="J255" t="str">
        <f t="shared" si="20"/>
        <v>10112</v>
      </c>
      <c r="K255" t="str">
        <f t="shared" si="16"/>
        <v>1011203</v>
      </c>
      <c r="L255">
        <v>1</v>
      </c>
    </row>
    <row r="256" spans="1:14" x14ac:dyDescent="0.25">
      <c r="C256" t="s">
        <v>1864</v>
      </c>
      <c r="D256" t="s">
        <v>1864</v>
      </c>
      <c r="E256" t="s">
        <v>2118</v>
      </c>
      <c r="F256" t="s">
        <v>226</v>
      </c>
      <c r="G256" t="str">
        <f t="shared" si="20"/>
        <v>C</v>
      </c>
      <c r="H256" t="str">
        <f t="shared" si="20"/>
        <v>10</v>
      </c>
      <c r="I256" t="str">
        <f t="shared" si="20"/>
        <v>101</v>
      </c>
      <c r="J256" t="str">
        <f t="shared" si="20"/>
        <v>10112</v>
      </c>
      <c r="K256" t="str">
        <f t="shared" si="16"/>
        <v>1011204</v>
      </c>
      <c r="L256">
        <v>0</v>
      </c>
    </row>
    <row r="257" spans="3:12" x14ac:dyDescent="0.25">
      <c r="C257" t="s">
        <v>1864</v>
      </c>
      <c r="D257" t="s">
        <v>1864</v>
      </c>
      <c r="E257" t="s">
        <v>2119</v>
      </c>
      <c r="F257" t="s">
        <v>227</v>
      </c>
      <c r="G257" t="str">
        <f t="shared" si="20"/>
        <v>C</v>
      </c>
      <c r="H257" t="str">
        <f t="shared" si="20"/>
        <v>10</v>
      </c>
      <c r="I257" t="str">
        <f t="shared" si="20"/>
        <v>101</v>
      </c>
      <c r="J257" t="str">
        <f t="shared" si="20"/>
        <v>10112</v>
      </c>
      <c r="K257" t="str">
        <f t="shared" si="16"/>
        <v>1011205</v>
      </c>
      <c r="L257">
        <v>1</v>
      </c>
    </row>
    <row r="258" spans="3:12" x14ac:dyDescent="0.25">
      <c r="C258" t="s">
        <v>1864</v>
      </c>
      <c r="D258" t="s">
        <v>2120</v>
      </c>
      <c r="E258" t="s">
        <v>1864</v>
      </c>
      <c r="F258" t="s">
        <v>228</v>
      </c>
      <c r="G258" t="str">
        <f t="shared" si="20"/>
        <v>C</v>
      </c>
      <c r="H258" t="str">
        <f t="shared" si="20"/>
        <v>10</v>
      </c>
      <c r="I258" t="str">
        <f t="shared" si="20"/>
        <v>101</v>
      </c>
      <c r="J258" t="str">
        <f t="shared" si="20"/>
        <v>10121</v>
      </c>
      <c r="K258" t="str">
        <f t="shared" si="16"/>
        <v/>
      </c>
    </row>
    <row r="259" spans="3:12" x14ac:dyDescent="0.25">
      <c r="C259" t="s">
        <v>1864</v>
      </c>
      <c r="D259" t="s">
        <v>1864</v>
      </c>
      <c r="E259" t="s">
        <v>2121</v>
      </c>
      <c r="F259" t="s">
        <v>229</v>
      </c>
      <c r="G259" t="str">
        <f t="shared" si="20"/>
        <v>C</v>
      </c>
      <c r="H259" t="str">
        <f t="shared" si="20"/>
        <v>10</v>
      </c>
      <c r="I259" t="str">
        <f t="shared" si="20"/>
        <v>101</v>
      </c>
      <c r="J259" t="str">
        <f t="shared" si="20"/>
        <v>10121</v>
      </c>
      <c r="K259" t="str">
        <f t="shared" si="16"/>
        <v>1012101</v>
      </c>
      <c r="L259">
        <v>1</v>
      </c>
    </row>
    <row r="260" spans="3:12" x14ac:dyDescent="0.25">
      <c r="C260" t="s">
        <v>1864</v>
      </c>
      <c r="D260" t="s">
        <v>1864</v>
      </c>
      <c r="E260" t="s">
        <v>2122</v>
      </c>
      <c r="F260" t="s">
        <v>230</v>
      </c>
      <c r="G260" t="str">
        <f t="shared" si="20"/>
        <v>C</v>
      </c>
      <c r="H260" t="str">
        <f t="shared" si="20"/>
        <v>10</v>
      </c>
      <c r="I260" t="str">
        <f t="shared" si="20"/>
        <v>101</v>
      </c>
      <c r="J260" t="str">
        <f t="shared" si="20"/>
        <v>10121</v>
      </c>
      <c r="K260" t="str">
        <f t="shared" si="16"/>
        <v>1012102</v>
      </c>
      <c r="L260">
        <v>1</v>
      </c>
    </row>
    <row r="261" spans="3:12" x14ac:dyDescent="0.25">
      <c r="C261" t="s">
        <v>1864</v>
      </c>
      <c r="D261" t="s">
        <v>1864</v>
      </c>
      <c r="E261" t="s">
        <v>2123</v>
      </c>
      <c r="F261" t="s">
        <v>231</v>
      </c>
      <c r="G261" t="str">
        <f t="shared" si="20"/>
        <v>C</v>
      </c>
      <c r="H261" t="str">
        <f t="shared" si="20"/>
        <v>10</v>
      </c>
      <c r="I261" t="str">
        <f t="shared" si="20"/>
        <v>101</v>
      </c>
      <c r="J261" t="str">
        <f t="shared" si="20"/>
        <v>10121</v>
      </c>
      <c r="K261" t="str">
        <f t="shared" si="16"/>
        <v>1012103</v>
      </c>
      <c r="L261">
        <v>1</v>
      </c>
    </row>
    <row r="262" spans="3:12" x14ac:dyDescent="0.25">
      <c r="C262" t="s">
        <v>1864</v>
      </c>
      <c r="D262" t="s">
        <v>1864</v>
      </c>
      <c r="E262" t="s">
        <v>2124</v>
      </c>
      <c r="F262" t="s">
        <v>232</v>
      </c>
      <c r="G262" t="str">
        <f t="shared" si="20"/>
        <v>C</v>
      </c>
      <c r="H262" t="str">
        <f t="shared" si="20"/>
        <v>10</v>
      </c>
      <c r="I262" t="str">
        <f t="shared" si="20"/>
        <v>101</v>
      </c>
      <c r="J262" t="str">
        <f t="shared" si="20"/>
        <v>10121</v>
      </c>
      <c r="K262" t="str">
        <f t="shared" si="16"/>
        <v>1012104</v>
      </c>
      <c r="L262">
        <v>1</v>
      </c>
    </row>
    <row r="263" spans="3:12" x14ac:dyDescent="0.25">
      <c r="C263" t="s">
        <v>1864</v>
      </c>
      <c r="D263" t="s">
        <v>2125</v>
      </c>
      <c r="E263" t="s">
        <v>1864</v>
      </c>
      <c r="F263" t="s">
        <v>233</v>
      </c>
      <c r="G263" t="str">
        <f t="shared" si="20"/>
        <v>C</v>
      </c>
      <c r="H263" t="str">
        <f t="shared" si="20"/>
        <v>10</v>
      </c>
      <c r="I263" t="str">
        <f t="shared" si="20"/>
        <v>101</v>
      </c>
      <c r="J263" t="str">
        <f t="shared" si="20"/>
        <v>10139</v>
      </c>
      <c r="K263" t="str">
        <f t="shared" si="16"/>
        <v/>
      </c>
    </row>
    <row r="264" spans="3:12" x14ac:dyDescent="0.25">
      <c r="C264" t="s">
        <v>1864</v>
      </c>
      <c r="D264" t="s">
        <v>1864</v>
      </c>
      <c r="E264" t="s">
        <v>2126</v>
      </c>
      <c r="F264" t="s">
        <v>233</v>
      </c>
      <c r="G264" t="str">
        <f t="shared" si="20"/>
        <v>C</v>
      </c>
      <c r="H264" t="str">
        <f t="shared" si="20"/>
        <v>10</v>
      </c>
      <c r="I264" t="str">
        <f t="shared" si="20"/>
        <v>101</v>
      </c>
      <c r="J264" t="str">
        <f t="shared" si="20"/>
        <v>10139</v>
      </c>
      <c r="K264" t="str">
        <f t="shared" ref="K264:K327" si="21">E264</f>
        <v>1013901</v>
      </c>
      <c r="L264">
        <v>1</v>
      </c>
    </row>
    <row r="265" spans="3:12" x14ac:dyDescent="0.25">
      <c r="C265" t="s">
        <v>1864</v>
      </c>
      <c r="D265" t="s">
        <v>1864</v>
      </c>
      <c r="E265" t="s">
        <v>2127</v>
      </c>
      <c r="F265" t="s">
        <v>234</v>
      </c>
      <c r="G265" t="str">
        <f t="shared" ref="G265:J280" si="22">IF(A265="",G264,A265)</f>
        <v>C</v>
      </c>
      <c r="H265" t="str">
        <f t="shared" si="22"/>
        <v>10</v>
      </c>
      <c r="I265" t="str">
        <f t="shared" si="22"/>
        <v>101</v>
      </c>
      <c r="J265" t="str">
        <f t="shared" si="22"/>
        <v>10139</v>
      </c>
      <c r="K265" t="str">
        <f t="shared" si="21"/>
        <v>1013902</v>
      </c>
      <c r="L265">
        <v>1</v>
      </c>
    </row>
    <row r="266" spans="3:12" x14ac:dyDescent="0.25">
      <c r="C266" t="s">
        <v>2128</v>
      </c>
      <c r="D266" t="s">
        <v>1864</v>
      </c>
      <c r="E266" t="s">
        <v>1864</v>
      </c>
      <c r="F266" t="s">
        <v>235</v>
      </c>
      <c r="G266" t="str">
        <f t="shared" si="22"/>
        <v>C</v>
      </c>
      <c r="H266" t="str">
        <f t="shared" si="22"/>
        <v>10</v>
      </c>
      <c r="I266" t="str">
        <f t="shared" si="22"/>
        <v>102</v>
      </c>
      <c r="J266" t="str">
        <f t="shared" si="22"/>
        <v>10139</v>
      </c>
      <c r="K266" t="str">
        <f t="shared" si="21"/>
        <v/>
      </c>
    </row>
    <row r="267" spans="3:12" x14ac:dyDescent="0.25">
      <c r="C267" t="s">
        <v>1864</v>
      </c>
      <c r="D267" t="s">
        <v>2129</v>
      </c>
      <c r="E267" t="s">
        <v>1864</v>
      </c>
      <c r="F267" t="s">
        <v>235</v>
      </c>
      <c r="G267" t="str">
        <f t="shared" si="22"/>
        <v>C</v>
      </c>
      <c r="H267" t="str">
        <f t="shared" si="22"/>
        <v>10</v>
      </c>
      <c r="I267" t="str">
        <f t="shared" si="22"/>
        <v>102</v>
      </c>
      <c r="J267" t="str">
        <f t="shared" si="22"/>
        <v>10201</v>
      </c>
      <c r="K267" t="str">
        <f t="shared" si="21"/>
        <v/>
      </c>
    </row>
    <row r="268" spans="3:12" x14ac:dyDescent="0.25">
      <c r="C268" t="s">
        <v>1864</v>
      </c>
      <c r="D268" t="s">
        <v>1864</v>
      </c>
      <c r="E268" t="s">
        <v>2130</v>
      </c>
      <c r="F268" t="s">
        <v>236</v>
      </c>
      <c r="G268" t="str">
        <f t="shared" si="22"/>
        <v>C</v>
      </c>
      <c r="H268" t="str">
        <f t="shared" si="22"/>
        <v>10</v>
      </c>
      <c r="I268" t="str">
        <f t="shared" si="22"/>
        <v>102</v>
      </c>
      <c r="J268" t="str">
        <f t="shared" si="22"/>
        <v>10201</v>
      </c>
      <c r="K268" t="str">
        <f t="shared" si="21"/>
        <v>1020101</v>
      </c>
      <c r="L268">
        <v>1</v>
      </c>
    </row>
    <row r="269" spans="3:12" x14ac:dyDescent="0.25">
      <c r="C269" t="s">
        <v>1864</v>
      </c>
      <c r="D269" t="s">
        <v>1864</v>
      </c>
      <c r="E269" t="s">
        <v>2131</v>
      </c>
      <c r="F269" t="s">
        <v>237</v>
      </c>
      <c r="G269" t="str">
        <f t="shared" si="22"/>
        <v>C</v>
      </c>
      <c r="H269" t="str">
        <f t="shared" si="22"/>
        <v>10</v>
      </c>
      <c r="I269" t="str">
        <f t="shared" si="22"/>
        <v>102</v>
      </c>
      <c r="J269" t="str">
        <f t="shared" si="22"/>
        <v>10201</v>
      </c>
      <c r="K269" t="str">
        <f t="shared" si="21"/>
        <v>1020102</v>
      </c>
      <c r="L269">
        <v>1</v>
      </c>
    </row>
    <row r="270" spans="3:12" x14ac:dyDescent="0.25">
      <c r="C270" t="s">
        <v>2132</v>
      </c>
      <c r="D270" t="s">
        <v>1864</v>
      </c>
      <c r="E270" t="s">
        <v>1864</v>
      </c>
      <c r="F270" t="s">
        <v>238</v>
      </c>
      <c r="G270" t="str">
        <f t="shared" si="22"/>
        <v>C</v>
      </c>
      <c r="H270" t="str">
        <f t="shared" si="22"/>
        <v>10</v>
      </c>
      <c r="I270" t="str">
        <f t="shared" si="22"/>
        <v>103</v>
      </c>
      <c r="J270" t="str">
        <f t="shared" si="22"/>
        <v>10201</v>
      </c>
      <c r="K270" t="str">
        <f t="shared" si="21"/>
        <v/>
      </c>
    </row>
    <row r="271" spans="3:12" x14ac:dyDescent="0.25">
      <c r="C271" t="s">
        <v>1864</v>
      </c>
      <c r="D271" t="s">
        <v>2133</v>
      </c>
      <c r="E271" t="s">
        <v>1864</v>
      </c>
      <c r="F271" t="s">
        <v>239</v>
      </c>
      <c r="G271" t="str">
        <f t="shared" si="22"/>
        <v>C</v>
      </c>
      <c r="H271" t="str">
        <f t="shared" si="22"/>
        <v>10</v>
      </c>
      <c r="I271" t="str">
        <f t="shared" si="22"/>
        <v>103</v>
      </c>
      <c r="J271" t="str">
        <f t="shared" si="22"/>
        <v>10317</v>
      </c>
      <c r="K271" t="str">
        <f t="shared" si="21"/>
        <v/>
      </c>
    </row>
    <row r="272" spans="3:12" x14ac:dyDescent="0.25">
      <c r="C272" t="s">
        <v>1864</v>
      </c>
      <c r="D272" t="s">
        <v>1864</v>
      </c>
      <c r="E272" t="s">
        <v>2134</v>
      </c>
      <c r="F272" t="s">
        <v>239</v>
      </c>
      <c r="G272" t="str">
        <f t="shared" si="22"/>
        <v>C</v>
      </c>
      <c r="H272" t="str">
        <f t="shared" si="22"/>
        <v>10</v>
      </c>
      <c r="I272" t="str">
        <f t="shared" si="22"/>
        <v>103</v>
      </c>
      <c r="J272" t="str">
        <f t="shared" si="22"/>
        <v>10317</v>
      </c>
      <c r="K272" t="str">
        <f t="shared" si="21"/>
        <v>1031700</v>
      </c>
      <c r="L272">
        <v>1</v>
      </c>
    </row>
    <row r="273" spans="3:12" x14ac:dyDescent="0.25">
      <c r="C273" t="s">
        <v>1864</v>
      </c>
      <c r="D273" t="s">
        <v>2135</v>
      </c>
      <c r="E273" t="s">
        <v>1864</v>
      </c>
      <c r="F273" t="s">
        <v>240</v>
      </c>
      <c r="G273" t="str">
        <f t="shared" si="22"/>
        <v>C</v>
      </c>
      <c r="H273" t="str">
        <f t="shared" si="22"/>
        <v>10</v>
      </c>
      <c r="I273" t="str">
        <f t="shared" si="22"/>
        <v>103</v>
      </c>
      <c r="J273" t="str">
        <f t="shared" si="22"/>
        <v>10325</v>
      </c>
      <c r="K273" t="str">
        <f t="shared" si="21"/>
        <v/>
      </c>
    </row>
    <row r="274" spans="3:12" x14ac:dyDescent="0.25">
      <c r="C274" t="s">
        <v>1864</v>
      </c>
      <c r="D274" t="s">
        <v>1864</v>
      </c>
      <c r="E274" t="s">
        <v>2136</v>
      </c>
      <c r="F274" t="s">
        <v>241</v>
      </c>
      <c r="G274" t="str">
        <f t="shared" si="22"/>
        <v>C</v>
      </c>
      <c r="H274" t="str">
        <f t="shared" si="22"/>
        <v>10</v>
      </c>
      <c r="I274" t="str">
        <f t="shared" si="22"/>
        <v>103</v>
      </c>
      <c r="J274" t="str">
        <f t="shared" si="22"/>
        <v>10325</v>
      </c>
      <c r="K274" t="str">
        <f t="shared" si="21"/>
        <v>1032501</v>
      </c>
      <c r="L274">
        <v>1</v>
      </c>
    </row>
    <row r="275" spans="3:12" x14ac:dyDescent="0.25">
      <c r="C275" t="s">
        <v>1864</v>
      </c>
      <c r="D275" t="s">
        <v>1864</v>
      </c>
      <c r="E275" t="s">
        <v>2137</v>
      </c>
      <c r="F275" t="s">
        <v>242</v>
      </c>
      <c r="G275" t="str">
        <f t="shared" si="22"/>
        <v>C</v>
      </c>
      <c r="H275" t="str">
        <f t="shared" si="22"/>
        <v>10</v>
      </c>
      <c r="I275" t="str">
        <f t="shared" si="22"/>
        <v>103</v>
      </c>
      <c r="J275" t="str">
        <f t="shared" si="22"/>
        <v>10325</v>
      </c>
      <c r="K275" t="str">
        <f t="shared" si="21"/>
        <v>1032599</v>
      </c>
      <c r="L275">
        <v>1</v>
      </c>
    </row>
    <row r="276" spans="3:12" x14ac:dyDescent="0.25">
      <c r="C276" t="s">
        <v>1864</v>
      </c>
      <c r="D276" t="s">
        <v>2138</v>
      </c>
      <c r="E276" t="s">
        <v>1864</v>
      </c>
      <c r="F276" t="s">
        <v>243</v>
      </c>
      <c r="G276" t="str">
        <f t="shared" si="22"/>
        <v>C</v>
      </c>
      <c r="H276" t="str">
        <f t="shared" si="22"/>
        <v>10</v>
      </c>
      <c r="I276" t="str">
        <f t="shared" si="22"/>
        <v>103</v>
      </c>
      <c r="J276" t="str">
        <f t="shared" si="22"/>
        <v>10333</v>
      </c>
      <c r="K276" t="str">
        <f t="shared" si="21"/>
        <v/>
      </c>
    </row>
    <row r="277" spans="3:12" x14ac:dyDescent="0.25">
      <c r="C277" t="s">
        <v>1864</v>
      </c>
      <c r="D277" t="s">
        <v>1864</v>
      </c>
      <c r="E277" t="s">
        <v>2139</v>
      </c>
      <c r="F277" t="s">
        <v>244</v>
      </c>
      <c r="G277" t="str">
        <f t="shared" si="22"/>
        <v>C</v>
      </c>
      <c r="H277" t="str">
        <f t="shared" si="22"/>
        <v>10</v>
      </c>
      <c r="I277" t="str">
        <f t="shared" si="22"/>
        <v>103</v>
      </c>
      <c r="J277" t="str">
        <f t="shared" si="22"/>
        <v>10333</v>
      </c>
      <c r="K277" t="str">
        <f t="shared" si="21"/>
        <v>1033301</v>
      </c>
      <c r="L277">
        <v>1</v>
      </c>
    </row>
    <row r="278" spans="3:12" x14ac:dyDescent="0.25">
      <c r="C278" t="s">
        <v>1864</v>
      </c>
      <c r="D278" t="s">
        <v>1864</v>
      </c>
      <c r="E278" t="s">
        <v>2140</v>
      </c>
      <c r="F278" t="s">
        <v>245</v>
      </c>
      <c r="G278" t="str">
        <f t="shared" si="22"/>
        <v>C</v>
      </c>
      <c r="H278" t="str">
        <f t="shared" si="22"/>
        <v>10</v>
      </c>
      <c r="I278" t="str">
        <f t="shared" si="22"/>
        <v>103</v>
      </c>
      <c r="J278" t="str">
        <f t="shared" si="22"/>
        <v>10333</v>
      </c>
      <c r="K278" t="str">
        <f t="shared" si="21"/>
        <v>1033302</v>
      </c>
      <c r="L278">
        <v>1</v>
      </c>
    </row>
    <row r="279" spans="3:12" x14ac:dyDescent="0.25">
      <c r="C279" t="s">
        <v>2141</v>
      </c>
      <c r="D279" t="s">
        <v>1864</v>
      </c>
      <c r="E279" t="s">
        <v>1864</v>
      </c>
      <c r="F279" t="s">
        <v>246</v>
      </c>
      <c r="G279" t="str">
        <f t="shared" si="22"/>
        <v>C</v>
      </c>
      <c r="H279" t="str">
        <f t="shared" si="22"/>
        <v>10</v>
      </c>
      <c r="I279" t="str">
        <f t="shared" si="22"/>
        <v>104</v>
      </c>
      <c r="J279" t="str">
        <f t="shared" si="22"/>
        <v>10333</v>
      </c>
      <c r="K279" t="str">
        <f t="shared" si="21"/>
        <v/>
      </c>
    </row>
    <row r="280" spans="3:12" x14ac:dyDescent="0.25">
      <c r="C280" t="s">
        <v>1864</v>
      </c>
      <c r="D280" t="s">
        <v>2142</v>
      </c>
      <c r="E280" t="s">
        <v>1864</v>
      </c>
      <c r="F280" t="s">
        <v>247</v>
      </c>
      <c r="G280" t="str">
        <f t="shared" si="22"/>
        <v>C</v>
      </c>
      <c r="H280" t="str">
        <f t="shared" si="22"/>
        <v>10</v>
      </c>
      <c r="I280" t="str">
        <f t="shared" si="22"/>
        <v>104</v>
      </c>
      <c r="J280" t="str">
        <f t="shared" si="22"/>
        <v>10414</v>
      </c>
      <c r="K280" t="str">
        <f t="shared" si="21"/>
        <v/>
      </c>
    </row>
    <row r="281" spans="3:12" x14ac:dyDescent="0.25">
      <c r="C281" t="s">
        <v>1864</v>
      </c>
      <c r="D281" t="s">
        <v>1864</v>
      </c>
      <c r="E281" t="s">
        <v>2143</v>
      </c>
      <c r="F281" t="s">
        <v>247</v>
      </c>
      <c r="G281" t="str">
        <f t="shared" ref="G281:J296" si="23">IF(A281="",G280,A281)</f>
        <v>C</v>
      </c>
      <c r="H281" t="str">
        <f t="shared" si="23"/>
        <v>10</v>
      </c>
      <c r="I281" t="str">
        <f t="shared" si="23"/>
        <v>104</v>
      </c>
      <c r="J281" t="str">
        <f t="shared" si="23"/>
        <v>10414</v>
      </c>
      <c r="K281" t="str">
        <f t="shared" si="21"/>
        <v>1041400</v>
      </c>
      <c r="L281">
        <v>1</v>
      </c>
    </row>
    <row r="282" spans="3:12" x14ac:dyDescent="0.25">
      <c r="C282" t="s">
        <v>1864</v>
      </c>
      <c r="D282" t="s">
        <v>2144</v>
      </c>
      <c r="E282" t="s">
        <v>1864</v>
      </c>
      <c r="F282" t="s">
        <v>248</v>
      </c>
      <c r="G282" t="str">
        <f t="shared" si="23"/>
        <v>C</v>
      </c>
      <c r="H282" t="str">
        <f t="shared" si="23"/>
        <v>10</v>
      </c>
      <c r="I282" t="str">
        <f t="shared" si="23"/>
        <v>104</v>
      </c>
      <c r="J282" t="str">
        <f t="shared" si="23"/>
        <v>10422</v>
      </c>
      <c r="K282" t="str">
        <f t="shared" si="21"/>
        <v/>
      </c>
    </row>
    <row r="283" spans="3:12" x14ac:dyDescent="0.25">
      <c r="C283" t="s">
        <v>1864</v>
      </c>
      <c r="D283" t="s">
        <v>1864</v>
      </c>
      <c r="E283" t="s">
        <v>2145</v>
      </c>
      <c r="F283" t="s">
        <v>248</v>
      </c>
      <c r="G283" t="str">
        <f t="shared" si="23"/>
        <v>C</v>
      </c>
      <c r="H283" t="str">
        <f t="shared" si="23"/>
        <v>10</v>
      </c>
      <c r="I283" t="str">
        <f t="shared" si="23"/>
        <v>104</v>
      </c>
      <c r="J283" t="str">
        <f t="shared" si="23"/>
        <v>10422</v>
      </c>
      <c r="K283" t="str">
        <f t="shared" si="21"/>
        <v>1042200</v>
      </c>
      <c r="L283">
        <v>1</v>
      </c>
    </row>
    <row r="284" spans="3:12" x14ac:dyDescent="0.25">
      <c r="C284" t="s">
        <v>1864</v>
      </c>
      <c r="D284" t="s">
        <v>2146</v>
      </c>
      <c r="E284" t="s">
        <v>1864</v>
      </c>
      <c r="F284" t="s">
        <v>249</v>
      </c>
      <c r="G284" t="str">
        <f t="shared" si="23"/>
        <v>C</v>
      </c>
      <c r="H284" t="str">
        <f t="shared" si="23"/>
        <v>10</v>
      </c>
      <c r="I284" t="str">
        <f t="shared" si="23"/>
        <v>104</v>
      </c>
      <c r="J284" t="str">
        <f t="shared" si="23"/>
        <v>10431</v>
      </c>
      <c r="K284" t="str">
        <f t="shared" si="21"/>
        <v/>
      </c>
    </row>
    <row r="285" spans="3:12" x14ac:dyDescent="0.25">
      <c r="C285" t="s">
        <v>1864</v>
      </c>
      <c r="D285" t="s">
        <v>1864</v>
      </c>
      <c r="E285" t="s">
        <v>2147</v>
      </c>
      <c r="F285" t="s">
        <v>249</v>
      </c>
      <c r="G285" t="str">
        <f t="shared" si="23"/>
        <v>C</v>
      </c>
      <c r="H285" t="str">
        <f t="shared" si="23"/>
        <v>10</v>
      </c>
      <c r="I285" t="str">
        <f t="shared" si="23"/>
        <v>104</v>
      </c>
      <c r="J285" t="str">
        <f t="shared" si="23"/>
        <v>10431</v>
      </c>
      <c r="K285" t="str">
        <f t="shared" si="21"/>
        <v>1043100</v>
      </c>
      <c r="L285">
        <v>1</v>
      </c>
    </row>
    <row r="286" spans="3:12" x14ac:dyDescent="0.25">
      <c r="C286" t="s">
        <v>2148</v>
      </c>
      <c r="D286" t="s">
        <v>1864</v>
      </c>
      <c r="E286" t="s">
        <v>1864</v>
      </c>
      <c r="F286" t="s">
        <v>250</v>
      </c>
      <c r="G286" t="str">
        <f t="shared" si="23"/>
        <v>C</v>
      </c>
      <c r="H286" t="str">
        <f t="shared" si="23"/>
        <v>10</v>
      </c>
      <c r="I286" t="str">
        <f t="shared" si="23"/>
        <v>105</v>
      </c>
      <c r="J286" t="str">
        <f t="shared" si="23"/>
        <v>10431</v>
      </c>
      <c r="K286" t="str">
        <f t="shared" si="21"/>
        <v/>
      </c>
    </row>
    <row r="287" spans="3:12" x14ac:dyDescent="0.25">
      <c r="C287" t="s">
        <v>1864</v>
      </c>
      <c r="D287" t="s">
        <v>2149</v>
      </c>
      <c r="E287" t="s">
        <v>1864</v>
      </c>
      <c r="F287" t="s">
        <v>251</v>
      </c>
      <c r="G287" t="str">
        <f t="shared" si="23"/>
        <v>C</v>
      </c>
      <c r="H287" t="str">
        <f t="shared" si="23"/>
        <v>10</v>
      </c>
      <c r="I287" t="str">
        <f t="shared" si="23"/>
        <v>105</v>
      </c>
      <c r="J287" t="str">
        <f t="shared" si="23"/>
        <v>10511</v>
      </c>
      <c r="K287" t="str">
        <f t="shared" si="21"/>
        <v/>
      </c>
    </row>
    <row r="288" spans="3:12" x14ac:dyDescent="0.25">
      <c r="C288" t="s">
        <v>1864</v>
      </c>
      <c r="D288" t="s">
        <v>1864</v>
      </c>
      <c r="E288" t="s">
        <v>2150</v>
      </c>
      <c r="F288" t="s">
        <v>251</v>
      </c>
      <c r="G288" t="str">
        <f t="shared" si="23"/>
        <v>C</v>
      </c>
      <c r="H288" t="str">
        <f t="shared" si="23"/>
        <v>10</v>
      </c>
      <c r="I288" t="str">
        <f t="shared" si="23"/>
        <v>105</v>
      </c>
      <c r="J288" t="str">
        <f t="shared" si="23"/>
        <v>10511</v>
      </c>
      <c r="K288" t="str">
        <f t="shared" si="21"/>
        <v>1051100</v>
      </c>
      <c r="L288">
        <v>1</v>
      </c>
    </row>
    <row r="289" spans="3:12" x14ac:dyDescent="0.25">
      <c r="C289" t="s">
        <v>1864</v>
      </c>
      <c r="D289" t="s">
        <v>2151</v>
      </c>
      <c r="E289" t="s">
        <v>1864</v>
      </c>
      <c r="F289" t="s">
        <v>252</v>
      </c>
      <c r="G289" t="str">
        <f t="shared" si="23"/>
        <v>C</v>
      </c>
      <c r="H289" t="str">
        <f t="shared" si="23"/>
        <v>10</v>
      </c>
      <c r="I289" t="str">
        <f t="shared" si="23"/>
        <v>105</v>
      </c>
      <c r="J289" t="str">
        <f t="shared" si="23"/>
        <v>10520</v>
      </c>
      <c r="K289" t="str">
        <f t="shared" si="21"/>
        <v/>
      </c>
    </row>
    <row r="290" spans="3:12" x14ac:dyDescent="0.25">
      <c r="C290" t="s">
        <v>1864</v>
      </c>
      <c r="D290" t="s">
        <v>1864</v>
      </c>
      <c r="E290" t="s">
        <v>2152</v>
      </c>
      <c r="F290" t="s">
        <v>252</v>
      </c>
      <c r="G290" t="str">
        <f t="shared" si="23"/>
        <v>C</v>
      </c>
      <c r="H290" t="str">
        <f t="shared" si="23"/>
        <v>10</v>
      </c>
      <c r="I290" t="str">
        <f t="shared" si="23"/>
        <v>105</v>
      </c>
      <c r="J290" t="str">
        <f t="shared" si="23"/>
        <v>10520</v>
      </c>
      <c r="K290" t="str">
        <f t="shared" si="21"/>
        <v>1052000</v>
      </c>
      <c r="L290">
        <v>1</v>
      </c>
    </row>
    <row r="291" spans="3:12" x14ac:dyDescent="0.25">
      <c r="C291" t="s">
        <v>1864</v>
      </c>
      <c r="D291" t="s">
        <v>2153</v>
      </c>
      <c r="E291" t="s">
        <v>1864</v>
      </c>
      <c r="F291" t="s">
        <v>253</v>
      </c>
      <c r="G291" t="str">
        <f t="shared" si="23"/>
        <v>C</v>
      </c>
      <c r="H291" t="str">
        <f t="shared" si="23"/>
        <v>10</v>
      </c>
      <c r="I291" t="str">
        <f t="shared" si="23"/>
        <v>105</v>
      </c>
      <c r="J291" t="str">
        <f t="shared" si="23"/>
        <v>10538</v>
      </c>
      <c r="K291" t="str">
        <f t="shared" si="21"/>
        <v/>
      </c>
    </row>
    <row r="292" spans="3:12" x14ac:dyDescent="0.25">
      <c r="C292" t="s">
        <v>1864</v>
      </c>
      <c r="D292" t="s">
        <v>1864</v>
      </c>
      <c r="E292" t="s">
        <v>2154</v>
      </c>
      <c r="F292" t="s">
        <v>253</v>
      </c>
      <c r="G292" t="str">
        <f t="shared" si="23"/>
        <v>C</v>
      </c>
      <c r="H292" t="str">
        <f t="shared" si="23"/>
        <v>10</v>
      </c>
      <c r="I292" t="str">
        <f t="shared" si="23"/>
        <v>105</v>
      </c>
      <c r="J292" t="str">
        <f t="shared" si="23"/>
        <v>10538</v>
      </c>
      <c r="K292" t="str">
        <f t="shared" si="21"/>
        <v>1053800</v>
      </c>
      <c r="L292">
        <v>1</v>
      </c>
    </row>
    <row r="293" spans="3:12" x14ac:dyDescent="0.25">
      <c r="C293" t="s">
        <v>2155</v>
      </c>
      <c r="D293" t="s">
        <v>1864</v>
      </c>
      <c r="E293" t="s">
        <v>1864</v>
      </c>
      <c r="F293" t="s">
        <v>254</v>
      </c>
      <c r="G293" t="str">
        <f t="shared" si="23"/>
        <v>C</v>
      </c>
      <c r="H293" t="str">
        <f t="shared" si="23"/>
        <v>10</v>
      </c>
      <c r="I293" t="str">
        <f t="shared" si="23"/>
        <v>106</v>
      </c>
      <c r="J293" t="str">
        <f t="shared" si="23"/>
        <v>10538</v>
      </c>
      <c r="K293" t="str">
        <f t="shared" si="21"/>
        <v/>
      </c>
    </row>
    <row r="294" spans="3:12" x14ac:dyDescent="0.25">
      <c r="C294" t="s">
        <v>1864</v>
      </c>
      <c r="D294" t="s">
        <v>2156</v>
      </c>
      <c r="E294" t="s">
        <v>1864</v>
      </c>
      <c r="F294" t="s">
        <v>255</v>
      </c>
      <c r="G294" t="str">
        <f t="shared" si="23"/>
        <v>C</v>
      </c>
      <c r="H294" t="str">
        <f t="shared" si="23"/>
        <v>10</v>
      </c>
      <c r="I294" t="str">
        <f t="shared" si="23"/>
        <v>106</v>
      </c>
      <c r="J294" t="str">
        <f t="shared" si="23"/>
        <v>10619</v>
      </c>
      <c r="K294" t="str">
        <f t="shared" si="21"/>
        <v/>
      </c>
    </row>
    <row r="295" spans="3:12" x14ac:dyDescent="0.25">
      <c r="C295" t="s">
        <v>1864</v>
      </c>
      <c r="D295" t="s">
        <v>1864</v>
      </c>
      <c r="E295" t="s">
        <v>2157</v>
      </c>
      <c r="F295" t="s">
        <v>256</v>
      </c>
      <c r="G295" t="str">
        <f t="shared" si="23"/>
        <v>C</v>
      </c>
      <c r="H295" t="str">
        <f t="shared" si="23"/>
        <v>10</v>
      </c>
      <c r="I295" t="str">
        <f t="shared" si="23"/>
        <v>106</v>
      </c>
      <c r="J295" t="str">
        <f t="shared" si="23"/>
        <v>10619</v>
      </c>
      <c r="K295" t="str">
        <f t="shared" si="21"/>
        <v>1061901</v>
      </c>
      <c r="L295">
        <v>1</v>
      </c>
    </row>
    <row r="296" spans="3:12" x14ac:dyDescent="0.25">
      <c r="C296" t="s">
        <v>1864</v>
      </c>
      <c r="D296" t="s">
        <v>1864</v>
      </c>
      <c r="E296" t="s">
        <v>2158</v>
      </c>
      <c r="F296" t="s">
        <v>257</v>
      </c>
      <c r="G296" t="str">
        <f t="shared" si="23"/>
        <v>C</v>
      </c>
      <c r="H296" t="str">
        <f t="shared" si="23"/>
        <v>10</v>
      </c>
      <c r="I296" t="str">
        <f t="shared" si="23"/>
        <v>106</v>
      </c>
      <c r="J296" t="str">
        <f t="shared" si="23"/>
        <v>10619</v>
      </c>
      <c r="K296" t="str">
        <f t="shared" si="21"/>
        <v>1061902</v>
      </c>
      <c r="L296">
        <v>1</v>
      </c>
    </row>
    <row r="297" spans="3:12" x14ac:dyDescent="0.25">
      <c r="C297" t="s">
        <v>1864</v>
      </c>
      <c r="D297" t="s">
        <v>2159</v>
      </c>
      <c r="E297" t="s">
        <v>1864</v>
      </c>
      <c r="F297" t="s">
        <v>258</v>
      </c>
      <c r="G297" t="str">
        <f t="shared" ref="G297:J312" si="24">IF(A297="",G296,A297)</f>
        <v>C</v>
      </c>
      <c r="H297" t="str">
        <f t="shared" si="24"/>
        <v>10</v>
      </c>
      <c r="I297" t="str">
        <f t="shared" si="24"/>
        <v>106</v>
      </c>
      <c r="J297" t="str">
        <f t="shared" si="24"/>
        <v>10627</v>
      </c>
      <c r="K297" t="str">
        <f t="shared" si="21"/>
        <v/>
      </c>
    </row>
    <row r="298" spans="3:12" x14ac:dyDescent="0.25">
      <c r="C298" t="s">
        <v>1864</v>
      </c>
      <c r="D298" t="s">
        <v>1864</v>
      </c>
      <c r="E298" t="s">
        <v>2160</v>
      </c>
      <c r="F298" t="s">
        <v>258</v>
      </c>
      <c r="G298" t="str">
        <f t="shared" si="24"/>
        <v>C</v>
      </c>
      <c r="H298" t="str">
        <f t="shared" si="24"/>
        <v>10</v>
      </c>
      <c r="I298" t="str">
        <f t="shared" si="24"/>
        <v>106</v>
      </c>
      <c r="J298" t="str">
        <f t="shared" si="24"/>
        <v>10627</v>
      </c>
      <c r="K298" t="str">
        <f t="shared" si="21"/>
        <v>1062700</v>
      </c>
      <c r="L298">
        <v>1</v>
      </c>
    </row>
    <row r="299" spans="3:12" x14ac:dyDescent="0.25">
      <c r="C299" t="s">
        <v>1864</v>
      </c>
      <c r="D299" t="s">
        <v>2161</v>
      </c>
      <c r="E299" t="s">
        <v>1864</v>
      </c>
      <c r="F299" t="s">
        <v>259</v>
      </c>
      <c r="G299" t="str">
        <f t="shared" si="24"/>
        <v>C</v>
      </c>
      <c r="H299" t="str">
        <f t="shared" si="24"/>
        <v>10</v>
      </c>
      <c r="I299" t="str">
        <f t="shared" si="24"/>
        <v>106</v>
      </c>
      <c r="J299" t="str">
        <f t="shared" si="24"/>
        <v>10635</v>
      </c>
      <c r="K299" t="str">
        <f t="shared" si="21"/>
        <v/>
      </c>
    </row>
    <row r="300" spans="3:12" x14ac:dyDescent="0.25">
      <c r="C300" t="s">
        <v>1864</v>
      </c>
      <c r="D300" t="s">
        <v>1864</v>
      </c>
      <c r="E300" t="s">
        <v>2162</v>
      </c>
      <c r="F300" t="s">
        <v>259</v>
      </c>
      <c r="G300" t="str">
        <f t="shared" si="24"/>
        <v>C</v>
      </c>
      <c r="H300" t="str">
        <f t="shared" si="24"/>
        <v>10</v>
      </c>
      <c r="I300" t="str">
        <f t="shared" si="24"/>
        <v>106</v>
      </c>
      <c r="J300" t="str">
        <f t="shared" si="24"/>
        <v>10635</v>
      </c>
      <c r="K300" t="str">
        <f t="shared" si="21"/>
        <v>1063500</v>
      </c>
      <c r="L300">
        <v>1</v>
      </c>
    </row>
    <row r="301" spans="3:12" x14ac:dyDescent="0.25">
      <c r="C301" t="s">
        <v>1864</v>
      </c>
      <c r="D301" t="s">
        <v>2163</v>
      </c>
      <c r="E301" t="s">
        <v>1864</v>
      </c>
      <c r="F301" t="s">
        <v>260</v>
      </c>
      <c r="G301" t="str">
        <f t="shared" si="24"/>
        <v>C</v>
      </c>
      <c r="H301" t="str">
        <f t="shared" si="24"/>
        <v>10</v>
      </c>
      <c r="I301" t="str">
        <f t="shared" si="24"/>
        <v>106</v>
      </c>
      <c r="J301" t="str">
        <f t="shared" si="24"/>
        <v>10643</v>
      </c>
      <c r="K301" t="str">
        <f t="shared" si="21"/>
        <v/>
      </c>
    </row>
    <row r="302" spans="3:12" x14ac:dyDescent="0.25">
      <c r="C302" t="s">
        <v>1864</v>
      </c>
      <c r="D302" t="s">
        <v>1864</v>
      </c>
      <c r="E302" t="s">
        <v>2164</v>
      </c>
      <c r="F302" t="s">
        <v>260</v>
      </c>
      <c r="G302" t="str">
        <f t="shared" si="24"/>
        <v>C</v>
      </c>
      <c r="H302" t="str">
        <f t="shared" si="24"/>
        <v>10</v>
      </c>
      <c r="I302" t="str">
        <f t="shared" si="24"/>
        <v>106</v>
      </c>
      <c r="J302" t="str">
        <f t="shared" si="24"/>
        <v>10643</v>
      </c>
      <c r="K302" t="str">
        <f t="shared" si="21"/>
        <v>1064300</v>
      </c>
      <c r="L302">
        <v>1</v>
      </c>
    </row>
    <row r="303" spans="3:12" x14ac:dyDescent="0.25">
      <c r="C303" t="s">
        <v>1864</v>
      </c>
      <c r="D303" t="s">
        <v>2165</v>
      </c>
      <c r="E303" t="s">
        <v>1864</v>
      </c>
      <c r="F303" t="s">
        <v>261</v>
      </c>
      <c r="G303" t="str">
        <f t="shared" si="24"/>
        <v>C</v>
      </c>
      <c r="H303" t="str">
        <f t="shared" si="24"/>
        <v>10</v>
      </c>
      <c r="I303" t="str">
        <f t="shared" si="24"/>
        <v>106</v>
      </c>
      <c r="J303" t="str">
        <f t="shared" si="24"/>
        <v>10651</v>
      </c>
      <c r="K303" t="str">
        <f t="shared" si="21"/>
        <v/>
      </c>
    </row>
    <row r="304" spans="3:12" x14ac:dyDescent="0.25">
      <c r="C304" t="s">
        <v>1864</v>
      </c>
      <c r="D304" t="s">
        <v>1864</v>
      </c>
      <c r="E304" t="s">
        <v>2166</v>
      </c>
      <c r="F304" t="s">
        <v>262</v>
      </c>
      <c r="G304" t="str">
        <f t="shared" si="24"/>
        <v>C</v>
      </c>
      <c r="H304" t="str">
        <f t="shared" si="24"/>
        <v>10</v>
      </c>
      <c r="I304" t="str">
        <f t="shared" si="24"/>
        <v>106</v>
      </c>
      <c r="J304" t="str">
        <f t="shared" si="24"/>
        <v>10651</v>
      </c>
      <c r="K304" t="str">
        <f t="shared" si="21"/>
        <v>1065101</v>
      </c>
      <c r="L304">
        <v>1</v>
      </c>
    </row>
    <row r="305" spans="3:12" x14ac:dyDescent="0.25">
      <c r="C305" t="s">
        <v>1864</v>
      </c>
      <c r="D305" t="s">
        <v>1864</v>
      </c>
      <c r="E305" t="s">
        <v>2167</v>
      </c>
      <c r="F305" t="s">
        <v>263</v>
      </c>
      <c r="G305" t="str">
        <f t="shared" si="24"/>
        <v>C</v>
      </c>
      <c r="H305" t="str">
        <f t="shared" si="24"/>
        <v>10</v>
      </c>
      <c r="I305" t="str">
        <f t="shared" si="24"/>
        <v>106</v>
      </c>
      <c r="J305" t="str">
        <f t="shared" si="24"/>
        <v>10651</v>
      </c>
      <c r="K305" t="str">
        <f t="shared" si="21"/>
        <v>1065102</v>
      </c>
      <c r="L305">
        <v>1</v>
      </c>
    </row>
    <row r="306" spans="3:12" x14ac:dyDescent="0.25">
      <c r="C306" t="s">
        <v>1864</v>
      </c>
      <c r="D306" t="s">
        <v>1864</v>
      </c>
      <c r="E306" t="s">
        <v>2168</v>
      </c>
      <c r="F306" t="s">
        <v>264</v>
      </c>
      <c r="G306" t="str">
        <f t="shared" si="24"/>
        <v>C</v>
      </c>
      <c r="H306" t="str">
        <f t="shared" si="24"/>
        <v>10</v>
      </c>
      <c r="I306" t="str">
        <f t="shared" si="24"/>
        <v>106</v>
      </c>
      <c r="J306" t="str">
        <f t="shared" si="24"/>
        <v>10651</v>
      </c>
      <c r="K306" t="str">
        <f t="shared" si="21"/>
        <v>1065103</v>
      </c>
      <c r="L306">
        <v>1</v>
      </c>
    </row>
    <row r="307" spans="3:12" x14ac:dyDescent="0.25">
      <c r="C307" t="s">
        <v>1864</v>
      </c>
      <c r="D307" t="s">
        <v>2169</v>
      </c>
      <c r="E307" t="s">
        <v>1864</v>
      </c>
      <c r="F307" t="s">
        <v>265</v>
      </c>
      <c r="G307" t="str">
        <f t="shared" si="24"/>
        <v>C</v>
      </c>
      <c r="H307" t="str">
        <f t="shared" si="24"/>
        <v>10</v>
      </c>
      <c r="I307" t="str">
        <f t="shared" si="24"/>
        <v>106</v>
      </c>
      <c r="J307" t="str">
        <f t="shared" si="24"/>
        <v>10660</v>
      </c>
      <c r="K307" t="str">
        <f t="shared" si="21"/>
        <v/>
      </c>
    </row>
    <row r="308" spans="3:12" x14ac:dyDescent="0.25">
      <c r="C308" t="s">
        <v>1864</v>
      </c>
      <c r="D308" t="s">
        <v>1864</v>
      </c>
      <c r="E308" t="s">
        <v>2170</v>
      </c>
      <c r="F308" t="s">
        <v>265</v>
      </c>
      <c r="G308" t="str">
        <f t="shared" si="24"/>
        <v>C</v>
      </c>
      <c r="H308" t="str">
        <f t="shared" si="24"/>
        <v>10</v>
      </c>
      <c r="I308" t="str">
        <f t="shared" si="24"/>
        <v>106</v>
      </c>
      <c r="J308" t="str">
        <f t="shared" si="24"/>
        <v>10660</v>
      </c>
      <c r="K308" t="str">
        <f t="shared" si="21"/>
        <v>1066000</v>
      </c>
      <c r="L308">
        <v>1</v>
      </c>
    </row>
    <row r="309" spans="3:12" x14ac:dyDescent="0.25">
      <c r="C309" t="s">
        <v>1864</v>
      </c>
      <c r="D309" t="s">
        <v>2171</v>
      </c>
      <c r="E309" t="s">
        <v>1864</v>
      </c>
      <c r="F309" t="s">
        <v>266</v>
      </c>
      <c r="G309" t="str">
        <f t="shared" si="24"/>
        <v>C</v>
      </c>
      <c r="H309" t="str">
        <f t="shared" si="24"/>
        <v>10</v>
      </c>
      <c r="I309" t="str">
        <f t="shared" si="24"/>
        <v>106</v>
      </c>
      <c r="J309" t="str">
        <f t="shared" si="24"/>
        <v>10694</v>
      </c>
      <c r="K309" t="str">
        <f t="shared" si="21"/>
        <v/>
      </c>
    </row>
    <row r="310" spans="3:12" x14ac:dyDescent="0.25">
      <c r="C310" t="s">
        <v>1864</v>
      </c>
      <c r="D310" t="s">
        <v>1864</v>
      </c>
      <c r="E310" t="s">
        <v>2172</v>
      </c>
      <c r="F310" t="s">
        <v>266</v>
      </c>
      <c r="G310" t="str">
        <f t="shared" si="24"/>
        <v>C</v>
      </c>
      <c r="H310" t="str">
        <f t="shared" si="24"/>
        <v>10</v>
      </c>
      <c r="I310" t="str">
        <f t="shared" si="24"/>
        <v>106</v>
      </c>
      <c r="J310" t="str">
        <f t="shared" si="24"/>
        <v>10694</v>
      </c>
      <c r="K310" t="str">
        <f t="shared" si="21"/>
        <v>1069400</v>
      </c>
      <c r="L310">
        <v>1</v>
      </c>
    </row>
    <row r="311" spans="3:12" x14ac:dyDescent="0.25">
      <c r="C311" t="s">
        <v>2173</v>
      </c>
      <c r="D311" t="s">
        <v>1864</v>
      </c>
      <c r="E311" t="s">
        <v>1864</v>
      </c>
      <c r="F311" t="s">
        <v>267</v>
      </c>
      <c r="G311" t="str">
        <f t="shared" si="24"/>
        <v>C</v>
      </c>
      <c r="H311" t="str">
        <f t="shared" si="24"/>
        <v>10</v>
      </c>
      <c r="I311" t="str">
        <f t="shared" si="24"/>
        <v>107</v>
      </c>
      <c r="J311" t="str">
        <f t="shared" si="24"/>
        <v>10694</v>
      </c>
      <c r="K311" t="str">
        <f t="shared" si="21"/>
        <v/>
      </c>
    </row>
    <row r="312" spans="3:12" x14ac:dyDescent="0.25">
      <c r="C312" t="s">
        <v>1864</v>
      </c>
      <c r="D312" t="s">
        <v>2174</v>
      </c>
      <c r="E312" t="s">
        <v>1864</v>
      </c>
      <c r="F312" t="s">
        <v>268</v>
      </c>
      <c r="G312" t="str">
        <f t="shared" si="24"/>
        <v>C</v>
      </c>
      <c r="H312" t="str">
        <f t="shared" si="24"/>
        <v>10</v>
      </c>
      <c r="I312" t="str">
        <f t="shared" si="24"/>
        <v>107</v>
      </c>
      <c r="J312" t="str">
        <f t="shared" si="24"/>
        <v>10716</v>
      </c>
      <c r="K312" t="str">
        <f t="shared" si="21"/>
        <v/>
      </c>
    </row>
    <row r="313" spans="3:12" x14ac:dyDescent="0.25">
      <c r="C313" t="s">
        <v>1864</v>
      </c>
      <c r="D313" t="s">
        <v>1864</v>
      </c>
      <c r="E313" t="s">
        <v>2175</v>
      </c>
      <c r="F313" t="s">
        <v>268</v>
      </c>
      <c r="G313" t="str">
        <f t="shared" ref="G313:J328" si="25">IF(A313="",G312,A313)</f>
        <v>C</v>
      </c>
      <c r="H313" t="str">
        <f t="shared" si="25"/>
        <v>10</v>
      </c>
      <c r="I313" t="str">
        <f t="shared" si="25"/>
        <v>107</v>
      </c>
      <c r="J313" t="str">
        <f t="shared" si="25"/>
        <v>10716</v>
      </c>
      <c r="K313" t="str">
        <f t="shared" si="21"/>
        <v>1071600</v>
      </c>
      <c r="L313">
        <v>0</v>
      </c>
    </row>
    <row r="314" spans="3:12" x14ac:dyDescent="0.25">
      <c r="C314" t="s">
        <v>1864</v>
      </c>
      <c r="D314" t="s">
        <v>2176</v>
      </c>
      <c r="E314" t="s">
        <v>1864</v>
      </c>
      <c r="F314" t="s">
        <v>269</v>
      </c>
      <c r="G314" t="str">
        <f t="shared" si="25"/>
        <v>C</v>
      </c>
      <c r="H314" t="str">
        <f t="shared" si="25"/>
        <v>10</v>
      </c>
      <c r="I314" t="str">
        <f t="shared" si="25"/>
        <v>107</v>
      </c>
      <c r="J314" t="str">
        <f t="shared" si="25"/>
        <v>10724</v>
      </c>
      <c r="K314" t="str">
        <f t="shared" si="21"/>
        <v/>
      </c>
    </row>
    <row r="315" spans="3:12" x14ac:dyDescent="0.25">
      <c r="C315" t="s">
        <v>1864</v>
      </c>
      <c r="D315" t="s">
        <v>1864</v>
      </c>
      <c r="E315" t="s">
        <v>2177</v>
      </c>
      <c r="F315" t="s">
        <v>270</v>
      </c>
      <c r="G315" t="str">
        <f t="shared" si="25"/>
        <v>C</v>
      </c>
      <c r="H315" t="str">
        <f t="shared" si="25"/>
        <v>10</v>
      </c>
      <c r="I315" t="str">
        <f t="shared" si="25"/>
        <v>107</v>
      </c>
      <c r="J315" t="str">
        <f t="shared" si="25"/>
        <v>10724</v>
      </c>
      <c r="K315" t="str">
        <f t="shared" si="21"/>
        <v>1072401</v>
      </c>
      <c r="L315">
        <v>0</v>
      </c>
    </row>
    <row r="316" spans="3:12" x14ac:dyDescent="0.25">
      <c r="C316" t="s">
        <v>1864</v>
      </c>
      <c r="D316" t="s">
        <v>1864</v>
      </c>
      <c r="E316" t="s">
        <v>2178</v>
      </c>
      <c r="F316" t="s">
        <v>271</v>
      </c>
      <c r="G316" t="str">
        <f t="shared" si="25"/>
        <v>C</v>
      </c>
      <c r="H316" t="str">
        <f t="shared" si="25"/>
        <v>10</v>
      </c>
      <c r="I316" t="str">
        <f t="shared" si="25"/>
        <v>107</v>
      </c>
      <c r="J316" t="str">
        <f t="shared" si="25"/>
        <v>10724</v>
      </c>
      <c r="K316" t="str">
        <f t="shared" si="21"/>
        <v>1072402</v>
      </c>
      <c r="L316">
        <v>0</v>
      </c>
    </row>
    <row r="317" spans="3:12" x14ac:dyDescent="0.25">
      <c r="C317" t="s">
        <v>2179</v>
      </c>
      <c r="D317" t="s">
        <v>1864</v>
      </c>
      <c r="E317" t="s">
        <v>1864</v>
      </c>
      <c r="F317" t="s">
        <v>272</v>
      </c>
      <c r="G317" t="str">
        <f t="shared" si="25"/>
        <v>C</v>
      </c>
      <c r="H317" t="str">
        <f t="shared" si="25"/>
        <v>10</v>
      </c>
      <c r="I317" t="str">
        <f t="shared" si="25"/>
        <v>108</v>
      </c>
      <c r="J317" t="str">
        <f t="shared" si="25"/>
        <v>10724</v>
      </c>
      <c r="K317" t="str">
        <f t="shared" si="21"/>
        <v/>
      </c>
    </row>
    <row r="318" spans="3:12" x14ac:dyDescent="0.25">
      <c r="C318" t="s">
        <v>1864</v>
      </c>
      <c r="D318" t="s">
        <v>2180</v>
      </c>
      <c r="E318" t="s">
        <v>1864</v>
      </c>
      <c r="F318" t="s">
        <v>272</v>
      </c>
      <c r="G318" t="str">
        <f t="shared" si="25"/>
        <v>C</v>
      </c>
      <c r="H318" t="str">
        <f t="shared" si="25"/>
        <v>10</v>
      </c>
      <c r="I318" t="str">
        <f t="shared" si="25"/>
        <v>108</v>
      </c>
      <c r="J318" t="str">
        <f t="shared" si="25"/>
        <v>10813</v>
      </c>
      <c r="K318" t="str">
        <f t="shared" si="21"/>
        <v/>
      </c>
    </row>
    <row r="319" spans="3:12" x14ac:dyDescent="0.25">
      <c r="C319" t="s">
        <v>1864</v>
      </c>
      <c r="D319" t="s">
        <v>1864</v>
      </c>
      <c r="E319" t="s">
        <v>2181</v>
      </c>
      <c r="F319" t="s">
        <v>273</v>
      </c>
      <c r="G319" t="str">
        <f t="shared" si="25"/>
        <v>C</v>
      </c>
      <c r="H319" t="str">
        <f t="shared" si="25"/>
        <v>10</v>
      </c>
      <c r="I319" t="str">
        <f t="shared" si="25"/>
        <v>108</v>
      </c>
      <c r="J319" t="str">
        <f t="shared" si="25"/>
        <v>10813</v>
      </c>
      <c r="K319" t="str">
        <f t="shared" si="21"/>
        <v>1081301</v>
      </c>
      <c r="L319">
        <v>1</v>
      </c>
    </row>
    <row r="320" spans="3:12" x14ac:dyDescent="0.25">
      <c r="C320" t="s">
        <v>1864</v>
      </c>
      <c r="D320" t="s">
        <v>1864</v>
      </c>
      <c r="E320" t="s">
        <v>2182</v>
      </c>
      <c r="F320" t="s">
        <v>272</v>
      </c>
      <c r="G320" t="str">
        <f t="shared" si="25"/>
        <v>C</v>
      </c>
      <c r="H320" t="str">
        <f t="shared" si="25"/>
        <v>10</v>
      </c>
      <c r="I320" t="str">
        <f t="shared" si="25"/>
        <v>108</v>
      </c>
      <c r="J320" t="str">
        <f t="shared" si="25"/>
        <v>10813</v>
      </c>
      <c r="K320" t="str">
        <f t="shared" si="21"/>
        <v>1081302</v>
      </c>
      <c r="L320">
        <v>1</v>
      </c>
    </row>
    <row r="321" spans="3:12" x14ac:dyDescent="0.25">
      <c r="C321" t="s">
        <v>1864</v>
      </c>
      <c r="D321" t="s">
        <v>2183</v>
      </c>
      <c r="E321" t="s">
        <v>1864</v>
      </c>
      <c r="F321" t="s">
        <v>274</v>
      </c>
      <c r="G321" t="str">
        <f t="shared" si="25"/>
        <v>C</v>
      </c>
      <c r="H321" t="str">
        <f t="shared" si="25"/>
        <v>10</v>
      </c>
      <c r="I321" t="str">
        <f t="shared" si="25"/>
        <v>108</v>
      </c>
      <c r="J321" t="str">
        <f t="shared" si="25"/>
        <v>10821</v>
      </c>
      <c r="K321" t="str">
        <f t="shared" si="21"/>
        <v/>
      </c>
    </row>
    <row r="322" spans="3:12" x14ac:dyDescent="0.25">
      <c r="C322" t="s">
        <v>1864</v>
      </c>
      <c r="D322" t="s">
        <v>1864</v>
      </c>
      <c r="E322" t="s">
        <v>2184</v>
      </c>
      <c r="F322" t="s">
        <v>274</v>
      </c>
      <c r="G322" t="str">
        <f t="shared" si="25"/>
        <v>C</v>
      </c>
      <c r="H322" t="str">
        <f t="shared" si="25"/>
        <v>10</v>
      </c>
      <c r="I322" t="str">
        <f t="shared" si="25"/>
        <v>108</v>
      </c>
      <c r="J322" t="str">
        <f t="shared" si="25"/>
        <v>10821</v>
      </c>
      <c r="K322" t="str">
        <f t="shared" si="21"/>
        <v>1082100</v>
      </c>
      <c r="L322">
        <v>1</v>
      </c>
    </row>
    <row r="323" spans="3:12" x14ac:dyDescent="0.25">
      <c r="C323" t="s">
        <v>2185</v>
      </c>
      <c r="D323" t="s">
        <v>1864</v>
      </c>
      <c r="E323" t="s">
        <v>1864</v>
      </c>
      <c r="F323" t="s">
        <v>275</v>
      </c>
      <c r="G323" t="str">
        <f t="shared" si="25"/>
        <v>C</v>
      </c>
      <c r="H323" t="str">
        <f t="shared" si="25"/>
        <v>10</v>
      </c>
      <c r="I323" t="str">
        <f t="shared" si="25"/>
        <v>109</v>
      </c>
      <c r="J323" t="str">
        <f t="shared" si="25"/>
        <v>10821</v>
      </c>
      <c r="K323" t="str">
        <f t="shared" si="21"/>
        <v/>
      </c>
    </row>
    <row r="324" spans="3:12" x14ac:dyDescent="0.25">
      <c r="C324" t="s">
        <v>1864</v>
      </c>
      <c r="D324" t="s">
        <v>2186</v>
      </c>
      <c r="E324" t="s">
        <v>1864</v>
      </c>
      <c r="F324" t="s">
        <v>276</v>
      </c>
      <c r="G324" t="str">
        <f t="shared" si="25"/>
        <v>C</v>
      </c>
      <c r="H324" t="str">
        <f t="shared" si="25"/>
        <v>10</v>
      </c>
      <c r="I324" t="str">
        <f t="shared" si="25"/>
        <v>109</v>
      </c>
      <c r="J324" t="str">
        <f t="shared" si="25"/>
        <v>10911</v>
      </c>
      <c r="K324" t="str">
        <f t="shared" si="21"/>
        <v/>
      </c>
    </row>
    <row r="325" spans="3:12" x14ac:dyDescent="0.25">
      <c r="C325" t="s">
        <v>1864</v>
      </c>
      <c r="D325" t="s">
        <v>1864</v>
      </c>
      <c r="E325" t="s">
        <v>2187</v>
      </c>
      <c r="F325" t="s">
        <v>277</v>
      </c>
      <c r="G325" t="str">
        <f t="shared" si="25"/>
        <v>C</v>
      </c>
      <c r="H325" t="str">
        <f t="shared" si="25"/>
        <v>10</v>
      </c>
      <c r="I325" t="str">
        <f t="shared" si="25"/>
        <v>109</v>
      </c>
      <c r="J325" t="str">
        <f t="shared" si="25"/>
        <v>10911</v>
      </c>
      <c r="K325" t="str">
        <f t="shared" si="21"/>
        <v>1091101</v>
      </c>
      <c r="L325">
        <v>1</v>
      </c>
    </row>
    <row r="326" spans="3:12" x14ac:dyDescent="0.25">
      <c r="C326" t="s">
        <v>1864</v>
      </c>
      <c r="D326" t="s">
        <v>1864</v>
      </c>
      <c r="E326" t="s">
        <v>2188</v>
      </c>
      <c r="F326" t="s">
        <v>278</v>
      </c>
      <c r="G326" t="str">
        <f t="shared" si="25"/>
        <v>C</v>
      </c>
      <c r="H326" t="str">
        <f t="shared" si="25"/>
        <v>10</v>
      </c>
      <c r="I326" t="str">
        <f t="shared" si="25"/>
        <v>109</v>
      </c>
      <c r="J326" t="str">
        <f t="shared" si="25"/>
        <v>10911</v>
      </c>
      <c r="K326" t="str">
        <f t="shared" si="21"/>
        <v>1091102</v>
      </c>
      <c r="L326">
        <v>1</v>
      </c>
    </row>
    <row r="327" spans="3:12" x14ac:dyDescent="0.25">
      <c r="C327" t="s">
        <v>1864</v>
      </c>
      <c r="D327" t="s">
        <v>2189</v>
      </c>
      <c r="E327" t="s">
        <v>1864</v>
      </c>
      <c r="F327" t="s">
        <v>279</v>
      </c>
      <c r="G327" t="str">
        <f t="shared" si="25"/>
        <v>C</v>
      </c>
      <c r="H327" t="str">
        <f t="shared" si="25"/>
        <v>10</v>
      </c>
      <c r="I327" t="str">
        <f t="shared" si="25"/>
        <v>109</v>
      </c>
      <c r="J327" t="str">
        <f t="shared" si="25"/>
        <v>10929</v>
      </c>
      <c r="K327" t="str">
        <f t="shared" si="21"/>
        <v/>
      </c>
    </row>
    <row r="328" spans="3:12" x14ac:dyDescent="0.25">
      <c r="C328" t="s">
        <v>1864</v>
      </c>
      <c r="D328" t="s">
        <v>1864</v>
      </c>
      <c r="E328" t="s">
        <v>2190</v>
      </c>
      <c r="F328" t="s">
        <v>279</v>
      </c>
      <c r="G328" t="str">
        <f t="shared" si="25"/>
        <v>C</v>
      </c>
      <c r="H328" t="str">
        <f t="shared" si="25"/>
        <v>10</v>
      </c>
      <c r="I328" t="str">
        <f t="shared" si="25"/>
        <v>109</v>
      </c>
      <c r="J328" t="str">
        <f t="shared" si="25"/>
        <v>10929</v>
      </c>
      <c r="K328" t="str">
        <f t="shared" ref="K328:K391" si="26">E328</f>
        <v>1092900</v>
      </c>
      <c r="L328">
        <v>1</v>
      </c>
    </row>
    <row r="329" spans="3:12" x14ac:dyDescent="0.25">
      <c r="C329" t="s">
        <v>1864</v>
      </c>
      <c r="D329" t="s">
        <v>2191</v>
      </c>
      <c r="E329" t="s">
        <v>1864</v>
      </c>
      <c r="F329" t="s">
        <v>280</v>
      </c>
      <c r="G329" t="str">
        <f t="shared" ref="G329:J344" si="27">IF(A329="",G328,A329)</f>
        <v>C</v>
      </c>
      <c r="H329" t="str">
        <f t="shared" si="27"/>
        <v>10</v>
      </c>
      <c r="I329" t="str">
        <f t="shared" si="27"/>
        <v>109</v>
      </c>
      <c r="J329" t="str">
        <f t="shared" si="27"/>
        <v>10937</v>
      </c>
      <c r="K329" t="str">
        <f t="shared" si="26"/>
        <v/>
      </c>
    </row>
    <row r="330" spans="3:12" x14ac:dyDescent="0.25">
      <c r="C330" t="s">
        <v>1864</v>
      </c>
      <c r="D330" t="s">
        <v>1864</v>
      </c>
      <c r="E330" t="s">
        <v>2192</v>
      </c>
      <c r="F330" t="s">
        <v>281</v>
      </c>
      <c r="G330" t="str">
        <f t="shared" si="27"/>
        <v>C</v>
      </c>
      <c r="H330" t="str">
        <f t="shared" si="27"/>
        <v>10</v>
      </c>
      <c r="I330" t="str">
        <f t="shared" si="27"/>
        <v>109</v>
      </c>
      <c r="J330" t="str">
        <f t="shared" si="27"/>
        <v>10937</v>
      </c>
      <c r="K330" t="str">
        <f t="shared" si="26"/>
        <v>1093701</v>
      </c>
      <c r="L330">
        <v>1</v>
      </c>
    </row>
    <row r="331" spans="3:12" x14ac:dyDescent="0.25">
      <c r="C331" t="s">
        <v>1864</v>
      </c>
      <c r="D331" t="s">
        <v>1864</v>
      </c>
      <c r="E331" t="s">
        <v>2193</v>
      </c>
      <c r="F331" t="s">
        <v>282</v>
      </c>
      <c r="G331" t="str">
        <f t="shared" si="27"/>
        <v>C</v>
      </c>
      <c r="H331" t="str">
        <f t="shared" si="27"/>
        <v>10</v>
      </c>
      <c r="I331" t="str">
        <f t="shared" si="27"/>
        <v>109</v>
      </c>
      <c r="J331" t="str">
        <f t="shared" si="27"/>
        <v>10937</v>
      </c>
      <c r="K331" t="str">
        <f t="shared" si="26"/>
        <v>1093702</v>
      </c>
      <c r="L331">
        <v>1</v>
      </c>
    </row>
    <row r="332" spans="3:12" x14ac:dyDescent="0.25">
      <c r="C332" t="s">
        <v>1864</v>
      </c>
      <c r="D332" t="s">
        <v>2194</v>
      </c>
      <c r="E332" t="s">
        <v>1864</v>
      </c>
      <c r="F332" t="s">
        <v>283</v>
      </c>
      <c r="G332" t="str">
        <f t="shared" si="27"/>
        <v>C</v>
      </c>
      <c r="H332" t="str">
        <f t="shared" si="27"/>
        <v>10</v>
      </c>
      <c r="I332" t="str">
        <f t="shared" si="27"/>
        <v>109</v>
      </c>
      <c r="J332" t="str">
        <f t="shared" si="27"/>
        <v>10945</v>
      </c>
      <c r="K332" t="str">
        <f t="shared" si="26"/>
        <v/>
      </c>
    </row>
    <row r="333" spans="3:12" x14ac:dyDescent="0.25">
      <c r="C333" t="s">
        <v>1864</v>
      </c>
      <c r="D333" t="s">
        <v>1864</v>
      </c>
      <c r="E333" t="s">
        <v>2195</v>
      </c>
      <c r="F333" t="s">
        <v>283</v>
      </c>
      <c r="G333" t="str">
        <f t="shared" si="27"/>
        <v>C</v>
      </c>
      <c r="H333" t="str">
        <f t="shared" si="27"/>
        <v>10</v>
      </c>
      <c r="I333" t="str">
        <f t="shared" si="27"/>
        <v>109</v>
      </c>
      <c r="J333" t="str">
        <f t="shared" si="27"/>
        <v>10945</v>
      </c>
      <c r="K333" t="str">
        <f t="shared" si="26"/>
        <v>1094500</v>
      </c>
      <c r="L333">
        <v>1</v>
      </c>
    </row>
    <row r="334" spans="3:12" x14ac:dyDescent="0.25">
      <c r="C334" t="s">
        <v>1864</v>
      </c>
      <c r="D334" t="s">
        <v>2196</v>
      </c>
      <c r="E334" t="s">
        <v>1864</v>
      </c>
      <c r="F334" t="s">
        <v>284</v>
      </c>
      <c r="G334" t="str">
        <f t="shared" si="27"/>
        <v>C</v>
      </c>
      <c r="H334" t="str">
        <f t="shared" si="27"/>
        <v>10</v>
      </c>
      <c r="I334" t="str">
        <f t="shared" si="27"/>
        <v>109</v>
      </c>
      <c r="J334" t="str">
        <f t="shared" si="27"/>
        <v>10953</v>
      </c>
      <c r="K334" t="str">
        <f t="shared" si="26"/>
        <v/>
      </c>
    </row>
    <row r="335" spans="3:12" x14ac:dyDescent="0.25">
      <c r="C335" t="s">
        <v>1864</v>
      </c>
      <c r="D335" t="s">
        <v>1864</v>
      </c>
      <c r="E335" t="s">
        <v>2197</v>
      </c>
      <c r="F335" t="s">
        <v>284</v>
      </c>
      <c r="G335" t="str">
        <f t="shared" si="27"/>
        <v>C</v>
      </c>
      <c r="H335" t="str">
        <f t="shared" si="27"/>
        <v>10</v>
      </c>
      <c r="I335" t="str">
        <f t="shared" si="27"/>
        <v>109</v>
      </c>
      <c r="J335" t="str">
        <f t="shared" si="27"/>
        <v>10953</v>
      </c>
      <c r="K335" t="str">
        <f t="shared" si="26"/>
        <v>1095300</v>
      </c>
      <c r="L335">
        <v>1</v>
      </c>
    </row>
    <row r="336" spans="3:12" x14ac:dyDescent="0.25">
      <c r="C336" t="s">
        <v>1864</v>
      </c>
      <c r="D336" t="s">
        <v>2198</v>
      </c>
      <c r="E336" t="s">
        <v>1864</v>
      </c>
      <c r="F336" t="s">
        <v>285</v>
      </c>
      <c r="G336" t="str">
        <f t="shared" si="27"/>
        <v>C</v>
      </c>
      <c r="H336" t="str">
        <f t="shared" si="27"/>
        <v>10</v>
      </c>
      <c r="I336" t="str">
        <f t="shared" si="27"/>
        <v>109</v>
      </c>
      <c r="J336" t="str">
        <f t="shared" si="27"/>
        <v>10961</v>
      </c>
      <c r="K336" t="str">
        <f t="shared" si="26"/>
        <v/>
      </c>
    </row>
    <row r="337" spans="2:12" x14ac:dyDescent="0.25">
      <c r="C337" t="s">
        <v>1864</v>
      </c>
      <c r="D337" t="s">
        <v>1864</v>
      </c>
      <c r="E337" t="s">
        <v>2199</v>
      </c>
      <c r="F337" t="s">
        <v>285</v>
      </c>
      <c r="G337" t="str">
        <f t="shared" si="27"/>
        <v>C</v>
      </c>
      <c r="H337" t="str">
        <f t="shared" si="27"/>
        <v>10</v>
      </c>
      <c r="I337" t="str">
        <f t="shared" si="27"/>
        <v>109</v>
      </c>
      <c r="J337" t="str">
        <f t="shared" si="27"/>
        <v>10961</v>
      </c>
      <c r="K337" t="str">
        <f t="shared" si="26"/>
        <v>1096100</v>
      </c>
      <c r="L337">
        <v>1</v>
      </c>
    </row>
    <row r="338" spans="2:12" x14ac:dyDescent="0.25">
      <c r="C338" t="s">
        <v>1864</v>
      </c>
      <c r="D338" t="s">
        <v>2200</v>
      </c>
      <c r="E338" t="s">
        <v>1864</v>
      </c>
      <c r="F338" t="s">
        <v>286</v>
      </c>
      <c r="G338" t="str">
        <f t="shared" si="27"/>
        <v>C</v>
      </c>
      <c r="H338" t="str">
        <f t="shared" si="27"/>
        <v>10</v>
      </c>
      <c r="I338" t="str">
        <f t="shared" si="27"/>
        <v>109</v>
      </c>
      <c r="J338" t="str">
        <f t="shared" si="27"/>
        <v>10996</v>
      </c>
      <c r="K338" t="str">
        <f t="shared" si="26"/>
        <v/>
      </c>
    </row>
    <row r="339" spans="2:12" x14ac:dyDescent="0.25">
      <c r="C339" t="s">
        <v>1864</v>
      </c>
      <c r="D339" t="s">
        <v>1864</v>
      </c>
      <c r="E339" t="s">
        <v>2201</v>
      </c>
      <c r="F339" t="s">
        <v>287</v>
      </c>
      <c r="G339" t="str">
        <f t="shared" si="27"/>
        <v>C</v>
      </c>
      <c r="H339" t="str">
        <f t="shared" si="27"/>
        <v>10</v>
      </c>
      <c r="I339" t="str">
        <f t="shared" si="27"/>
        <v>109</v>
      </c>
      <c r="J339" t="str">
        <f t="shared" si="27"/>
        <v>10996</v>
      </c>
      <c r="K339" t="str">
        <f t="shared" si="26"/>
        <v>1099601</v>
      </c>
      <c r="L339">
        <v>1</v>
      </c>
    </row>
    <row r="340" spans="2:12" x14ac:dyDescent="0.25">
      <c r="C340" t="s">
        <v>1864</v>
      </c>
      <c r="D340" t="s">
        <v>1864</v>
      </c>
      <c r="E340" t="s">
        <v>2202</v>
      </c>
      <c r="F340" t="s">
        <v>288</v>
      </c>
      <c r="G340" t="str">
        <f t="shared" si="27"/>
        <v>C</v>
      </c>
      <c r="H340" t="str">
        <f t="shared" si="27"/>
        <v>10</v>
      </c>
      <c r="I340" t="str">
        <f t="shared" si="27"/>
        <v>109</v>
      </c>
      <c r="J340" t="str">
        <f t="shared" si="27"/>
        <v>10996</v>
      </c>
      <c r="K340" t="str">
        <f t="shared" si="26"/>
        <v>1099602</v>
      </c>
      <c r="L340">
        <v>1</v>
      </c>
    </row>
    <row r="341" spans="2:12" x14ac:dyDescent="0.25">
      <c r="C341" t="s">
        <v>1864</v>
      </c>
      <c r="D341" t="s">
        <v>1864</v>
      </c>
      <c r="E341" t="s">
        <v>2203</v>
      </c>
      <c r="F341" t="s">
        <v>289</v>
      </c>
      <c r="G341" t="str">
        <f t="shared" si="27"/>
        <v>C</v>
      </c>
      <c r="H341" t="str">
        <f t="shared" si="27"/>
        <v>10</v>
      </c>
      <c r="I341" t="str">
        <f t="shared" si="27"/>
        <v>109</v>
      </c>
      <c r="J341" t="str">
        <f t="shared" si="27"/>
        <v>10996</v>
      </c>
      <c r="K341" t="str">
        <f t="shared" si="26"/>
        <v>1099603</v>
      </c>
      <c r="L341">
        <v>1</v>
      </c>
    </row>
    <row r="342" spans="2:12" x14ac:dyDescent="0.25">
      <c r="C342" t="s">
        <v>1864</v>
      </c>
      <c r="D342" t="s">
        <v>1864</v>
      </c>
      <c r="E342" t="s">
        <v>2204</v>
      </c>
      <c r="F342" t="s">
        <v>290</v>
      </c>
      <c r="G342" t="str">
        <f t="shared" si="27"/>
        <v>C</v>
      </c>
      <c r="H342" t="str">
        <f t="shared" si="27"/>
        <v>10</v>
      </c>
      <c r="I342" t="str">
        <f t="shared" si="27"/>
        <v>109</v>
      </c>
      <c r="J342" t="str">
        <f t="shared" si="27"/>
        <v>10996</v>
      </c>
      <c r="K342" t="str">
        <f t="shared" si="26"/>
        <v>1099604</v>
      </c>
      <c r="L342">
        <v>1</v>
      </c>
    </row>
    <row r="343" spans="2:12" x14ac:dyDescent="0.25">
      <c r="C343" t="s">
        <v>1864</v>
      </c>
      <c r="D343" t="s">
        <v>1864</v>
      </c>
      <c r="E343" t="s">
        <v>2205</v>
      </c>
      <c r="F343" t="s">
        <v>291</v>
      </c>
      <c r="G343" t="str">
        <f t="shared" si="27"/>
        <v>C</v>
      </c>
      <c r="H343" t="str">
        <f t="shared" si="27"/>
        <v>10</v>
      </c>
      <c r="I343" t="str">
        <f t="shared" si="27"/>
        <v>109</v>
      </c>
      <c r="J343" t="str">
        <f t="shared" si="27"/>
        <v>10996</v>
      </c>
      <c r="K343" t="str">
        <f t="shared" si="26"/>
        <v>1099605</v>
      </c>
      <c r="L343">
        <v>1</v>
      </c>
    </row>
    <row r="344" spans="2:12" x14ac:dyDescent="0.25">
      <c r="C344" t="s">
        <v>1864</v>
      </c>
      <c r="D344" t="s">
        <v>1864</v>
      </c>
      <c r="E344" t="s">
        <v>2206</v>
      </c>
      <c r="F344" t="s">
        <v>292</v>
      </c>
      <c r="G344" t="str">
        <f t="shared" si="27"/>
        <v>C</v>
      </c>
      <c r="H344" t="str">
        <f t="shared" si="27"/>
        <v>10</v>
      </c>
      <c r="I344" t="str">
        <f t="shared" si="27"/>
        <v>109</v>
      </c>
      <c r="J344" t="str">
        <f t="shared" si="27"/>
        <v>10996</v>
      </c>
      <c r="K344" t="str">
        <f t="shared" si="26"/>
        <v>1099606</v>
      </c>
      <c r="L344">
        <v>1</v>
      </c>
    </row>
    <row r="345" spans="2:12" x14ac:dyDescent="0.25">
      <c r="C345" t="s">
        <v>1864</v>
      </c>
      <c r="D345" t="s">
        <v>1864</v>
      </c>
      <c r="E345" t="s">
        <v>2207</v>
      </c>
      <c r="F345" t="s">
        <v>293</v>
      </c>
      <c r="G345" t="str">
        <f t="shared" ref="G345:J360" si="28">IF(A345="",G344,A345)</f>
        <v>C</v>
      </c>
      <c r="H345" t="str">
        <f t="shared" si="28"/>
        <v>10</v>
      </c>
      <c r="I345" t="str">
        <f t="shared" si="28"/>
        <v>109</v>
      </c>
      <c r="J345" t="str">
        <f t="shared" si="28"/>
        <v>10996</v>
      </c>
      <c r="K345" t="str">
        <f t="shared" si="26"/>
        <v>1099607</v>
      </c>
      <c r="L345">
        <v>1</v>
      </c>
    </row>
    <row r="346" spans="2:12" x14ac:dyDescent="0.25">
      <c r="C346" t="s">
        <v>1864</v>
      </c>
      <c r="D346" t="s">
        <v>1864</v>
      </c>
      <c r="E346" t="s">
        <v>2208</v>
      </c>
      <c r="F346" t="s">
        <v>294</v>
      </c>
      <c r="G346" t="str">
        <f t="shared" si="28"/>
        <v>C</v>
      </c>
      <c r="H346" t="str">
        <f t="shared" si="28"/>
        <v>10</v>
      </c>
      <c r="I346" t="str">
        <f t="shared" si="28"/>
        <v>109</v>
      </c>
      <c r="J346" t="str">
        <f t="shared" si="28"/>
        <v>10996</v>
      </c>
      <c r="K346" t="str">
        <f t="shared" si="26"/>
        <v>1099699</v>
      </c>
      <c r="L346">
        <v>1</v>
      </c>
    </row>
    <row r="347" spans="2:12" x14ac:dyDescent="0.25">
      <c r="B347" t="s">
        <v>2209</v>
      </c>
      <c r="C347" t="s">
        <v>1864</v>
      </c>
      <c r="D347" t="s">
        <v>1864</v>
      </c>
      <c r="E347" t="s">
        <v>1864</v>
      </c>
      <c r="F347" t="s">
        <v>295</v>
      </c>
      <c r="G347" t="str">
        <f t="shared" si="28"/>
        <v>C</v>
      </c>
      <c r="H347" t="str">
        <f t="shared" si="28"/>
        <v>11</v>
      </c>
      <c r="I347" t="str">
        <f t="shared" si="28"/>
        <v>109</v>
      </c>
      <c r="J347" t="str">
        <f t="shared" si="28"/>
        <v>10996</v>
      </c>
      <c r="K347" t="str">
        <f t="shared" si="26"/>
        <v/>
      </c>
    </row>
    <row r="348" spans="2:12" x14ac:dyDescent="0.25">
      <c r="C348" t="s">
        <v>2210</v>
      </c>
      <c r="D348" t="s">
        <v>1864</v>
      </c>
      <c r="E348" t="s">
        <v>1864</v>
      </c>
      <c r="F348" t="s">
        <v>296</v>
      </c>
      <c r="G348" t="str">
        <f t="shared" si="28"/>
        <v>C</v>
      </c>
      <c r="H348" t="str">
        <f t="shared" si="28"/>
        <v>11</v>
      </c>
      <c r="I348" t="str">
        <f t="shared" si="28"/>
        <v>111</v>
      </c>
      <c r="J348" t="str">
        <f t="shared" si="28"/>
        <v>10996</v>
      </c>
      <c r="K348" t="str">
        <f t="shared" si="26"/>
        <v/>
      </c>
    </row>
    <row r="349" spans="2:12" x14ac:dyDescent="0.25">
      <c r="C349" t="s">
        <v>1864</v>
      </c>
      <c r="D349" t="s">
        <v>2211</v>
      </c>
      <c r="E349" t="s">
        <v>1864</v>
      </c>
      <c r="F349" t="s">
        <v>297</v>
      </c>
      <c r="G349" t="str">
        <f t="shared" si="28"/>
        <v>C</v>
      </c>
      <c r="H349" t="str">
        <f t="shared" si="28"/>
        <v>11</v>
      </c>
      <c r="I349" t="str">
        <f t="shared" si="28"/>
        <v>111</v>
      </c>
      <c r="J349" t="str">
        <f t="shared" si="28"/>
        <v>11119</v>
      </c>
      <c r="K349" t="str">
        <f t="shared" si="26"/>
        <v/>
      </c>
    </row>
    <row r="350" spans="2:12" x14ac:dyDescent="0.25">
      <c r="C350" t="s">
        <v>1864</v>
      </c>
      <c r="D350" t="s">
        <v>1864</v>
      </c>
      <c r="E350" t="s">
        <v>2212</v>
      </c>
      <c r="F350" t="s">
        <v>298</v>
      </c>
      <c r="G350" t="str">
        <f t="shared" si="28"/>
        <v>C</v>
      </c>
      <c r="H350" t="str">
        <f t="shared" si="28"/>
        <v>11</v>
      </c>
      <c r="I350" t="str">
        <f t="shared" si="28"/>
        <v>111</v>
      </c>
      <c r="J350" t="str">
        <f t="shared" si="28"/>
        <v>11119</v>
      </c>
      <c r="K350" t="str">
        <f t="shared" si="26"/>
        <v>1111901</v>
      </c>
      <c r="L350">
        <v>0</v>
      </c>
    </row>
    <row r="351" spans="2:12" x14ac:dyDescent="0.25">
      <c r="C351" t="s">
        <v>1864</v>
      </c>
      <c r="D351" t="s">
        <v>1864</v>
      </c>
      <c r="E351" t="s">
        <v>2213</v>
      </c>
      <c r="F351" t="s">
        <v>299</v>
      </c>
      <c r="G351" t="str">
        <f t="shared" si="28"/>
        <v>C</v>
      </c>
      <c r="H351" t="str">
        <f t="shared" si="28"/>
        <v>11</v>
      </c>
      <c r="I351" t="str">
        <f t="shared" si="28"/>
        <v>111</v>
      </c>
      <c r="J351" t="str">
        <f t="shared" si="28"/>
        <v>11119</v>
      </c>
      <c r="K351" t="str">
        <f t="shared" si="26"/>
        <v>1111902</v>
      </c>
      <c r="L351">
        <v>0</v>
      </c>
    </row>
    <row r="352" spans="2:12" x14ac:dyDescent="0.25">
      <c r="C352" t="s">
        <v>1864</v>
      </c>
      <c r="D352" t="s">
        <v>2214</v>
      </c>
      <c r="E352" t="s">
        <v>1864</v>
      </c>
      <c r="F352" t="s">
        <v>300</v>
      </c>
      <c r="G352" t="str">
        <f t="shared" si="28"/>
        <v>C</v>
      </c>
      <c r="H352" t="str">
        <f t="shared" si="28"/>
        <v>11</v>
      </c>
      <c r="I352" t="str">
        <f t="shared" si="28"/>
        <v>111</v>
      </c>
      <c r="J352" t="str">
        <f t="shared" si="28"/>
        <v>11127</v>
      </c>
      <c r="K352" t="str">
        <f t="shared" si="26"/>
        <v/>
      </c>
    </row>
    <row r="353" spans="2:12" x14ac:dyDescent="0.25">
      <c r="C353" t="s">
        <v>1864</v>
      </c>
      <c r="D353" t="s">
        <v>1864</v>
      </c>
      <c r="E353" t="s">
        <v>2215</v>
      </c>
      <c r="F353" t="s">
        <v>300</v>
      </c>
      <c r="G353" t="str">
        <f t="shared" si="28"/>
        <v>C</v>
      </c>
      <c r="H353" t="str">
        <f t="shared" si="28"/>
        <v>11</v>
      </c>
      <c r="I353" t="str">
        <f t="shared" si="28"/>
        <v>111</v>
      </c>
      <c r="J353" t="str">
        <f t="shared" si="28"/>
        <v>11127</v>
      </c>
      <c r="K353" t="str">
        <f t="shared" si="26"/>
        <v>1112700</v>
      </c>
      <c r="L353">
        <v>1</v>
      </c>
    </row>
    <row r="354" spans="2:12" x14ac:dyDescent="0.25">
      <c r="C354" t="s">
        <v>1864</v>
      </c>
      <c r="D354" t="s">
        <v>2216</v>
      </c>
      <c r="E354" t="s">
        <v>1864</v>
      </c>
      <c r="F354" t="s">
        <v>301</v>
      </c>
      <c r="G354" t="str">
        <f t="shared" si="28"/>
        <v>C</v>
      </c>
      <c r="H354" t="str">
        <f t="shared" si="28"/>
        <v>11</v>
      </c>
      <c r="I354" t="str">
        <f t="shared" si="28"/>
        <v>111</v>
      </c>
      <c r="J354" t="str">
        <f t="shared" si="28"/>
        <v>11135</v>
      </c>
      <c r="K354" t="str">
        <f t="shared" si="26"/>
        <v/>
      </c>
    </row>
    <row r="355" spans="2:12" x14ac:dyDescent="0.25">
      <c r="C355" t="s">
        <v>1864</v>
      </c>
      <c r="D355" t="s">
        <v>1864</v>
      </c>
      <c r="E355" t="s">
        <v>2217</v>
      </c>
      <c r="F355" t="s">
        <v>302</v>
      </c>
      <c r="G355" t="str">
        <f t="shared" si="28"/>
        <v>C</v>
      </c>
      <c r="H355" t="str">
        <f t="shared" si="28"/>
        <v>11</v>
      </c>
      <c r="I355" t="str">
        <f t="shared" si="28"/>
        <v>111</v>
      </c>
      <c r="J355" t="str">
        <f t="shared" si="28"/>
        <v>11135</v>
      </c>
      <c r="K355" t="str">
        <f t="shared" si="26"/>
        <v>1113501</v>
      </c>
      <c r="L355">
        <v>0</v>
      </c>
    </row>
    <row r="356" spans="2:12" x14ac:dyDescent="0.25">
      <c r="C356" t="s">
        <v>1864</v>
      </c>
      <c r="D356" t="s">
        <v>1864</v>
      </c>
      <c r="E356" t="s">
        <v>2218</v>
      </c>
      <c r="F356" t="s">
        <v>303</v>
      </c>
      <c r="G356" t="str">
        <f t="shared" si="28"/>
        <v>C</v>
      </c>
      <c r="H356" t="str">
        <f t="shared" si="28"/>
        <v>11</v>
      </c>
      <c r="I356" t="str">
        <f t="shared" si="28"/>
        <v>111</v>
      </c>
      <c r="J356" t="str">
        <f t="shared" si="28"/>
        <v>11135</v>
      </c>
      <c r="K356" t="str">
        <f t="shared" si="26"/>
        <v>1113502</v>
      </c>
      <c r="L356">
        <v>0</v>
      </c>
    </row>
    <row r="357" spans="2:12" x14ac:dyDescent="0.25">
      <c r="C357" t="s">
        <v>2219</v>
      </c>
      <c r="D357" t="s">
        <v>1864</v>
      </c>
      <c r="E357" t="s">
        <v>1864</v>
      </c>
      <c r="F357" t="s">
        <v>304</v>
      </c>
      <c r="G357" t="str">
        <f t="shared" si="28"/>
        <v>C</v>
      </c>
      <c r="H357" t="str">
        <f t="shared" si="28"/>
        <v>11</v>
      </c>
      <c r="I357" t="str">
        <f t="shared" si="28"/>
        <v>112</v>
      </c>
      <c r="J357" t="str">
        <f t="shared" si="28"/>
        <v>11135</v>
      </c>
      <c r="K357" t="str">
        <f t="shared" si="26"/>
        <v/>
      </c>
    </row>
    <row r="358" spans="2:12" x14ac:dyDescent="0.25">
      <c r="C358" t="s">
        <v>1864</v>
      </c>
      <c r="D358" t="s">
        <v>2220</v>
      </c>
      <c r="E358" t="s">
        <v>1864</v>
      </c>
      <c r="F358" t="s">
        <v>305</v>
      </c>
      <c r="G358" t="str">
        <f t="shared" si="28"/>
        <v>C</v>
      </c>
      <c r="H358" t="str">
        <f t="shared" si="28"/>
        <v>11</v>
      </c>
      <c r="I358" t="str">
        <f t="shared" si="28"/>
        <v>112</v>
      </c>
      <c r="J358" t="str">
        <f t="shared" si="28"/>
        <v>11216</v>
      </c>
      <c r="K358" t="str">
        <f t="shared" si="26"/>
        <v/>
      </c>
    </row>
    <row r="359" spans="2:12" x14ac:dyDescent="0.25">
      <c r="C359" t="s">
        <v>1864</v>
      </c>
      <c r="D359" t="s">
        <v>1864</v>
      </c>
      <c r="E359" t="s">
        <v>2221</v>
      </c>
      <c r="F359" t="s">
        <v>305</v>
      </c>
      <c r="G359" t="str">
        <f t="shared" si="28"/>
        <v>C</v>
      </c>
      <c r="H359" t="str">
        <f t="shared" si="28"/>
        <v>11</v>
      </c>
      <c r="I359" t="str">
        <f t="shared" si="28"/>
        <v>112</v>
      </c>
      <c r="J359" t="str">
        <f t="shared" si="28"/>
        <v>11216</v>
      </c>
      <c r="K359" t="str">
        <f t="shared" si="26"/>
        <v>1121600</v>
      </c>
      <c r="L359">
        <v>0</v>
      </c>
    </row>
    <row r="360" spans="2:12" x14ac:dyDescent="0.25">
      <c r="C360" t="s">
        <v>1864</v>
      </c>
      <c r="D360" t="s">
        <v>2222</v>
      </c>
      <c r="E360" t="s">
        <v>1864</v>
      </c>
      <c r="F360" t="s">
        <v>306</v>
      </c>
      <c r="G360" t="str">
        <f t="shared" si="28"/>
        <v>C</v>
      </c>
      <c r="H360" t="str">
        <f t="shared" si="28"/>
        <v>11</v>
      </c>
      <c r="I360" t="str">
        <f t="shared" si="28"/>
        <v>112</v>
      </c>
      <c r="J360" t="str">
        <f t="shared" si="28"/>
        <v>11224</v>
      </c>
      <c r="K360" t="str">
        <f t="shared" si="26"/>
        <v/>
      </c>
    </row>
    <row r="361" spans="2:12" x14ac:dyDescent="0.25">
      <c r="C361" t="s">
        <v>1864</v>
      </c>
      <c r="D361" t="s">
        <v>1864</v>
      </c>
      <c r="E361" t="s">
        <v>2223</v>
      </c>
      <c r="F361" t="s">
        <v>307</v>
      </c>
      <c r="G361" t="str">
        <f t="shared" ref="G361:J376" si="29">IF(A361="",G360,A361)</f>
        <v>C</v>
      </c>
      <c r="H361" t="str">
        <f t="shared" si="29"/>
        <v>11</v>
      </c>
      <c r="I361" t="str">
        <f t="shared" si="29"/>
        <v>112</v>
      </c>
      <c r="J361" t="str">
        <f t="shared" si="29"/>
        <v>11224</v>
      </c>
      <c r="K361" t="str">
        <f t="shared" si="26"/>
        <v>1122401</v>
      </c>
      <c r="L361">
        <v>0</v>
      </c>
    </row>
    <row r="362" spans="2:12" x14ac:dyDescent="0.25">
      <c r="C362" t="s">
        <v>1864</v>
      </c>
      <c r="D362" t="s">
        <v>1864</v>
      </c>
      <c r="E362" t="s">
        <v>2224</v>
      </c>
      <c r="F362" t="s">
        <v>308</v>
      </c>
      <c r="G362" t="str">
        <f t="shared" si="29"/>
        <v>C</v>
      </c>
      <c r="H362" t="str">
        <f t="shared" si="29"/>
        <v>11</v>
      </c>
      <c r="I362" t="str">
        <f t="shared" si="29"/>
        <v>112</v>
      </c>
      <c r="J362" t="str">
        <f t="shared" si="29"/>
        <v>11224</v>
      </c>
      <c r="K362" t="str">
        <f t="shared" si="26"/>
        <v>1122402</v>
      </c>
      <c r="L362">
        <v>0</v>
      </c>
    </row>
    <row r="363" spans="2:12" x14ac:dyDescent="0.25">
      <c r="C363" t="s">
        <v>1864</v>
      </c>
      <c r="D363" t="s">
        <v>1864</v>
      </c>
      <c r="E363" t="s">
        <v>2225</v>
      </c>
      <c r="F363" t="s">
        <v>309</v>
      </c>
      <c r="G363" t="str">
        <f t="shared" si="29"/>
        <v>C</v>
      </c>
      <c r="H363" t="str">
        <f t="shared" si="29"/>
        <v>11</v>
      </c>
      <c r="I363" t="str">
        <f t="shared" si="29"/>
        <v>112</v>
      </c>
      <c r="J363" t="str">
        <f t="shared" si="29"/>
        <v>11224</v>
      </c>
      <c r="K363" t="str">
        <f t="shared" si="26"/>
        <v>1122403</v>
      </c>
      <c r="L363">
        <v>0</v>
      </c>
    </row>
    <row r="364" spans="2:12" x14ac:dyDescent="0.25">
      <c r="C364" t="s">
        <v>1864</v>
      </c>
      <c r="D364" t="s">
        <v>1864</v>
      </c>
      <c r="E364" t="s">
        <v>2226</v>
      </c>
      <c r="F364" t="s">
        <v>310</v>
      </c>
      <c r="G364" t="str">
        <f t="shared" si="29"/>
        <v>C</v>
      </c>
      <c r="H364" t="str">
        <f t="shared" si="29"/>
        <v>11</v>
      </c>
      <c r="I364" t="str">
        <f t="shared" si="29"/>
        <v>112</v>
      </c>
      <c r="J364" t="str">
        <f t="shared" si="29"/>
        <v>11224</v>
      </c>
      <c r="K364" t="str">
        <f t="shared" si="26"/>
        <v>1122404</v>
      </c>
      <c r="L364">
        <v>0</v>
      </c>
    </row>
    <row r="365" spans="2:12" x14ac:dyDescent="0.25">
      <c r="C365" t="s">
        <v>1864</v>
      </c>
      <c r="D365" t="s">
        <v>1864</v>
      </c>
      <c r="E365" t="s">
        <v>2227</v>
      </c>
      <c r="F365" t="s">
        <v>311</v>
      </c>
      <c r="G365" t="str">
        <f t="shared" si="29"/>
        <v>C</v>
      </c>
      <c r="H365" t="str">
        <f t="shared" si="29"/>
        <v>11</v>
      </c>
      <c r="I365" t="str">
        <f t="shared" si="29"/>
        <v>112</v>
      </c>
      <c r="J365" t="str">
        <f t="shared" si="29"/>
        <v>11224</v>
      </c>
      <c r="K365" t="str">
        <f t="shared" si="26"/>
        <v>1122499</v>
      </c>
      <c r="L365">
        <v>0</v>
      </c>
    </row>
    <row r="366" spans="2:12" x14ac:dyDescent="0.25">
      <c r="B366" t="s">
        <v>2228</v>
      </c>
      <c r="C366" t="s">
        <v>1864</v>
      </c>
      <c r="D366" t="s">
        <v>1864</v>
      </c>
      <c r="E366" t="s">
        <v>1864</v>
      </c>
      <c r="F366" t="s">
        <v>312</v>
      </c>
      <c r="G366" t="str">
        <f t="shared" si="29"/>
        <v>C</v>
      </c>
      <c r="H366" t="str">
        <f t="shared" si="29"/>
        <v>12</v>
      </c>
      <c r="I366" t="str">
        <f t="shared" si="29"/>
        <v>112</v>
      </c>
      <c r="J366" t="str">
        <f t="shared" si="29"/>
        <v>11224</v>
      </c>
      <c r="K366" t="str">
        <f t="shared" si="26"/>
        <v/>
      </c>
    </row>
    <row r="367" spans="2:12" x14ac:dyDescent="0.25">
      <c r="C367" t="s">
        <v>2229</v>
      </c>
      <c r="D367" t="s">
        <v>1864</v>
      </c>
      <c r="E367" t="s">
        <v>1864</v>
      </c>
      <c r="F367" t="s">
        <v>313</v>
      </c>
      <c r="G367" t="str">
        <f t="shared" si="29"/>
        <v>C</v>
      </c>
      <c r="H367" t="str">
        <f t="shared" si="29"/>
        <v>12</v>
      </c>
      <c r="I367" t="str">
        <f t="shared" si="29"/>
        <v>121</v>
      </c>
      <c r="J367" t="str">
        <f t="shared" si="29"/>
        <v>11224</v>
      </c>
      <c r="K367" t="str">
        <f t="shared" si="26"/>
        <v/>
      </c>
    </row>
    <row r="368" spans="2:12" x14ac:dyDescent="0.25">
      <c r="C368" t="s">
        <v>1864</v>
      </c>
      <c r="D368" t="s">
        <v>2230</v>
      </c>
      <c r="E368" t="s">
        <v>1864</v>
      </c>
      <c r="F368" t="s">
        <v>313</v>
      </c>
      <c r="G368" t="str">
        <f t="shared" si="29"/>
        <v>C</v>
      </c>
      <c r="H368" t="str">
        <f t="shared" si="29"/>
        <v>12</v>
      </c>
      <c r="I368" t="str">
        <f t="shared" si="29"/>
        <v>121</v>
      </c>
      <c r="J368" t="str">
        <f t="shared" si="29"/>
        <v>12107</v>
      </c>
      <c r="K368" t="str">
        <f t="shared" si="26"/>
        <v/>
      </c>
    </row>
    <row r="369" spans="2:12" x14ac:dyDescent="0.25">
      <c r="C369" t="s">
        <v>1864</v>
      </c>
      <c r="D369" t="s">
        <v>1864</v>
      </c>
      <c r="E369" t="s">
        <v>2231</v>
      </c>
      <c r="F369" t="s">
        <v>313</v>
      </c>
      <c r="G369" t="str">
        <f t="shared" si="29"/>
        <v>C</v>
      </c>
      <c r="H369" t="str">
        <f t="shared" si="29"/>
        <v>12</v>
      </c>
      <c r="I369" t="str">
        <f t="shared" si="29"/>
        <v>121</v>
      </c>
      <c r="J369" t="str">
        <f t="shared" si="29"/>
        <v>12107</v>
      </c>
      <c r="K369" t="str">
        <f t="shared" si="26"/>
        <v>1210700</v>
      </c>
      <c r="L369">
        <v>0</v>
      </c>
    </row>
    <row r="370" spans="2:12" x14ac:dyDescent="0.25">
      <c r="C370" t="s">
        <v>2232</v>
      </c>
      <c r="D370" t="s">
        <v>1864</v>
      </c>
      <c r="E370" t="s">
        <v>1864</v>
      </c>
      <c r="F370" t="s">
        <v>314</v>
      </c>
      <c r="G370" t="str">
        <f t="shared" si="29"/>
        <v>C</v>
      </c>
      <c r="H370" t="str">
        <f t="shared" si="29"/>
        <v>12</v>
      </c>
      <c r="I370" t="str">
        <f t="shared" si="29"/>
        <v>122</v>
      </c>
      <c r="J370" t="str">
        <f t="shared" si="29"/>
        <v>12107</v>
      </c>
      <c r="K370" t="str">
        <f t="shared" si="26"/>
        <v/>
      </c>
    </row>
    <row r="371" spans="2:12" x14ac:dyDescent="0.25">
      <c r="C371" t="s">
        <v>1864</v>
      </c>
      <c r="D371" t="s">
        <v>2233</v>
      </c>
      <c r="E371" t="s">
        <v>1864</v>
      </c>
      <c r="F371" t="s">
        <v>314</v>
      </c>
      <c r="G371" t="str">
        <f t="shared" si="29"/>
        <v>C</v>
      </c>
      <c r="H371" t="str">
        <f t="shared" si="29"/>
        <v>12</v>
      </c>
      <c r="I371" t="str">
        <f t="shared" si="29"/>
        <v>122</v>
      </c>
      <c r="J371" t="str">
        <f t="shared" si="29"/>
        <v>12204</v>
      </c>
      <c r="K371" t="str">
        <f t="shared" si="26"/>
        <v/>
      </c>
    </row>
    <row r="372" spans="2:12" x14ac:dyDescent="0.25">
      <c r="C372" t="s">
        <v>1864</v>
      </c>
      <c r="D372" t="s">
        <v>1864</v>
      </c>
      <c r="E372" t="s">
        <v>2234</v>
      </c>
      <c r="F372" t="s">
        <v>315</v>
      </c>
      <c r="G372" t="str">
        <f t="shared" si="29"/>
        <v>C</v>
      </c>
      <c r="H372" t="str">
        <f t="shared" si="29"/>
        <v>12</v>
      </c>
      <c r="I372" t="str">
        <f t="shared" si="29"/>
        <v>122</v>
      </c>
      <c r="J372" t="str">
        <f t="shared" si="29"/>
        <v>12204</v>
      </c>
      <c r="K372" t="str">
        <f t="shared" si="26"/>
        <v>1220401</v>
      </c>
      <c r="L372">
        <v>0</v>
      </c>
    </row>
    <row r="373" spans="2:12" x14ac:dyDescent="0.25">
      <c r="C373" t="s">
        <v>1864</v>
      </c>
      <c r="D373" t="s">
        <v>1864</v>
      </c>
      <c r="E373" t="s">
        <v>2235</v>
      </c>
      <c r="F373" t="s">
        <v>316</v>
      </c>
      <c r="G373" t="str">
        <f t="shared" si="29"/>
        <v>C</v>
      </c>
      <c r="H373" t="str">
        <f t="shared" si="29"/>
        <v>12</v>
      </c>
      <c r="I373" t="str">
        <f t="shared" si="29"/>
        <v>122</v>
      </c>
      <c r="J373" t="str">
        <f t="shared" si="29"/>
        <v>12204</v>
      </c>
      <c r="K373" t="str">
        <f t="shared" si="26"/>
        <v>1220402</v>
      </c>
      <c r="L373">
        <v>0</v>
      </c>
    </row>
    <row r="374" spans="2:12" x14ac:dyDescent="0.25">
      <c r="C374" t="s">
        <v>1864</v>
      </c>
      <c r="D374" t="s">
        <v>1864</v>
      </c>
      <c r="E374" t="s">
        <v>2236</v>
      </c>
      <c r="F374" t="s">
        <v>317</v>
      </c>
      <c r="G374" t="str">
        <f t="shared" si="29"/>
        <v>C</v>
      </c>
      <c r="H374" t="str">
        <f t="shared" si="29"/>
        <v>12</v>
      </c>
      <c r="I374" t="str">
        <f t="shared" si="29"/>
        <v>122</v>
      </c>
      <c r="J374" t="str">
        <f t="shared" si="29"/>
        <v>12204</v>
      </c>
      <c r="K374" t="str">
        <f t="shared" si="26"/>
        <v>1220403</v>
      </c>
      <c r="L374">
        <v>0</v>
      </c>
    </row>
    <row r="375" spans="2:12" x14ac:dyDescent="0.25">
      <c r="C375" t="s">
        <v>1864</v>
      </c>
      <c r="D375" t="s">
        <v>1864</v>
      </c>
      <c r="E375" t="s">
        <v>2237</v>
      </c>
      <c r="F375" t="s">
        <v>318</v>
      </c>
      <c r="G375" t="str">
        <f t="shared" si="29"/>
        <v>C</v>
      </c>
      <c r="H375" t="str">
        <f t="shared" si="29"/>
        <v>12</v>
      </c>
      <c r="I375" t="str">
        <f t="shared" si="29"/>
        <v>122</v>
      </c>
      <c r="J375" t="str">
        <f t="shared" si="29"/>
        <v>12204</v>
      </c>
      <c r="K375" t="str">
        <f t="shared" si="26"/>
        <v>1220499</v>
      </c>
      <c r="L375">
        <v>0</v>
      </c>
    </row>
    <row r="376" spans="2:12" x14ac:dyDescent="0.25">
      <c r="B376" t="s">
        <v>2238</v>
      </c>
      <c r="C376" t="s">
        <v>1864</v>
      </c>
      <c r="D376" t="s">
        <v>1864</v>
      </c>
      <c r="E376" t="s">
        <v>1864</v>
      </c>
      <c r="F376" t="s">
        <v>319</v>
      </c>
      <c r="G376" t="str">
        <f t="shared" si="29"/>
        <v>C</v>
      </c>
      <c r="H376" t="str">
        <f t="shared" si="29"/>
        <v>13</v>
      </c>
      <c r="I376" t="str">
        <f t="shared" si="29"/>
        <v>122</v>
      </c>
      <c r="J376" t="str">
        <f t="shared" si="29"/>
        <v>12204</v>
      </c>
      <c r="K376" t="str">
        <f t="shared" si="26"/>
        <v/>
      </c>
    </row>
    <row r="377" spans="2:12" x14ac:dyDescent="0.25">
      <c r="C377" t="s">
        <v>2239</v>
      </c>
      <c r="D377" t="s">
        <v>1864</v>
      </c>
      <c r="E377" t="s">
        <v>1864</v>
      </c>
      <c r="F377" t="s">
        <v>320</v>
      </c>
      <c r="G377" t="str">
        <f t="shared" ref="G377:J392" si="30">IF(A377="",G376,A377)</f>
        <v>C</v>
      </c>
      <c r="H377" t="str">
        <f t="shared" si="30"/>
        <v>13</v>
      </c>
      <c r="I377" t="str">
        <f t="shared" si="30"/>
        <v>131</v>
      </c>
      <c r="J377" t="str">
        <f t="shared" si="30"/>
        <v>12204</v>
      </c>
      <c r="K377" t="str">
        <f t="shared" si="26"/>
        <v/>
      </c>
    </row>
    <row r="378" spans="2:12" x14ac:dyDescent="0.25">
      <c r="C378" t="s">
        <v>1864</v>
      </c>
      <c r="D378" t="s">
        <v>2240</v>
      </c>
      <c r="E378" t="s">
        <v>1864</v>
      </c>
      <c r="F378" t="s">
        <v>321</v>
      </c>
      <c r="G378" t="str">
        <f t="shared" si="30"/>
        <v>C</v>
      </c>
      <c r="H378" t="str">
        <f t="shared" si="30"/>
        <v>13</v>
      </c>
      <c r="I378" t="str">
        <f t="shared" si="30"/>
        <v>131</v>
      </c>
      <c r="J378" t="str">
        <f t="shared" si="30"/>
        <v>13111</v>
      </c>
      <c r="K378" t="str">
        <f t="shared" si="26"/>
        <v/>
      </c>
    </row>
    <row r="379" spans="2:12" x14ac:dyDescent="0.25">
      <c r="C379" t="s">
        <v>1864</v>
      </c>
      <c r="D379" t="s">
        <v>1864</v>
      </c>
      <c r="E379" t="s">
        <v>2241</v>
      </c>
      <c r="F379" t="s">
        <v>321</v>
      </c>
      <c r="G379" t="str">
        <f t="shared" si="30"/>
        <v>C</v>
      </c>
      <c r="H379" t="str">
        <f t="shared" si="30"/>
        <v>13</v>
      </c>
      <c r="I379" t="str">
        <f t="shared" si="30"/>
        <v>131</v>
      </c>
      <c r="J379" t="str">
        <f t="shared" si="30"/>
        <v>13111</v>
      </c>
      <c r="K379" t="str">
        <f t="shared" si="26"/>
        <v>1311100</v>
      </c>
      <c r="L379">
        <v>1</v>
      </c>
    </row>
    <row r="380" spans="2:12" x14ac:dyDescent="0.25">
      <c r="C380" t="s">
        <v>1864</v>
      </c>
      <c r="D380" t="s">
        <v>2242</v>
      </c>
      <c r="E380" t="s">
        <v>1864</v>
      </c>
      <c r="F380" t="s">
        <v>322</v>
      </c>
      <c r="G380" t="str">
        <f t="shared" si="30"/>
        <v>C</v>
      </c>
      <c r="H380" t="str">
        <f t="shared" si="30"/>
        <v>13</v>
      </c>
      <c r="I380" t="str">
        <f t="shared" si="30"/>
        <v>131</v>
      </c>
      <c r="J380" t="str">
        <f t="shared" si="30"/>
        <v>13120</v>
      </c>
      <c r="K380" t="str">
        <f t="shared" si="26"/>
        <v/>
      </c>
    </row>
    <row r="381" spans="2:12" x14ac:dyDescent="0.25">
      <c r="C381" t="s">
        <v>1864</v>
      </c>
      <c r="D381" t="s">
        <v>1864</v>
      </c>
      <c r="E381" t="s">
        <v>2243</v>
      </c>
      <c r="F381" t="s">
        <v>322</v>
      </c>
      <c r="G381" t="str">
        <f t="shared" si="30"/>
        <v>C</v>
      </c>
      <c r="H381" t="str">
        <f t="shared" si="30"/>
        <v>13</v>
      </c>
      <c r="I381" t="str">
        <f t="shared" si="30"/>
        <v>131</v>
      </c>
      <c r="J381" t="str">
        <f t="shared" si="30"/>
        <v>13120</v>
      </c>
      <c r="K381" t="str">
        <f t="shared" si="26"/>
        <v>1312000</v>
      </c>
      <c r="L381">
        <v>1</v>
      </c>
    </row>
    <row r="382" spans="2:12" x14ac:dyDescent="0.25">
      <c r="C382" t="s">
        <v>1864</v>
      </c>
      <c r="D382" t="s">
        <v>2244</v>
      </c>
      <c r="E382" t="s">
        <v>1864</v>
      </c>
      <c r="F382" t="s">
        <v>323</v>
      </c>
      <c r="G382" t="str">
        <f t="shared" si="30"/>
        <v>C</v>
      </c>
      <c r="H382" t="str">
        <f t="shared" si="30"/>
        <v>13</v>
      </c>
      <c r="I382" t="str">
        <f t="shared" si="30"/>
        <v>131</v>
      </c>
      <c r="J382" t="str">
        <f t="shared" si="30"/>
        <v>13138</v>
      </c>
      <c r="K382" t="str">
        <f t="shared" si="26"/>
        <v/>
      </c>
    </row>
    <row r="383" spans="2:12" x14ac:dyDescent="0.25">
      <c r="C383" t="s">
        <v>1864</v>
      </c>
      <c r="D383" t="s">
        <v>1864</v>
      </c>
      <c r="E383" t="s">
        <v>2245</v>
      </c>
      <c r="F383" t="s">
        <v>323</v>
      </c>
      <c r="G383" t="str">
        <f t="shared" si="30"/>
        <v>C</v>
      </c>
      <c r="H383" t="str">
        <f t="shared" si="30"/>
        <v>13</v>
      </c>
      <c r="I383" t="str">
        <f t="shared" si="30"/>
        <v>131</v>
      </c>
      <c r="J383" t="str">
        <f t="shared" si="30"/>
        <v>13138</v>
      </c>
      <c r="K383" t="str">
        <f t="shared" si="26"/>
        <v>1313800</v>
      </c>
      <c r="L383">
        <v>1</v>
      </c>
    </row>
    <row r="384" spans="2:12" x14ac:dyDescent="0.25">
      <c r="C384" t="s">
        <v>1864</v>
      </c>
      <c r="D384" t="s">
        <v>2246</v>
      </c>
      <c r="E384" t="s">
        <v>1864</v>
      </c>
      <c r="F384" t="s">
        <v>324</v>
      </c>
      <c r="G384" t="str">
        <f t="shared" si="30"/>
        <v>C</v>
      </c>
      <c r="H384" t="str">
        <f t="shared" si="30"/>
        <v>13</v>
      </c>
      <c r="I384" t="str">
        <f t="shared" si="30"/>
        <v>131</v>
      </c>
      <c r="J384" t="str">
        <f t="shared" si="30"/>
        <v>13146</v>
      </c>
      <c r="K384" t="str">
        <f t="shared" si="26"/>
        <v/>
      </c>
    </row>
    <row r="385" spans="3:12" x14ac:dyDescent="0.25">
      <c r="C385" t="s">
        <v>1864</v>
      </c>
      <c r="D385" t="s">
        <v>1864</v>
      </c>
      <c r="E385" t="s">
        <v>2247</v>
      </c>
      <c r="F385" t="s">
        <v>324</v>
      </c>
      <c r="G385" t="str">
        <f t="shared" si="30"/>
        <v>C</v>
      </c>
      <c r="H385" t="str">
        <f t="shared" si="30"/>
        <v>13</v>
      </c>
      <c r="I385" t="str">
        <f t="shared" si="30"/>
        <v>131</v>
      </c>
      <c r="J385" t="str">
        <f t="shared" si="30"/>
        <v>13146</v>
      </c>
      <c r="K385" t="str">
        <f t="shared" si="26"/>
        <v>1314600</v>
      </c>
      <c r="L385">
        <v>1</v>
      </c>
    </row>
    <row r="386" spans="3:12" x14ac:dyDescent="0.25">
      <c r="C386" t="s">
        <v>2248</v>
      </c>
      <c r="D386" t="s">
        <v>1864</v>
      </c>
      <c r="E386" t="s">
        <v>1864</v>
      </c>
      <c r="F386" t="s">
        <v>325</v>
      </c>
      <c r="G386" t="str">
        <f t="shared" si="30"/>
        <v>C</v>
      </c>
      <c r="H386" t="str">
        <f t="shared" si="30"/>
        <v>13</v>
      </c>
      <c r="I386" t="str">
        <f t="shared" si="30"/>
        <v>132</v>
      </c>
      <c r="J386" t="str">
        <f t="shared" si="30"/>
        <v>13146</v>
      </c>
      <c r="K386" t="str">
        <f t="shared" si="26"/>
        <v/>
      </c>
    </row>
    <row r="387" spans="3:12" x14ac:dyDescent="0.25">
      <c r="C387" t="s">
        <v>1864</v>
      </c>
      <c r="D387" t="s">
        <v>2249</v>
      </c>
      <c r="E387" t="s">
        <v>1864</v>
      </c>
      <c r="F387" t="s">
        <v>326</v>
      </c>
      <c r="G387" t="str">
        <f t="shared" si="30"/>
        <v>C</v>
      </c>
      <c r="H387" t="str">
        <f t="shared" si="30"/>
        <v>13</v>
      </c>
      <c r="I387" t="str">
        <f t="shared" si="30"/>
        <v>132</v>
      </c>
      <c r="J387" t="str">
        <f t="shared" si="30"/>
        <v>13219</v>
      </c>
      <c r="K387" t="str">
        <f t="shared" si="26"/>
        <v/>
      </c>
    </row>
    <row r="388" spans="3:12" x14ac:dyDescent="0.25">
      <c r="C388" t="s">
        <v>1864</v>
      </c>
      <c r="D388" t="s">
        <v>1864</v>
      </c>
      <c r="E388" t="s">
        <v>2250</v>
      </c>
      <c r="F388" t="s">
        <v>326</v>
      </c>
      <c r="G388" t="str">
        <f t="shared" si="30"/>
        <v>C</v>
      </c>
      <c r="H388" t="str">
        <f t="shared" si="30"/>
        <v>13</v>
      </c>
      <c r="I388" t="str">
        <f t="shared" si="30"/>
        <v>132</v>
      </c>
      <c r="J388" t="str">
        <f t="shared" si="30"/>
        <v>13219</v>
      </c>
      <c r="K388" t="str">
        <f t="shared" si="26"/>
        <v>1321900</v>
      </c>
      <c r="L388">
        <v>1</v>
      </c>
    </row>
    <row r="389" spans="3:12" x14ac:dyDescent="0.25">
      <c r="C389" t="s">
        <v>1864</v>
      </c>
      <c r="D389" t="s">
        <v>2251</v>
      </c>
      <c r="E389" t="s">
        <v>1864</v>
      </c>
      <c r="F389" t="s">
        <v>327</v>
      </c>
      <c r="G389" t="str">
        <f t="shared" si="30"/>
        <v>C</v>
      </c>
      <c r="H389" t="str">
        <f t="shared" si="30"/>
        <v>13</v>
      </c>
      <c r="I389" t="str">
        <f t="shared" si="30"/>
        <v>132</v>
      </c>
      <c r="J389" t="str">
        <f t="shared" si="30"/>
        <v>13227</v>
      </c>
      <c r="K389" t="str">
        <f t="shared" si="26"/>
        <v/>
      </c>
    </row>
    <row r="390" spans="3:12" x14ac:dyDescent="0.25">
      <c r="C390" t="s">
        <v>1864</v>
      </c>
      <c r="D390" t="s">
        <v>1864</v>
      </c>
      <c r="E390" t="s">
        <v>2252</v>
      </c>
      <c r="F390" t="s">
        <v>327</v>
      </c>
      <c r="G390" t="str">
        <f t="shared" si="30"/>
        <v>C</v>
      </c>
      <c r="H390" t="str">
        <f t="shared" si="30"/>
        <v>13</v>
      </c>
      <c r="I390" t="str">
        <f t="shared" si="30"/>
        <v>132</v>
      </c>
      <c r="J390" t="str">
        <f t="shared" si="30"/>
        <v>13227</v>
      </c>
      <c r="K390" t="str">
        <f t="shared" si="26"/>
        <v>1322700</v>
      </c>
      <c r="L390">
        <v>1</v>
      </c>
    </row>
    <row r="391" spans="3:12" x14ac:dyDescent="0.25">
      <c r="C391" t="s">
        <v>1864</v>
      </c>
      <c r="D391" t="s">
        <v>2253</v>
      </c>
      <c r="E391" t="s">
        <v>1864</v>
      </c>
      <c r="F391" t="s">
        <v>328</v>
      </c>
      <c r="G391" t="str">
        <f t="shared" si="30"/>
        <v>C</v>
      </c>
      <c r="H391" t="str">
        <f t="shared" si="30"/>
        <v>13</v>
      </c>
      <c r="I391" t="str">
        <f t="shared" si="30"/>
        <v>132</v>
      </c>
      <c r="J391" t="str">
        <f t="shared" si="30"/>
        <v>13235</v>
      </c>
      <c r="K391" t="str">
        <f t="shared" si="26"/>
        <v/>
      </c>
    </row>
    <row r="392" spans="3:12" x14ac:dyDescent="0.25">
      <c r="C392" t="s">
        <v>1864</v>
      </c>
      <c r="D392" t="s">
        <v>1864</v>
      </c>
      <c r="E392" t="s">
        <v>2254</v>
      </c>
      <c r="F392" t="s">
        <v>328</v>
      </c>
      <c r="G392" t="str">
        <f t="shared" si="30"/>
        <v>C</v>
      </c>
      <c r="H392" t="str">
        <f t="shared" si="30"/>
        <v>13</v>
      </c>
      <c r="I392" t="str">
        <f t="shared" si="30"/>
        <v>132</v>
      </c>
      <c r="J392" t="str">
        <f t="shared" si="30"/>
        <v>13235</v>
      </c>
      <c r="K392" t="str">
        <f t="shared" ref="K392:K455" si="31">E392</f>
        <v>1323500</v>
      </c>
      <c r="L392">
        <v>1</v>
      </c>
    </row>
    <row r="393" spans="3:12" x14ac:dyDescent="0.25">
      <c r="C393" t="s">
        <v>2255</v>
      </c>
      <c r="D393" t="s">
        <v>1864</v>
      </c>
      <c r="E393" t="s">
        <v>1864</v>
      </c>
      <c r="F393" t="s">
        <v>329</v>
      </c>
      <c r="G393" t="str">
        <f t="shared" ref="G393:J408" si="32">IF(A393="",G392,A393)</f>
        <v>C</v>
      </c>
      <c r="H393" t="str">
        <f t="shared" si="32"/>
        <v>13</v>
      </c>
      <c r="I393" t="str">
        <f t="shared" si="32"/>
        <v>133</v>
      </c>
      <c r="J393" t="str">
        <f t="shared" si="32"/>
        <v>13235</v>
      </c>
      <c r="K393" t="str">
        <f t="shared" si="31"/>
        <v/>
      </c>
    </row>
    <row r="394" spans="3:12" x14ac:dyDescent="0.25">
      <c r="C394" t="s">
        <v>1864</v>
      </c>
      <c r="D394" t="s">
        <v>2256</v>
      </c>
      <c r="E394" t="s">
        <v>1864</v>
      </c>
      <c r="F394" t="s">
        <v>329</v>
      </c>
      <c r="G394" t="str">
        <f t="shared" si="32"/>
        <v>C</v>
      </c>
      <c r="H394" t="str">
        <f t="shared" si="32"/>
        <v>13</v>
      </c>
      <c r="I394" t="str">
        <f t="shared" si="32"/>
        <v>133</v>
      </c>
      <c r="J394" t="str">
        <f t="shared" si="32"/>
        <v>13308</v>
      </c>
      <c r="K394" t="str">
        <f t="shared" si="31"/>
        <v/>
      </c>
    </row>
    <row r="395" spans="3:12" x14ac:dyDescent="0.25">
      <c r="C395" t="s">
        <v>1864</v>
      </c>
      <c r="D395" t="s">
        <v>1864</v>
      </c>
      <c r="E395" t="s">
        <v>2257</v>
      </c>
      <c r="F395" t="s">
        <v>329</v>
      </c>
      <c r="G395" t="str">
        <f t="shared" si="32"/>
        <v>C</v>
      </c>
      <c r="H395" t="str">
        <f t="shared" si="32"/>
        <v>13</v>
      </c>
      <c r="I395" t="str">
        <f t="shared" si="32"/>
        <v>133</v>
      </c>
      <c r="J395" t="str">
        <f t="shared" si="32"/>
        <v>13308</v>
      </c>
      <c r="K395" t="str">
        <f t="shared" si="31"/>
        <v>1330800</v>
      </c>
      <c r="L395">
        <v>1</v>
      </c>
    </row>
    <row r="396" spans="3:12" x14ac:dyDescent="0.25">
      <c r="C396" t="s">
        <v>2258</v>
      </c>
      <c r="D396" t="s">
        <v>1864</v>
      </c>
      <c r="E396" t="s">
        <v>1864</v>
      </c>
      <c r="F396" t="s">
        <v>330</v>
      </c>
      <c r="G396" t="str">
        <f t="shared" si="32"/>
        <v>C</v>
      </c>
      <c r="H396" t="str">
        <f t="shared" si="32"/>
        <v>13</v>
      </c>
      <c r="I396" t="str">
        <f t="shared" si="32"/>
        <v>134</v>
      </c>
      <c r="J396" t="str">
        <f t="shared" si="32"/>
        <v>13308</v>
      </c>
      <c r="K396" t="str">
        <f t="shared" si="31"/>
        <v/>
      </c>
    </row>
    <row r="397" spans="3:12" x14ac:dyDescent="0.25">
      <c r="C397" t="s">
        <v>1864</v>
      </c>
      <c r="D397" t="s">
        <v>2259</v>
      </c>
      <c r="E397" t="s">
        <v>1864</v>
      </c>
      <c r="F397" t="s">
        <v>330</v>
      </c>
      <c r="G397" t="str">
        <f t="shared" si="32"/>
        <v>C</v>
      </c>
      <c r="H397" t="str">
        <f t="shared" si="32"/>
        <v>13</v>
      </c>
      <c r="I397" t="str">
        <f t="shared" si="32"/>
        <v>134</v>
      </c>
      <c r="J397" t="str">
        <f t="shared" si="32"/>
        <v>13405</v>
      </c>
      <c r="K397" t="str">
        <f t="shared" si="31"/>
        <v/>
      </c>
    </row>
    <row r="398" spans="3:12" x14ac:dyDescent="0.25">
      <c r="C398" t="s">
        <v>1864</v>
      </c>
      <c r="D398" t="s">
        <v>1864</v>
      </c>
      <c r="E398" t="s">
        <v>2260</v>
      </c>
      <c r="F398" t="s">
        <v>331</v>
      </c>
      <c r="G398" t="str">
        <f t="shared" si="32"/>
        <v>C</v>
      </c>
      <c r="H398" t="str">
        <f t="shared" si="32"/>
        <v>13</v>
      </c>
      <c r="I398" t="str">
        <f t="shared" si="32"/>
        <v>134</v>
      </c>
      <c r="J398" t="str">
        <f t="shared" si="32"/>
        <v>13405</v>
      </c>
      <c r="K398" t="str">
        <f t="shared" si="31"/>
        <v>1340501</v>
      </c>
      <c r="L398">
        <v>1</v>
      </c>
    </row>
    <row r="399" spans="3:12" x14ac:dyDescent="0.25">
      <c r="C399" t="s">
        <v>1864</v>
      </c>
      <c r="D399" t="s">
        <v>1864</v>
      </c>
      <c r="E399" t="s">
        <v>2261</v>
      </c>
      <c r="F399" t="s">
        <v>332</v>
      </c>
      <c r="G399" t="str">
        <f t="shared" si="32"/>
        <v>C</v>
      </c>
      <c r="H399" t="str">
        <f t="shared" si="32"/>
        <v>13</v>
      </c>
      <c r="I399" t="str">
        <f t="shared" si="32"/>
        <v>134</v>
      </c>
      <c r="J399" t="str">
        <f t="shared" si="32"/>
        <v>13405</v>
      </c>
      <c r="K399" t="str">
        <f t="shared" si="31"/>
        <v>1340502</v>
      </c>
      <c r="L399">
        <v>1</v>
      </c>
    </row>
    <row r="400" spans="3:12" x14ac:dyDescent="0.25">
      <c r="C400" t="s">
        <v>1864</v>
      </c>
      <c r="D400" t="s">
        <v>1864</v>
      </c>
      <c r="E400" t="s">
        <v>2262</v>
      </c>
      <c r="F400" t="s">
        <v>333</v>
      </c>
      <c r="G400" t="str">
        <f t="shared" si="32"/>
        <v>C</v>
      </c>
      <c r="H400" t="str">
        <f t="shared" si="32"/>
        <v>13</v>
      </c>
      <c r="I400" t="str">
        <f t="shared" si="32"/>
        <v>134</v>
      </c>
      <c r="J400" t="str">
        <f t="shared" si="32"/>
        <v>13405</v>
      </c>
      <c r="K400" t="str">
        <f t="shared" si="31"/>
        <v>1340599</v>
      </c>
      <c r="L400">
        <v>1</v>
      </c>
    </row>
    <row r="401" spans="2:12" x14ac:dyDescent="0.25">
      <c r="C401" t="s">
        <v>2263</v>
      </c>
      <c r="D401" t="s">
        <v>1864</v>
      </c>
      <c r="E401" t="s">
        <v>1864</v>
      </c>
      <c r="F401" t="s">
        <v>334</v>
      </c>
      <c r="G401" t="str">
        <f t="shared" si="32"/>
        <v>C</v>
      </c>
      <c r="H401" t="str">
        <f t="shared" si="32"/>
        <v>13</v>
      </c>
      <c r="I401" t="str">
        <f t="shared" si="32"/>
        <v>135</v>
      </c>
      <c r="J401" t="str">
        <f t="shared" si="32"/>
        <v>13405</v>
      </c>
      <c r="K401" t="str">
        <f t="shared" si="31"/>
        <v/>
      </c>
    </row>
    <row r="402" spans="2:12" x14ac:dyDescent="0.25">
      <c r="C402" t="s">
        <v>1864</v>
      </c>
      <c r="D402" t="s">
        <v>2264</v>
      </c>
      <c r="E402" t="s">
        <v>1864</v>
      </c>
      <c r="F402" t="s">
        <v>335</v>
      </c>
      <c r="G402" t="str">
        <f t="shared" si="32"/>
        <v>C</v>
      </c>
      <c r="H402" t="str">
        <f t="shared" si="32"/>
        <v>13</v>
      </c>
      <c r="I402" t="str">
        <f t="shared" si="32"/>
        <v>135</v>
      </c>
      <c r="J402" t="str">
        <f t="shared" si="32"/>
        <v>13511</v>
      </c>
      <c r="K402" t="str">
        <f t="shared" si="31"/>
        <v/>
      </c>
    </row>
    <row r="403" spans="2:12" x14ac:dyDescent="0.25">
      <c r="C403" t="s">
        <v>1864</v>
      </c>
      <c r="D403" t="s">
        <v>1864</v>
      </c>
      <c r="E403" t="s">
        <v>2265</v>
      </c>
      <c r="F403" t="s">
        <v>335</v>
      </c>
      <c r="G403" t="str">
        <f t="shared" si="32"/>
        <v>C</v>
      </c>
      <c r="H403" t="str">
        <f t="shared" si="32"/>
        <v>13</v>
      </c>
      <c r="I403" t="str">
        <f t="shared" si="32"/>
        <v>135</v>
      </c>
      <c r="J403" t="str">
        <f t="shared" si="32"/>
        <v>13511</v>
      </c>
      <c r="K403" t="str">
        <f t="shared" si="31"/>
        <v>1351100</v>
      </c>
      <c r="L403">
        <v>1</v>
      </c>
    </row>
    <row r="404" spans="2:12" x14ac:dyDescent="0.25">
      <c r="C404" t="s">
        <v>1864</v>
      </c>
      <c r="D404" t="s">
        <v>2266</v>
      </c>
      <c r="E404" t="s">
        <v>1864</v>
      </c>
      <c r="F404" t="s">
        <v>336</v>
      </c>
      <c r="G404" t="str">
        <f t="shared" si="32"/>
        <v>C</v>
      </c>
      <c r="H404" t="str">
        <f t="shared" si="32"/>
        <v>13</v>
      </c>
      <c r="I404" t="str">
        <f t="shared" si="32"/>
        <v>135</v>
      </c>
      <c r="J404" t="str">
        <f t="shared" si="32"/>
        <v>13529</v>
      </c>
      <c r="K404" t="str">
        <f t="shared" si="31"/>
        <v/>
      </c>
    </row>
    <row r="405" spans="2:12" x14ac:dyDescent="0.25">
      <c r="C405" t="s">
        <v>1864</v>
      </c>
      <c r="D405" t="s">
        <v>1864</v>
      </c>
      <c r="E405" t="s">
        <v>2267</v>
      </c>
      <c r="F405" t="s">
        <v>336</v>
      </c>
      <c r="G405" t="str">
        <f t="shared" si="32"/>
        <v>C</v>
      </c>
      <c r="H405" t="str">
        <f t="shared" si="32"/>
        <v>13</v>
      </c>
      <c r="I405" t="str">
        <f t="shared" si="32"/>
        <v>135</v>
      </c>
      <c r="J405" t="str">
        <f t="shared" si="32"/>
        <v>13529</v>
      </c>
      <c r="K405" t="str">
        <f t="shared" si="31"/>
        <v>1352900</v>
      </c>
      <c r="L405">
        <v>1</v>
      </c>
    </row>
    <row r="406" spans="2:12" x14ac:dyDescent="0.25">
      <c r="C406" t="s">
        <v>1864</v>
      </c>
      <c r="D406" t="s">
        <v>2268</v>
      </c>
      <c r="E406" t="s">
        <v>1864</v>
      </c>
      <c r="F406" t="s">
        <v>337</v>
      </c>
      <c r="G406" t="str">
        <f t="shared" si="32"/>
        <v>C</v>
      </c>
      <c r="H406" t="str">
        <f t="shared" si="32"/>
        <v>13</v>
      </c>
      <c r="I406" t="str">
        <f t="shared" si="32"/>
        <v>135</v>
      </c>
      <c r="J406" t="str">
        <f t="shared" si="32"/>
        <v>13537</v>
      </c>
      <c r="K406" t="str">
        <f t="shared" si="31"/>
        <v/>
      </c>
    </row>
    <row r="407" spans="2:12" x14ac:dyDescent="0.25">
      <c r="C407" t="s">
        <v>1864</v>
      </c>
      <c r="D407" t="s">
        <v>1864</v>
      </c>
      <c r="E407" t="s">
        <v>2269</v>
      </c>
      <c r="F407" t="s">
        <v>337</v>
      </c>
      <c r="G407" t="str">
        <f t="shared" si="32"/>
        <v>C</v>
      </c>
      <c r="H407" t="str">
        <f t="shared" si="32"/>
        <v>13</v>
      </c>
      <c r="I407" t="str">
        <f t="shared" si="32"/>
        <v>135</v>
      </c>
      <c r="J407" t="str">
        <f t="shared" si="32"/>
        <v>13537</v>
      </c>
      <c r="K407" t="str">
        <f t="shared" si="31"/>
        <v>1353700</v>
      </c>
      <c r="L407">
        <v>1</v>
      </c>
    </row>
    <row r="408" spans="2:12" x14ac:dyDescent="0.25">
      <c r="C408" t="s">
        <v>1864</v>
      </c>
      <c r="D408" t="s">
        <v>2270</v>
      </c>
      <c r="E408" t="s">
        <v>1864</v>
      </c>
      <c r="F408" t="s">
        <v>338</v>
      </c>
      <c r="G408" t="str">
        <f t="shared" si="32"/>
        <v>C</v>
      </c>
      <c r="H408" t="str">
        <f t="shared" si="32"/>
        <v>13</v>
      </c>
      <c r="I408" t="str">
        <f t="shared" si="32"/>
        <v>135</v>
      </c>
      <c r="J408" t="str">
        <f t="shared" si="32"/>
        <v>13545</v>
      </c>
      <c r="K408" t="str">
        <f t="shared" si="31"/>
        <v/>
      </c>
    </row>
    <row r="409" spans="2:12" x14ac:dyDescent="0.25">
      <c r="C409" t="s">
        <v>1864</v>
      </c>
      <c r="D409" t="s">
        <v>1864</v>
      </c>
      <c r="E409" t="s">
        <v>2271</v>
      </c>
      <c r="F409" t="s">
        <v>338</v>
      </c>
      <c r="G409" t="str">
        <f t="shared" ref="G409:J424" si="33">IF(A409="",G408,A409)</f>
        <v>C</v>
      </c>
      <c r="H409" t="str">
        <f t="shared" si="33"/>
        <v>13</v>
      </c>
      <c r="I409" t="str">
        <f t="shared" si="33"/>
        <v>135</v>
      </c>
      <c r="J409" t="str">
        <f t="shared" si="33"/>
        <v>13545</v>
      </c>
      <c r="K409" t="str">
        <f t="shared" si="31"/>
        <v>1354500</v>
      </c>
      <c r="L409">
        <v>1</v>
      </c>
    </row>
    <row r="410" spans="2:12" x14ac:dyDescent="0.25">
      <c r="C410" t="s">
        <v>1864</v>
      </c>
      <c r="D410" t="s">
        <v>2272</v>
      </c>
      <c r="E410" t="s">
        <v>1864</v>
      </c>
      <c r="F410" t="s">
        <v>339</v>
      </c>
      <c r="G410" t="str">
        <f t="shared" si="33"/>
        <v>C</v>
      </c>
      <c r="H410" t="str">
        <f t="shared" si="33"/>
        <v>13</v>
      </c>
      <c r="I410" t="str">
        <f t="shared" si="33"/>
        <v>135</v>
      </c>
      <c r="J410" t="str">
        <f t="shared" si="33"/>
        <v>13596</v>
      </c>
      <c r="K410" t="str">
        <f t="shared" si="31"/>
        <v/>
      </c>
    </row>
    <row r="411" spans="2:12" x14ac:dyDescent="0.25">
      <c r="C411" t="s">
        <v>1864</v>
      </c>
      <c r="D411" t="s">
        <v>1864</v>
      </c>
      <c r="E411" t="s">
        <v>2273</v>
      </c>
      <c r="F411" t="s">
        <v>339</v>
      </c>
      <c r="G411" t="str">
        <f t="shared" si="33"/>
        <v>C</v>
      </c>
      <c r="H411" t="str">
        <f t="shared" si="33"/>
        <v>13</v>
      </c>
      <c r="I411" t="str">
        <f t="shared" si="33"/>
        <v>135</v>
      </c>
      <c r="J411" t="str">
        <f t="shared" si="33"/>
        <v>13596</v>
      </c>
      <c r="K411" t="str">
        <f t="shared" si="31"/>
        <v>1359600</v>
      </c>
      <c r="L411">
        <v>1</v>
      </c>
    </row>
    <row r="412" spans="2:12" x14ac:dyDescent="0.25">
      <c r="B412" t="s">
        <v>2274</v>
      </c>
      <c r="C412" t="s">
        <v>1864</v>
      </c>
      <c r="D412" t="s">
        <v>1864</v>
      </c>
      <c r="E412" t="s">
        <v>1864</v>
      </c>
      <c r="F412" t="s">
        <v>340</v>
      </c>
      <c r="G412" t="str">
        <f t="shared" si="33"/>
        <v>C</v>
      </c>
      <c r="H412" t="str">
        <f t="shared" si="33"/>
        <v>14</v>
      </c>
      <c r="I412" t="str">
        <f t="shared" si="33"/>
        <v>135</v>
      </c>
      <c r="J412" t="str">
        <f t="shared" si="33"/>
        <v>13596</v>
      </c>
      <c r="K412" t="str">
        <f t="shared" si="31"/>
        <v/>
      </c>
    </row>
    <row r="413" spans="2:12" x14ac:dyDescent="0.25">
      <c r="C413" t="s">
        <v>2275</v>
      </c>
      <c r="D413" t="s">
        <v>1864</v>
      </c>
      <c r="E413" t="s">
        <v>1864</v>
      </c>
      <c r="F413" t="s">
        <v>341</v>
      </c>
      <c r="G413" t="str">
        <f t="shared" si="33"/>
        <v>C</v>
      </c>
      <c r="H413" t="str">
        <f t="shared" si="33"/>
        <v>14</v>
      </c>
      <c r="I413" t="str">
        <f t="shared" si="33"/>
        <v>141</v>
      </c>
      <c r="J413" t="str">
        <f t="shared" si="33"/>
        <v>13596</v>
      </c>
      <c r="K413" t="str">
        <f t="shared" si="31"/>
        <v/>
      </c>
    </row>
    <row r="414" spans="2:12" x14ac:dyDescent="0.25">
      <c r="C414" t="s">
        <v>1864</v>
      </c>
      <c r="D414" t="s">
        <v>2276</v>
      </c>
      <c r="E414" t="s">
        <v>1864</v>
      </c>
      <c r="F414" t="s">
        <v>342</v>
      </c>
      <c r="G414" t="str">
        <f t="shared" si="33"/>
        <v>C</v>
      </c>
      <c r="H414" t="str">
        <f t="shared" si="33"/>
        <v>14</v>
      </c>
      <c r="I414" t="str">
        <f t="shared" si="33"/>
        <v>141</v>
      </c>
      <c r="J414" t="str">
        <f t="shared" si="33"/>
        <v>14118</v>
      </c>
      <c r="K414" t="str">
        <f t="shared" si="31"/>
        <v/>
      </c>
    </row>
    <row r="415" spans="2:12" x14ac:dyDescent="0.25">
      <c r="C415" t="s">
        <v>1864</v>
      </c>
      <c r="D415" t="s">
        <v>1864</v>
      </c>
      <c r="E415" t="s">
        <v>2277</v>
      </c>
      <c r="F415" t="s">
        <v>342</v>
      </c>
      <c r="G415" t="str">
        <f t="shared" si="33"/>
        <v>C</v>
      </c>
      <c r="H415" t="str">
        <f t="shared" si="33"/>
        <v>14</v>
      </c>
      <c r="I415" t="str">
        <f t="shared" si="33"/>
        <v>141</v>
      </c>
      <c r="J415" t="str">
        <f t="shared" si="33"/>
        <v>14118</v>
      </c>
      <c r="K415" t="str">
        <f t="shared" si="31"/>
        <v>1411801</v>
      </c>
      <c r="L415">
        <v>1</v>
      </c>
    </row>
    <row r="416" spans="2:12" x14ac:dyDescent="0.25">
      <c r="C416" t="s">
        <v>1864</v>
      </c>
      <c r="D416" t="s">
        <v>1864</v>
      </c>
      <c r="E416" t="s">
        <v>2278</v>
      </c>
      <c r="F416" t="s">
        <v>343</v>
      </c>
      <c r="G416" t="str">
        <f t="shared" si="33"/>
        <v>C</v>
      </c>
      <c r="H416" t="str">
        <f t="shared" si="33"/>
        <v>14</v>
      </c>
      <c r="I416" t="str">
        <f t="shared" si="33"/>
        <v>141</v>
      </c>
      <c r="J416" t="str">
        <f t="shared" si="33"/>
        <v>14118</v>
      </c>
      <c r="K416" t="str">
        <f t="shared" si="31"/>
        <v>1411802</v>
      </c>
      <c r="L416">
        <v>1</v>
      </c>
    </row>
    <row r="417" spans="2:12" x14ac:dyDescent="0.25">
      <c r="C417" t="s">
        <v>1864</v>
      </c>
      <c r="D417" t="s">
        <v>2279</v>
      </c>
      <c r="E417" t="s">
        <v>1864</v>
      </c>
      <c r="F417" t="s">
        <v>344</v>
      </c>
      <c r="G417" t="str">
        <f t="shared" si="33"/>
        <v>C</v>
      </c>
      <c r="H417" t="str">
        <f t="shared" si="33"/>
        <v>14</v>
      </c>
      <c r="I417" t="str">
        <f t="shared" si="33"/>
        <v>141</v>
      </c>
      <c r="J417" t="str">
        <f t="shared" si="33"/>
        <v>14126</v>
      </c>
      <c r="K417" t="str">
        <f t="shared" si="31"/>
        <v/>
      </c>
    </row>
    <row r="418" spans="2:12" x14ac:dyDescent="0.25">
      <c r="C418" t="s">
        <v>1864</v>
      </c>
      <c r="D418" t="s">
        <v>1864</v>
      </c>
      <c r="E418" t="s">
        <v>2280</v>
      </c>
      <c r="F418" t="s">
        <v>345</v>
      </c>
      <c r="G418" t="str">
        <f t="shared" si="33"/>
        <v>C</v>
      </c>
      <c r="H418" t="str">
        <f t="shared" si="33"/>
        <v>14</v>
      </c>
      <c r="I418" t="str">
        <f t="shared" si="33"/>
        <v>141</v>
      </c>
      <c r="J418" t="str">
        <f t="shared" si="33"/>
        <v>14126</v>
      </c>
      <c r="K418" t="str">
        <f t="shared" si="31"/>
        <v>1412601</v>
      </c>
      <c r="L418">
        <v>1</v>
      </c>
    </row>
    <row r="419" spans="2:12" x14ac:dyDescent="0.25">
      <c r="C419" t="s">
        <v>1864</v>
      </c>
      <c r="D419" t="s">
        <v>1864</v>
      </c>
      <c r="E419" t="s">
        <v>2281</v>
      </c>
      <c r="F419" t="s">
        <v>346</v>
      </c>
      <c r="G419" t="str">
        <f t="shared" si="33"/>
        <v>C</v>
      </c>
      <c r="H419" t="str">
        <f t="shared" si="33"/>
        <v>14</v>
      </c>
      <c r="I419" t="str">
        <f t="shared" si="33"/>
        <v>141</v>
      </c>
      <c r="J419" t="str">
        <f t="shared" si="33"/>
        <v>14126</v>
      </c>
      <c r="K419" t="str">
        <f t="shared" si="31"/>
        <v>1412602</v>
      </c>
      <c r="L419">
        <v>1</v>
      </c>
    </row>
    <row r="420" spans="2:12" x14ac:dyDescent="0.25">
      <c r="C420" t="s">
        <v>1864</v>
      </c>
      <c r="D420" t="s">
        <v>1864</v>
      </c>
      <c r="E420" t="s">
        <v>2282</v>
      </c>
      <c r="F420" t="s">
        <v>347</v>
      </c>
      <c r="G420" t="str">
        <f t="shared" si="33"/>
        <v>C</v>
      </c>
      <c r="H420" t="str">
        <f t="shared" si="33"/>
        <v>14</v>
      </c>
      <c r="I420" t="str">
        <f t="shared" si="33"/>
        <v>141</v>
      </c>
      <c r="J420" t="str">
        <f t="shared" si="33"/>
        <v>14126</v>
      </c>
      <c r="K420" t="str">
        <f t="shared" si="31"/>
        <v>1412603</v>
      </c>
      <c r="L420">
        <v>1</v>
      </c>
    </row>
    <row r="421" spans="2:12" x14ac:dyDescent="0.25">
      <c r="C421" t="s">
        <v>1864</v>
      </c>
      <c r="D421" t="s">
        <v>2283</v>
      </c>
      <c r="E421" t="s">
        <v>1864</v>
      </c>
      <c r="F421" t="s">
        <v>348</v>
      </c>
      <c r="G421" t="str">
        <f t="shared" si="33"/>
        <v>C</v>
      </c>
      <c r="H421" t="str">
        <f t="shared" si="33"/>
        <v>14</v>
      </c>
      <c r="I421" t="str">
        <f t="shared" si="33"/>
        <v>141</v>
      </c>
      <c r="J421" t="str">
        <f t="shared" si="33"/>
        <v>14134</v>
      </c>
      <c r="K421" t="str">
        <f t="shared" si="31"/>
        <v/>
      </c>
    </row>
    <row r="422" spans="2:12" x14ac:dyDescent="0.25">
      <c r="C422" t="s">
        <v>1864</v>
      </c>
      <c r="D422" t="s">
        <v>1864</v>
      </c>
      <c r="E422" t="s">
        <v>2284</v>
      </c>
      <c r="F422" t="s">
        <v>349</v>
      </c>
      <c r="G422" t="str">
        <f t="shared" si="33"/>
        <v>C</v>
      </c>
      <c r="H422" t="str">
        <f t="shared" si="33"/>
        <v>14</v>
      </c>
      <c r="I422" t="str">
        <f t="shared" si="33"/>
        <v>141</v>
      </c>
      <c r="J422" t="str">
        <f t="shared" si="33"/>
        <v>14134</v>
      </c>
      <c r="K422" t="str">
        <f t="shared" si="31"/>
        <v>1413401</v>
      </c>
      <c r="L422">
        <v>1</v>
      </c>
    </row>
    <row r="423" spans="2:12" x14ac:dyDescent="0.25">
      <c r="C423" t="s">
        <v>1864</v>
      </c>
      <c r="D423" t="s">
        <v>1864</v>
      </c>
      <c r="E423" t="s">
        <v>2285</v>
      </c>
      <c r="F423" t="s">
        <v>350</v>
      </c>
      <c r="G423" t="str">
        <f t="shared" si="33"/>
        <v>C</v>
      </c>
      <c r="H423" t="str">
        <f t="shared" si="33"/>
        <v>14</v>
      </c>
      <c r="I423" t="str">
        <f t="shared" si="33"/>
        <v>141</v>
      </c>
      <c r="J423" t="str">
        <f t="shared" si="33"/>
        <v>14134</v>
      </c>
      <c r="K423" t="str">
        <f t="shared" si="31"/>
        <v>1413402</v>
      </c>
      <c r="L423">
        <v>1</v>
      </c>
    </row>
    <row r="424" spans="2:12" x14ac:dyDescent="0.25">
      <c r="C424" t="s">
        <v>1864</v>
      </c>
      <c r="D424" t="s">
        <v>1864</v>
      </c>
      <c r="E424" t="s">
        <v>2286</v>
      </c>
      <c r="F424" t="s">
        <v>351</v>
      </c>
      <c r="G424" t="str">
        <f t="shared" si="33"/>
        <v>C</v>
      </c>
      <c r="H424" t="str">
        <f t="shared" si="33"/>
        <v>14</v>
      </c>
      <c r="I424" t="str">
        <f t="shared" si="33"/>
        <v>141</v>
      </c>
      <c r="J424" t="str">
        <f t="shared" si="33"/>
        <v>14134</v>
      </c>
      <c r="K424" t="str">
        <f t="shared" si="31"/>
        <v>1413403</v>
      </c>
      <c r="L424">
        <v>1</v>
      </c>
    </row>
    <row r="425" spans="2:12" x14ac:dyDescent="0.25">
      <c r="C425" t="s">
        <v>1864</v>
      </c>
      <c r="D425" t="s">
        <v>2287</v>
      </c>
      <c r="E425" t="s">
        <v>1864</v>
      </c>
      <c r="F425" t="s">
        <v>352</v>
      </c>
      <c r="G425" t="str">
        <f t="shared" ref="G425:J440" si="34">IF(A425="",G424,A425)</f>
        <v>C</v>
      </c>
      <c r="H425" t="str">
        <f t="shared" si="34"/>
        <v>14</v>
      </c>
      <c r="I425" t="str">
        <f t="shared" si="34"/>
        <v>141</v>
      </c>
      <c r="J425" t="str">
        <f t="shared" si="34"/>
        <v>14142</v>
      </c>
      <c r="K425" t="str">
        <f t="shared" si="31"/>
        <v/>
      </c>
    </row>
    <row r="426" spans="2:12" x14ac:dyDescent="0.25">
      <c r="C426" t="s">
        <v>1864</v>
      </c>
      <c r="D426" t="s">
        <v>1864</v>
      </c>
      <c r="E426" t="s">
        <v>2288</v>
      </c>
      <c r="F426" t="s">
        <v>352</v>
      </c>
      <c r="G426" t="str">
        <f t="shared" si="34"/>
        <v>C</v>
      </c>
      <c r="H426" t="str">
        <f t="shared" si="34"/>
        <v>14</v>
      </c>
      <c r="I426" t="str">
        <f t="shared" si="34"/>
        <v>141</v>
      </c>
      <c r="J426" t="str">
        <f t="shared" si="34"/>
        <v>14142</v>
      </c>
      <c r="K426" t="str">
        <f t="shared" si="31"/>
        <v>1414200</v>
      </c>
      <c r="L426">
        <v>1</v>
      </c>
    </row>
    <row r="427" spans="2:12" x14ac:dyDescent="0.25">
      <c r="C427" t="s">
        <v>2289</v>
      </c>
      <c r="D427" t="s">
        <v>1864</v>
      </c>
      <c r="E427" t="s">
        <v>1864</v>
      </c>
      <c r="F427" t="s">
        <v>353</v>
      </c>
      <c r="G427" t="str">
        <f t="shared" si="34"/>
        <v>C</v>
      </c>
      <c r="H427" t="str">
        <f t="shared" si="34"/>
        <v>14</v>
      </c>
      <c r="I427" t="str">
        <f t="shared" si="34"/>
        <v>142</v>
      </c>
      <c r="J427" t="str">
        <f t="shared" si="34"/>
        <v>14142</v>
      </c>
      <c r="K427" t="str">
        <f t="shared" si="31"/>
        <v/>
      </c>
    </row>
    <row r="428" spans="2:12" x14ac:dyDescent="0.25">
      <c r="C428" t="s">
        <v>1864</v>
      </c>
      <c r="D428" t="s">
        <v>2290</v>
      </c>
      <c r="E428" t="s">
        <v>1864</v>
      </c>
      <c r="F428" t="s">
        <v>354</v>
      </c>
      <c r="G428" t="str">
        <f t="shared" si="34"/>
        <v>C</v>
      </c>
      <c r="H428" t="str">
        <f t="shared" si="34"/>
        <v>14</v>
      </c>
      <c r="I428" t="str">
        <f t="shared" si="34"/>
        <v>142</v>
      </c>
      <c r="J428" t="str">
        <f t="shared" si="34"/>
        <v>14215</v>
      </c>
      <c r="K428" t="str">
        <f t="shared" si="31"/>
        <v/>
      </c>
    </row>
    <row r="429" spans="2:12" x14ac:dyDescent="0.25">
      <c r="C429" t="s">
        <v>1864</v>
      </c>
      <c r="D429" t="s">
        <v>1864</v>
      </c>
      <c r="E429" t="s">
        <v>2291</v>
      </c>
      <c r="F429" t="s">
        <v>354</v>
      </c>
      <c r="G429" t="str">
        <f t="shared" si="34"/>
        <v>C</v>
      </c>
      <c r="H429" t="str">
        <f t="shared" si="34"/>
        <v>14</v>
      </c>
      <c r="I429" t="str">
        <f t="shared" si="34"/>
        <v>142</v>
      </c>
      <c r="J429" t="str">
        <f t="shared" si="34"/>
        <v>14215</v>
      </c>
      <c r="K429" t="str">
        <f t="shared" si="31"/>
        <v>1421500</v>
      </c>
      <c r="L429">
        <v>1</v>
      </c>
    </row>
    <row r="430" spans="2:12" x14ac:dyDescent="0.25">
      <c r="C430" t="s">
        <v>1864</v>
      </c>
      <c r="D430" t="s">
        <v>2292</v>
      </c>
      <c r="E430" t="s">
        <v>1864</v>
      </c>
      <c r="F430" t="s">
        <v>355</v>
      </c>
      <c r="G430" t="str">
        <f t="shared" si="34"/>
        <v>C</v>
      </c>
      <c r="H430" t="str">
        <f t="shared" si="34"/>
        <v>14</v>
      </c>
      <c r="I430" t="str">
        <f t="shared" si="34"/>
        <v>142</v>
      </c>
      <c r="J430" t="str">
        <f t="shared" si="34"/>
        <v>14223</v>
      </c>
      <c r="K430" t="str">
        <f t="shared" si="31"/>
        <v/>
      </c>
    </row>
    <row r="431" spans="2:12" x14ac:dyDescent="0.25">
      <c r="C431" t="s">
        <v>1864</v>
      </c>
      <c r="D431" t="s">
        <v>1864</v>
      </c>
      <c r="E431" t="s">
        <v>2293</v>
      </c>
      <c r="F431" t="s">
        <v>355</v>
      </c>
      <c r="G431" t="str">
        <f t="shared" si="34"/>
        <v>C</v>
      </c>
      <c r="H431" t="str">
        <f t="shared" si="34"/>
        <v>14</v>
      </c>
      <c r="I431" t="str">
        <f t="shared" si="34"/>
        <v>142</v>
      </c>
      <c r="J431" t="str">
        <f t="shared" si="34"/>
        <v>14223</v>
      </c>
      <c r="K431" t="str">
        <f t="shared" si="31"/>
        <v>1422300</v>
      </c>
      <c r="L431">
        <v>1</v>
      </c>
    </row>
    <row r="432" spans="2:12" x14ac:dyDescent="0.25">
      <c r="B432" t="s">
        <v>2294</v>
      </c>
      <c r="C432" t="s">
        <v>1864</v>
      </c>
      <c r="D432" t="s">
        <v>1864</v>
      </c>
      <c r="E432" t="s">
        <v>1864</v>
      </c>
      <c r="F432" t="s">
        <v>356</v>
      </c>
      <c r="G432" t="str">
        <f t="shared" si="34"/>
        <v>C</v>
      </c>
      <c r="H432" t="str">
        <f t="shared" si="34"/>
        <v>15</v>
      </c>
      <c r="I432" t="str">
        <f t="shared" si="34"/>
        <v>142</v>
      </c>
      <c r="J432" t="str">
        <f t="shared" si="34"/>
        <v>14223</v>
      </c>
      <c r="K432" t="str">
        <f t="shared" si="31"/>
        <v/>
      </c>
    </row>
    <row r="433" spans="3:12" x14ac:dyDescent="0.25">
      <c r="C433" t="s">
        <v>2295</v>
      </c>
      <c r="D433" t="s">
        <v>1864</v>
      </c>
      <c r="E433" t="s">
        <v>1864</v>
      </c>
      <c r="F433" t="s">
        <v>357</v>
      </c>
      <c r="G433" t="str">
        <f t="shared" si="34"/>
        <v>C</v>
      </c>
      <c r="H433" t="str">
        <f t="shared" si="34"/>
        <v>15</v>
      </c>
      <c r="I433" t="str">
        <f t="shared" si="34"/>
        <v>151</v>
      </c>
      <c r="J433" t="str">
        <f t="shared" si="34"/>
        <v>14223</v>
      </c>
      <c r="K433" t="str">
        <f t="shared" si="31"/>
        <v/>
      </c>
    </row>
    <row r="434" spans="3:12" x14ac:dyDescent="0.25">
      <c r="C434" t="s">
        <v>1864</v>
      </c>
      <c r="D434" t="s">
        <v>2296</v>
      </c>
      <c r="E434" t="s">
        <v>1864</v>
      </c>
      <c r="F434" t="s">
        <v>357</v>
      </c>
      <c r="G434" t="str">
        <f t="shared" si="34"/>
        <v>C</v>
      </c>
      <c r="H434" t="str">
        <f t="shared" si="34"/>
        <v>15</v>
      </c>
      <c r="I434" t="str">
        <f t="shared" si="34"/>
        <v>151</v>
      </c>
      <c r="J434" t="str">
        <f t="shared" si="34"/>
        <v>15106</v>
      </c>
      <c r="K434" t="str">
        <f t="shared" si="31"/>
        <v/>
      </c>
    </row>
    <row r="435" spans="3:12" x14ac:dyDescent="0.25">
      <c r="C435" t="s">
        <v>1864</v>
      </c>
      <c r="D435" t="s">
        <v>1864</v>
      </c>
      <c r="E435" t="s">
        <v>2297</v>
      </c>
      <c r="F435" t="s">
        <v>357</v>
      </c>
      <c r="G435" t="str">
        <f t="shared" si="34"/>
        <v>C</v>
      </c>
      <c r="H435" t="str">
        <f t="shared" si="34"/>
        <v>15</v>
      </c>
      <c r="I435" t="str">
        <f t="shared" si="34"/>
        <v>151</v>
      </c>
      <c r="J435" t="str">
        <f t="shared" si="34"/>
        <v>15106</v>
      </c>
      <c r="K435" t="str">
        <f t="shared" si="31"/>
        <v>1510600</v>
      </c>
      <c r="L435">
        <v>1</v>
      </c>
    </row>
    <row r="436" spans="3:12" x14ac:dyDescent="0.25">
      <c r="C436" t="s">
        <v>2298</v>
      </c>
      <c r="D436" t="s">
        <v>1864</v>
      </c>
      <c r="E436" t="s">
        <v>1864</v>
      </c>
      <c r="F436" t="s">
        <v>358</v>
      </c>
      <c r="G436" t="str">
        <f t="shared" si="34"/>
        <v>C</v>
      </c>
      <c r="H436" t="str">
        <f t="shared" si="34"/>
        <v>15</v>
      </c>
      <c r="I436" t="str">
        <f t="shared" si="34"/>
        <v>152</v>
      </c>
      <c r="J436" t="str">
        <f t="shared" si="34"/>
        <v>15106</v>
      </c>
      <c r="K436" t="str">
        <f t="shared" si="31"/>
        <v/>
      </c>
    </row>
    <row r="437" spans="3:12" x14ac:dyDescent="0.25">
      <c r="C437" t="s">
        <v>1864</v>
      </c>
      <c r="D437" t="s">
        <v>2299</v>
      </c>
      <c r="E437" t="s">
        <v>1864</v>
      </c>
      <c r="F437" t="s">
        <v>359</v>
      </c>
      <c r="G437" t="str">
        <f t="shared" si="34"/>
        <v>C</v>
      </c>
      <c r="H437" t="str">
        <f t="shared" si="34"/>
        <v>15</v>
      </c>
      <c r="I437" t="str">
        <f t="shared" si="34"/>
        <v>152</v>
      </c>
      <c r="J437" t="str">
        <f t="shared" si="34"/>
        <v>15211</v>
      </c>
      <c r="K437" t="str">
        <f t="shared" si="31"/>
        <v/>
      </c>
    </row>
    <row r="438" spans="3:12" x14ac:dyDescent="0.25">
      <c r="C438" t="s">
        <v>1864</v>
      </c>
      <c r="D438" t="s">
        <v>1864</v>
      </c>
      <c r="E438" t="s">
        <v>2300</v>
      </c>
      <c r="F438" t="s">
        <v>359</v>
      </c>
      <c r="G438" t="str">
        <f t="shared" si="34"/>
        <v>C</v>
      </c>
      <c r="H438" t="str">
        <f t="shared" si="34"/>
        <v>15</v>
      </c>
      <c r="I438" t="str">
        <f t="shared" si="34"/>
        <v>152</v>
      </c>
      <c r="J438" t="str">
        <f t="shared" si="34"/>
        <v>15211</v>
      </c>
      <c r="K438" t="str">
        <f t="shared" si="31"/>
        <v>1521100</v>
      </c>
      <c r="L438">
        <v>1</v>
      </c>
    </row>
    <row r="439" spans="3:12" x14ac:dyDescent="0.25">
      <c r="C439" t="s">
        <v>1864</v>
      </c>
      <c r="D439" t="s">
        <v>2301</v>
      </c>
      <c r="E439" t="s">
        <v>1864</v>
      </c>
      <c r="F439" t="s">
        <v>360</v>
      </c>
      <c r="G439" t="str">
        <f t="shared" si="34"/>
        <v>C</v>
      </c>
      <c r="H439" t="str">
        <f t="shared" si="34"/>
        <v>15</v>
      </c>
      <c r="I439" t="str">
        <f t="shared" si="34"/>
        <v>152</v>
      </c>
      <c r="J439" t="str">
        <f t="shared" si="34"/>
        <v>15297</v>
      </c>
      <c r="K439" t="str">
        <f t="shared" si="31"/>
        <v/>
      </c>
    </row>
    <row r="440" spans="3:12" x14ac:dyDescent="0.25">
      <c r="C440" t="s">
        <v>1864</v>
      </c>
      <c r="D440" t="s">
        <v>1864</v>
      </c>
      <c r="E440" t="s">
        <v>2302</v>
      </c>
      <c r="F440" t="s">
        <v>360</v>
      </c>
      <c r="G440" t="str">
        <f t="shared" si="34"/>
        <v>C</v>
      </c>
      <c r="H440" t="str">
        <f t="shared" si="34"/>
        <v>15</v>
      </c>
      <c r="I440" t="str">
        <f t="shared" si="34"/>
        <v>152</v>
      </c>
      <c r="J440" t="str">
        <f t="shared" si="34"/>
        <v>15297</v>
      </c>
      <c r="K440" t="str">
        <f t="shared" si="31"/>
        <v>1529700</v>
      </c>
      <c r="L440">
        <v>1</v>
      </c>
    </row>
    <row r="441" spans="3:12" x14ac:dyDescent="0.25">
      <c r="C441" t="s">
        <v>2303</v>
      </c>
      <c r="D441" t="s">
        <v>1864</v>
      </c>
      <c r="E441" t="s">
        <v>1864</v>
      </c>
      <c r="F441" t="s">
        <v>361</v>
      </c>
      <c r="G441" t="str">
        <f t="shared" ref="G441:J456" si="35">IF(A441="",G440,A441)</f>
        <v>C</v>
      </c>
      <c r="H441" t="str">
        <f t="shared" si="35"/>
        <v>15</v>
      </c>
      <c r="I441" t="str">
        <f t="shared" si="35"/>
        <v>153</v>
      </c>
      <c r="J441" t="str">
        <f t="shared" si="35"/>
        <v>15297</v>
      </c>
      <c r="K441" t="str">
        <f t="shared" si="31"/>
        <v/>
      </c>
    </row>
    <row r="442" spans="3:12" x14ac:dyDescent="0.25">
      <c r="C442" t="s">
        <v>1864</v>
      </c>
      <c r="D442" t="s">
        <v>2304</v>
      </c>
      <c r="E442" t="s">
        <v>1864</v>
      </c>
      <c r="F442" t="s">
        <v>362</v>
      </c>
      <c r="G442" t="str">
        <f t="shared" si="35"/>
        <v>C</v>
      </c>
      <c r="H442" t="str">
        <f t="shared" si="35"/>
        <v>15</v>
      </c>
      <c r="I442" t="str">
        <f t="shared" si="35"/>
        <v>153</v>
      </c>
      <c r="J442" t="str">
        <f t="shared" si="35"/>
        <v>15319</v>
      </c>
      <c r="K442" t="str">
        <f t="shared" si="31"/>
        <v/>
      </c>
    </row>
    <row r="443" spans="3:12" x14ac:dyDescent="0.25">
      <c r="C443" t="s">
        <v>1864</v>
      </c>
      <c r="D443" t="s">
        <v>1864</v>
      </c>
      <c r="E443" t="s">
        <v>2305</v>
      </c>
      <c r="F443" t="s">
        <v>362</v>
      </c>
      <c r="G443" t="str">
        <f t="shared" si="35"/>
        <v>C</v>
      </c>
      <c r="H443" t="str">
        <f t="shared" si="35"/>
        <v>15</v>
      </c>
      <c r="I443" t="str">
        <f t="shared" si="35"/>
        <v>153</v>
      </c>
      <c r="J443" t="str">
        <f t="shared" si="35"/>
        <v>15319</v>
      </c>
      <c r="K443" t="str">
        <f t="shared" si="31"/>
        <v>1531901</v>
      </c>
      <c r="L443">
        <v>1</v>
      </c>
    </row>
    <row r="444" spans="3:12" x14ac:dyDescent="0.25">
      <c r="C444" t="s">
        <v>1864</v>
      </c>
      <c r="D444" t="s">
        <v>1864</v>
      </c>
      <c r="E444" t="s">
        <v>2306</v>
      </c>
      <c r="F444" t="s">
        <v>363</v>
      </c>
      <c r="G444" t="str">
        <f t="shared" si="35"/>
        <v>C</v>
      </c>
      <c r="H444" t="str">
        <f t="shared" si="35"/>
        <v>15</v>
      </c>
      <c r="I444" t="str">
        <f t="shared" si="35"/>
        <v>153</v>
      </c>
      <c r="J444" t="str">
        <f t="shared" si="35"/>
        <v>15319</v>
      </c>
      <c r="K444" t="str">
        <f t="shared" si="31"/>
        <v>1531902</v>
      </c>
      <c r="L444">
        <v>1</v>
      </c>
    </row>
    <row r="445" spans="3:12" x14ac:dyDescent="0.25">
      <c r="C445" t="s">
        <v>1864</v>
      </c>
      <c r="D445" t="s">
        <v>2307</v>
      </c>
      <c r="E445" t="s">
        <v>1864</v>
      </c>
      <c r="F445" t="s">
        <v>364</v>
      </c>
      <c r="G445" t="str">
        <f t="shared" si="35"/>
        <v>C</v>
      </c>
      <c r="H445" t="str">
        <f t="shared" si="35"/>
        <v>15</v>
      </c>
      <c r="I445" t="str">
        <f t="shared" si="35"/>
        <v>153</v>
      </c>
      <c r="J445" t="str">
        <f t="shared" si="35"/>
        <v>15327</v>
      </c>
      <c r="K445" t="str">
        <f t="shared" si="31"/>
        <v/>
      </c>
    </row>
    <row r="446" spans="3:12" x14ac:dyDescent="0.25">
      <c r="C446" t="s">
        <v>1864</v>
      </c>
      <c r="D446" t="s">
        <v>1864</v>
      </c>
      <c r="E446" t="s">
        <v>2308</v>
      </c>
      <c r="F446" t="s">
        <v>364</v>
      </c>
      <c r="G446" t="str">
        <f t="shared" si="35"/>
        <v>C</v>
      </c>
      <c r="H446" t="str">
        <f t="shared" si="35"/>
        <v>15</v>
      </c>
      <c r="I446" t="str">
        <f t="shared" si="35"/>
        <v>153</v>
      </c>
      <c r="J446" t="str">
        <f t="shared" si="35"/>
        <v>15327</v>
      </c>
      <c r="K446" t="str">
        <f t="shared" si="31"/>
        <v>1532700</v>
      </c>
      <c r="L446">
        <v>1</v>
      </c>
    </row>
    <row r="447" spans="3:12" x14ac:dyDescent="0.25">
      <c r="C447" t="s">
        <v>1864</v>
      </c>
      <c r="D447" t="s">
        <v>2309</v>
      </c>
      <c r="E447" t="s">
        <v>1864</v>
      </c>
      <c r="F447" t="s">
        <v>365</v>
      </c>
      <c r="G447" t="str">
        <f t="shared" si="35"/>
        <v>C</v>
      </c>
      <c r="H447" t="str">
        <f t="shared" si="35"/>
        <v>15</v>
      </c>
      <c r="I447" t="str">
        <f t="shared" si="35"/>
        <v>153</v>
      </c>
      <c r="J447" t="str">
        <f t="shared" si="35"/>
        <v>15335</v>
      </c>
      <c r="K447" t="str">
        <f t="shared" si="31"/>
        <v/>
      </c>
    </row>
    <row r="448" spans="3:12" x14ac:dyDescent="0.25">
      <c r="C448" t="s">
        <v>1864</v>
      </c>
      <c r="D448" t="s">
        <v>1864</v>
      </c>
      <c r="E448" t="s">
        <v>2310</v>
      </c>
      <c r="F448" t="s">
        <v>365</v>
      </c>
      <c r="G448" t="str">
        <f t="shared" si="35"/>
        <v>C</v>
      </c>
      <c r="H448" t="str">
        <f t="shared" si="35"/>
        <v>15</v>
      </c>
      <c r="I448" t="str">
        <f t="shared" si="35"/>
        <v>153</v>
      </c>
      <c r="J448" t="str">
        <f t="shared" si="35"/>
        <v>15335</v>
      </c>
      <c r="K448" t="str">
        <f t="shared" si="31"/>
        <v>1533500</v>
      </c>
      <c r="L448">
        <v>1</v>
      </c>
    </row>
    <row r="449" spans="2:12" x14ac:dyDescent="0.25">
      <c r="C449" t="s">
        <v>1864</v>
      </c>
      <c r="D449" t="s">
        <v>2311</v>
      </c>
      <c r="E449" t="s">
        <v>1864</v>
      </c>
      <c r="F449" t="s">
        <v>366</v>
      </c>
      <c r="G449" t="str">
        <f t="shared" si="35"/>
        <v>C</v>
      </c>
      <c r="H449" t="str">
        <f t="shared" si="35"/>
        <v>15</v>
      </c>
      <c r="I449" t="str">
        <f t="shared" si="35"/>
        <v>153</v>
      </c>
      <c r="J449" t="str">
        <f t="shared" si="35"/>
        <v>15394</v>
      </c>
      <c r="K449" t="str">
        <f t="shared" si="31"/>
        <v/>
      </c>
    </row>
    <row r="450" spans="2:12" x14ac:dyDescent="0.25">
      <c r="C450" t="s">
        <v>1864</v>
      </c>
      <c r="D450" t="s">
        <v>1864</v>
      </c>
      <c r="E450" t="s">
        <v>2312</v>
      </c>
      <c r="F450" t="s">
        <v>367</v>
      </c>
      <c r="G450" t="str">
        <f t="shared" si="35"/>
        <v>C</v>
      </c>
      <c r="H450" t="str">
        <f t="shared" si="35"/>
        <v>15</v>
      </c>
      <c r="I450" t="str">
        <f t="shared" si="35"/>
        <v>153</v>
      </c>
      <c r="J450" t="str">
        <f t="shared" si="35"/>
        <v>15394</v>
      </c>
      <c r="K450" t="str">
        <f t="shared" si="31"/>
        <v>1539400</v>
      </c>
      <c r="L450">
        <v>1</v>
      </c>
    </row>
    <row r="451" spans="2:12" x14ac:dyDescent="0.25">
      <c r="C451" t="s">
        <v>2313</v>
      </c>
      <c r="D451" t="s">
        <v>1864</v>
      </c>
      <c r="E451" t="s">
        <v>1864</v>
      </c>
      <c r="F451" t="s">
        <v>368</v>
      </c>
      <c r="G451" t="str">
        <f t="shared" si="35"/>
        <v>C</v>
      </c>
      <c r="H451" t="str">
        <f t="shared" si="35"/>
        <v>15</v>
      </c>
      <c r="I451" t="str">
        <f t="shared" si="35"/>
        <v>154</v>
      </c>
      <c r="J451" t="str">
        <f t="shared" si="35"/>
        <v>15394</v>
      </c>
      <c r="K451" t="str">
        <f t="shared" si="31"/>
        <v/>
      </c>
    </row>
    <row r="452" spans="2:12" x14ac:dyDescent="0.25">
      <c r="C452" t="s">
        <v>1864</v>
      </c>
      <c r="D452" t="s">
        <v>2314</v>
      </c>
      <c r="E452" t="s">
        <v>1864</v>
      </c>
      <c r="F452" t="s">
        <v>368</v>
      </c>
      <c r="G452" t="str">
        <f t="shared" si="35"/>
        <v>C</v>
      </c>
      <c r="H452" t="str">
        <f t="shared" si="35"/>
        <v>15</v>
      </c>
      <c r="I452" t="str">
        <f t="shared" si="35"/>
        <v>154</v>
      </c>
      <c r="J452" t="str">
        <f t="shared" si="35"/>
        <v>15408</v>
      </c>
      <c r="K452" t="str">
        <f t="shared" si="31"/>
        <v/>
      </c>
    </row>
    <row r="453" spans="2:12" x14ac:dyDescent="0.25">
      <c r="C453" t="s">
        <v>1864</v>
      </c>
      <c r="D453" t="s">
        <v>1864</v>
      </c>
      <c r="E453" t="s">
        <v>2315</v>
      </c>
      <c r="F453" t="s">
        <v>368</v>
      </c>
      <c r="G453" t="str">
        <f t="shared" si="35"/>
        <v>C</v>
      </c>
      <c r="H453" t="str">
        <f t="shared" si="35"/>
        <v>15</v>
      </c>
      <c r="I453" t="str">
        <f t="shared" si="35"/>
        <v>154</v>
      </c>
      <c r="J453" t="str">
        <f t="shared" si="35"/>
        <v>15408</v>
      </c>
      <c r="K453" t="str">
        <f t="shared" si="31"/>
        <v>1540800</v>
      </c>
      <c r="L453">
        <v>1</v>
      </c>
    </row>
    <row r="454" spans="2:12" x14ac:dyDescent="0.25">
      <c r="B454" t="s">
        <v>2316</v>
      </c>
      <c r="C454" t="s">
        <v>1864</v>
      </c>
      <c r="D454" t="s">
        <v>1864</v>
      </c>
      <c r="E454" t="s">
        <v>1864</v>
      </c>
      <c r="F454" t="s">
        <v>369</v>
      </c>
      <c r="G454" t="str">
        <f t="shared" si="35"/>
        <v>C</v>
      </c>
      <c r="H454" t="str">
        <f t="shared" si="35"/>
        <v>16</v>
      </c>
      <c r="I454" t="str">
        <f t="shared" si="35"/>
        <v>154</v>
      </c>
      <c r="J454" t="str">
        <f t="shared" si="35"/>
        <v>15408</v>
      </c>
      <c r="K454" t="str">
        <f t="shared" si="31"/>
        <v/>
      </c>
    </row>
    <row r="455" spans="2:12" x14ac:dyDescent="0.25">
      <c r="C455" t="s">
        <v>2317</v>
      </c>
      <c r="D455" t="s">
        <v>1864</v>
      </c>
      <c r="E455" t="s">
        <v>1864</v>
      </c>
      <c r="F455" t="s">
        <v>370</v>
      </c>
      <c r="G455" t="str">
        <f t="shared" si="35"/>
        <v>C</v>
      </c>
      <c r="H455" t="str">
        <f t="shared" si="35"/>
        <v>16</v>
      </c>
      <c r="I455" t="str">
        <f t="shared" si="35"/>
        <v>161</v>
      </c>
      <c r="J455" t="str">
        <f t="shared" si="35"/>
        <v>15408</v>
      </c>
      <c r="K455" t="str">
        <f t="shared" si="31"/>
        <v/>
      </c>
    </row>
    <row r="456" spans="2:12" x14ac:dyDescent="0.25">
      <c r="C456" t="s">
        <v>1864</v>
      </c>
      <c r="D456" t="s">
        <v>2318</v>
      </c>
      <c r="E456" t="s">
        <v>1864</v>
      </c>
      <c r="F456" t="s">
        <v>370</v>
      </c>
      <c r="G456" t="str">
        <f t="shared" si="35"/>
        <v>C</v>
      </c>
      <c r="H456" t="str">
        <f t="shared" si="35"/>
        <v>16</v>
      </c>
      <c r="I456" t="str">
        <f t="shared" si="35"/>
        <v>161</v>
      </c>
      <c r="J456" t="str">
        <f t="shared" si="35"/>
        <v>16102</v>
      </c>
      <c r="K456" t="str">
        <f t="shared" ref="K456:K519" si="36">E456</f>
        <v/>
      </c>
    </row>
    <row r="457" spans="2:12" x14ac:dyDescent="0.25">
      <c r="C457" t="s">
        <v>1864</v>
      </c>
      <c r="D457" t="s">
        <v>1864</v>
      </c>
      <c r="E457" t="s">
        <v>2319</v>
      </c>
      <c r="F457" t="s">
        <v>371</v>
      </c>
      <c r="G457" t="str">
        <f t="shared" ref="G457:J472" si="37">IF(A457="",G456,A457)</f>
        <v>C</v>
      </c>
      <c r="H457" t="str">
        <f t="shared" si="37"/>
        <v>16</v>
      </c>
      <c r="I457" t="str">
        <f t="shared" si="37"/>
        <v>161</v>
      </c>
      <c r="J457" t="str">
        <f t="shared" si="37"/>
        <v>16102</v>
      </c>
      <c r="K457" t="str">
        <f t="shared" si="36"/>
        <v>1610203</v>
      </c>
      <c r="L457">
        <v>0</v>
      </c>
    </row>
    <row r="458" spans="2:12" x14ac:dyDescent="0.25">
      <c r="C458" t="s">
        <v>1864</v>
      </c>
      <c r="D458" t="s">
        <v>1864</v>
      </c>
      <c r="E458" t="s">
        <v>2320</v>
      </c>
      <c r="F458" t="s">
        <v>372</v>
      </c>
      <c r="G458" t="str">
        <f t="shared" si="37"/>
        <v>C</v>
      </c>
      <c r="H458" t="str">
        <f t="shared" si="37"/>
        <v>16</v>
      </c>
      <c r="I458" t="str">
        <f t="shared" si="37"/>
        <v>161</v>
      </c>
      <c r="J458" t="str">
        <f t="shared" si="37"/>
        <v>16102</v>
      </c>
      <c r="K458" t="str">
        <f t="shared" si="36"/>
        <v>1610204</v>
      </c>
      <c r="L458">
        <v>0</v>
      </c>
    </row>
    <row r="459" spans="2:12" x14ac:dyDescent="0.25">
      <c r="C459" t="s">
        <v>1864</v>
      </c>
      <c r="D459" t="s">
        <v>1864</v>
      </c>
      <c r="E459" t="s">
        <v>2321</v>
      </c>
      <c r="F459" t="s">
        <v>373</v>
      </c>
      <c r="G459" t="str">
        <f t="shared" si="37"/>
        <v>C</v>
      </c>
      <c r="H459" t="str">
        <f t="shared" si="37"/>
        <v>16</v>
      </c>
      <c r="I459" t="str">
        <f t="shared" si="37"/>
        <v>161</v>
      </c>
      <c r="J459" t="str">
        <f t="shared" si="37"/>
        <v>16102</v>
      </c>
      <c r="K459" t="str">
        <f t="shared" si="36"/>
        <v>1610205</v>
      </c>
      <c r="L459">
        <v>0</v>
      </c>
    </row>
    <row r="460" spans="2:12" x14ac:dyDescent="0.25">
      <c r="C460" t="s">
        <v>2322</v>
      </c>
      <c r="D460" t="s">
        <v>1864</v>
      </c>
      <c r="E460" t="s">
        <v>1864</v>
      </c>
      <c r="F460" t="s">
        <v>374</v>
      </c>
      <c r="G460" t="str">
        <f t="shared" si="37"/>
        <v>C</v>
      </c>
      <c r="H460" t="str">
        <f t="shared" si="37"/>
        <v>16</v>
      </c>
      <c r="I460" t="str">
        <f t="shared" si="37"/>
        <v>162</v>
      </c>
      <c r="J460" t="str">
        <f t="shared" si="37"/>
        <v>16102</v>
      </c>
      <c r="K460" t="str">
        <f t="shared" si="36"/>
        <v/>
      </c>
    </row>
    <row r="461" spans="2:12" x14ac:dyDescent="0.25">
      <c r="C461" t="s">
        <v>1864</v>
      </c>
      <c r="D461" t="s">
        <v>2323</v>
      </c>
      <c r="E461" t="s">
        <v>1864</v>
      </c>
      <c r="F461" t="s">
        <v>375</v>
      </c>
      <c r="G461" t="str">
        <f t="shared" si="37"/>
        <v>C</v>
      </c>
      <c r="H461" t="str">
        <f t="shared" si="37"/>
        <v>16</v>
      </c>
      <c r="I461" t="str">
        <f t="shared" si="37"/>
        <v>162</v>
      </c>
      <c r="J461" t="str">
        <f t="shared" si="37"/>
        <v>16218</v>
      </c>
      <c r="K461" t="str">
        <f t="shared" si="36"/>
        <v/>
      </c>
    </row>
    <row r="462" spans="2:12" x14ac:dyDescent="0.25">
      <c r="C462" t="s">
        <v>1864</v>
      </c>
      <c r="D462" t="s">
        <v>1864</v>
      </c>
      <c r="E462" t="s">
        <v>2324</v>
      </c>
      <c r="F462" t="s">
        <v>375</v>
      </c>
      <c r="G462" t="str">
        <f t="shared" si="37"/>
        <v>C</v>
      </c>
      <c r="H462" t="str">
        <f t="shared" si="37"/>
        <v>16</v>
      </c>
      <c r="I462" t="str">
        <f t="shared" si="37"/>
        <v>162</v>
      </c>
      <c r="J462" t="str">
        <f t="shared" si="37"/>
        <v>16218</v>
      </c>
      <c r="K462" t="str">
        <f t="shared" si="36"/>
        <v>1621800</v>
      </c>
      <c r="L462">
        <v>0</v>
      </c>
    </row>
    <row r="463" spans="2:12" x14ac:dyDescent="0.25">
      <c r="C463" t="s">
        <v>1864</v>
      </c>
      <c r="D463" t="s">
        <v>2325</v>
      </c>
      <c r="E463" t="s">
        <v>1864</v>
      </c>
      <c r="F463" t="s">
        <v>376</v>
      </c>
      <c r="G463" t="str">
        <f t="shared" si="37"/>
        <v>C</v>
      </c>
      <c r="H463" t="str">
        <f t="shared" si="37"/>
        <v>16</v>
      </c>
      <c r="I463" t="str">
        <f t="shared" si="37"/>
        <v>162</v>
      </c>
      <c r="J463" t="str">
        <f t="shared" si="37"/>
        <v>16226</v>
      </c>
      <c r="K463" t="str">
        <f t="shared" si="36"/>
        <v/>
      </c>
    </row>
    <row r="464" spans="2:12" x14ac:dyDescent="0.25">
      <c r="C464" t="s">
        <v>1864</v>
      </c>
      <c r="D464" t="s">
        <v>1864</v>
      </c>
      <c r="E464" t="s">
        <v>2326</v>
      </c>
      <c r="F464" t="s">
        <v>377</v>
      </c>
      <c r="G464" t="str">
        <f t="shared" si="37"/>
        <v>C</v>
      </c>
      <c r="H464" t="str">
        <f t="shared" si="37"/>
        <v>16</v>
      </c>
      <c r="I464" t="str">
        <f t="shared" si="37"/>
        <v>162</v>
      </c>
      <c r="J464" t="str">
        <f t="shared" si="37"/>
        <v>16226</v>
      </c>
      <c r="K464" t="str">
        <f t="shared" si="36"/>
        <v>1622601</v>
      </c>
      <c r="L464">
        <v>1</v>
      </c>
    </row>
    <row r="465" spans="2:12" x14ac:dyDescent="0.25">
      <c r="C465" t="s">
        <v>1864</v>
      </c>
      <c r="D465" t="s">
        <v>1864</v>
      </c>
      <c r="E465" t="s">
        <v>2327</v>
      </c>
      <c r="F465" t="s">
        <v>378</v>
      </c>
      <c r="G465" t="str">
        <f t="shared" si="37"/>
        <v>C</v>
      </c>
      <c r="H465" t="str">
        <f t="shared" si="37"/>
        <v>16</v>
      </c>
      <c r="I465" t="str">
        <f t="shared" si="37"/>
        <v>162</v>
      </c>
      <c r="J465" t="str">
        <f t="shared" si="37"/>
        <v>16226</v>
      </c>
      <c r="K465" t="str">
        <f t="shared" si="36"/>
        <v>1622602</v>
      </c>
      <c r="L465">
        <v>1</v>
      </c>
    </row>
    <row r="466" spans="2:12" x14ac:dyDescent="0.25">
      <c r="C466" t="s">
        <v>1864</v>
      </c>
      <c r="D466" t="s">
        <v>1864</v>
      </c>
      <c r="E466" t="s">
        <v>2328</v>
      </c>
      <c r="F466" t="s">
        <v>379</v>
      </c>
      <c r="G466" t="str">
        <f t="shared" si="37"/>
        <v>C</v>
      </c>
      <c r="H466" t="str">
        <f t="shared" si="37"/>
        <v>16</v>
      </c>
      <c r="I466" t="str">
        <f t="shared" si="37"/>
        <v>162</v>
      </c>
      <c r="J466" t="str">
        <f t="shared" si="37"/>
        <v>16226</v>
      </c>
      <c r="K466" t="str">
        <f t="shared" si="36"/>
        <v>1622699</v>
      </c>
      <c r="L466">
        <v>1</v>
      </c>
    </row>
    <row r="467" spans="2:12" x14ac:dyDescent="0.25">
      <c r="C467" t="s">
        <v>1864</v>
      </c>
      <c r="D467" t="s">
        <v>2329</v>
      </c>
      <c r="E467" t="s">
        <v>1864</v>
      </c>
      <c r="F467" t="s">
        <v>380</v>
      </c>
      <c r="G467" t="str">
        <f t="shared" si="37"/>
        <v>C</v>
      </c>
      <c r="H467" t="str">
        <f t="shared" si="37"/>
        <v>16</v>
      </c>
      <c r="I467" t="str">
        <f t="shared" si="37"/>
        <v>162</v>
      </c>
      <c r="J467" t="str">
        <f t="shared" si="37"/>
        <v>16234</v>
      </c>
      <c r="K467" t="str">
        <f t="shared" si="36"/>
        <v/>
      </c>
    </row>
    <row r="468" spans="2:12" x14ac:dyDescent="0.25">
      <c r="C468" t="s">
        <v>1864</v>
      </c>
      <c r="D468" t="s">
        <v>1864</v>
      </c>
      <c r="E468" t="s">
        <v>2330</v>
      </c>
      <c r="F468" t="s">
        <v>380</v>
      </c>
      <c r="G468" t="str">
        <f t="shared" si="37"/>
        <v>C</v>
      </c>
      <c r="H468" t="str">
        <f t="shared" si="37"/>
        <v>16</v>
      </c>
      <c r="I468" t="str">
        <f t="shared" si="37"/>
        <v>162</v>
      </c>
      <c r="J468" t="str">
        <f t="shared" si="37"/>
        <v>16234</v>
      </c>
      <c r="K468" t="str">
        <f t="shared" si="36"/>
        <v>1623400</v>
      </c>
      <c r="L468">
        <v>1</v>
      </c>
    </row>
    <row r="469" spans="2:12" x14ac:dyDescent="0.25">
      <c r="C469" t="s">
        <v>1864</v>
      </c>
      <c r="D469" t="s">
        <v>2331</v>
      </c>
      <c r="E469" t="s">
        <v>1864</v>
      </c>
      <c r="F469" t="s">
        <v>381</v>
      </c>
      <c r="G469" t="str">
        <f t="shared" si="37"/>
        <v>C</v>
      </c>
      <c r="H469" t="str">
        <f t="shared" si="37"/>
        <v>16</v>
      </c>
      <c r="I469" t="str">
        <f t="shared" si="37"/>
        <v>162</v>
      </c>
      <c r="J469" t="str">
        <f t="shared" si="37"/>
        <v>16293</v>
      </c>
      <c r="K469" t="str">
        <f t="shared" si="36"/>
        <v/>
      </c>
    </row>
    <row r="470" spans="2:12" x14ac:dyDescent="0.25">
      <c r="C470" t="s">
        <v>1864</v>
      </c>
      <c r="D470" t="s">
        <v>1864</v>
      </c>
      <c r="E470" t="s">
        <v>2332</v>
      </c>
      <c r="F470" t="s">
        <v>382</v>
      </c>
      <c r="G470" t="str">
        <f t="shared" si="37"/>
        <v>C</v>
      </c>
      <c r="H470" t="str">
        <f t="shared" si="37"/>
        <v>16</v>
      </c>
      <c r="I470" t="str">
        <f t="shared" si="37"/>
        <v>162</v>
      </c>
      <c r="J470" t="str">
        <f t="shared" si="37"/>
        <v>16293</v>
      </c>
      <c r="K470" t="str">
        <f t="shared" si="36"/>
        <v>1629301</v>
      </c>
      <c r="L470">
        <v>1</v>
      </c>
    </row>
    <row r="471" spans="2:12" x14ac:dyDescent="0.25">
      <c r="C471" t="s">
        <v>1864</v>
      </c>
      <c r="D471" t="s">
        <v>1864</v>
      </c>
      <c r="E471" t="s">
        <v>2333</v>
      </c>
      <c r="F471" t="s">
        <v>383</v>
      </c>
      <c r="G471" t="str">
        <f t="shared" si="37"/>
        <v>C</v>
      </c>
      <c r="H471" t="str">
        <f t="shared" si="37"/>
        <v>16</v>
      </c>
      <c r="I471" t="str">
        <f t="shared" si="37"/>
        <v>162</v>
      </c>
      <c r="J471" t="str">
        <f t="shared" si="37"/>
        <v>16293</v>
      </c>
      <c r="K471" t="str">
        <f t="shared" si="36"/>
        <v>1629302</v>
      </c>
      <c r="L471">
        <v>1</v>
      </c>
    </row>
    <row r="472" spans="2:12" x14ac:dyDescent="0.25">
      <c r="B472" t="s">
        <v>2334</v>
      </c>
      <c r="C472" t="s">
        <v>1864</v>
      </c>
      <c r="D472" t="s">
        <v>1864</v>
      </c>
      <c r="E472" t="s">
        <v>1864</v>
      </c>
      <c r="F472" t="s">
        <v>384</v>
      </c>
      <c r="G472" t="str">
        <f t="shared" si="37"/>
        <v>C</v>
      </c>
      <c r="H472" t="str">
        <f t="shared" si="37"/>
        <v>17</v>
      </c>
      <c r="I472" t="str">
        <f t="shared" si="37"/>
        <v>162</v>
      </c>
      <c r="J472" t="str">
        <f t="shared" si="37"/>
        <v>16293</v>
      </c>
      <c r="K472" t="str">
        <f t="shared" si="36"/>
        <v/>
      </c>
    </row>
    <row r="473" spans="2:12" x14ac:dyDescent="0.25">
      <c r="C473" t="s">
        <v>2335</v>
      </c>
      <c r="D473" t="s">
        <v>1864</v>
      </c>
      <c r="E473" t="s">
        <v>1864</v>
      </c>
      <c r="F473" t="s">
        <v>385</v>
      </c>
      <c r="G473" t="str">
        <f t="shared" ref="G473:J488" si="38">IF(A473="",G472,A473)</f>
        <v>C</v>
      </c>
      <c r="H473" t="str">
        <f t="shared" si="38"/>
        <v>17</v>
      </c>
      <c r="I473" t="str">
        <f t="shared" si="38"/>
        <v>171</v>
      </c>
      <c r="J473" t="str">
        <f t="shared" si="38"/>
        <v>16293</v>
      </c>
      <c r="K473" t="str">
        <f t="shared" si="36"/>
        <v/>
      </c>
    </row>
    <row r="474" spans="2:12" x14ac:dyDescent="0.25">
      <c r="C474" t="s">
        <v>1864</v>
      </c>
      <c r="D474" t="s">
        <v>2336</v>
      </c>
      <c r="E474" t="s">
        <v>1864</v>
      </c>
      <c r="F474" t="s">
        <v>385</v>
      </c>
      <c r="G474" t="str">
        <f t="shared" si="38"/>
        <v>C</v>
      </c>
      <c r="H474" t="str">
        <f t="shared" si="38"/>
        <v>17</v>
      </c>
      <c r="I474" t="str">
        <f t="shared" si="38"/>
        <v>171</v>
      </c>
      <c r="J474" t="str">
        <f t="shared" si="38"/>
        <v>17109</v>
      </c>
      <c r="K474" t="str">
        <f t="shared" si="36"/>
        <v/>
      </c>
    </row>
    <row r="475" spans="2:12" x14ac:dyDescent="0.25">
      <c r="C475" t="s">
        <v>1864</v>
      </c>
      <c r="D475" t="s">
        <v>1864</v>
      </c>
      <c r="E475" t="s">
        <v>2337</v>
      </c>
      <c r="F475" t="s">
        <v>385</v>
      </c>
      <c r="G475" t="str">
        <f t="shared" si="38"/>
        <v>C</v>
      </c>
      <c r="H475" t="str">
        <f t="shared" si="38"/>
        <v>17</v>
      </c>
      <c r="I475" t="str">
        <f t="shared" si="38"/>
        <v>171</v>
      </c>
      <c r="J475" t="str">
        <f t="shared" si="38"/>
        <v>17109</v>
      </c>
      <c r="K475" t="str">
        <f t="shared" si="36"/>
        <v>1710900</v>
      </c>
      <c r="L475">
        <v>0</v>
      </c>
    </row>
    <row r="476" spans="2:12" x14ac:dyDescent="0.25">
      <c r="C476" t="s">
        <v>2338</v>
      </c>
      <c r="D476" t="s">
        <v>1864</v>
      </c>
      <c r="E476" t="s">
        <v>1864</v>
      </c>
      <c r="F476" t="s">
        <v>386</v>
      </c>
      <c r="G476" t="str">
        <f t="shared" si="38"/>
        <v>C</v>
      </c>
      <c r="H476" t="str">
        <f t="shared" si="38"/>
        <v>17</v>
      </c>
      <c r="I476" t="str">
        <f t="shared" si="38"/>
        <v>172</v>
      </c>
      <c r="J476" t="str">
        <f t="shared" si="38"/>
        <v>17109</v>
      </c>
      <c r="K476" t="str">
        <f t="shared" si="36"/>
        <v/>
      </c>
    </row>
    <row r="477" spans="2:12" x14ac:dyDescent="0.25">
      <c r="C477" t="s">
        <v>1864</v>
      </c>
      <c r="D477" t="s">
        <v>2339</v>
      </c>
      <c r="E477" t="s">
        <v>1864</v>
      </c>
      <c r="F477" t="s">
        <v>387</v>
      </c>
      <c r="G477" t="str">
        <f t="shared" si="38"/>
        <v>C</v>
      </c>
      <c r="H477" t="str">
        <f t="shared" si="38"/>
        <v>17</v>
      </c>
      <c r="I477" t="str">
        <f t="shared" si="38"/>
        <v>172</v>
      </c>
      <c r="J477" t="str">
        <f t="shared" si="38"/>
        <v>17214</v>
      </c>
      <c r="K477" t="str">
        <f t="shared" si="36"/>
        <v/>
      </c>
    </row>
    <row r="478" spans="2:12" x14ac:dyDescent="0.25">
      <c r="C478" t="s">
        <v>1864</v>
      </c>
      <c r="D478" t="s">
        <v>1864</v>
      </c>
      <c r="E478" t="s">
        <v>2340</v>
      </c>
      <c r="F478" t="s">
        <v>387</v>
      </c>
      <c r="G478" t="str">
        <f t="shared" si="38"/>
        <v>C</v>
      </c>
      <c r="H478" t="str">
        <f t="shared" si="38"/>
        <v>17</v>
      </c>
      <c r="I478" t="str">
        <f t="shared" si="38"/>
        <v>172</v>
      </c>
      <c r="J478" t="str">
        <f t="shared" si="38"/>
        <v>17214</v>
      </c>
      <c r="K478" t="str">
        <f t="shared" si="36"/>
        <v>1721400</v>
      </c>
      <c r="L478">
        <v>0</v>
      </c>
    </row>
    <row r="479" spans="2:12" x14ac:dyDescent="0.25">
      <c r="C479" t="s">
        <v>1864</v>
      </c>
      <c r="D479" t="s">
        <v>2341</v>
      </c>
      <c r="E479" t="s">
        <v>1864</v>
      </c>
      <c r="F479" t="s">
        <v>388</v>
      </c>
      <c r="G479" t="str">
        <f t="shared" si="38"/>
        <v>C</v>
      </c>
      <c r="H479" t="str">
        <f t="shared" si="38"/>
        <v>17</v>
      </c>
      <c r="I479" t="str">
        <f t="shared" si="38"/>
        <v>172</v>
      </c>
      <c r="J479" t="str">
        <f t="shared" si="38"/>
        <v>17222</v>
      </c>
      <c r="K479" t="str">
        <f t="shared" si="36"/>
        <v/>
      </c>
    </row>
    <row r="480" spans="2:12" x14ac:dyDescent="0.25">
      <c r="C480" t="s">
        <v>1864</v>
      </c>
      <c r="D480" t="s">
        <v>1864</v>
      </c>
      <c r="E480" t="s">
        <v>2342</v>
      </c>
      <c r="F480" t="s">
        <v>388</v>
      </c>
      <c r="G480" t="str">
        <f t="shared" si="38"/>
        <v>C</v>
      </c>
      <c r="H480" t="str">
        <f t="shared" si="38"/>
        <v>17</v>
      </c>
      <c r="I480" t="str">
        <f t="shared" si="38"/>
        <v>172</v>
      </c>
      <c r="J480" t="str">
        <f t="shared" si="38"/>
        <v>17222</v>
      </c>
      <c r="K480" t="str">
        <f t="shared" si="36"/>
        <v>1722200</v>
      </c>
      <c r="L480">
        <v>0</v>
      </c>
    </row>
    <row r="481" spans="3:12" x14ac:dyDescent="0.25">
      <c r="C481" t="s">
        <v>2343</v>
      </c>
      <c r="D481" t="s">
        <v>1864</v>
      </c>
      <c r="E481" t="s">
        <v>1864</v>
      </c>
      <c r="F481" t="s">
        <v>389</v>
      </c>
      <c r="G481" t="str">
        <f t="shared" si="38"/>
        <v>C</v>
      </c>
      <c r="H481" t="str">
        <f t="shared" si="38"/>
        <v>17</v>
      </c>
      <c r="I481" t="str">
        <f t="shared" si="38"/>
        <v>173</v>
      </c>
      <c r="J481" t="str">
        <f t="shared" si="38"/>
        <v>17222</v>
      </c>
      <c r="K481" t="str">
        <f t="shared" si="36"/>
        <v/>
      </c>
    </row>
    <row r="482" spans="3:12" x14ac:dyDescent="0.25">
      <c r="C482" t="s">
        <v>1864</v>
      </c>
      <c r="D482" t="s">
        <v>2344</v>
      </c>
      <c r="E482" t="s">
        <v>1864</v>
      </c>
      <c r="F482" t="s">
        <v>390</v>
      </c>
      <c r="G482" t="str">
        <f t="shared" si="38"/>
        <v>C</v>
      </c>
      <c r="H482" t="str">
        <f t="shared" si="38"/>
        <v>17</v>
      </c>
      <c r="I482" t="str">
        <f t="shared" si="38"/>
        <v>173</v>
      </c>
      <c r="J482" t="str">
        <f t="shared" si="38"/>
        <v>17311</v>
      </c>
      <c r="K482" t="str">
        <f t="shared" si="36"/>
        <v/>
      </c>
    </row>
    <row r="483" spans="3:12" x14ac:dyDescent="0.25">
      <c r="C483" t="s">
        <v>1864</v>
      </c>
      <c r="D483" t="s">
        <v>1864</v>
      </c>
      <c r="E483" t="s">
        <v>2345</v>
      </c>
      <c r="F483" t="s">
        <v>390</v>
      </c>
      <c r="G483" t="str">
        <f t="shared" si="38"/>
        <v>C</v>
      </c>
      <c r="H483" t="str">
        <f t="shared" si="38"/>
        <v>17</v>
      </c>
      <c r="I483" t="str">
        <f t="shared" si="38"/>
        <v>173</v>
      </c>
      <c r="J483" t="str">
        <f t="shared" si="38"/>
        <v>17311</v>
      </c>
      <c r="K483" t="str">
        <f t="shared" si="36"/>
        <v>1731100</v>
      </c>
      <c r="L483">
        <v>0</v>
      </c>
    </row>
    <row r="484" spans="3:12" x14ac:dyDescent="0.25">
      <c r="C484" t="s">
        <v>1864</v>
      </c>
      <c r="D484" t="s">
        <v>2346</v>
      </c>
      <c r="E484" t="s">
        <v>1864</v>
      </c>
      <c r="F484" t="s">
        <v>391</v>
      </c>
      <c r="G484" t="str">
        <f t="shared" si="38"/>
        <v>C</v>
      </c>
      <c r="H484" t="str">
        <f t="shared" si="38"/>
        <v>17</v>
      </c>
      <c r="I484" t="str">
        <f t="shared" si="38"/>
        <v>173</v>
      </c>
      <c r="J484" t="str">
        <f t="shared" si="38"/>
        <v>17320</v>
      </c>
      <c r="K484" t="str">
        <f t="shared" si="36"/>
        <v/>
      </c>
    </row>
    <row r="485" spans="3:12" x14ac:dyDescent="0.25">
      <c r="C485" t="s">
        <v>1864</v>
      </c>
      <c r="D485" t="s">
        <v>1864</v>
      </c>
      <c r="E485" t="s">
        <v>2347</v>
      </c>
      <c r="F485" t="s">
        <v>391</v>
      </c>
      <c r="G485" t="str">
        <f t="shared" si="38"/>
        <v>C</v>
      </c>
      <c r="H485" t="str">
        <f t="shared" si="38"/>
        <v>17</v>
      </c>
      <c r="I485" t="str">
        <f t="shared" si="38"/>
        <v>173</v>
      </c>
      <c r="J485" t="str">
        <f t="shared" si="38"/>
        <v>17320</v>
      </c>
      <c r="K485" t="str">
        <f t="shared" si="36"/>
        <v>1732000</v>
      </c>
      <c r="L485">
        <v>0</v>
      </c>
    </row>
    <row r="486" spans="3:12" x14ac:dyDescent="0.25">
      <c r="C486" t="s">
        <v>1864</v>
      </c>
      <c r="D486" t="s">
        <v>2348</v>
      </c>
      <c r="E486" t="s">
        <v>1864</v>
      </c>
      <c r="F486" t="s">
        <v>392</v>
      </c>
      <c r="G486" t="str">
        <f t="shared" si="38"/>
        <v>C</v>
      </c>
      <c r="H486" t="str">
        <f t="shared" si="38"/>
        <v>17</v>
      </c>
      <c r="I486" t="str">
        <f t="shared" si="38"/>
        <v>173</v>
      </c>
      <c r="J486" t="str">
        <f t="shared" si="38"/>
        <v>17338</v>
      </c>
      <c r="K486" t="str">
        <f t="shared" si="36"/>
        <v/>
      </c>
    </row>
    <row r="487" spans="3:12" x14ac:dyDescent="0.25">
      <c r="C487" t="s">
        <v>1864</v>
      </c>
      <c r="D487" t="s">
        <v>1864</v>
      </c>
      <c r="E487" t="s">
        <v>2349</v>
      </c>
      <c r="F487" t="s">
        <v>392</v>
      </c>
      <c r="G487" t="str">
        <f t="shared" si="38"/>
        <v>C</v>
      </c>
      <c r="H487" t="str">
        <f t="shared" si="38"/>
        <v>17</v>
      </c>
      <c r="I487" t="str">
        <f t="shared" si="38"/>
        <v>173</v>
      </c>
      <c r="J487" t="str">
        <f t="shared" si="38"/>
        <v>17338</v>
      </c>
      <c r="K487" t="str">
        <f t="shared" si="36"/>
        <v>1733800</v>
      </c>
      <c r="L487">
        <v>0</v>
      </c>
    </row>
    <row r="488" spans="3:12" x14ac:dyDescent="0.25">
      <c r="C488" t="s">
        <v>2350</v>
      </c>
      <c r="D488" t="s">
        <v>1864</v>
      </c>
      <c r="E488" t="s">
        <v>1864</v>
      </c>
      <c r="F488" t="s">
        <v>393</v>
      </c>
      <c r="G488" t="str">
        <f t="shared" si="38"/>
        <v>C</v>
      </c>
      <c r="H488" t="str">
        <f t="shared" si="38"/>
        <v>17</v>
      </c>
      <c r="I488" t="str">
        <f t="shared" si="38"/>
        <v>174</v>
      </c>
      <c r="J488" t="str">
        <f t="shared" si="38"/>
        <v>17338</v>
      </c>
      <c r="K488" t="str">
        <f t="shared" si="36"/>
        <v/>
      </c>
    </row>
    <row r="489" spans="3:12" x14ac:dyDescent="0.25">
      <c r="C489" t="s">
        <v>1864</v>
      </c>
      <c r="D489" t="s">
        <v>2351</v>
      </c>
      <c r="E489" t="s">
        <v>1864</v>
      </c>
      <c r="F489" t="s">
        <v>394</v>
      </c>
      <c r="G489" t="str">
        <f t="shared" ref="G489:J504" si="39">IF(A489="",G488,A489)</f>
        <v>C</v>
      </c>
      <c r="H489" t="str">
        <f t="shared" si="39"/>
        <v>17</v>
      </c>
      <c r="I489" t="str">
        <f t="shared" si="39"/>
        <v>174</v>
      </c>
      <c r="J489" t="str">
        <f t="shared" si="39"/>
        <v>17419</v>
      </c>
      <c r="K489" t="str">
        <f t="shared" si="36"/>
        <v/>
      </c>
    </row>
    <row r="490" spans="3:12" x14ac:dyDescent="0.25">
      <c r="C490" t="s">
        <v>1864</v>
      </c>
      <c r="D490" t="s">
        <v>1864</v>
      </c>
      <c r="E490" t="s">
        <v>2352</v>
      </c>
      <c r="F490" t="s">
        <v>395</v>
      </c>
      <c r="G490" t="str">
        <f t="shared" si="39"/>
        <v>C</v>
      </c>
      <c r="H490" t="str">
        <f t="shared" si="39"/>
        <v>17</v>
      </c>
      <c r="I490" t="str">
        <f t="shared" si="39"/>
        <v>174</v>
      </c>
      <c r="J490" t="str">
        <f t="shared" si="39"/>
        <v>17419</v>
      </c>
      <c r="K490" t="str">
        <f t="shared" si="36"/>
        <v>1741901</v>
      </c>
      <c r="L490">
        <v>0</v>
      </c>
    </row>
    <row r="491" spans="3:12" x14ac:dyDescent="0.25">
      <c r="C491" t="s">
        <v>1864</v>
      </c>
      <c r="D491" t="s">
        <v>1864</v>
      </c>
      <c r="E491" t="s">
        <v>2353</v>
      </c>
      <c r="F491" t="s">
        <v>394</v>
      </c>
      <c r="G491" t="str">
        <f t="shared" si="39"/>
        <v>C</v>
      </c>
      <c r="H491" t="str">
        <f t="shared" si="39"/>
        <v>17</v>
      </c>
      <c r="I491" t="str">
        <f t="shared" si="39"/>
        <v>174</v>
      </c>
      <c r="J491" t="str">
        <f t="shared" si="39"/>
        <v>17419</v>
      </c>
      <c r="K491" t="str">
        <f t="shared" si="36"/>
        <v>1741902</v>
      </c>
      <c r="L491">
        <v>0</v>
      </c>
    </row>
    <row r="492" spans="3:12" x14ac:dyDescent="0.25">
      <c r="C492" t="s">
        <v>1864</v>
      </c>
      <c r="D492" t="s">
        <v>2354</v>
      </c>
      <c r="E492" t="s">
        <v>1864</v>
      </c>
      <c r="F492" t="s">
        <v>396</v>
      </c>
      <c r="G492" t="str">
        <f t="shared" si="39"/>
        <v>C</v>
      </c>
      <c r="H492" t="str">
        <f t="shared" si="39"/>
        <v>17</v>
      </c>
      <c r="I492" t="str">
        <f t="shared" si="39"/>
        <v>174</v>
      </c>
      <c r="J492" t="str">
        <f t="shared" si="39"/>
        <v>17427</v>
      </c>
      <c r="K492" t="str">
        <f t="shared" si="36"/>
        <v/>
      </c>
    </row>
    <row r="493" spans="3:12" x14ac:dyDescent="0.25">
      <c r="C493" t="s">
        <v>1864</v>
      </c>
      <c r="D493" t="s">
        <v>1864</v>
      </c>
      <c r="E493" t="s">
        <v>2355</v>
      </c>
      <c r="F493" t="s">
        <v>397</v>
      </c>
      <c r="G493" t="str">
        <f t="shared" si="39"/>
        <v>C</v>
      </c>
      <c r="H493" t="str">
        <f t="shared" si="39"/>
        <v>17</v>
      </c>
      <c r="I493" t="str">
        <f t="shared" si="39"/>
        <v>174</v>
      </c>
      <c r="J493" t="str">
        <f t="shared" si="39"/>
        <v>17427</v>
      </c>
      <c r="K493" t="str">
        <f t="shared" si="36"/>
        <v>1742701</v>
      </c>
      <c r="L493">
        <v>1</v>
      </c>
    </row>
    <row r="494" spans="3:12" x14ac:dyDescent="0.25">
      <c r="C494" t="s">
        <v>1864</v>
      </c>
      <c r="D494" t="s">
        <v>1864</v>
      </c>
      <c r="E494" t="s">
        <v>2356</v>
      </c>
      <c r="F494" t="s">
        <v>398</v>
      </c>
      <c r="G494" t="str">
        <f t="shared" si="39"/>
        <v>C</v>
      </c>
      <c r="H494" t="str">
        <f t="shared" si="39"/>
        <v>17</v>
      </c>
      <c r="I494" t="str">
        <f t="shared" si="39"/>
        <v>174</v>
      </c>
      <c r="J494" t="str">
        <f t="shared" si="39"/>
        <v>17427</v>
      </c>
      <c r="K494" t="str">
        <f t="shared" si="36"/>
        <v>1742702</v>
      </c>
      <c r="L494">
        <v>1</v>
      </c>
    </row>
    <row r="495" spans="3:12" x14ac:dyDescent="0.25">
      <c r="C495" t="s">
        <v>1864</v>
      </c>
      <c r="D495" t="s">
        <v>1864</v>
      </c>
      <c r="E495" t="s">
        <v>2357</v>
      </c>
      <c r="F495" t="s">
        <v>399</v>
      </c>
      <c r="G495" t="str">
        <f t="shared" si="39"/>
        <v>C</v>
      </c>
      <c r="H495" t="str">
        <f t="shared" si="39"/>
        <v>17</v>
      </c>
      <c r="I495" t="str">
        <f t="shared" si="39"/>
        <v>174</v>
      </c>
      <c r="J495" t="str">
        <f t="shared" si="39"/>
        <v>17427</v>
      </c>
      <c r="K495" t="str">
        <f t="shared" si="36"/>
        <v>1742799</v>
      </c>
      <c r="L495">
        <v>1</v>
      </c>
    </row>
    <row r="496" spans="3:12" x14ac:dyDescent="0.25">
      <c r="C496" t="s">
        <v>1864</v>
      </c>
      <c r="D496" t="s">
        <v>2358</v>
      </c>
      <c r="E496" t="s">
        <v>1864</v>
      </c>
      <c r="F496" t="s">
        <v>400</v>
      </c>
      <c r="G496" t="str">
        <f t="shared" si="39"/>
        <v>C</v>
      </c>
      <c r="H496" t="str">
        <f t="shared" si="39"/>
        <v>17</v>
      </c>
      <c r="I496" t="str">
        <f t="shared" si="39"/>
        <v>174</v>
      </c>
      <c r="J496" t="str">
        <f t="shared" si="39"/>
        <v>17494</v>
      </c>
      <c r="K496" t="str">
        <f t="shared" si="36"/>
        <v/>
      </c>
    </row>
    <row r="497" spans="1:12" x14ac:dyDescent="0.25">
      <c r="C497" t="s">
        <v>1864</v>
      </c>
      <c r="D497" t="s">
        <v>1864</v>
      </c>
      <c r="E497" t="s">
        <v>2359</v>
      </c>
      <c r="F497" t="s">
        <v>400</v>
      </c>
      <c r="G497" t="str">
        <f t="shared" si="39"/>
        <v>C</v>
      </c>
      <c r="H497" t="str">
        <f t="shared" si="39"/>
        <v>17</v>
      </c>
      <c r="I497" t="str">
        <f t="shared" si="39"/>
        <v>174</v>
      </c>
      <c r="J497" t="str">
        <f t="shared" si="39"/>
        <v>17494</v>
      </c>
      <c r="K497" t="str">
        <f t="shared" si="36"/>
        <v>1749400</v>
      </c>
      <c r="L497">
        <v>0</v>
      </c>
    </row>
    <row r="498" spans="1:12" x14ac:dyDescent="0.25">
      <c r="A498" s="2"/>
      <c r="B498" s="2" t="s">
        <v>2360</v>
      </c>
      <c r="C498" s="2" t="s">
        <v>1864</v>
      </c>
      <c r="D498" s="2" t="s">
        <v>1864</v>
      </c>
      <c r="E498" s="2" t="s">
        <v>1864</v>
      </c>
      <c r="F498" s="2" t="s">
        <v>401</v>
      </c>
      <c r="G498" s="2" t="str">
        <f t="shared" si="39"/>
        <v>C</v>
      </c>
      <c r="H498" s="2" t="str">
        <f t="shared" si="39"/>
        <v>18</v>
      </c>
      <c r="I498" s="2" t="str">
        <f t="shared" si="39"/>
        <v>174</v>
      </c>
      <c r="J498" s="2" t="str">
        <f t="shared" si="39"/>
        <v>17494</v>
      </c>
      <c r="K498" s="2" t="str">
        <f t="shared" si="36"/>
        <v/>
      </c>
      <c r="L498" s="2"/>
    </row>
    <row r="499" spans="1:12" x14ac:dyDescent="0.25">
      <c r="C499" t="s">
        <v>2361</v>
      </c>
      <c r="D499" t="s">
        <v>1864</v>
      </c>
      <c r="E499" t="s">
        <v>1864</v>
      </c>
      <c r="F499" t="s">
        <v>402</v>
      </c>
      <c r="G499" t="str">
        <f t="shared" si="39"/>
        <v>C</v>
      </c>
      <c r="H499" t="str">
        <f t="shared" si="39"/>
        <v>18</v>
      </c>
      <c r="I499" t="str">
        <f t="shared" si="39"/>
        <v>181</v>
      </c>
      <c r="J499" t="str">
        <f t="shared" si="39"/>
        <v>17494</v>
      </c>
      <c r="K499" t="str">
        <f t="shared" si="36"/>
        <v/>
      </c>
    </row>
    <row r="500" spans="1:12" x14ac:dyDescent="0.25">
      <c r="C500" t="s">
        <v>1864</v>
      </c>
      <c r="D500" t="s">
        <v>2362</v>
      </c>
      <c r="E500" t="s">
        <v>1864</v>
      </c>
      <c r="F500" t="s">
        <v>403</v>
      </c>
      <c r="G500" t="str">
        <f t="shared" si="39"/>
        <v>C</v>
      </c>
      <c r="H500" t="str">
        <f t="shared" si="39"/>
        <v>18</v>
      </c>
      <c r="I500" t="str">
        <f t="shared" si="39"/>
        <v>181</v>
      </c>
      <c r="J500" t="str">
        <f t="shared" si="39"/>
        <v>18113</v>
      </c>
      <c r="K500" t="str">
        <f t="shared" si="36"/>
        <v/>
      </c>
    </row>
    <row r="501" spans="1:12" x14ac:dyDescent="0.25">
      <c r="C501" t="s">
        <v>1864</v>
      </c>
      <c r="D501" t="s">
        <v>1864</v>
      </c>
      <c r="E501" t="s">
        <v>2363</v>
      </c>
      <c r="F501" t="s">
        <v>404</v>
      </c>
      <c r="G501" t="str">
        <f t="shared" si="39"/>
        <v>C</v>
      </c>
      <c r="H501" t="str">
        <f t="shared" si="39"/>
        <v>18</v>
      </c>
      <c r="I501" t="str">
        <f t="shared" si="39"/>
        <v>181</v>
      </c>
      <c r="J501" t="str">
        <f t="shared" si="39"/>
        <v>18113</v>
      </c>
      <c r="K501" t="str">
        <f t="shared" si="36"/>
        <v>1811301</v>
      </c>
      <c r="L501">
        <v>1</v>
      </c>
    </row>
    <row r="502" spans="1:12" x14ac:dyDescent="0.25">
      <c r="C502" t="s">
        <v>1864</v>
      </c>
      <c r="D502" t="s">
        <v>1864</v>
      </c>
      <c r="E502" t="s">
        <v>2364</v>
      </c>
      <c r="F502" t="s">
        <v>405</v>
      </c>
      <c r="G502" t="str">
        <f t="shared" si="39"/>
        <v>C</v>
      </c>
      <c r="H502" t="str">
        <f t="shared" si="39"/>
        <v>18</v>
      </c>
      <c r="I502" t="str">
        <f t="shared" si="39"/>
        <v>181</v>
      </c>
      <c r="J502" t="str">
        <f t="shared" si="39"/>
        <v>18113</v>
      </c>
      <c r="K502" t="str">
        <f t="shared" si="36"/>
        <v>1811302</v>
      </c>
      <c r="L502">
        <v>1</v>
      </c>
    </row>
    <row r="503" spans="1:12" x14ac:dyDescent="0.25">
      <c r="C503" t="s">
        <v>1864</v>
      </c>
      <c r="D503" t="s">
        <v>2365</v>
      </c>
      <c r="E503" t="s">
        <v>1864</v>
      </c>
      <c r="F503" t="s">
        <v>406</v>
      </c>
      <c r="G503" t="str">
        <f t="shared" si="39"/>
        <v>C</v>
      </c>
      <c r="H503" t="str">
        <f t="shared" si="39"/>
        <v>18</v>
      </c>
      <c r="I503" t="str">
        <f t="shared" si="39"/>
        <v>181</v>
      </c>
      <c r="J503" t="str">
        <f t="shared" si="39"/>
        <v>18121</v>
      </c>
      <c r="K503" t="str">
        <f t="shared" si="36"/>
        <v/>
      </c>
    </row>
    <row r="504" spans="1:12" x14ac:dyDescent="0.25">
      <c r="C504" t="s">
        <v>1864</v>
      </c>
      <c r="D504" t="s">
        <v>1864</v>
      </c>
      <c r="E504" t="s">
        <v>2366</v>
      </c>
      <c r="F504" t="s">
        <v>406</v>
      </c>
      <c r="G504" t="str">
        <f t="shared" si="39"/>
        <v>C</v>
      </c>
      <c r="H504" t="str">
        <f t="shared" si="39"/>
        <v>18</v>
      </c>
      <c r="I504" t="str">
        <f t="shared" si="39"/>
        <v>181</v>
      </c>
      <c r="J504" t="str">
        <f t="shared" si="39"/>
        <v>18121</v>
      </c>
      <c r="K504" t="str">
        <f t="shared" si="36"/>
        <v>1812100</v>
      </c>
      <c r="L504">
        <v>1</v>
      </c>
    </row>
    <row r="505" spans="1:12" x14ac:dyDescent="0.25">
      <c r="C505" t="s">
        <v>1864</v>
      </c>
      <c r="D505" t="s">
        <v>2367</v>
      </c>
      <c r="E505" t="s">
        <v>1864</v>
      </c>
      <c r="F505" t="s">
        <v>407</v>
      </c>
      <c r="G505" t="str">
        <f t="shared" ref="G505:J520" si="40">IF(A505="",G504,A505)</f>
        <v>C</v>
      </c>
      <c r="H505" t="str">
        <f t="shared" si="40"/>
        <v>18</v>
      </c>
      <c r="I505" t="str">
        <f t="shared" si="40"/>
        <v>181</v>
      </c>
      <c r="J505" t="str">
        <f t="shared" si="40"/>
        <v>18130</v>
      </c>
      <c r="K505" t="str">
        <f t="shared" si="36"/>
        <v/>
      </c>
    </row>
    <row r="506" spans="1:12" x14ac:dyDescent="0.25">
      <c r="C506" t="s">
        <v>1864</v>
      </c>
      <c r="D506" t="s">
        <v>1864</v>
      </c>
      <c r="E506" t="s">
        <v>2368</v>
      </c>
      <c r="F506" t="s">
        <v>408</v>
      </c>
      <c r="G506" t="str">
        <f t="shared" si="40"/>
        <v>C</v>
      </c>
      <c r="H506" t="str">
        <f t="shared" si="40"/>
        <v>18</v>
      </c>
      <c r="I506" t="str">
        <f t="shared" si="40"/>
        <v>181</v>
      </c>
      <c r="J506" t="str">
        <f t="shared" si="40"/>
        <v>18130</v>
      </c>
      <c r="K506" t="str">
        <f t="shared" si="36"/>
        <v>1813001</v>
      </c>
      <c r="L506">
        <v>1</v>
      </c>
    </row>
    <row r="507" spans="1:12" x14ac:dyDescent="0.25">
      <c r="C507" t="s">
        <v>1864</v>
      </c>
      <c r="D507" t="s">
        <v>1864</v>
      </c>
      <c r="E507" t="s">
        <v>2369</v>
      </c>
      <c r="F507" t="s">
        <v>409</v>
      </c>
      <c r="G507" t="str">
        <f t="shared" si="40"/>
        <v>C</v>
      </c>
      <c r="H507" t="str">
        <f t="shared" si="40"/>
        <v>18</v>
      </c>
      <c r="I507" t="str">
        <f t="shared" si="40"/>
        <v>181</v>
      </c>
      <c r="J507" t="str">
        <f t="shared" si="40"/>
        <v>18130</v>
      </c>
      <c r="K507" t="str">
        <f t="shared" si="36"/>
        <v>1813099</v>
      </c>
      <c r="L507">
        <v>1</v>
      </c>
    </row>
    <row r="508" spans="1:12" x14ac:dyDescent="0.25">
      <c r="C508" t="s">
        <v>2370</v>
      </c>
      <c r="D508" t="s">
        <v>1864</v>
      </c>
      <c r="E508" t="s">
        <v>1864</v>
      </c>
      <c r="F508" t="s">
        <v>410</v>
      </c>
      <c r="G508" t="str">
        <f t="shared" si="40"/>
        <v>C</v>
      </c>
      <c r="H508" t="str">
        <f t="shared" si="40"/>
        <v>18</v>
      </c>
      <c r="I508" t="str">
        <f t="shared" si="40"/>
        <v>182</v>
      </c>
      <c r="J508" t="str">
        <f t="shared" si="40"/>
        <v>18130</v>
      </c>
      <c r="K508" t="str">
        <f t="shared" si="36"/>
        <v/>
      </c>
    </row>
    <row r="509" spans="1:12" x14ac:dyDescent="0.25">
      <c r="C509" t="s">
        <v>1864</v>
      </c>
      <c r="D509" t="s">
        <v>2371</v>
      </c>
      <c r="E509" t="s">
        <v>1864</v>
      </c>
      <c r="F509" t="s">
        <v>411</v>
      </c>
      <c r="G509" t="str">
        <f t="shared" si="40"/>
        <v>C</v>
      </c>
      <c r="H509" t="str">
        <f t="shared" si="40"/>
        <v>18</v>
      </c>
      <c r="I509" t="str">
        <f t="shared" si="40"/>
        <v>182</v>
      </c>
      <c r="J509" t="str">
        <f t="shared" si="40"/>
        <v>18211</v>
      </c>
      <c r="K509" t="str">
        <f t="shared" si="36"/>
        <v/>
      </c>
    </row>
    <row r="510" spans="1:12" x14ac:dyDescent="0.25">
      <c r="C510" t="s">
        <v>1864</v>
      </c>
      <c r="D510" t="s">
        <v>1864</v>
      </c>
      <c r="E510" t="s">
        <v>2372</v>
      </c>
      <c r="F510" t="s">
        <v>411</v>
      </c>
      <c r="G510" t="str">
        <f t="shared" si="40"/>
        <v>C</v>
      </c>
      <c r="H510" t="str">
        <f t="shared" si="40"/>
        <v>18</v>
      </c>
      <c r="I510" t="str">
        <f t="shared" si="40"/>
        <v>182</v>
      </c>
      <c r="J510" t="str">
        <f t="shared" si="40"/>
        <v>18211</v>
      </c>
      <c r="K510" t="str">
        <f t="shared" si="36"/>
        <v>1821100</v>
      </c>
      <c r="L510">
        <v>1</v>
      </c>
    </row>
    <row r="511" spans="1:12" x14ac:dyDescent="0.25">
      <c r="C511" t="s">
        <v>1864</v>
      </c>
      <c r="D511" t="s">
        <v>2373</v>
      </c>
      <c r="E511" t="s">
        <v>1864</v>
      </c>
      <c r="F511" t="s">
        <v>412</v>
      </c>
      <c r="G511" t="str">
        <f t="shared" si="40"/>
        <v>C</v>
      </c>
      <c r="H511" t="str">
        <f t="shared" si="40"/>
        <v>18</v>
      </c>
      <c r="I511" t="str">
        <f t="shared" si="40"/>
        <v>182</v>
      </c>
      <c r="J511" t="str">
        <f t="shared" si="40"/>
        <v>18229</v>
      </c>
      <c r="K511" t="str">
        <f t="shared" si="36"/>
        <v/>
      </c>
    </row>
    <row r="512" spans="1:12" x14ac:dyDescent="0.25">
      <c r="C512" t="s">
        <v>1864</v>
      </c>
      <c r="D512" t="s">
        <v>1864</v>
      </c>
      <c r="E512" t="s">
        <v>2374</v>
      </c>
      <c r="F512" t="s">
        <v>413</v>
      </c>
      <c r="G512" t="str">
        <f t="shared" si="40"/>
        <v>C</v>
      </c>
      <c r="H512" t="str">
        <f t="shared" si="40"/>
        <v>18</v>
      </c>
      <c r="I512" t="str">
        <f t="shared" si="40"/>
        <v>182</v>
      </c>
      <c r="J512" t="str">
        <f t="shared" si="40"/>
        <v>18229</v>
      </c>
      <c r="K512" t="str">
        <f t="shared" si="36"/>
        <v>1822901</v>
      </c>
      <c r="L512">
        <v>1</v>
      </c>
    </row>
    <row r="513" spans="2:12" x14ac:dyDescent="0.25">
      <c r="C513" t="s">
        <v>1864</v>
      </c>
      <c r="D513" t="s">
        <v>1864</v>
      </c>
      <c r="E513" t="s">
        <v>2375</v>
      </c>
      <c r="F513" t="s">
        <v>414</v>
      </c>
      <c r="G513" t="str">
        <f t="shared" si="40"/>
        <v>C</v>
      </c>
      <c r="H513" t="str">
        <f t="shared" si="40"/>
        <v>18</v>
      </c>
      <c r="I513" t="str">
        <f t="shared" si="40"/>
        <v>182</v>
      </c>
      <c r="J513" t="str">
        <f t="shared" si="40"/>
        <v>18229</v>
      </c>
      <c r="K513" t="str">
        <f t="shared" si="36"/>
        <v>1822999</v>
      </c>
      <c r="L513">
        <v>1</v>
      </c>
    </row>
    <row r="514" spans="2:12" x14ac:dyDescent="0.25">
      <c r="C514" t="s">
        <v>2376</v>
      </c>
      <c r="D514" t="s">
        <v>1864</v>
      </c>
      <c r="E514" t="s">
        <v>1864</v>
      </c>
      <c r="F514" t="s">
        <v>415</v>
      </c>
      <c r="G514" t="str">
        <f t="shared" si="40"/>
        <v>C</v>
      </c>
      <c r="H514" t="str">
        <f t="shared" si="40"/>
        <v>18</v>
      </c>
      <c r="I514" t="str">
        <f t="shared" si="40"/>
        <v>183</v>
      </c>
      <c r="J514" t="str">
        <f t="shared" si="40"/>
        <v>18229</v>
      </c>
      <c r="K514" t="str">
        <f t="shared" si="36"/>
        <v/>
      </c>
    </row>
    <row r="515" spans="2:12" x14ac:dyDescent="0.25">
      <c r="C515" t="s">
        <v>1864</v>
      </c>
      <c r="D515" t="s">
        <v>2377</v>
      </c>
      <c r="E515" t="s">
        <v>1864</v>
      </c>
      <c r="F515" t="s">
        <v>415</v>
      </c>
      <c r="G515" t="str">
        <f t="shared" si="40"/>
        <v>C</v>
      </c>
      <c r="H515" t="str">
        <f t="shared" si="40"/>
        <v>18</v>
      </c>
      <c r="I515" t="str">
        <f t="shared" si="40"/>
        <v>183</v>
      </c>
      <c r="J515" t="str">
        <f t="shared" si="40"/>
        <v>18300</v>
      </c>
      <c r="K515" t="str">
        <f t="shared" si="36"/>
        <v/>
      </c>
    </row>
    <row r="516" spans="2:12" x14ac:dyDescent="0.25">
      <c r="C516" t="s">
        <v>1864</v>
      </c>
      <c r="D516" t="s">
        <v>1864</v>
      </c>
      <c r="E516" t="s">
        <v>2378</v>
      </c>
      <c r="F516" t="s">
        <v>416</v>
      </c>
      <c r="G516" t="str">
        <f t="shared" si="40"/>
        <v>C</v>
      </c>
      <c r="H516" t="str">
        <f t="shared" si="40"/>
        <v>18</v>
      </c>
      <c r="I516" t="str">
        <f t="shared" si="40"/>
        <v>183</v>
      </c>
      <c r="J516" t="str">
        <f t="shared" si="40"/>
        <v>18300</v>
      </c>
      <c r="K516" t="str">
        <f t="shared" si="36"/>
        <v>1830001</v>
      </c>
      <c r="L516">
        <v>1</v>
      </c>
    </row>
    <row r="517" spans="2:12" x14ac:dyDescent="0.25">
      <c r="C517" t="s">
        <v>1864</v>
      </c>
      <c r="D517" t="s">
        <v>1864</v>
      </c>
      <c r="E517" t="s">
        <v>2379</v>
      </c>
      <c r="F517" t="s">
        <v>417</v>
      </c>
      <c r="G517" t="str">
        <f t="shared" si="40"/>
        <v>C</v>
      </c>
      <c r="H517" t="str">
        <f t="shared" si="40"/>
        <v>18</v>
      </c>
      <c r="I517" t="str">
        <f t="shared" si="40"/>
        <v>183</v>
      </c>
      <c r="J517" t="str">
        <f t="shared" si="40"/>
        <v>18300</v>
      </c>
      <c r="K517" t="str">
        <f t="shared" si="36"/>
        <v>1830002</v>
      </c>
      <c r="L517">
        <v>1</v>
      </c>
    </row>
    <row r="518" spans="2:12" x14ac:dyDescent="0.25">
      <c r="C518" t="s">
        <v>1864</v>
      </c>
      <c r="D518" t="s">
        <v>1864</v>
      </c>
      <c r="E518" t="s">
        <v>2380</v>
      </c>
      <c r="F518" t="s">
        <v>2381</v>
      </c>
      <c r="G518" t="str">
        <f t="shared" si="40"/>
        <v>C</v>
      </c>
      <c r="H518" t="str">
        <f t="shared" si="40"/>
        <v>18</v>
      </c>
      <c r="I518" t="str">
        <f t="shared" si="40"/>
        <v>183</v>
      </c>
      <c r="J518" t="str">
        <f t="shared" si="40"/>
        <v>18300</v>
      </c>
      <c r="K518" t="str">
        <f t="shared" si="36"/>
        <v>1830003</v>
      </c>
      <c r="L518">
        <v>1</v>
      </c>
    </row>
    <row r="519" spans="2:12" x14ac:dyDescent="0.25">
      <c r="B519" t="s">
        <v>2382</v>
      </c>
      <c r="C519" t="s">
        <v>1864</v>
      </c>
      <c r="D519" t="s">
        <v>1864</v>
      </c>
      <c r="E519" t="s">
        <v>1864</v>
      </c>
      <c r="F519" t="s">
        <v>418</v>
      </c>
      <c r="G519" t="str">
        <f t="shared" si="40"/>
        <v>C</v>
      </c>
      <c r="H519" t="str">
        <f t="shared" si="40"/>
        <v>19</v>
      </c>
      <c r="I519" t="str">
        <f t="shared" si="40"/>
        <v>183</v>
      </c>
      <c r="J519" t="str">
        <f t="shared" si="40"/>
        <v>18300</v>
      </c>
      <c r="K519" t="str">
        <f t="shared" si="36"/>
        <v/>
      </c>
    </row>
    <row r="520" spans="2:12" x14ac:dyDescent="0.25">
      <c r="C520" t="s">
        <v>2383</v>
      </c>
      <c r="D520" t="s">
        <v>1864</v>
      </c>
      <c r="E520" t="s">
        <v>1864</v>
      </c>
      <c r="F520" t="s">
        <v>419</v>
      </c>
      <c r="G520" t="str">
        <f t="shared" si="40"/>
        <v>C</v>
      </c>
      <c r="H520" t="str">
        <f t="shared" si="40"/>
        <v>19</v>
      </c>
      <c r="I520" t="str">
        <f t="shared" si="40"/>
        <v>191</v>
      </c>
      <c r="J520" t="str">
        <f t="shared" si="40"/>
        <v>18300</v>
      </c>
      <c r="K520" t="str">
        <f t="shared" ref="K520:K583" si="41">E520</f>
        <v/>
      </c>
    </row>
    <row r="521" spans="2:12" x14ac:dyDescent="0.25">
      <c r="C521" t="s">
        <v>1864</v>
      </c>
      <c r="D521" t="s">
        <v>2384</v>
      </c>
      <c r="E521" t="s">
        <v>1864</v>
      </c>
      <c r="F521" t="s">
        <v>419</v>
      </c>
      <c r="G521" t="str">
        <f t="shared" ref="G521:J536" si="42">IF(A521="",G520,A521)</f>
        <v>C</v>
      </c>
      <c r="H521" t="str">
        <f t="shared" si="42"/>
        <v>19</v>
      </c>
      <c r="I521" t="str">
        <f t="shared" si="42"/>
        <v>191</v>
      </c>
      <c r="J521" t="str">
        <f t="shared" si="42"/>
        <v>19101</v>
      </c>
      <c r="K521" t="str">
        <f t="shared" si="41"/>
        <v/>
      </c>
    </row>
    <row r="522" spans="2:12" x14ac:dyDescent="0.25">
      <c r="C522" t="s">
        <v>1864</v>
      </c>
      <c r="D522" t="s">
        <v>1864</v>
      </c>
      <c r="E522" t="s">
        <v>2385</v>
      </c>
      <c r="F522" t="s">
        <v>419</v>
      </c>
      <c r="G522" t="str">
        <f t="shared" si="42"/>
        <v>C</v>
      </c>
      <c r="H522" t="str">
        <f t="shared" si="42"/>
        <v>19</v>
      </c>
      <c r="I522" t="str">
        <f t="shared" si="42"/>
        <v>191</v>
      </c>
      <c r="J522" t="str">
        <f t="shared" si="42"/>
        <v>19101</v>
      </c>
      <c r="K522" t="str">
        <f t="shared" si="41"/>
        <v>1910100</v>
      </c>
      <c r="L522">
        <v>0</v>
      </c>
    </row>
    <row r="523" spans="2:12" x14ac:dyDescent="0.25">
      <c r="C523" t="s">
        <v>2386</v>
      </c>
      <c r="D523" t="s">
        <v>1864</v>
      </c>
      <c r="E523" t="s">
        <v>1864</v>
      </c>
      <c r="F523" t="s">
        <v>420</v>
      </c>
      <c r="G523" t="str">
        <f t="shared" si="42"/>
        <v>C</v>
      </c>
      <c r="H523" t="str">
        <f t="shared" si="42"/>
        <v>19</v>
      </c>
      <c r="I523" t="str">
        <f t="shared" si="42"/>
        <v>192</v>
      </c>
      <c r="J523" t="str">
        <f t="shared" si="42"/>
        <v>19101</v>
      </c>
      <c r="K523" t="str">
        <f t="shared" si="41"/>
        <v/>
      </c>
    </row>
    <row r="524" spans="2:12" x14ac:dyDescent="0.25">
      <c r="C524" t="s">
        <v>1864</v>
      </c>
      <c r="D524" t="s">
        <v>2387</v>
      </c>
      <c r="E524" t="s">
        <v>1864</v>
      </c>
      <c r="F524" t="s">
        <v>421</v>
      </c>
      <c r="G524" t="str">
        <f t="shared" si="42"/>
        <v>C</v>
      </c>
      <c r="H524" t="str">
        <f t="shared" si="42"/>
        <v>19</v>
      </c>
      <c r="I524" t="str">
        <f t="shared" si="42"/>
        <v>192</v>
      </c>
      <c r="J524" t="str">
        <f t="shared" si="42"/>
        <v>19217</v>
      </c>
      <c r="K524" t="str">
        <f t="shared" si="41"/>
        <v/>
      </c>
    </row>
    <row r="525" spans="2:12" x14ac:dyDescent="0.25">
      <c r="C525" t="s">
        <v>1864</v>
      </c>
      <c r="D525" t="s">
        <v>1864</v>
      </c>
      <c r="E525" t="s">
        <v>2388</v>
      </c>
      <c r="F525" t="s">
        <v>421</v>
      </c>
      <c r="G525" t="str">
        <f t="shared" si="42"/>
        <v>C</v>
      </c>
      <c r="H525" t="str">
        <f t="shared" si="42"/>
        <v>19</v>
      </c>
      <c r="I525" t="str">
        <f t="shared" si="42"/>
        <v>192</v>
      </c>
      <c r="J525" t="str">
        <f t="shared" si="42"/>
        <v>19217</v>
      </c>
      <c r="K525" t="str">
        <f t="shared" si="41"/>
        <v>1921700</v>
      </c>
      <c r="L525">
        <v>0</v>
      </c>
    </row>
    <row r="526" spans="2:12" x14ac:dyDescent="0.25">
      <c r="C526" t="s">
        <v>1864</v>
      </c>
      <c r="D526" t="s">
        <v>2389</v>
      </c>
      <c r="E526" t="s">
        <v>1864</v>
      </c>
      <c r="F526" t="s">
        <v>422</v>
      </c>
      <c r="G526" t="str">
        <f t="shared" si="42"/>
        <v>C</v>
      </c>
      <c r="H526" t="str">
        <f t="shared" si="42"/>
        <v>19</v>
      </c>
      <c r="I526" t="str">
        <f t="shared" si="42"/>
        <v>192</v>
      </c>
      <c r="J526" t="str">
        <f t="shared" si="42"/>
        <v>19225</v>
      </c>
      <c r="K526" t="str">
        <f t="shared" si="41"/>
        <v/>
      </c>
    </row>
    <row r="527" spans="2:12" x14ac:dyDescent="0.25">
      <c r="C527" t="s">
        <v>1864</v>
      </c>
      <c r="D527" t="s">
        <v>1864</v>
      </c>
      <c r="E527" t="s">
        <v>2390</v>
      </c>
      <c r="F527" t="s">
        <v>423</v>
      </c>
      <c r="G527" t="str">
        <f t="shared" si="42"/>
        <v>C</v>
      </c>
      <c r="H527" t="str">
        <f t="shared" si="42"/>
        <v>19</v>
      </c>
      <c r="I527" t="str">
        <f t="shared" si="42"/>
        <v>192</v>
      </c>
      <c r="J527" t="str">
        <f t="shared" si="42"/>
        <v>19225</v>
      </c>
      <c r="K527" t="str">
        <f t="shared" si="41"/>
        <v>1922501</v>
      </c>
      <c r="L527">
        <v>0</v>
      </c>
    </row>
    <row r="528" spans="2:12" x14ac:dyDescent="0.25">
      <c r="C528" t="s">
        <v>1864</v>
      </c>
      <c r="D528" t="s">
        <v>1864</v>
      </c>
      <c r="E528" t="s">
        <v>2391</v>
      </c>
      <c r="F528" t="s">
        <v>424</v>
      </c>
      <c r="G528" t="str">
        <f t="shared" si="42"/>
        <v>C</v>
      </c>
      <c r="H528" t="str">
        <f t="shared" si="42"/>
        <v>19</v>
      </c>
      <c r="I528" t="str">
        <f t="shared" si="42"/>
        <v>192</v>
      </c>
      <c r="J528" t="str">
        <f t="shared" si="42"/>
        <v>19225</v>
      </c>
      <c r="K528" t="str">
        <f t="shared" si="41"/>
        <v>1922502</v>
      </c>
      <c r="L528">
        <v>0</v>
      </c>
    </row>
    <row r="529" spans="2:12" x14ac:dyDescent="0.25">
      <c r="C529" t="s">
        <v>1864</v>
      </c>
      <c r="D529" t="s">
        <v>1864</v>
      </c>
      <c r="E529" t="s">
        <v>2392</v>
      </c>
      <c r="F529" t="s">
        <v>425</v>
      </c>
      <c r="G529" t="str">
        <f t="shared" si="42"/>
        <v>C</v>
      </c>
      <c r="H529" t="str">
        <f t="shared" si="42"/>
        <v>19</v>
      </c>
      <c r="I529" t="str">
        <f t="shared" si="42"/>
        <v>192</v>
      </c>
      <c r="J529" t="str">
        <f t="shared" si="42"/>
        <v>19225</v>
      </c>
      <c r="K529" t="str">
        <f t="shared" si="41"/>
        <v>1922599</v>
      </c>
      <c r="L529">
        <v>0</v>
      </c>
    </row>
    <row r="530" spans="2:12" x14ac:dyDescent="0.25">
      <c r="C530" t="s">
        <v>2393</v>
      </c>
      <c r="D530" t="s">
        <v>1864</v>
      </c>
      <c r="E530" t="s">
        <v>1864</v>
      </c>
      <c r="F530" t="s">
        <v>426</v>
      </c>
      <c r="G530" t="str">
        <f t="shared" si="42"/>
        <v>C</v>
      </c>
      <c r="H530" t="str">
        <f t="shared" si="42"/>
        <v>19</v>
      </c>
      <c r="I530" t="str">
        <f t="shared" si="42"/>
        <v>193</v>
      </c>
      <c r="J530" t="str">
        <f t="shared" si="42"/>
        <v>19225</v>
      </c>
      <c r="K530" t="str">
        <f t="shared" si="41"/>
        <v/>
      </c>
    </row>
    <row r="531" spans="2:12" x14ac:dyDescent="0.25">
      <c r="C531" t="s">
        <v>1864</v>
      </c>
      <c r="D531" t="s">
        <v>2394</v>
      </c>
      <c r="E531" t="s">
        <v>1864</v>
      </c>
      <c r="F531" t="s">
        <v>427</v>
      </c>
      <c r="G531" t="str">
        <f t="shared" si="42"/>
        <v>C</v>
      </c>
      <c r="H531" t="str">
        <f t="shared" si="42"/>
        <v>19</v>
      </c>
      <c r="I531" t="str">
        <f t="shared" si="42"/>
        <v>193</v>
      </c>
      <c r="J531" t="str">
        <f t="shared" si="42"/>
        <v>19314</v>
      </c>
      <c r="K531" t="str">
        <f t="shared" si="41"/>
        <v/>
      </c>
    </row>
    <row r="532" spans="2:12" x14ac:dyDescent="0.25">
      <c r="C532" t="s">
        <v>1864</v>
      </c>
      <c r="D532" t="s">
        <v>1864</v>
      </c>
      <c r="E532" t="s">
        <v>2395</v>
      </c>
      <c r="F532" t="s">
        <v>427</v>
      </c>
      <c r="G532" t="str">
        <f t="shared" si="42"/>
        <v>C</v>
      </c>
      <c r="H532" t="str">
        <f t="shared" si="42"/>
        <v>19</v>
      </c>
      <c r="I532" t="str">
        <f t="shared" si="42"/>
        <v>193</v>
      </c>
      <c r="J532" t="str">
        <f t="shared" si="42"/>
        <v>19314</v>
      </c>
      <c r="K532" t="str">
        <f t="shared" si="41"/>
        <v>1931400</v>
      </c>
      <c r="L532">
        <v>0</v>
      </c>
    </row>
    <row r="533" spans="2:12" x14ac:dyDescent="0.25">
      <c r="C533" t="s">
        <v>1864</v>
      </c>
      <c r="D533" t="s">
        <v>2396</v>
      </c>
      <c r="E533" t="s">
        <v>1864</v>
      </c>
      <c r="F533" t="s">
        <v>428</v>
      </c>
      <c r="G533" t="str">
        <f t="shared" si="42"/>
        <v>C</v>
      </c>
      <c r="H533" t="str">
        <f t="shared" si="42"/>
        <v>19</v>
      </c>
      <c r="I533" t="str">
        <f t="shared" si="42"/>
        <v>193</v>
      </c>
      <c r="J533" t="str">
        <f t="shared" si="42"/>
        <v>19322</v>
      </c>
      <c r="K533" t="str">
        <f t="shared" si="41"/>
        <v/>
      </c>
    </row>
    <row r="534" spans="2:12" x14ac:dyDescent="0.25">
      <c r="C534" t="s">
        <v>1864</v>
      </c>
      <c r="D534" t="s">
        <v>1864</v>
      </c>
      <c r="E534" t="s">
        <v>2397</v>
      </c>
      <c r="F534" t="s">
        <v>428</v>
      </c>
      <c r="G534" t="str">
        <f t="shared" si="42"/>
        <v>C</v>
      </c>
      <c r="H534" t="str">
        <f t="shared" si="42"/>
        <v>19</v>
      </c>
      <c r="I534" t="str">
        <f t="shared" si="42"/>
        <v>193</v>
      </c>
      <c r="J534" t="str">
        <f t="shared" si="42"/>
        <v>19322</v>
      </c>
      <c r="K534" t="str">
        <f t="shared" si="41"/>
        <v>1932200</v>
      </c>
      <c r="L534">
        <v>0</v>
      </c>
    </row>
    <row r="535" spans="2:12" x14ac:dyDescent="0.25">
      <c r="B535" t="s">
        <v>2398</v>
      </c>
      <c r="C535" t="s">
        <v>1864</v>
      </c>
      <c r="D535" t="s">
        <v>1864</v>
      </c>
      <c r="E535" t="s">
        <v>1864</v>
      </c>
      <c r="F535" t="s">
        <v>429</v>
      </c>
      <c r="G535" t="str">
        <f t="shared" si="42"/>
        <v>C</v>
      </c>
      <c r="H535" t="str">
        <f t="shared" si="42"/>
        <v>20</v>
      </c>
      <c r="I535" t="str">
        <f t="shared" si="42"/>
        <v>193</v>
      </c>
      <c r="J535" t="str">
        <f t="shared" si="42"/>
        <v>19322</v>
      </c>
      <c r="K535" t="str">
        <f t="shared" si="41"/>
        <v/>
      </c>
    </row>
    <row r="536" spans="2:12" x14ac:dyDescent="0.25">
      <c r="C536" t="s">
        <v>2399</v>
      </c>
      <c r="D536" t="s">
        <v>1864</v>
      </c>
      <c r="E536" t="s">
        <v>1864</v>
      </c>
      <c r="F536" t="s">
        <v>430</v>
      </c>
      <c r="G536" t="str">
        <f t="shared" si="42"/>
        <v>C</v>
      </c>
      <c r="H536" t="str">
        <f t="shared" si="42"/>
        <v>20</v>
      </c>
      <c r="I536" t="str">
        <f t="shared" si="42"/>
        <v>201</v>
      </c>
      <c r="J536" t="str">
        <f t="shared" si="42"/>
        <v>19322</v>
      </c>
      <c r="K536" t="str">
        <f t="shared" si="41"/>
        <v/>
      </c>
    </row>
    <row r="537" spans="2:12" x14ac:dyDescent="0.25">
      <c r="C537" t="s">
        <v>1864</v>
      </c>
      <c r="D537" t="s">
        <v>2400</v>
      </c>
      <c r="E537" t="s">
        <v>1864</v>
      </c>
      <c r="F537" t="s">
        <v>431</v>
      </c>
      <c r="G537" t="str">
        <f t="shared" ref="G537:J552" si="43">IF(A537="",G536,A537)</f>
        <v>C</v>
      </c>
      <c r="H537" t="str">
        <f t="shared" si="43"/>
        <v>20</v>
      </c>
      <c r="I537" t="str">
        <f t="shared" si="43"/>
        <v>201</v>
      </c>
      <c r="J537" t="str">
        <f t="shared" si="43"/>
        <v>20118</v>
      </c>
      <c r="K537" t="str">
        <f t="shared" si="41"/>
        <v/>
      </c>
    </row>
    <row r="538" spans="2:12" x14ac:dyDescent="0.25">
      <c r="C538" t="s">
        <v>1864</v>
      </c>
      <c r="D538" t="s">
        <v>1864</v>
      </c>
      <c r="E538" t="s">
        <v>2401</v>
      </c>
      <c r="F538" t="s">
        <v>431</v>
      </c>
      <c r="G538" t="str">
        <f t="shared" si="43"/>
        <v>C</v>
      </c>
      <c r="H538" t="str">
        <f t="shared" si="43"/>
        <v>20</v>
      </c>
      <c r="I538" t="str">
        <f t="shared" si="43"/>
        <v>201</v>
      </c>
      <c r="J538" t="str">
        <f t="shared" si="43"/>
        <v>20118</v>
      </c>
      <c r="K538" t="str">
        <f t="shared" si="41"/>
        <v>2011800</v>
      </c>
      <c r="L538">
        <v>1</v>
      </c>
    </row>
    <row r="539" spans="2:12" x14ac:dyDescent="0.25">
      <c r="C539" t="s">
        <v>1864</v>
      </c>
      <c r="D539" t="s">
        <v>2402</v>
      </c>
      <c r="E539" t="s">
        <v>1864</v>
      </c>
      <c r="F539" t="s">
        <v>432</v>
      </c>
      <c r="G539" t="str">
        <f t="shared" si="43"/>
        <v>C</v>
      </c>
      <c r="H539" t="str">
        <f t="shared" si="43"/>
        <v>20</v>
      </c>
      <c r="I539" t="str">
        <f t="shared" si="43"/>
        <v>201</v>
      </c>
      <c r="J539" t="str">
        <f t="shared" si="43"/>
        <v>20126</v>
      </c>
      <c r="K539" t="str">
        <f t="shared" si="41"/>
        <v/>
      </c>
    </row>
    <row r="540" spans="2:12" x14ac:dyDescent="0.25">
      <c r="C540" t="s">
        <v>1864</v>
      </c>
      <c r="D540" t="s">
        <v>1864</v>
      </c>
      <c r="E540" t="s">
        <v>2403</v>
      </c>
      <c r="F540" t="s">
        <v>432</v>
      </c>
      <c r="G540" t="str">
        <f t="shared" si="43"/>
        <v>C</v>
      </c>
      <c r="H540" t="str">
        <f t="shared" si="43"/>
        <v>20</v>
      </c>
      <c r="I540" t="str">
        <f t="shared" si="43"/>
        <v>201</v>
      </c>
      <c r="J540" t="str">
        <f t="shared" si="43"/>
        <v>20126</v>
      </c>
      <c r="K540" t="str">
        <f t="shared" si="41"/>
        <v>2012600</v>
      </c>
      <c r="L540">
        <v>1</v>
      </c>
    </row>
    <row r="541" spans="2:12" x14ac:dyDescent="0.25">
      <c r="C541" t="s">
        <v>1864</v>
      </c>
      <c r="D541" t="s">
        <v>2404</v>
      </c>
      <c r="E541" t="s">
        <v>1864</v>
      </c>
      <c r="F541" t="s">
        <v>433</v>
      </c>
      <c r="G541" t="str">
        <f t="shared" si="43"/>
        <v>C</v>
      </c>
      <c r="H541" t="str">
        <f t="shared" si="43"/>
        <v>20</v>
      </c>
      <c r="I541" t="str">
        <f t="shared" si="43"/>
        <v>201</v>
      </c>
      <c r="J541" t="str">
        <f t="shared" si="43"/>
        <v>20134</v>
      </c>
      <c r="K541" t="str">
        <f t="shared" si="41"/>
        <v/>
      </c>
    </row>
    <row r="542" spans="2:12" x14ac:dyDescent="0.25">
      <c r="C542" t="s">
        <v>1864</v>
      </c>
      <c r="D542" t="s">
        <v>1864</v>
      </c>
      <c r="E542" t="s">
        <v>2405</v>
      </c>
      <c r="F542" t="s">
        <v>434</v>
      </c>
      <c r="G542" t="str">
        <f t="shared" si="43"/>
        <v>C</v>
      </c>
      <c r="H542" t="str">
        <f t="shared" si="43"/>
        <v>20</v>
      </c>
      <c r="I542" t="str">
        <f t="shared" si="43"/>
        <v>201</v>
      </c>
      <c r="J542" t="str">
        <f t="shared" si="43"/>
        <v>20134</v>
      </c>
      <c r="K542" t="str">
        <f t="shared" si="41"/>
        <v>2013401</v>
      </c>
      <c r="L542">
        <v>1</v>
      </c>
    </row>
    <row r="543" spans="2:12" x14ac:dyDescent="0.25">
      <c r="C543" t="s">
        <v>1864</v>
      </c>
      <c r="D543" t="s">
        <v>1864</v>
      </c>
      <c r="E543" t="s">
        <v>2406</v>
      </c>
      <c r="F543" t="s">
        <v>435</v>
      </c>
      <c r="G543" t="str">
        <f t="shared" si="43"/>
        <v>C</v>
      </c>
      <c r="H543" t="str">
        <f t="shared" si="43"/>
        <v>20</v>
      </c>
      <c r="I543" t="str">
        <f t="shared" si="43"/>
        <v>201</v>
      </c>
      <c r="J543" t="str">
        <f t="shared" si="43"/>
        <v>20134</v>
      </c>
      <c r="K543" t="str">
        <f t="shared" si="41"/>
        <v>2013402</v>
      </c>
      <c r="L543">
        <v>1</v>
      </c>
    </row>
    <row r="544" spans="2:12" x14ac:dyDescent="0.25">
      <c r="C544" t="s">
        <v>1864</v>
      </c>
      <c r="D544" t="s">
        <v>2407</v>
      </c>
      <c r="E544" t="s">
        <v>1864</v>
      </c>
      <c r="F544" t="s">
        <v>436</v>
      </c>
      <c r="G544" t="str">
        <f t="shared" si="43"/>
        <v>C</v>
      </c>
      <c r="H544" t="str">
        <f t="shared" si="43"/>
        <v>20</v>
      </c>
      <c r="I544" t="str">
        <f t="shared" si="43"/>
        <v>201</v>
      </c>
      <c r="J544" t="str">
        <f t="shared" si="43"/>
        <v>20142</v>
      </c>
      <c r="K544" t="str">
        <f t="shared" si="41"/>
        <v/>
      </c>
    </row>
    <row r="545" spans="3:12" x14ac:dyDescent="0.25">
      <c r="C545" t="s">
        <v>1864</v>
      </c>
      <c r="D545" t="s">
        <v>1864</v>
      </c>
      <c r="E545" t="s">
        <v>2408</v>
      </c>
      <c r="F545" t="s">
        <v>436</v>
      </c>
      <c r="G545" t="str">
        <f t="shared" si="43"/>
        <v>C</v>
      </c>
      <c r="H545" t="str">
        <f t="shared" si="43"/>
        <v>20</v>
      </c>
      <c r="I545" t="str">
        <f t="shared" si="43"/>
        <v>201</v>
      </c>
      <c r="J545" t="str">
        <f t="shared" si="43"/>
        <v>20142</v>
      </c>
      <c r="K545" t="str">
        <f t="shared" si="41"/>
        <v>2014200</v>
      </c>
      <c r="L545">
        <v>1</v>
      </c>
    </row>
    <row r="546" spans="3:12" x14ac:dyDescent="0.25">
      <c r="C546" t="s">
        <v>1864</v>
      </c>
      <c r="D546" t="s">
        <v>2409</v>
      </c>
      <c r="E546" t="s">
        <v>1864</v>
      </c>
      <c r="F546" t="s">
        <v>437</v>
      </c>
      <c r="G546" t="str">
        <f t="shared" si="43"/>
        <v>C</v>
      </c>
      <c r="H546" t="str">
        <f t="shared" si="43"/>
        <v>20</v>
      </c>
      <c r="I546" t="str">
        <f t="shared" si="43"/>
        <v>201</v>
      </c>
      <c r="J546" t="str">
        <f t="shared" si="43"/>
        <v>20193</v>
      </c>
      <c r="K546" t="str">
        <f t="shared" si="41"/>
        <v/>
      </c>
    </row>
    <row r="547" spans="3:12" x14ac:dyDescent="0.25">
      <c r="C547" t="s">
        <v>1864</v>
      </c>
      <c r="D547" t="s">
        <v>1864</v>
      </c>
      <c r="E547" t="s">
        <v>2410</v>
      </c>
      <c r="F547" t="s">
        <v>438</v>
      </c>
      <c r="G547" t="str">
        <f t="shared" si="43"/>
        <v>C</v>
      </c>
      <c r="H547" t="str">
        <f t="shared" si="43"/>
        <v>20</v>
      </c>
      <c r="I547" t="str">
        <f t="shared" si="43"/>
        <v>201</v>
      </c>
      <c r="J547" t="str">
        <f t="shared" si="43"/>
        <v>20193</v>
      </c>
      <c r="K547" t="str">
        <f t="shared" si="41"/>
        <v>2019301</v>
      </c>
      <c r="L547">
        <v>1</v>
      </c>
    </row>
    <row r="548" spans="3:12" x14ac:dyDescent="0.25">
      <c r="C548" t="s">
        <v>1864</v>
      </c>
      <c r="D548" t="s">
        <v>1864</v>
      </c>
      <c r="E548" t="s">
        <v>2411</v>
      </c>
      <c r="F548" t="s">
        <v>439</v>
      </c>
      <c r="G548" t="str">
        <f t="shared" si="43"/>
        <v>C</v>
      </c>
      <c r="H548" t="str">
        <f t="shared" si="43"/>
        <v>20</v>
      </c>
      <c r="I548" t="str">
        <f t="shared" si="43"/>
        <v>201</v>
      </c>
      <c r="J548" t="str">
        <f t="shared" si="43"/>
        <v>20193</v>
      </c>
      <c r="K548" t="str">
        <f t="shared" si="41"/>
        <v>2019399</v>
      </c>
      <c r="L548">
        <v>1</v>
      </c>
    </row>
    <row r="549" spans="3:12" x14ac:dyDescent="0.25">
      <c r="C549" t="s">
        <v>2412</v>
      </c>
      <c r="D549" t="s">
        <v>1864</v>
      </c>
      <c r="E549" t="s">
        <v>1864</v>
      </c>
      <c r="F549" t="s">
        <v>440</v>
      </c>
      <c r="G549" t="str">
        <f t="shared" si="43"/>
        <v>C</v>
      </c>
      <c r="H549" t="str">
        <f t="shared" si="43"/>
        <v>20</v>
      </c>
      <c r="I549" t="str">
        <f t="shared" si="43"/>
        <v>202</v>
      </c>
      <c r="J549" t="str">
        <f t="shared" si="43"/>
        <v>20193</v>
      </c>
      <c r="K549" t="str">
        <f t="shared" si="41"/>
        <v/>
      </c>
    </row>
    <row r="550" spans="3:12" x14ac:dyDescent="0.25">
      <c r="C550" t="s">
        <v>1864</v>
      </c>
      <c r="D550" t="s">
        <v>2413</v>
      </c>
      <c r="E550" t="s">
        <v>1864</v>
      </c>
      <c r="F550" t="s">
        <v>441</v>
      </c>
      <c r="G550" t="str">
        <f t="shared" si="43"/>
        <v>C</v>
      </c>
      <c r="H550" t="str">
        <f t="shared" si="43"/>
        <v>20</v>
      </c>
      <c r="I550" t="str">
        <f t="shared" si="43"/>
        <v>202</v>
      </c>
      <c r="J550" t="str">
        <f t="shared" si="43"/>
        <v>20215</v>
      </c>
      <c r="K550" t="str">
        <f t="shared" si="41"/>
        <v/>
      </c>
    </row>
    <row r="551" spans="3:12" x14ac:dyDescent="0.25">
      <c r="C551" t="s">
        <v>1864</v>
      </c>
      <c r="D551" t="s">
        <v>1864</v>
      </c>
      <c r="E551" t="s">
        <v>2414</v>
      </c>
      <c r="F551" t="s">
        <v>441</v>
      </c>
      <c r="G551" t="str">
        <f t="shared" si="43"/>
        <v>C</v>
      </c>
      <c r="H551" t="str">
        <f t="shared" si="43"/>
        <v>20</v>
      </c>
      <c r="I551" t="str">
        <f t="shared" si="43"/>
        <v>202</v>
      </c>
      <c r="J551" t="str">
        <f t="shared" si="43"/>
        <v>20215</v>
      </c>
      <c r="K551" t="str">
        <f t="shared" si="41"/>
        <v>2021500</v>
      </c>
      <c r="L551">
        <v>1</v>
      </c>
    </row>
    <row r="552" spans="3:12" x14ac:dyDescent="0.25">
      <c r="C552" t="s">
        <v>1864</v>
      </c>
      <c r="D552" t="s">
        <v>2415</v>
      </c>
      <c r="E552" t="s">
        <v>1864</v>
      </c>
      <c r="F552" t="s">
        <v>442</v>
      </c>
      <c r="G552" t="str">
        <f t="shared" si="43"/>
        <v>C</v>
      </c>
      <c r="H552" t="str">
        <f t="shared" si="43"/>
        <v>20</v>
      </c>
      <c r="I552" t="str">
        <f t="shared" si="43"/>
        <v>202</v>
      </c>
      <c r="J552" t="str">
        <f t="shared" si="43"/>
        <v>20223</v>
      </c>
      <c r="K552" t="str">
        <f t="shared" si="41"/>
        <v/>
      </c>
    </row>
    <row r="553" spans="3:12" x14ac:dyDescent="0.25">
      <c r="C553" t="s">
        <v>1864</v>
      </c>
      <c r="D553" t="s">
        <v>1864</v>
      </c>
      <c r="E553" t="s">
        <v>2416</v>
      </c>
      <c r="F553" t="s">
        <v>442</v>
      </c>
      <c r="G553" t="str">
        <f t="shared" ref="G553:J568" si="44">IF(A553="",G552,A553)</f>
        <v>C</v>
      </c>
      <c r="H553" t="str">
        <f t="shared" si="44"/>
        <v>20</v>
      </c>
      <c r="I553" t="str">
        <f t="shared" si="44"/>
        <v>202</v>
      </c>
      <c r="J553" t="str">
        <f t="shared" si="44"/>
        <v>20223</v>
      </c>
      <c r="K553" t="str">
        <f t="shared" si="41"/>
        <v>2022300</v>
      </c>
      <c r="L553">
        <v>1</v>
      </c>
    </row>
    <row r="554" spans="3:12" x14ac:dyDescent="0.25">
      <c r="C554" t="s">
        <v>1864</v>
      </c>
      <c r="D554" t="s">
        <v>2417</v>
      </c>
      <c r="E554" t="s">
        <v>1864</v>
      </c>
      <c r="F554" t="s">
        <v>443</v>
      </c>
      <c r="G554" t="str">
        <f t="shared" si="44"/>
        <v>C</v>
      </c>
      <c r="H554" t="str">
        <f t="shared" si="44"/>
        <v>20</v>
      </c>
      <c r="I554" t="str">
        <f t="shared" si="44"/>
        <v>202</v>
      </c>
      <c r="J554" t="str">
        <f t="shared" si="44"/>
        <v>20291</v>
      </c>
      <c r="K554" t="str">
        <f t="shared" si="41"/>
        <v/>
      </c>
    </row>
    <row r="555" spans="3:12" x14ac:dyDescent="0.25">
      <c r="C555" t="s">
        <v>1864</v>
      </c>
      <c r="D555" t="s">
        <v>1864</v>
      </c>
      <c r="E555" t="s">
        <v>2418</v>
      </c>
      <c r="F555" t="s">
        <v>443</v>
      </c>
      <c r="G555" t="str">
        <f t="shared" si="44"/>
        <v>C</v>
      </c>
      <c r="H555" t="str">
        <f t="shared" si="44"/>
        <v>20</v>
      </c>
      <c r="I555" t="str">
        <f t="shared" si="44"/>
        <v>202</v>
      </c>
      <c r="J555" t="str">
        <f t="shared" si="44"/>
        <v>20291</v>
      </c>
      <c r="K555" t="str">
        <f t="shared" si="41"/>
        <v>2029100</v>
      </c>
      <c r="L555">
        <v>1</v>
      </c>
    </row>
    <row r="556" spans="3:12" x14ac:dyDescent="0.25">
      <c r="C556" t="s">
        <v>2419</v>
      </c>
      <c r="D556" t="s">
        <v>1864</v>
      </c>
      <c r="E556" t="s">
        <v>1864</v>
      </c>
      <c r="F556" t="s">
        <v>444</v>
      </c>
      <c r="G556" t="str">
        <f t="shared" si="44"/>
        <v>C</v>
      </c>
      <c r="H556" t="str">
        <f t="shared" si="44"/>
        <v>20</v>
      </c>
      <c r="I556" t="str">
        <f t="shared" si="44"/>
        <v>203</v>
      </c>
      <c r="J556" t="str">
        <f t="shared" si="44"/>
        <v>20291</v>
      </c>
      <c r="K556" t="str">
        <f t="shared" si="41"/>
        <v/>
      </c>
    </row>
    <row r="557" spans="3:12" x14ac:dyDescent="0.25">
      <c r="C557" t="s">
        <v>1864</v>
      </c>
      <c r="D557" t="s">
        <v>2420</v>
      </c>
      <c r="E557" t="s">
        <v>1864</v>
      </c>
      <c r="F557" t="s">
        <v>445</v>
      </c>
      <c r="G557" t="str">
        <f t="shared" si="44"/>
        <v>C</v>
      </c>
      <c r="H557" t="str">
        <f t="shared" si="44"/>
        <v>20</v>
      </c>
      <c r="I557" t="str">
        <f t="shared" si="44"/>
        <v>203</v>
      </c>
      <c r="J557" t="str">
        <f t="shared" si="44"/>
        <v>20312</v>
      </c>
      <c r="K557" t="str">
        <f t="shared" si="41"/>
        <v/>
      </c>
    </row>
    <row r="558" spans="3:12" x14ac:dyDescent="0.25">
      <c r="C558" t="s">
        <v>1864</v>
      </c>
      <c r="D558" t="s">
        <v>1864</v>
      </c>
      <c r="E558" t="s">
        <v>2421</v>
      </c>
      <c r="F558" t="s">
        <v>445</v>
      </c>
      <c r="G558" t="str">
        <f t="shared" si="44"/>
        <v>C</v>
      </c>
      <c r="H558" t="str">
        <f t="shared" si="44"/>
        <v>20</v>
      </c>
      <c r="I558" t="str">
        <f t="shared" si="44"/>
        <v>203</v>
      </c>
      <c r="J558" t="str">
        <f t="shared" si="44"/>
        <v>20312</v>
      </c>
      <c r="K558" t="str">
        <f t="shared" si="41"/>
        <v>2031200</v>
      </c>
      <c r="L558">
        <v>1</v>
      </c>
    </row>
    <row r="559" spans="3:12" x14ac:dyDescent="0.25">
      <c r="C559" t="s">
        <v>1864</v>
      </c>
      <c r="D559" t="s">
        <v>2422</v>
      </c>
      <c r="E559" t="s">
        <v>1864</v>
      </c>
      <c r="F559" t="s">
        <v>446</v>
      </c>
      <c r="G559" t="str">
        <f t="shared" si="44"/>
        <v>C</v>
      </c>
      <c r="H559" t="str">
        <f t="shared" si="44"/>
        <v>20</v>
      </c>
      <c r="I559" t="str">
        <f t="shared" si="44"/>
        <v>203</v>
      </c>
      <c r="J559" t="str">
        <f t="shared" si="44"/>
        <v>20321</v>
      </c>
      <c r="K559" t="str">
        <f t="shared" si="41"/>
        <v/>
      </c>
    </row>
    <row r="560" spans="3:12" x14ac:dyDescent="0.25">
      <c r="C560" t="s">
        <v>1864</v>
      </c>
      <c r="D560" t="s">
        <v>1864</v>
      </c>
      <c r="E560" t="s">
        <v>2423</v>
      </c>
      <c r="F560" t="s">
        <v>446</v>
      </c>
      <c r="G560" t="str">
        <f t="shared" si="44"/>
        <v>C</v>
      </c>
      <c r="H560" t="str">
        <f t="shared" si="44"/>
        <v>20</v>
      </c>
      <c r="I560" t="str">
        <f t="shared" si="44"/>
        <v>203</v>
      </c>
      <c r="J560" t="str">
        <f t="shared" si="44"/>
        <v>20321</v>
      </c>
      <c r="K560" t="str">
        <f t="shared" si="41"/>
        <v>2032100</v>
      </c>
      <c r="L560">
        <v>1</v>
      </c>
    </row>
    <row r="561" spans="3:12" x14ac:dyDescent="0.25">
      <c r="C561" t="s">
        <v>1864</v>
      </c>
      <c r="D561" t="s">
        <v>2424</v>
      </c>
      <c r="E561" t="s">
        <v>1864</v>
      </c>
      <c r="F561" t="s">
        <v>447</v>
      </c>
      <c r="G561" t="str">
        <f t="shared" si="44"/>
        <v>C</v>
      </c>
      <c r="H561" t="str">
        <f t="shared" si="44"/>
        <v>20</v>
      </c>
      <c r="I561" t="str">
        <f t="shared" si="44"/>
        <v>203</v>
      </c>
      <c r="J561" t="str">
        <f t="shared" si="44"/>
        <v>20339</v>
      </c>
      <c r="K561" t="str">
        <f t="shared" si="41"/>
        <v/>
      </c>
    </row>
    <row r="562" spans="3:12" x14ac:dyDescent="0.25">
      <c r="C562" t="s">
        <v>1864</v>
      </c>
      <c r="D562" t="s">
        <v>1864</v>
      </c>
      <c r="E562" t="s">
        <v>2425</v>
      </c>
      <c r="F562" t="s">
        <v>447</v>
      </c>
      <c r="G562" t="str">
        <f t="shared" si="44"/>
        <v>C</v>
      </c>
      <c r="H562" t="str">
        <f t="shared" si="44"/>
        <v>20</v>
      </c>
      <c r="I562" t="str">
        <f t="shared" si="44"/>
        <v>203</v>
      </c>
      <c r="J562" t="str">
        <f t="shared" si="44"/>
        <v>20339</v>
      </c>
      <c r="K562" t="str">
        <f t="shared" si="41"/>
        <v>2033900</v>
      </c>
      <c r="L562">
        <v>1</v>
      </c>
    </row>
    <row r="563" spans="3:12" x14ac:dyDescent="0.25">
      <c r="C563" t="s">
        <v>2426</v>
      </c>
      <c r="D563" t="s">
        <v>1864</v>
      </c>
      <c r="E563" t="s">
        <v>1864</v>
      </c>
      <c r="F563" t="s">
        <v>448</v>
      </c>
      <c r="G563" t="str">
        <f t="shared" si="44"/>
        <v>C</v>
      </c>
      <c r="H563" t="str">
        <f t="shared" si="44"/>
        <v>20</v>
      </c>
      <c r="I563" t="str">
        <f t="shared" si="44"/>
        <v>204</v>
      </c>
      <c r="J563" t="str">
        <f t="shared" si="44"/>
        <v>20339</v>
      </c>
      <c r="K563" t="str">
        <f t="shared" si="41"/>
        <v/>
      </c>
    </row>
    <row r="564" spans="3:12" x14ac:dyDescent="0.25">
      <c r="C564" t="s">
        <v>1864</v>
      </c>
      <c r="D564" t="s">
        <v>2427</v>
      </c>
      <c r="E564" t="s">
        <v>1864</v>
      </c>
      <c r="F564" t="s">
        <v>448</v>
      </c>
      <c r="G564" t="str">
        <f t="shared" si="44"/>
        <v>C</v>
      </c>
      <c r="H564" t="str">
        <f t="shared" si="44"/>
        <v>20</v>
      </c>
      <c r="I564" t="str">
        <f t="shared" si="44"/>
        <v>204</v>
      </c>
      <c r="J564" t="str">
        <f t="shared" si="44"/>
        <v>20401</v>
      </c>
      <c r="K564" t="str">
        <f t="shared" si="41"/>
        <v/>
      </c>
    </row>
    <row r="565" spans="3:12" x14ac:dyDescent="0.25">
      <c r="C565" t="s">
        <v>1864</v>
      </c>
      <c r="D565" t="s">
        <v>1864</v>
      </c>
      <c r="E565" t="s">
        <v>2428</v>
      </c>
      <c r="F565" t="s">
        <v>448</v>
      </c>
      <c r="G565" t="str">
        <f t="shared" si="44"/>
        <v>C</v>
      </c>
      <c r="H565" t="str">
        <f t="shared" si="44"/>
        <v>20</v>
      </c>
      <c r="I565" t="str">
        <f t="shared" si="44"/>
        <v>204</v>
      </c>
      <c r="J565" t="str">
        <f t="shared" si="44"/>
        <v>20401</v>
      </c>
      <c r="K565" t="str">
        <f t="shared" si="41"/>
        <v>2040100</v>
      </c>
      <c r="L565">
        <v>1</v>
      </c>
    </row>
    <row r="566" spans="3:12" x14ac:dyDescent="0.25">
      <c r="C566" t="s">
        <v>2429</v>
      </c>
      <c r="D566" t="s">
        <v>1864</v>
      </c>
      <c r="E566" t="s">
        <v>1864</v>
      </c>
      <c r="F566" t="s">
        <v>449</v>
      </c>
      <c r="G566" t="str">
        <f t="shared" si="44"/>
        <v>C</v>
      </c>
      <c r="H566" t="str">
        <f t="shared" si="44"/>
        <v>20</v>
      </c>
      <c r="I566" t="str">
        <f t="shared" si="44"/>
        <v>205</v>
      </c>
      <c r="J566" t="str">
        <f t="shared" si="44"/>
        <v>20401</v>
      </c>
      <c r="K566" t="str">
        <f t="shared" si="41"/>
        <v/>
      </c>
    </row>
    <row r="567" spans="3:12" x14ac:dyDescent="0.25">
      <c r="C567" t="s">
        <v>1864</v>
      </c>
      <c r="D567" t="s">
        <v>2430</v>
      </c>
      <c r="E567" t="s">
        <v>1864</v>
      </c>
      <c r="F567" t="s">
        <v>450</v>
      </c>
      <c r="G567" t="str">
        <f t="shared" si="44"/>
        <v>C</v>
      </c>
      <c r="H567" t="str">
        <f t="shared" si="44"/>
        <v>20</v>
      </c>
      <c r="I567" t="str">
        <f t="shared" si="44"/>
        <v>205</v>
      </c>
      <c r="J567" t="str">
        <f t="shared" si="44"/>
        <v>20517</v>
      </c>
      <c r="K567" t="str">
        <f t="shared" si="41"/>
        <v/>
      </c>
    </row>
    <row r="568" spans="3:12" x14ac:dyDescent="0.25">
      <c r="C568" t="s">
        <v>1864</v>
      </c>
      <c r="D568" t="s">
        <v>1864</v>
      </c>
      <c r="E568" t="s">
        <v>2431</v>
      </c>
      <c r="F568" t="s">
        <v>450</v>
      </c>
      <c r="G568" t="str">
        <f t="shared" si="44"/>
        <v>C</v>
      </c>
      <c r="H568" t="str">
        <f t="shared" si="44"/>
        <v>20</v>
      </c>
      <c r="I568" t="str">
        <f t="shared" si="44"/>
        <v>205</v>
      </c>
      <c r="J568" t="str">
        <f t="shared" si="44"/>
        <v>20517</v>
      </c>
      <c r="K568" t="str">
        <f t="shared" si="41"/>
        <v>2051700</v>
      </c>
      <c r="L568">
        <v>1</v>
      </c>
    </row>
    <row r="569" spans="3:12" x14ac:dyDescent="0.25">
      <c r="C569" t="s">
        <v>1864</v>
      </c>
      <c r="D569" t="s">
        <v>2432</v>
      </c>
      <c r="E569" t="s">
        <v>1864</v>
      </c>
      <c r="F569" t="s">
        <v>451</v>
      </c>
      <c r="G569" t="str">
        <f t="shared" ref="G569:J584" si="45">IF(A569="",G568,A569)</f>
        <v>C</v>
      </c>
      <c r="H569" t="str">
        <f t="shared" si="45"/>
        <v>20</v>
      </c>
      <c r="I569" t="str">
        <f t="shared" si="45"/>
        <v>205</v>
      </c>
      <c r="J569" t="str">
        <f t="shared" si="45"/>
        <v>20525</v>
      </c>
      <c r="K569" t="str">
        <f t="shared" si="41"/>
        <v/>
      </c>
    </row>
    <row r="570" spans="3:12" x14ac:dyDescent="0.25">
      <c r="C570" t="s">
        <v>1864</v>
      </c>
      <c r="D570" t="s">
        <v>1864</v>
      </c>
      <c r="E570" t="s">
        <v>2433</v>
      </c>
      <c r="F570" t="s">
        <v>451</v>
      </c>
      <c r="G570" t="str">
        <f t="shared" si="45"/>
        <v>C</v>
      </c>
      <c r="H570" t="str">
        <f t="shared" si="45"/>
        <v>20</v>
      </c>
      <c r="I570" t="str">
        <f t="shared" si="45"/>
        <v>205</v>
      </c>
      <c r="J570" t="str">
        <f t="shared" si="45"/>
        <v>20525</v>
      </c>
      <c r="K570" t="str">
        <f t="shared" si="41"/>
        <v>2052500</v>
      </c>
      <c r="L570">
        <v>1</v>
      </c>
    </row>
    <row r="571" spans="3:12" x14ac:dyDescent="0.25">
      <c r="C571" t="s">
        <v>2434</v>
      </c>
      <c r="D571" t="s">
        <v>1864</v>
      </c>
      <c r="E571" t="s">
        <v>1864</v>
      </c>
      <c r="F571" t="s">
        <v>452</v>
      </c>
      <c r="G571" t="str">
        <f t="shared" si="45"/>
        <v>C</v>
      </c>
      <c r="H571" t="str">
        <f t="shared" si="45"/>
        <v>20</v>
      </c>
      <c r="I571" t="str">
        <f t="shared" si="45"/>
        <v>206</v>
      </c>
      <c r="J571" t="str">
        <f t="shared" si="45"/>
        <v>20525</v>
      </c>
      <c r="K571" t="str">
        <f t="shared" si="41"/>
        <v/>
      </c>
    </row>
    <row r="572" spans="3:12" x14ac:dyDescent="0.25">
      <c r="C572" t="s">
        <v>1864</v>
      </c>
      <c r="D572" t="s">
        <v>2435</v>
      </c>
      <c r="E572" t="s">
        <v>1864</v>
      </c>
      <c r="F572" t="s">
        <v>453</v>
      </c>
      <c r="G572" t="str">
        <f t="shared" si="45"/>
        <v>C</v>
      </c>
      <c r="H572" t="str">
        <f t="shared" si="45"/>
        <v>20</v>
      </c>
      <c r="I572" t="str">
        <f t="shared" si="45"/>
        <v>206</v>
      </c>
      <c r="J572" t="str">
        <f t="shared" si="45"/>
        <v>20614</v>
      </c>
      <c r="K572" t="str">
        <f t="shared" si="41"/>
        <v/>
      </c>
    </row>
    <row r="573" spans="3:12" x14ac:dyDescent="0.25">
      <c r="C573" t="s">
        <v>1864</v>
      </c>
      <c r="D573" t="s">
        <v>1864</v>
      </c>
      <c r="E573" t="s">
        <v>2436</v>
      </c>
      <c r="F573" t="s">
        <v>453</v>
      </c>
      <c r="G573" t="str">
        <f t="shared" si="45"/>
        <v>C</v>
      </c>
      <c r="H573" t="str">
        <f t="shared" si="45"/>
        <v>20</v>
      </c>
      <c r="I573" t="str">
        <f t="shared" si="45"/>
        <v>206</v>
      </c>
      <c r="J573" t="str">
        <f t="shared" si="45"/>
        <v>20614</v>
      </c>
      <c r="K573" t="str">
        <f t="shared" si="41"/>
        <v>2061400</v>
      </c>
      <c r="L573">
        <v>1</v>
      </c>
    </row>
    <row r="574" spans="3:12" x14ac:dyDescent="0.25">
      <c r="C574" t="s">
        <v>1864</v>
      </c>
      <c r="D574" t="s">
        <v>2437</v>
      </c>
      <c r="E574" t="s">
        <v>1864</v>
      </c>
      <c r="F574" t="s">
        <v>454</v>
      </c>
      <c r="G574" t="str">
        <f t="shared" si="45"/>
        <v>C</v>
      </c>
      <c r="H574" t="str">
        <f t="shared" si="45"/>
        <v>20</v>
      </c>
      <c r="I574" t="str">
        <f t="shared" si="45"/>
        <v>206</v>
      </c>
      <c r="J574" t="str">
        <f t="shared" si="45"/>
        <v>20622</v>
      </c>
      <c r="K574" t="str">
        <f t="shared" si="41"/>
        <v/>
      </c>
    </row>
    <row r="575" spans="3:12" x14ac:dyDescent="0.25">
      <c r="C575" t="s">
        <v>1864</v>
      </c>
      <c r="D575" t="s">
        <v>1864</v>
      </c>
      <c r="E575" t="s">
        <v>2438</v>
      </c>
      <c r="F575" t="s">
        <v>454</v>
      </c>
      <c r="G575" t="str">
        <f t="shared" si="45"/>
        <v>C</v>
      </c>
      <c r="H575" t="str">
        <f t="shared" si="45"/>
        <v>20</v>
      </c>
      <c r="I575" t="str">
        <f t="shared" si="45"/>
        <v>206</v>
      </c>
      <c r="J575" t="str">
        <f t="shared" si="45"/>
        <v>20622</v>
      </c>
      <c r="K575" t="str">
        <f t="shared" si="41"/>
        <v>2062200</v>
      </c>
      <c r="L575">
        <v>1</v>
      </c>
    </row>
    <row r="576" spans="3:12" x14ac:dyDescent="0.25">
      <c r="C576" t="s">
        <v>1864</v>
      </c>
      <c r="D576" t="s">
        <v>2439</v>
      </c>
      <c r="E576" t="s">
        <v>1864</v>
      </c>
      <c r="F576" t="s">
        <v>455</v>
      </c>
      <c r="G576" t="str">
        <f t="shared" si="45"/>
        <v>C</v>
      </c>
      <c r="H576" t="str">
        <f t="shared" si="45"/>
        <v>20</v>
      </c>
      <c r="I576" t="str">
        <f t="shared" si="45"/>
        <v>206</v>
      </c>
      <c r="J576" t="str">
        <f t="shared" si="45"/>
        <v>20631</v>
      </c>
      <c r="K576" t="str">
        <f t="shared" si="41"/>
        <v/>
      </c>
    </row>
    <row r="577" spans="3:12" x14ac:dyDescent="0.25">
      <c r="C577" t="s">
        <v>1864</v>
      </c>
      <c r="D577" t="s">
        <v>1864</v>
      </c>
      <c r="E577" t="s">
        <v>2440</v>
      </c>
      <c r="F577" t="s">
        <v>455</v>
      </c>
      <c r="G577" t="str">
        <f t="shared" si="45"/>
        <v>C</v>
      </c>
      <c r="H577" t="str">
        <f t="shared" si="45"/>
        <v>20</v>
      </c>
      <c r="I577" t="str">
        <f t="shared" si="45"/>
        <v>206</v>
      </c>
      <c r="J577" t="str">
        <f t="shared" si="45"/>
        <v>20631</v>
      </c>
      <c r="K577" t="str">
        <f t="shared" si="41"/>
        <v>2063100</v>
      </c>
      <c r="L577">
        <v>1</v>
      </c>
    </row>
    <row r="578" spans="3:12" x14ac:dyDescent="0.25">
      <c r="C578" t="s">
        <v>2441</v>
      </c>
      <c r="D578" t="s">
        <v>1864</v>
      </c>
      <c r="E578" t="s">
        <v>1864</v>
      </c>
      <c r="F578" t="s">
        <v>456</v>
      </c>
      <c r="G578" t="str">
        <f t="shared" si="45"/>
        <v>C</v>
      </c>
      <c r="H578" t="str">
        <f t="shared" si="45"/>
        <v>20</v>
      </c>
      <c r="I578" t="str">
        <f t="shared" si="45"/>
        <v>207</v>
      </c>
      <c r="J578" t="str">
        <f t="shared" si="45"/>
        <v>20631</v>
      </c>
      <c r="K578" t="str">
        <f t="shared" si="41"/>
        <v/>
      </c>
    </row>
    <row r="579" spans="3:12" x14ac:dyDescent="0.25">
      <c r="C579" t="s">
        <v>1864</v>
      </c>
      <c r="D579" t="s">
        <v>2442</v>
      </c>
      <c r="E579" t="s">
        <v>1864</v>
      </c>
      <c r="F579" t="s">
        <v>457</v>
      </c>
      <c r="G579" t="str">
        <f t="shared" si="45"/>
        <v>C</v>
      </c>
      <c r="H579" t="str">
        <f t="shared" si="45"/>
        <v>20</v>
      </c>
      <c r="I579" t="str">
        <f t="shared" si="45"/>
        <v>207</v>
      </c>
      <c r="J579" t="str">
        <f t="shared" si="45"/>
        <v>20711</v>
      </c>
      <c r="K579" t="str">
        <f t="shared" si="41"/>
        <v/>
      </c>
    </row>
    <row r="580" spans="3:12" x14ac:dyDescent="0.25">
      <c r="C580" t="s">
        <v>1864</v>
      </c>
      <c r="D580" t="s">
        <v>1864</v>
      </c>
      <c r="E580" t="s">
        <v>2443</v>
      </c>
      <c r="F580" t="s">
        <v>457</v>
      </c>
      <c r="G580" t="str">
        <f t="shared" si="45"/>
        <v>C</v>
      </c>
      <c r="H580" t="str">
        <f t="shared" si="45"/>
        <v>20</v>
      </c>
      <c r="I580" t="str">
        <f t="shared" si="45"/>
        <v>207</v>
      </c>
      <c r="J580" t="str">
        <f t="shared" si="45"/>
        <v>20711</v>
      </c>
      <c r="K580" t="str">
        <f t="shared" si="41"/>
        <v>2071100</v>
      </c>
      <c r="L580">
        <v>1</v>
      </c>
    </row>
    <row r="581" spans="3:12" x14ac:dyDescent="0.25">
      <c r="C581" t="s">
        <v>1864</v>
      </c>
      <c r="D581" t="s">
        <v>2444</v>
      </c>
      <c r="E581" t="s">
        <v>1864</v>
      </c>
      <c r="F581" t="s">
        <v>458</v>
      </c>
      <c r="G581" t="str">
        <f t="shared" si="45"/>
        <v>C</v>
      </c>
      <c r="H581" t="str">
        <f t="shared" si="45"/>
        <v>20</v>
      </c>
      <c r="I581" t="str">
        <f t="shared" si="45"/>
        <v>207</v>
      </c>
      <c r="J581" t="str">
        <f t="shared" si="45"/>
        <v>20720</v>
      </c>
      <c r="K581" t="str">
        <f t="shared" si="41"/>
        <v/>
      </c>
    </row>
    <row r="582" spans="3:12" x14ac:dyDescent="0.25">
      <c r="C582" t="s">
        <v>1864</v>
      </c>
      <c r="D582" t="s">
        <v>1864</v>
      </c>
      <c r="E582" t="s">
        <v>2445</v>
      </c>
      <c r="F582" t="s">
        <v>458</v>
      </c>
      <c r="G582" t="str">
        <f t="shared" si="45"/>
        <v>C</v>
      </c>
      <c r="H582" t="str">
        <f t="shared" si="45"/>
        <v>20</v>
      </c>
      <c r="I582" t="str">
        <f t="shared" si="45"/>
        <v>207</v>
      </c>
      <c r="J582" t="str">
        <f t="shared" si="45"/>
        <v>20720</v>
      </c>
      <c r="K582" t="str">
        <f t="shared" si="41"/>
        <v>2072000</v>
      </c>
      <c r="L582">
        <v>1</v>
      </c>
    </row>
    <row r="583" spans="3:12" x14ac:dyDescent="0.25">
      <c r="C583" t="s">
        <v>1864</v>
      </c>
      <c r="D583" t="s">
        <v>2446</v>
      </c>
      <c r="E583" t="s">
        <v>1864</v>
      </c>
      <c r="F583" t="s">
        <v>459</v>
      </c>
      <c r="G583" t="str">
        <f t="shared" si="45"/>
        <v>C</v>
      </c>
      <c r="H583" t="str">
        <f t="shared" si="45"/>
        <v>20</v>
      </c>
      <c r="I583" t="str">
        <f t="shared" si="45"/>
        <v>207</v>
      </c>
      <c r="J583" t="str">
        <f t="shared" si="45"/>
        <v>20738</v>
      </c>
      <c r="K583" t="str">
        <f t="shared" si="41"/>
        <v/>
      </c>
    </row>
    <row r="584" spans="3:12" x14ac:dyDescent="0.25">
      <c r="C584" t="s">
        <v>1864</v>
      </c>
      <c r="D584" t="s">
        <v>1864</v>
      </c>
      <c r="E584" t="s">
        <v>2447</v>
      </c>
      <c r="F584" t="s">
        <v>459</v>
      </c>
      <c r="G584" t="str">
        <f t="shared" si="45"/>
        <v>C</v>
      </c>
      <c r="H584" t="str">
        <f t="shared" si="45"/>
        <v>20</v>
      </c>
      <c r="I584" t="str">
        <f t="shared" si="45"/>
        <v>207</v>
      </c>
      <c r="J584" t="str">
        <f t="shared" si="45"/>
        <v>20738</v>
      </c>
      <c r="K584" t="str">
        <f t="shared" ref="K584:K647" si="46">E584</f>
        <v>2073800</v>
      </c>
      <c r="L584">
        <v>1</v>
      </c>
    </row>
    <row r="585" spans="3:12" x14ac:dyDescent="0.25">
      <c r="C585" t="s">
        <v>2448</v>
      </c>
      <c r="D585" t="s">
        <v>1864</v>
      </c>
      <c r="E585" t="s">
        <v>1864</v>
      </c>
      <c r="F585" t="s">
        <v>460</v>
      </c>
      <c r="G585" t="str">
        <f t="shared" ref="G585:J600" si="47">IF(A585="",G584,A585)</f>
        <v>C</v>
      </c>
      <c r="H585" t="str">
        <f t="shared" si="47"/>
        <v>20</v>
      </c>
      <c r="I585" t="str">
        <f t="shared" si="47"/>
        <v>209</v>
      </c>
      <c r="J585" t="str">
        <f t="shared" si="47"/>
        <v>20738</v>
      </c>
      <c r="K585" t="str">
        <f t="shared" si="46"/>
        <v/>
      </c>
    </row>
    <row r="586" spans="3:12" x14ac:dyDescent="0.25">
      <c r="C586" t="s">
        <v>1864</v>
      </c>
      <c r="D586" t="s">
        <v>2449</v>
      </c>
      <c r="E586" t="s">
        <v>1864</v>
      </c>
      <c r="F586" t="s">
        <v>461</v>
      </c>
      <c r="G586" t="str">
        <f t="shared" si="47"/>
        <v>C</v>
      </c>
      <c r="H586" t="str">
        <f t="shared" si="47"/>
        <v>20</v>
      </c>
      <c r="I586" t="str">
        <f t="shared" si="47"/>
        <v>209</v>
      </c>
      <c r="J586" t="str">
        <f t="shared" si="47"/>
        <v>20916</v>
      </c>
      <c r="K586" t="str">
        <f t="shared" si="46"/>
        <v/>
      </c>
    </row>
    <row r="587" spans="3:12" x14ac:dyDescent="0.25">
      <c r="C587" t="s">
        <v>1864</v>
      </c>
      <c r="D587" t="s">
        <v>1864</v>
      </c>
      <c r="E587" t="s">
        <v>2450</v>
      </c>
      <c r="F587" t="s">
        <v>461</v>
      </c>
      <c r="G587" t="str">
        <f t="shared" si="47"/>
        <v>C</v>
      </c>
      <c r="H587" t="str">
        <f t="shared" si="47"/>
        <v>20</v>
      </c>
      <c r="I587" t="str">
        <f t="shared" si="47"/>
        <v>209</v>
      </c>
      <c r="J587" t="str">
        <f t="shared" si="47"/>
        <v>20916</v>
      </c>
      <c r="K587" t="str">
        <f t="shared" si="46"/>
        <v>2091600</v>
      </c>
      <c r="L587">
        <v>1</v>
      </c>
    </row>
    <row r="588" spans="3:12" x14ac:dyDescent="0.25">
      <c r="C588" t="s">
        <v>1864</v>
      </c>
      <c r="D588" t="s">
        <v>2451</v>
      </c>
      <c r="E588" t="s">
        <v>1864</v>
      </c>
      <c r="F588" t="s">
        <v>462</v>
      </c>
      <c r="G588" t="str">
        <f t="shared" si="47"/>
        <v>C</v>
      </c>
      <c r="H588" t="str">
        <f t="shared" si="47"/>
        <v>20</v>
      </c>
      <c r="I588" t="str">
        <f t="shared" si="47"/>
        <v>209</v>
      </c>
      <c r="J588" t="str">
        <f t="shared" si="47"/>
        <v>20924</v>
      </c>
      <c r="K588" t="str">
        <f t="shared" si="46"/>
        <v/>
      </c>
    </row>
    <row r="589" spans="3:12" x14ac:dyDescent="0.25">
      <c r="C589" t="s">
        <v>1864</v>
      </c>
      <c r="D589" t="s">
        <v>1864</v>
      </c>
      <c r="E589" t="s">
        <v>2452</v>
      </c>
      <c r="F589" t="s">
        <v>463</v>
      </c>
      <c r="G589" t="str">
        <f t="shared" si="47"/>
        <v>C</v>
      </c>
      <c r="H589" t="str">
        <f t="shared" si="47"/>
        <v>20</v>
      </c>
      <c r="I589" t="str">
        <f t="shared" si="47"/>
        <v>209</v>
      </c>
      <c r="J589" t="str">
        <f t="shared" si="47"/>
        <v>20924</v>
      </c>
      <c r="K589" t="str">
        <f t="shared" si="46"/>
        <v>2092401</v>
      </c>
      <c r="L589">
        <v>1</v>
      </c>
    </row>
    <row r="590" spans="3:12" x14ac:dyDescent="0.25">
      <c r="C590" t="s">
        <v>1864</v>
      </c>
      <c r="D590" t="s">
        <v>1864</v>
      </c>
      <c r="E590" t="s">
        <v>2453</v>
      </c>
      <c r="F590" t="s">
        <v>464</v>
      </c>
      <c r="G590" t="str">
        <f t="shared" si="47"/>
        <v>C</v>
      </c>
      <c r="H590" t="str">
        <f t="shared" si="47"/>
        <v>20</v>
      </c>
      <c r="I590" t="str">
        <f t="shared" si="47"/>
        <v>209</v>
      </c>
      <c r="J590" t="str">
        <f t="shared" si="47"/>
        <v>20924</v>
      </c>
      <c r="K590" t="str">
        <f t="shared" si="46"/>
        <v>2092402</v>
      </c>
      <c r="L590">
        <v>1</v>
      </c>
    </row>
    <row r="591" spans="3:12" x14ac:dyDescent="0.25">
      <c r="C591" t="s">
        <v>1864</v>
      </c>
      <c r="D591" t="s">
        <v>1864</v>
      </c>
      <c r="E591" t="s">
        <v>2454</v>
      </c>
      <c r="F591" t="s">
        <v>465</v>
      </c>
      <c r="G591" t="str">
        <f t="shared" si="47"/>
        <v>C</v>
      </c>
      <c r="H591" t="str">
        <f t="shared" si="47"/>
        <v>20</v>
      </c>
      <c r="I591" t="str">
        <f t="shared" si="47"/>
        <v>209</v>
      </c>
      <c r="J591" t="str">
        <f t="shared" si="47"/>
        <v>20924</v>
      </c>
      <c r="K591" t="str">
        <f t="shared" si="46"/>
        <v>2092403</v>
      </c>
      <c r="L591">
        <v>1</v>
      </c>
    </row>
    <row r="592" spans="3:12" x14ac:dyDescent="0.25">
      <c r="C592" t="s">
        <v>1864</v>
      </c>
      <c r="D592" t="s">
        <v>2455</v>
      </c>
      <c r="E592" t="s">
        <v>1864</v>
      </c>
      <c r="F592" t="s">
        <v>466</v>
      </c>
      <c r="G592" t="str">
        <f t="shared" si="47"/>
        <v>C</v>
      </c>
      <c r="H592" t="str">
        <f t="shared" si="47"/>
        <v>20</v>
      </c>
      <c r="I592" t="str">
        <f t="shared" si="47"/>
        <v>209</v>
      </c>
      <c r="J592" t="str">
        <f t="shared" si="47"/>
        <v>20932</v>
      </c>
      <c r="K592" t="str">
        <f t="shared" si="46"/>
        <v/>
      </c>
    </row>
    <row r="593" spans="2:12" x14ac:dyDescent="0.25">
      <c r="C593" t="s">
        <v>1864</v>
      </c>
      <c r="D593" t="s">
        <v>1864</v>
      </c>
      <c r="E593" t="s">
        <v>2456</v>
      </c>
      <c r="F593" t="s">
        <v>466</v>
      </c>
      <c r="G593" t="str">
        <f t="shared" si="47"/>
        <v>C</v>
      </c>
      <c r="H593" t="str">
        <f t="shared" si="47"/>
        <v>20</v>
      </c>
      <c r="I593" t="str">
        <f t="shared" si="47"/>
        <v>209</v>
      </c>
      <c r="J593" t="str">
        <f t="shared" si="47"/>
        <v>20932</v>
      </c>
      <c r="K593" t="str">
        <f t="shared" si="46"/>
        <v>2093200</v>
      </c>
      <c r="L593">
        <v>1</v>
      </c>
    </row>
    <row r="594" spans="2:12" x14ac:dyDescent="0.25">
      <c r="C594" t="s">
        <v>1864</v>
      </c>
      <c r="D594" t="s">
        <v>2457</v>
      </c>
      <c r="E594" t="s">
        <v>1864</v>
      </c>
      <c r="F594" t="s">
        <v>467</v>
      </c>
      <c r="G594" t="str">
        <f t="shared" si="47"/>
        <v>C</v>
      </c>
      <c r="H594" t="str">
        <f t="shared" si="47"/>
        <v>20</v>
      </c>
      <c r="I594" t="str">
        <f t="shared" si="47"/>
        <v>209</v>
      </c>
      <c r="J594" t="str">
        <f t="shared" si="47"/>
        <v>20941</v>
      </c>
      <c r="K594" t="str">
        <f t="shared" si="46"/>
        <v/>
      </c>
    </row>
    <row r="595" spans="2:12" x14ac:dyDescent="0.25">
      <c r="C595" t="s">
        <v>1864</v>
      </c>
      <c r="D595" t="s">
        <v>1864</v>
      </c>
      <c r="E595" t="s">
        <v>2458</v>
      </c>
      <c r="F595" t="s">
        <v>467</v>
      </c>
      <c r="G595" t="str">
        <f t="shared" si="47"/>
        <v>C</v>
      </c>
      <c r="H595" t="str">
        <f t="shared" si="47"/>
        <v>20</v>
      </c>
      <c r="I595" t="str">
        <f t="shared" si="47"/>
        <v>209</v>
      </c>
      <c r="J595" t="str">
        <f t="shared" si="47"/>
        <v>20941</v>
      </c>
      <c r="K595" t="str">
        <f t="shared" si="46"/>
        <v>2094100</v>
      </c>
      <c r="L595">
        <v>1</v>
      </c>
    </row>
    <row r="596" spans="2:12" x14ac:dyDescent="0.25">
      <c r="C596" t="s">
        <v>1864</v>
      </c>
      <c r="D596" t="s">
        <v>2459</v>
      </c>
      <c r="E596" t="s">
        <v>1864</v>
      </c>
      <c r="F596" t="s">
        <v>468</v>
      </c>
      <c r="G596" t="str">
        <f t="shared" si="47"/>
        <v>C</v>
      </c>
      <c r="H596" t="str">
        <f t="shared" si="47"/>
        <v>20</v>
      </c>
      <c r="I596" t="str">
        <f t="shared" si="47"/>
        <v>209</v>
      </c>
      <c r="J596" t="str">
        <f t="shared" si="47"/>
        <v>20991</v>
      </c>
      <c r="K596" t="str">
        <f t="shared" si="46"/>
        <v/>
      </c>
    </row>
    <row r="597" spans="2:12" x14ac:dyDescent="0.25">
      <c r="C597" t="s">
        <v>1864</v>
      </c>
      <c r="D597" t="s">
        <v>1864</v>
      </c>
      <c r="E597" t="s">
        <v>2460</v>
      </c>
      <c r="F597" t="s">
        <v>469</v>
      </c>
      <c r="G597" t="str">
        <f t="shared" si="47"/>
        <v>C</v>
      </c>
      <c r="H597" t="str">
        <f t="shared" si="47"/>
        <v>20</v>
      </c>
      <c r="I597" t="str">
        <f t="shared" si="47"/>
        <v>209</v>
      </c>
      <c r="J597" t="str">
        <f t="shared" si="47"/>
        <v>20991</v>
      </c>
      <c r="K597" t="str">
        <f t="shared" si="46"/>
        <v>2099101</v>
      </c>
      <c r="L597">
        <v>1</v>
      </c>
    </row>
    <row r="598" spans="2:12" x14ac:dyDescent="0.25">
      <c r="C598" t="s">
        <v>1864</v>
      </c>
      <c r="D598" t="s">
        <v>1864</v>
      </c>
      <c r="E598" t="s">
        <v>2461</v>
      </c>
      <c r="F598" t="s">
        <v>470</v>
      </c>
      <c r="G598" t="str">
        <f t="shared" si="47"/>
        <v>C</v>
      </c>
      <c r="H598" t="str">
        <f t="shared" si="47"/>
        <v>20</v>
      </c>
      <c r="I598" t="str">
        <f t="shared" si="47"/>
        <v>209</v>
      </c>
      <c r="J598" t="str">
        <f t="shared" si="47"/>
        <v>20991</v>
      </c>
      <c r="K598" t="str">
        <f t="shared" si="46"/>
        <v>2099199</v>
      </c>
      <c r="L598">
        <v>1</v>
      </c>
    </row>
    <row r="599" spans="2:12" x14ac:dyDescent="0.25">
      <c r="B599">
        <v>21</v>
      </c>
      <c r="C599" t="s">
        <v>1864</v>
      </c>
      <c r="D599" t="s">
        <v>1864</v>
      </c>
      <c r="E599" t="s">
        <v>1864</v>
      </c>
      <c r="F599" t="s">
        <v>471</v>
      </c>
      <c r="G599" t="str">
        <f t="shared" si="47"/>
        <v>C</v>
      </c>
      <c r="H599">
        <f t="shared" si="47"/>
        <v>21</v>
      </c>
      <c r="I599" t="str">
        <f t="shared" si="47"/>
        <v>209</v>
      </c>
      <c r="J599" t="str">
        <f t="shared" si="47"/>
        <v>20991</v>
      </c>
      <c r="K599" t="str">
        <f t="shared" si="46"/>
        <v/>
      </c>
    </row>
    <row r="600" spans="2:12" x14ac:dyDescent="0.25">
      <c r="C600" t="s">
        <v>2462</v>
      </c>
      <c r="D600" t="s">
        <v>1864</v>
      </c>
      <c r="E600" t="s">
        <v>1864</v>
      </c>
      <c r="F600" t="s">
        <v>472</v>
      </c>
      <c r="G600" t="str">
        <f t="shared" si="47"/>
        <v>C</v>
      </c>
      <c r="H600">
        <f t="shared" si="47"/>
        <v>21</v>
      </c>
      <c r="I600" t="str">
        <f t="shared" si="47"/>
        <v>211</v>
      </c>
      <c r="J600" t="str">
        <f t="shared" si="47"/>
        <v>20991</v>
      </c>
      <c r="K600" t="str">
        <f t="shared" si="46"/>
        <v/>
      </c>
    </row>
    <row r="601" spans="2:12" x14ac:dyDescent="0.25">
      <c r="C601" t="s">
        <v>1864</v>
      </c>
      <c r="D601" t="s">
        <v>2463</v>
      </c>
      <c r="E601" t="s">
        <v>1864</v>
      </c>
      <c r="F601" t="s">
        <v>472</v>
      </c>
      <c r="G601" t="str">
        <f t="shared" ref="G601:J616" si="48">IF(A601="",G600,A601)</f>
        <v>C</v>
      </c>
      <c r="H601">
        <f t="shared" si="48"/>
        <v>21</v>
      </c>
      <c r="I601" t="str">
        <f t="shared" si="48"/>
        <v>211</v>
      </c>
      <c r="J601" t="str">
        <f t="shared" si="48"/>
        <v>21106</v>
      </c>
      <c r="K601" t="str">
        <f t="shared" si="46"/>
        <v/>
      </c>
    </row>
    <row r="602" spans="2:12" x14ac:dyDescent="0.25">
      <c r="C602" t="s">
        <v>1864</v>
      </c>
      <c r="D602" t="s">
        <v>1864</v>
      </c>
      <c r="E602" t="s">
        <v>2464</v>
      </c>
      <c r="F602" t="s">
        <v>472</v>
      </c>
      <c r="G602" t="str">
        <f t="shared" si="48"/>
        <v>C</v>
      </c>
      <c r="H602">
        <f t="shared" si="48"/>
        <v>21</v>
      </c>
      <c r="I602" t="str">
        <f t="shared" si="48"/>
        <v>211</v>
      </c>
      <c r="J602" t="str">
        <f t="shared" si="48"/>
        <v>21106</v>
      </c>
      <c r="K602" t="str">
        <f t="shared" si="46"/>
        <v>2110600</v>
      </c>
      <c r="L602">
        <v>1</v>
      </c>
    </row>
    <row r="603" spans="2:12" x14ac:dyDescent="0.25">
      <c r="C603" t="s">
        <v>2465</v>
      </c>
      <c r="D603" t="s">
        <v>1864</v>
      </c>
      <c r="E603" t="s">
        <v>1864</v>
      </c>
      <c r="F603" t="s">
        <v>473</v>
      </c>
      <c r="G603" t="str">
        <f t="shared" si="48"/>
        <v>C</v>
      </c>
      <c r="H603">
        <f t="shared" si="48"/>
        <v>21</v>
      </c>
      <c r="I603" t="str">
        <f t="shared" si="48"/>
        <v>212</v>
      </c>
      <c r="J603" t="str">
        <f t="shared" si="48"/>
        <v>21106</v>
      </c>
      <c r="K603" t="str">
        <f t="shared" si="46"/>
        <v/>
      </c>
    </row>
    <row r="604" spans="2:12" x14ac:dyDescent="0.25">
      <c r="C604" t="s">
        <v>1864</v>
      </c>
      <c r="D604" t="s">
        <v>2466</v>
      </c>
      <c r="E604" t="s">
        <v>1864</v>
      </c>
      <c r="F604" t="s">
        <v>474</v>
      </c>
      <c r="G604" t="str">
        <f t="shared" si="48"/>
        <v>C</v>
      </c>
      <c r="H604">
        <f t="shared" si="48"/>
        <v>21</v>
      </c>
      <c r="I604" t="str">
        <f t="shared" si="48"/>
        <v>212</v>
      </c>
      <c r="J604" t="str">
        <f t="shared" si="48"/>
        <v>21211</v>
      </c>
      <c r="K604" t="str">
        <f t="shared" si="46"/>
        <v/>
      </c>
    </row>
    <row r="605" spans="2:12" x14ac:dyDescent="0.25">
      <c r="C605" t="s">
        <v>1864</v>
      </c>
      <c r="D605" t="s">
        <v>1864</v>
      </c>
      <c r="E605" t="s">
        <v>2467</v>
      </c>
      <c r="F605" t="s">
        <v>475</v>
      </c>
      <c r="G605" t="str">
        <f t="shared" si="48"/>
        <v>C</v>
      </c>
      <c r="H605">
        <f t="shared" si="48"/>
        <v>21</v>
      </c>
      <c r="I605" t="str">
        <f t="shared" si="48"/>
        <v>212</v>
      </c>
      <c r="J605" t="str">
        <f t="shared" si="48"/>
        <v>21211</v>
      </c>
      <c r="K605" t="str">
        <f t="shared" si="46"/>
        <v>2121101</v>
      </c>
      <c r="L605">
        <v>1</v>
      </c>
    </row>
    <row r="606" spans="2:12" x14ac:dyDescent="0.25">
      <c r="C606" t="s">
        <v>1864</v>
      </c>
      <c r="D606" t="s">
        <v>1864</v>
      </c>
      <c r="E606" t="s">
        <v>2468</v>
      </c>
      <c r="F606" t="s">
        <v>476</v>
      </c>
      <c r="G606" t="str">
        <f t="shared" si="48"/>
        <v>C</v>
      </c>
      <c r="H606">
        <f t="shared" si="48"/>
        <v>21</v>
      </c>
      <c r="I606" t="str">
        <f t="shared" si="48"/>
        <v>212</v>
      </c>
      <c r="J606" t="str">
        <f t="shared" si="48"/>
        <v>21211</v>
      </c>
      <c r="K606" t="str">
        <f t="shared" si="46"/>
        <v>2121102</v>
      </c>
      <c r="L606">
        <v>1</v>
      </c>
    </row>
    <row r="607" spans="2:12" x14ac:dyDescent="0.25">
      <c r="C607" t="s">
        <v>1864</v>
      </c>
      <c r="D607" t="s">
        <v>1864</v>
      </c>
      <c r="E607" t="s">
        <v>2469</v>
      </c>
      <c r="F607" t="s">
        <v>477</v>
      </c>
      <c r="G607" t="str">
        <f t="shared" si="48"/>
        <v>C</v>
      </c>
      <c r="H607">
        <f t="shared" si="48"/>
        <v>21</v>
      </c>
      <c r="I607" t="str">
        <f t="shared" si="48"/>
        <v>212</v>
      </c>
      <c r="J607" t="str">
        <f t="shared" si="48"/>
        <v>21211</v>
      </c>
      <c r="K607" t="str">
        <f t="shared" si="46"/>
        <v>2121103</v>
      </c>
      <c r="L607">
        <v>1</v>
      </c>
    </row>
    <row r="608" spans="2:12" x14ac:dyDescent="0.25">
      <c r="C608" t="s">
        <v>1864</v>
      </c>
      <c r="D608" t="s">
        <v>2470</v>
      </c>
      <c r="E608" t="s">
        <v>1864</v>
      </c>
      <c r="F608" t="s">
        <v>478</v>
      </c>
      <c r="G608" t="str">
        <f t="shared" si="48"/>
        <v>C</v>
      </c>
      <c r="H608">
        <f t="shared" si="48"/>
        <v>21</v>
      </c>
      <c r="I608" t="str">
        <f t="shared" si="48"/>
        <v>212</v>
      </c>
      <c r="J608" t="str">
        <f t="shared" si="48"/>
        <v>21220</v>
      </c>
      <c r="K608" t="str">
        <f t="shared" si="46"/>
        <v/>
      </c>
    </row>
    <row r="609" spans="2:12" x14ac:dyDescent="0.25">
      <c r="C609" t="s">
        <v>1864</v>
      </c>
      <c r="D609" t="s">
        <v>1864</v>
      </c>
      <c r="E609" t="s">
        <v>2471</v>
      </c>
      <c r="F609" t="s">
        <v>478</v>
      </c>
      <c r="G609" t="str">
        <f t="shared" si="48"/>
        <v>C</v>
      </c>
      <c r="H609">
        <f t="shared" si="48"/>
        <v>21</v>
      </c>
      <c r="I609" t="str">
        <f t="shared" si="48"/>
        <v>212</v>
      </c>
      <c r="J609" t="str">
        <f t="shared" si="48"/>
        <v>21220</v>
      </c>
      <c r="K609" t="str">
        <f t="shared" si="46"/>
        <v>2122000</v>
      </c>
      <c r="L609">
        <v>1</v>
      </c>
    </row>
    <row r="610" spans="2:12" x14ac:dyDescent="0.25">
      <c r="C610" t="s">
        <v>1864</v>
      </c>
      <c r="D610" t="s">
        <v>2472</v>
      </c>
      <c r="E610" t="s">
        <v>1864</v>
      </c>
      <c r="F610" t="s">
        <v>479</v>
      </c>
      <c r="G610" t="str">
        <f t="shared" si="48"/>
        <v>C</v>
      </c>
      <c r="H610">
        <f t="shared" si="48"/>
        <v>21</v>
      </c>
      <c r="I610" t="str">
        <f t="shared" si="48"/>
        <v>212</v>
      </c>
      <c r="J610" t="str">
        <f t="shared" si="48"/>
        <v>21238</v>
      </c>
      <c r="K610" t="str">
        <f t="shared" si="46"/>
        <v/>
      </c>
    </row>
    <row r="611" spans="2:12" x14ac:dyDescent="0.25">
      <c r="C611" t="s">
        <v>1864</v>
      </c>
      <c r="D611" t="s">
        <v>1864</v>
      </c>
      <c r="E611" t="s">
        <v>2473</v>
      </c>
      <c r="F611" t="s">
        <v>479</v>
      </c>
      <c r="G611" t="str">
        <f t="shared" si="48"/>
        <v>C</v>
      </c>
      <c r="H611">
        <f t="shared" si="48"/>
        <v>21</v>
      </c>
      <c r="I611" t="str">
        <f t="shared" si="48"/>
        <v>212</v>
      </c>
      <c r="J611" t="str">
        <f t="shared" si="48"/>
        <v>21238</v>
      </c>
      <c r="K611" t="str">
        <f t="shared" si="46"/>
        <v>2123800</v>
      </c>
      <c r="L611">
        <v>1</v>
      </c>
    </row>
    <row r="612" spans="2:12" x14ac:dyDescent="0.25">
      <c r="B612" t="s">
        <v>2474</v>
      </c>
      <c r="C612" t="s">
        <v>1864</v>
      </c>
      <c r="D612" t="s">
        <v>1864</v>
      </c>
      <c r="E612" t="s">
        <v>1864</v>
      </c>
      <c r="F612" t="s">
        <v>480</v>
      </c>
      <c r="G612" t="str">
        <f t="shared" si="48"/>
        <v>C</v>
      </c>
      <c r="H612" t="str">
        <f t="shared" si="48"/>
        <v>22</v>
      </c>
      <c r="I612" t="str">
        <f t="shared" si="48"/>
        <v>212</v>
      </c>
      <c r="J612" t="str">
        <f t="shared" si="48"/>
        <v>21238</v>
      </c>
      <c r="K612" t="str">
        <f t="shared" si="46"/>
        <v/>
      </c>
    </row>
    <row r="613" spans="2:12" x14ac:dyDescent="0.25">
      <c r="C613" t="s">
        <v>2475</v>
      </c>
      <c r="D613" t="s">
        <v>1864</v>
      </c>
      <c r="E613" t="s">
        <v>1864</v>
      </c>
      <c r="F613" t="s">
        <v>481</v>
      </c>
      <c r="G613" t="str">
        <f t="shared" si="48"/>
        <v>C</v>
      </c>
      <c r="H613" t="str">
        <f t="shared" si="48"/>
        <v>22</v>
      </c>
      <c r="I613" t="str">
        <f t="shared" si="48"/>
        <v>221</v>
      </c>
      <c r="J613" t="str">
        <f t="shared" si="48"/>
        <v>21238</v>
      </c>
      <c r="K613" t="str">
        <f t="shared" si="46"/>
        <v/>
      </c>
    </row>
    <row r="614" spans="2:12" x14ac:dyDescent="0.25">
      <c r="C614" t="s">
        <v>1864</v>
      </c>
      <c r="D614" t="s">
        <v>2476</v>
      </c>
      <c r="E614" t="s">
        <v>1864</v>
      </c>
      <c r="F614" t="s">
        <v>482</v>
      </c>
      <c r="G614" t="str">
        <f t="shared" si="48"/>
        <v>C</v>
      </c>
      <c r="H614" t="str">
        <f t="shared" si="48"/>
        <v>22</v>
      </c>
      <c r="I614" t="str">
        <f t="shared" si="48"/>
        <v>221</v>
      </c>
      <c r="J614" t="str">
        <f t="shared" si="48"/>
        <v>22111</v>
      </c>
      <c r="K614" t="str">
        <f t="shared" si="46"/>
        <v/>
      </c>
    </row>
    <row r="615" spans="2:12" x14ac:dyDescent="0.25">
      <c r="C615" t="s">
        <v>1864</v>
      </c>
      <c r="D615" t="s">
        <v>1864</v>
      </c>
      <c r="E615" t="s">
        <v>2477</v>
      </c>
      <c r="F615" t="s">
        <v>482</v>
      </c>
      <c r="G615" t="str">
        <f t="shared" si="48"/>
        <v>C</v>
      </c>
      <c r="H615" t="str">
        <f t="shared" si="48"/>
        <v>22</v>
      </c>
      <c r="I615" t="str">
        <f t="shared" si="48"/>
        <v>221</v>
      </c>
      <c r="J615" t="str">
        <f t="shared" si="48"/>
        <v>22111</v>
      </c>
      <c r="K615" t="str">
        <f t="shared" si="46"/>
        <v>2211100</v>
      </c>
      <c r="L615">
        <v>1</v>
      </c>
    </row>
    <row r="616" spans="2:12" x14ac:dyDescent="0.25">
      <c r="C616" t="s">
        <v>1864</v>
      </c>
      <c r="D616" t="s">
        <v>2478</v>
      </c>
      <c r="E616" t="s">
        <v>1864</v>
      </c>
      <c r="F616" t="s">
        <v>483</v>
      </c>
      <c r="G616" t="str">
        <f t="shared" si="48"/>
        <v>C</v>
      </c>
      <c r="H616" t="str">
        <f t="shared" si="48"/>
        <v>22</v>
      </c>
      <c r="I616" t="str">
        <f t="shared" si="48"/>
        <v>221</v>
      </c>
      <c r="J616" t="str">
        <f t="shared" si="48"/>
        <v>22129</v>
      </c>
      <c r="K616" t="str">
        <f t="shared" si="46"/>
        <v/>
      </c>
    </row>
    <row r="617" spans="2:12" x14ac:dyDescent="0.25">
      <c r="C617" t="s">
        <v>1864</v>
      </c>
      <c r="D617" t="s">
        <v>1864</v>
      </c>
      <c r="E617" t="s">
        <v>2479</v>
      </c>
      <c r="F617" t="s">
        <v>483</v>
      </c>
      <c r="G617" t="str">
        <f t="shared" ref="G617:J632" si="49">IF(A617="",G616,A617)</f>
        <v>C</v>
      </c>
      <c r="H617" t="str">
        <f t="shared" si="49"/>
        <v>22</v>
      </c>
      <c r="I617" t="str">
        <f t="shared" si="49"/>
        <v>221</v>
      </c>
      <c r="J617" t="str">
        <f t="shared" si="49"/>
        <v>22129</v>
      </c>
      <c r="K617" t="str">
        <f t="shared" si="46"/>
        <v>2212900</v>
      </c>
      <c r="L617">
        <v>1</v>
      </c>
    </row>
    <row r="618" spans="2:12" x14ac:dyDescent="0.25">
      <c r="C618" t="s">
        <v>1864</v>
      </c>
      <c r="D618" t="s">
        <v>2480</v>
      </c>
      <c r="E618" t="s">
        <v>1864</v>
      </c>
      <c r="F618" t="s">
        <v>484</v>
      </c>
      <c r="G618" t="str">
        <f t="shared" si="49"/>
        <v>C</v>
      </c>
      <c r="H618" t="str">
        <f t="shared" si="49"/>
        <v>22</v>
      </c>
      <c r="I618" t="str">
        <f t="shared" si="49"/>
        <v>221</v>
      </c>
      <c r="J618" t="str">
        <f t="shared" si="49"/>
        <v>22196</v>
      </c>
      <c r="K618" t="str">
        <f t="shared" si="46"/>
        <v/>
      </c>
    </row>
    <row r="619" spans="2:12" x14ac:dyDescent="0.25">
      <c r="C619" t="s">
        <v>1864</v>
      </c>
      <c r="D619" t="s">
        <v>1864</v>
      </c>
      <c r="E619" t="s">
        <v>2481</v>
      </c>
      <c r="F619" t="s">
        <v>485</v>
      </c>
      <c r="G619" t="str">
        <f t="shared" si="49"/>
        <v>C</v>
      </c>
      <c r="H619" t="str">
        <f t="shared" si="49"/>
        <v>22</v>
      </c>
      <c r="I619" t="str">
        <f t="shared" si="49"/>
        <v>221</v>
      </c>
      <c r="J619" t="str">
        <f t="shared" si="49"/>
        <v>22196</v>
      </c>
      <c r="K619" t="str">
        <f t="shared" si="46"/>
        <v>2219600</v>
      </c>
      <c r="L619">
        <v>1</v>
      </c>
    </row>
    <row r="620" spans="2:12" x14ac:dyDescent="0.25">
      <c r="C620" t="s">
        <v>2482</v>
      </c>
      <c r="D620" t="s">
        <v>1864</v>
      </c>
      <c r="E620" t="s">
        <v>1864</v>
      </c>
      <c r="F620" t="s">
        <v>486</v>
      </c>
      <c r="G620" t="str">
        <f t="shared" si="49"/>
        <v>C</v>
      </c>
      <c r="H620" t="str">
        <f t="shared" si="49"/>
        <v>22</v>
      </c>
      <c r="I620" t="str">
        <f t="shared" si="49"/>
        <v>222</v>
      </c>
      <c r="J620" t="str">
        <f t="shared" si="49"/>
        <v>22196</v>
      </c>
      <c r="K620" t="str">
        <f t="shared" si="46"/>
        <v/>
      </c>
    </row>
    <row r="621" spans="2:12" x14ac:dyDescent="0.25">
      <c r="C621" t="s">
        <v>1864</v>
      </c>
      <c r="D621" t="s">
        <v>2483</v>
      </c>
      <c r="E621" t="s">
        <v>1864</v>
      </c>
      <c r="F621" t="s">
        <v>487</v>
      </c>
      <c r="G621" t="str">
        <f t="shared" si="49"/>
        <v>C</v>
      </c>
      <c r="H621" t="str">
        <f t="shared" si="49"/>
        <v>22</v>
      </c>
      <c r="I621" t="str">
        <f t="shared" si="49"/>
        <v>222</v>
      </c>
      <c r="J621" t="str">
        <f t="shared" si="49"/>
        <v>22218</v>
      </c>
      <c r="K621" t="str">
        <f t="shared" si="46"/>
        <v/>
      </c>
    </row>
    <row r="622" spans="2:12" x14ac:dyDescent="0.25">
      <c r="C622" t="s">
        <v>1864</v>
      </c>
      <c r="D622" t="s">
        <v>1864</v>
      </c>
      <c r="E622" t="s">
        <v>2484</v>
      </c>
      <c r="F622" t="s">
        <v>487</v>
      </c>
      <c r="G622" t="str">
        <f t="shared" si="49"/>
        <v>C</v>
      </c>
      <c r="H622" t="str">
        <f t="shared" si="49"/>
        <v>22</v>
      </c>
      <c r="I622" t="str">
        <f t="shared" si="49"/>
        <v>222</v>
      </c>
      <c r="J622" t="str">
        <f t="shared" si="49"/>
        <v>22218</v>
      </c>
      <c r="K622" t="str">
        <f t="shared" si="46"/>
        <v>2221800</v>
      </c>
      <c r="L622">
        <v>1</v>
      </c>
    </row>
    <row r="623" spans="2:12" x14ac:dyDescent="0.25">
      <c r="C623" t="s">
        <v>1864</v>
      </c>
      <c r="D623" t="s">
        <v>2485</v>
      </c>
      <c r="E623" t="s">
        <v>1864</v>
      </c>
      <c r="F623" t="s">
        <v>488</v>
      </c>
      <c r="G623" t="str">
        <f t="shared" si="49"/>
        <v>C</v>
      </c>
      <c r="H623" t="str">
        <f t="shared" si="49"/>
        <v>22</v>
      </c>
      <c r="I623" t="str">
        <f t="shared" si="49"/>
        <v>222</v>
      </c>
      <c r="J623" t="str">
        <f t="shared" si="49"/>
        <v>22226</v>
      </c>
      <c r="K623" t="str">
        <f t="shared" si="46"/>
        <v/>
      </c>
    </row>
    <row r="624" spans="2:12" x14ac:dyDescent="0.25">
      <c r="C624" t="s">
        <v>1864</v>
      </c>
      <c r="D624" t="s">
        <v>1864</v>
      </c>
      <c r="E624" t="s">
        <v>2486</v>
      </c>
      <c r="F624" t="s">
        <v>488</v>
      </c>
      <c r="G624" t="str">
        <f t="shared" si="49"/>
        <v>C</v>
      </c>
      <c r="H624" t="str">
        <f t="shared" si="49"/>
        <v>22</v>
      </c>
      <c r="I624" t="str">
        <f t="shared" si="49"/>
        <v>222</v>
      </c>
      <c r="J624" t="str">
        <f t="shared" si="49"/>
        <v>22226</v>
      </c>
      <c r="K624" t="str">
        <f t="shared" si="46"/>
        <v>2222600</v>
      </c>
      <c r="L624">
        <v>1</v>
      </c>
    </row>
    <row r="625" spans="2:12" x14ac:dyDescent="0.25">
      <c r="C625" t="s">
        <v>1864</v>
      </c>
      <c r="D625" t="s">
        <v>2487</v>
      </c>
      <c r="E625" t="s">
        <v>1864</v>
      </c>
      <c r="F625" t="s">
        <v>489</v>
      </c>
      <c r="G625" t="str">
        <f t="shared" si="49"/>
        <v>C</v>
      </c>
      <c r="H625" t="str">
        <f t="shared" si="49"/>
        <v>22</v>
      </c>
      <c r="I625" t="str">
        <f t="shared" si="49"/>
        <v>222</v>
      </c>
      <c r="J625" t="str">
        <f t="shared" si="49"/>
        <v>22234</v>
      </c>
      <c r="K625" t="str">
        <f t="shared" si="46"/>
        <v/>
      </c>
    </row>
    <row r="626" spans="2:12" x14ac:dyDescent="0.25">
      <c r="C626" t="s">
        <v>1864</v>
      </c>
      <c r="D626" t="s">
        <v>1864</v>
      </c>
      <c r="E626" t="s">
        <v>2488</v>
      </c>
      <c r="F626" t="s">
        <v>489</v>
      </c>
      <c r="G626" t="str">
        <f t="shared" si="49"/>
        <v>C</v>
      </c>
      <c r="H626" t="str">
        <f t="shared" si="49"/>
        <v>22</v>
      </c>
      <c r="I626" t="str">
        <f t="shared" si="49"/>
        <v>222</v>
      </c>
      <c r="J626" t="str">
        <f t="shared" si="49"/>
        <v>22234</v>
      </c>
      <c r="K626" t="str">
        <f t="shared" si="46"/>
        <v>2223400</v>
      </c>
      <c r="L626">
        <v>1</v>
      </c>
    </row>
    <row r="627" spans="2:12" x14ac:dyDescent="0.25">
      <c r="C627" t="s">
        <v>1864</v>
      </c>
      <c r="D627" t="s">
        <v>2489</v>
      </c>
      <c r="E627" t="s">
        <v>1864</v>
      </c>
      <c r="F627" t="s">
        <v>490</v>
      </c>
      <c r="G627" t="str">
        <f t="shared" si="49"/>
        <v>C</v>
      </c>
      <c r="H627" t="str">
        <f t="shared" si="49"/>
        <v>22</v>
      </c>
      <c r="I627" t="str">
        <f t="shared" si="49"/>
        <v>222</v>
      </c>
      <c r="J627" t="str">
        <f t="shared" si="49"/>
        <v>22293</v>
      </c>
      <c r="K627" t="str">
        <f t="shared" si="46"/>
        <v/>
      </c>
    </row>
    <row r="628" spans="2:12" x14ac:dyDescent="0.25">
      <c r="C628" t="s">
        <v>1864</v>
      </c>
      <c r="D628" t="s">
        <v>1864</v>
      </c>
      <c r="E628" t="s">
        <v>2490</v>
      </c>
      <c r="F628" t="s">
        <v>491</v>
      </c>
      <c r="G628" t="str">
        <f t="shared" si="49"/>
        <v>C</v>
      </c>
      <c r="H628" t="str">
        <f t="shared" si="49"/>
        <v>22</v>
      </c>
      <c r="I628" t="str">
        <f t="shared" si="49"/>
        <v>222</v>
      </c>
      <c r="J628" t="str">
        <f t="shared" si="49"/>
        <v>22293</v>
      </c>
      <c r="K628" t="str">
        <f t="shared" si="46"/>
        <v>2229301</v>
      </c>
      <c r="L628">
        <v>1</v>
      </c>
    </row>
    <row r="629" spans="2:12" x14ac:dyDescent="0.25">
      <c r="C629" t="s">
        <v>1864</v>
      </c>
      <c r="D629" t="s">
        <v>1864</v>
      </c>
      <c r="E629" t="s">
        <v>2491</v>
      </c>
      <c r="F629" t="s">
        <v>492</v>
      </c>
      <c r="G629" t="str">
        <f t="shared" si="49"/>
        <v>C</v>
      </c>
      <c r="H629" t="str">
        <f t="shared" si="49"/>
        <v>22</v>
      </c>
      <c r="I629" t="str">
        <f t="shared" si="49"/>
        <v>222</v>
      </c>
      <c r="J629" t="str">
        <f t="shared" si="49"/>
        <v>22293</v>
      </c>
      <c r="K629" t="str">
        <f t="shared" si="46"/>
        <v>2229302</v>
      </c>
      <c r="L629">
        <v>1</v>
      </c>
    </row>
    <row r="630" spans="2:12" x14ac:dyDescent="0.25">
      <c r="C630" t="s">
        <v>1864</v>
      </c>
      <c r="D630" t="s">
        <v>1864</v>
      </c>
      <c r="E630" t="s">
        <v>2492</v>
      </c>
      <c r="F630" t="s">
        <v>493</v>
      </c>
      <c r="G630" t="str">
        <f t="shared" si="49"/>
        <v>C</v>
      </c>
      <c r="H630" t="str">
        <f t="shared" si="49"/>
        <v>22</v>
      </c>
      <c r="I630" t="str">
        <f t="shared" si="49"/>
        <v>222</v>
      </c>
      <c r="J630" t="str">
        <f t="shared" si="49"/>
        <v>22293</v>
      </c>
      <c r="K630" t="str">
        <f t="shared" si="46"/>
        <v>2229303</v>
      </c>
      <c r="L630">
        <v>1</v>
      </c>
    </row>
    <row r="631" spans="2:12" x14ac:dyDescent="0.25">
      <c r="C631" t="s">
        <v>1864</v>
      </c>
      <c r="D631" t="s">
        <v>1864</v>
      </c>
      <c r="E631" t="s">
        <v>2493</v>
      </c>
      <c r="F631" t="s">
        <v>494</v>
      </c>
      <c r="G631" t="str">
        <f t="shared" si="49"/>
        <v>C</v>
      </c>
      <c r="H631" t="str">
        <f t="shared" si="49"/>
        <v>22</v>
      </c>
      <c r="I631" t="str">
        <f t="shared" si="49"/>
        <v>222</v>
      </c>
      <c r="J631" t="str">
        <f t="shared" si="49"/>
        <v>22293</v>
      </c>
      <c r="K631" t="str">
        <f t="shared" si="46"/>
        <v>2229399</v>
      </c>
      <c r="L631">
        <v>1</v>
      </c>
    </row>
    <row r="632" spans="2:12" x14ac:dyDescent="0.25">
      <c r="B632">
        <v>23</v>
      </c>
      <c r="C632" t="s">
        <v>1864</v>
      </c>
      <c r="D632" t="s">
        <v>1864</v>
      </c>
      <c r="E632" t="s">
        <v>1864</v>
      </c>
      <c r="F632" s="1" t="s">
        <v>495</v>
      </c>
      <c r="G632" t="str">
        <f t="shared" si="49"/>
        <v>C</v>
      </c>
      <c r="H632">
        <f t="shared" si="49"/>
        <v>23</v>
      </c>
      <c r="I632" t="str">
        <f t="shared" si="49"/>
        <v>222</v>
      </c>
      <c r="J632" t="str">
        <f t="shared" si="49"/>
        <v>22293</v>
      </c>
      <c r="K632" t="str">
        <f t="shared" si="46"/>
        <v/>
      </c>
    </row>
    <row r="633" spans="2:12" x14ac:dyDescent="0.25">
      <c r="C633" t="s">
        <v>2494</v>
      </c>
      <c r="D633" t="s">
        <v>1864</v>
      </c>
      <c r="E633" t="s">
        <v>1864</v>
      </c>
      <c r="F633" s="1" t="s">
        <v>496</v>
      </c>
      <c r="G633" t="str">
        <f t="shared" ref="G633:J648" si="50">IF(A633="",G632,A633)</f>
        <v>C</v>
      </c>
      <c r="H633">
        <f t="shared" si="50"/>
        <v>23</v>
      </c>
      <c r="I633" t="str">
        <f t="shared" si="50"/>
        <v>231</v>
      </c>
      <c r="J633" t="str">
        <f t="shared" si="50"/>
        <v>22293</v>
      </c>
      <c r="K633" t="str">
        <f t="shared" si="46"/>
        <v/>
      </c>
    </row>
    <row r="634" spans="2:12" x14ac:dyDescent="0.25">
      <c r="C634" t="s">
        <v>1864</v>
      </c>
      <c r="D634" t="s">
        <v>2495</v>
      </c>
      <c r="E634" t="s">
        <v>1864</v>
      </c>
      <c r="F634" s="1" t="s">
        <v>497</v>
      </c>
      <c r="G634" t="str">
        <f t="shared" si="50"/>
        <v>C</v>
      </c>
      <c r="H634">
        <f t="shared" si="50"/>
        <v>23</v>
      </c>
      <c r="I634" t="str">
        <f t="shared" si="50"/>
        <v>231</v>
      </c>
      <c r="J634" t="str">
        <f t="shared" si="50"/>
        <v>23117</v>
      </c>
      <c r="K634" t="str">
        <f t="shared" si="46"/>
        <v/>
      </c>
    </row>
    <row r="635" spans="2:12" x14ac:dyDescent="0.25">
      <c r="C635" t="s">
        <v>1864</v>
      </c>
      <c r="D635" t="s">
        <v>1864</v>
      </c>
      <c r="E635" t="s">
        <v>2496</v>
      </c>
      <c r="F635" s="1" t="s">
        <v>497</v>
      </c>
      <c r="G635" t="str">
        <f t="shared" si="50"/>
        <v>C</v>
      </c>
      <c r="H635">
        <f t="shared" si="50"/>
        <v>23</v>
      </c>
      <c r="I635" t="str">
        <f t="shared" si="50"/>
        <v>231</v>
      </c>
      <c r="J635" t="str">
        <f t="shared" si="50"/>
        <v>23117</v>
      </c>
      <c r="K635" t="str">
        <f t="shared" si="46"/>
        <v>2311700</v>
      </c>
      <c r="L635">
        <v>0</v>
      </c>
    </row>
    <row r="636" spans="2:12" x14ac:dyDescent="0.25">
      <c r="C636" t="s">
        <v>1864</v>
      </c>
      <c r="D636" t="s">
        <v>2497</v>
      </c>
      <c r="E636" t="s">
        <v>1864</v>
      </c>
      <c r="F636" s="1" t="s">
        <v>498</v>
      </c>
      <c r="G636" t="str">
        <f t="shared" si="50"/>
        <v>C</v>
      </c>
      <c r="H636">
        <f t="shared" si="50"/>
        <v>23</v>
      </c>
      <c r="I636" t="str">
        <f t="shared" si="50"/>
        <v>231</v>
      </c>
      <c r="J636" t="str">
        <f t="shared" si="50"/>
        <v>23125</v>
      </c>
      <c r="K636" t="str">
        <f t="shared" si="46"/>
        <v/>
      </c>
    </row>
    <row r="637" spans="2:12" x14ac:dyDescent="0.25">
      <c r="C637" t="s">
        <v>1864</v>
      </c>
      <c r="D637" t="s">
        <v>1864</v>
      </c>
      <c r="E637" t="s">
        <v>2498</v>
      </c>
      <c r="F637" s="1" t="s">
        <v>498</v>
      </c>
      <c r="G637" t="str">
        <f t="shared" si="50"/>
        <v>C</v>
      </c>
      <c r="H637">
        <f t="shared" si="50"/>
        <v>23</v>
      </c>
      <c r="I637" t="str">
        <f t="shared" si="50"/>
        <v>231</v>
      </c>
      <c r="J637" t="str">
        <f t="shared" si="50"/>
        <v>23125</v>
      </c>
      <c r="K637" t="str">
        <f t="shared" si="46"/>
        <v>2312500</v>
      </c>
      <c r="L637">
        <v>0</v>
      </c>
    </row>
    <row r="638" spans="2:12" x14ac:dyDescent="0.25">
      <c r="C638" t="s">
        <v>1864</v>
      </c>
      <c r="D638" t="s">
        <v>2499</v>
      </c>
      <c r="E638" t="s">
        <v>1864</v>
      </c>
      <c r="F638" s="1" t="s">
        <v>499</v>
      </c>
      <c r="G638" t="str">
        <f t="shared" si="50"/>
        <v>C</v>
      </c>
      <c r="H638">
        <f t="shared" si="50"/>
        <v>23</v>
      </c>
      <c r="I638" t="str">
        <f t="shared" si="50"/>
        <v>231</v>
      </c>
      <c r="J638" t="str">
        <f t="shared" si="50"/>
        <v>23192</v>
      </c>
      <c r="K638" t="str">
        <f t="shared" si="46"/>
        <v/>
      </c>
    </row>
    <row r="639" spans="2:12" x14ac:dyDescent="0.25">
      <c r="C639" t="s">
        <v>1864</v>
      </c>
      <c r="D639" t="s">
        <v>1864</v>
      </c>
      <c r="E639" t="s">
        <v>2500</v>
      </c>
      <c r="F639" s="1" t="s">
        <v>499</v>
      </c>
      <c r="G639" t="str">
        <f t="shared" si="50"/>
        <v>C</v>
      </c>
      <c r="H639">
        <f t="shared" si="50"/>
        <v>23</v>
      </c>
      <c r="I639" t="str">
        <f t="shared" si="50"/>
        <v>231</v>
      </c>
      <c r="J639" t="str">
        <f t="shared" si="50"/>
        <v>23192</v>
      </c>
      <c r="K639" t="str">
        <f t="shared" si="46"/>
        <v>2319200</v>
      </c>
      <c r="L639">
        <v>0</v>
      </c>
    </row>
    <row r="640" spans="2:12" x14ac:dyDescent="0.25">
      <c r="C640" t="s">
        <v>2501</v>
      </c>
      <c r="D640" t="s">
        <v>1864</v>
      </c>
      <c r="E640" t="s">
        <v>1864</v>
      </c>
      <c r="F640" s="1" t="s">
        <v>500</v>
      </c>
      <c r="G640" t="str">
        <f t="shared" si="50"/>
        <v>C</v>
      </c>
      <c r="H640">
        <f t="shared" si="50"/>
        <v>23</v>
      </c>
      <c r="I640" t="str">
        <f t="shared" si="50"/>
        <v>232</v>
      </c>
      <c r="J640" t="str">
        <f t="shared" si="50"/>
        <v>23192</v>
      </c>
      <c r="K640" t="str">
        <f t="shared" si="46"/>
        <v/>
      </c>
    </row>
    <row r="641" spans="3:12" x14ac:dyDescent="0.25">
      <c r="C641" t="s">
        <v>1864</v>
      </c>
      <c r="D641" t="s">
        <v>2502</v>
      </c>
      <c r="E641" t="s">
        <v>1864</v>
      </c>
      <c r="F641" s="1" t="s">
        <v>500</v>
      </c>
      <c r="G641" t="str">
        <f t="shared" si="50"/>
        <v>C</v>
      </c>
      <c r="H641">
        <f t="shared" si="50"/>
        <v>23</v>
      </c>
      <c r="I641" t="str">
        <f t="shared" si="50"/>
        <v>232</v>
      </c>
      <c r="J641" t="str">
        <f t="shared" si="50"/>
        <v>23206</v>
      </c>
      <c r="K641" t="str">
        <f t="shared" si="46"/>
        <v/>
      </c>
    </row>
    <row r="642" spans="3:12" x14ac:dyDescent="0.25">
      <c r="C642" t="s">
        <v>1864</v>
      </c>
      <c r="D642" t="s">
        <v>1864</v>
      </c>
      <c r="E642" t="s">
        <v>2503</v>
      </c>
      <c r="F642" s="1" t="s">
        <v>500</v>
      </c>
      <c r="G642" t="str">
        <f t="shared" si="50"/>
        <v>C</v>
      </c>
      <c r="H642">
        <f t="shared" si="50"/>
        <v>23</v>
      </c>
      <c r="I642" t="str">
        <f t="shared" si="50"/>
        <v>232</v>
      </c>
      <c r="J642" t="str">
        <f t="shared" si="50"/>
        <v>23206</v>
      </c>
      <c r="K642" t="str">
        <f t="shared" si="46"/>
        <v>2320600</v>
      </c>
      <c r="L642">
        <v>0</v>
      </c>
    </row>
    <row r="643" spans="3:12" x14ac:dyDescent="0.25">
      <c r="C643" t="s">
        <v>2504</v>
      </c>
      <c r="D643" t="s">
        <v>1864</v>
      </c>
      <c r="E643" t="s">
        <v>1864</v>
      </c>
      <c r="F643" s="1" t="s">
        <v>501</v>
      </c>
      <c r="G643" t="str">
        <f t="shared" si="50"/>
        <v>C</v>
      </c>
      <c r="H643">
        <f t="shared" si="50"/>
        <v>23</v>
      </c>
      <c r="I643" t="str">
        <f t="shared" si="50"/>
        <v>233</v>
      </c>
      <c r="J643" t="str">
        <f t="shared" si="50"/>
        <v>23206</v>
      </c>
      <c r="K643" t="str">
        <f t="shared" si="46"/>
        <v/>
      </c>
    </row>
    <row r="644" spans="3:12" x14ac:dyDescent="0.25">
      <c r="C644" t="s">
        <v>1864</v>
      </c>
      <c r="D644" t="s">
        <v>2505</v>
      </c>
      <c r="E644" t="s">
        <v>1864</v>
      </c>
      <c r="F644" s="1" t="s">
        <v>501</v>
      </c>
      <c r="G644" t="str">
        <f t="shared" si="50"/>
        <v>C</v>
      </c>
      <c r="H644">
        <f t="shared" si="50"/>
        <v>23</v>
      </c>
      <c r="I644" t="str">
        <f t="shared" si="50"/>
        <v>233</v>
      </c>
      <c r="J644" t="str">
        <f t="shared" si="50"/>
        <v>23303</v>
      </c>
      <c r="K644" t="str">
        <f t="shared" si="46"/>
        <v/>
      </c>
    </row>
    <row r="645" spans="3:12" x14ac:dyDescent="0.25">
      <c r="C645" t="s">
        <v>1864</v>
      </c>
      <c r="D645" t="s">
        <v>1864</v>
      </c>
      <c r="E645" t="s">
        <v>2506</v>
      </c>
      <c r="F645" s="1" t="s">
        <v>502</v>
      </c>
      <c r="G645" t="str">
        <f t="shared" si="50"/>
        <v>C</v>
      </c>
      <c r="H645">
        <f t="shared" si="50"/>
        <v>23</v>
      </c>
      <c r="I645" t="str">
        <f t="shared" si="50"/>
        <v>233</v>
      </c>
      <c r="J645" t="str">
        <f t="shared" si="50"/>
        <v>23303</v>
      </c>
      <c r="K645" t="str">
        <f t="shared" si="46"/>
        <v>2330301</v>
      </c>
      <c r="L645">
        <v>0</v>
      </c>
    </row>
    <row r="646" spans="3:12" x14ac:dyDescent="0.25">
      <c r="C646" t="s">
        <v>1864</v>
      </c>
      <c r="D646" t="s">
        <v>1864</v>
      </c>
      <c r="E646" t="s">
        <v>2507</v>
      </c>
      <c r="F646" s="1" t="s">
        <v>503</v>
      </c>
      <c r="G646" t="str">
        <f t="shared" si="50"/>
        <v>C</v>
      </c>
      <c r="H646">
        <f t="shared" si="50"/>
        <v>23</v>
      </c>
      <c r="I646" t="str">
        <f t="shared" si="50"/>
        <v>233</v>
      </c>
      <c r="J646" t="str">
        <f t="shared" si="50"/>
        <v>23303</v>
      </c>
      <c r="K646" t="str">
        <f t="shared" si="46"/>
        <v>2330302</v>
      </c>
      <c r="L646">
        <v>0</v>
      </c>
    </row>
    <row r="647" spans="3:12" x14ac:dyDescent="0.25">
      <c r="C647" t="s">
        <v>1864</v>
      </c>
      <c r="D647" t="s">
        <v>1864</v>
      </c>
      <c r="E647" t="s">
        <v>2508</v>
      </c>
      <c r="F647" s="1" t="s">
        <v>504</v>
      </c>
      <c r="G647" t="str">
        <f t="shared" si="50"/>
        <v>C</v>
      </c>
      <c r="H647">
        <f t="shared" si="50"/>
        <v>23</v>
      </c>
      <c r="I647" t="str">
        <f t="shared" si="50"/>
        <v>233</v>
      </c>
      <c r="J647" t="str">
        <f t="shared" si="50"/>
        <v>23303</v>
      </c>
      <c r="K647" t="str">
        <f t="shared" si="46"/>
        <v>2330303</v>
      </c>
      <c r="L647">
        <v>0</v>
      </c>
    </row>
    <row r="648" spans="3:12" x14ac:dyDescent="0.25">
      <c r="C648" t="s">
        <v>1864</v>
      </c>
      <c r="D648" t="s">
        <v>1864</v>
      </c>
      <c r="E648" t="s">
        <v>2509</v>
      </c>
      <c r="F648" s="1" t="s">
        <v>505</v>
      </c>
      <c r="G648" t="str">
        <f t="shared" si="50"/>
        <v>C</v>
      </c>
      <c r="H648">
        <f t="shared" si="50"/>
        <v>23</v>
      </c>
      <c r="I648" t="str">
        <f t="shared" si="50"/>
        <v>233</v>
      </c>
      <c r="J648" t="str">
        <f t="shared" si="50"/>
        <v>23303</v>
      </c>
      <c r="K648" t="str">
        <f t="shared" ref="K648:K711" si="51">E648</f>
        <v>2330304</v>
      </c>
      <c r="L648">
        <v>0</v>
      </c>
    </row>
    <row r="649" spans="3:12" x14ac:dyDescent="0.25">
      <c r="C649" t="s">
        <v>1864</v>
      </c>
      <c r="D649" t="s">
        <v>1864</v>
      </c>
      <c r="E649" t="s">
        <v>2510</v>
      </c>
      <c r="F649" s="1" t="s">
        <v>506</v>
      </c>
      <c r="G649" t="str">
        <f t="shared" ref="G649:J664" si="52">IF(A649="",G648,A649)</f>
        <v>C</v>
      </c>
      <c r="H649">
        <f t="shared" si="52"/>
        <v>23</v>
      </c>
      <c r="I649" t="str">
        <f t="shared" si="52"/>
        <v>233</v>
      </c>
      <c r="J649" t="str">
        <f t="shared" si="52"/>
        <v>23303</v>
      </c>
      <c r="K649" t="str">
        <f t="shared" si="51"/>
        <v>2330305</v>
      </c>
      <c r="L649">
        <v>0</v>
      </c>
    </row>
    <row r="650" spans="3:12" x14ac:dyDescent="0.25">
      <c r="C650" t="s">
        <v>1864</v>
      </c>
      <c r="D650" t="s">
        <v>1864</v>
      </c>
      <c r="E650" t="s">
        <v>2511</v>
      </c>
      <c r="F650" s="1" t="s">
        <v>507</v>
      </c>
      <c r="G650" t="str">
        <f t="shared" si="52"/>
        <v>C</v>
      </c>
      <c r="H650">
        <f t="shared" si="52"/>
        <v>23</v>
      </c>
      <c r="I650" t="str">
        <f t="shared" si="52"/>
        <v>233</v>
      </c>
      <c r="J650" t="str">
        <f t="shared" si="52"/>
        <v>23303</v>
      </c>
      <c r="K650" t="str">
        <f t="shared" si="51"/>
        <v>2330399</v>
      </c>
      <c r="L650">
        <v>0</v>
      </c>
    </row>
    <row r="651" spans="3:12" x14ac:dyDescent="0.25">
      <c r="C651" t="s">
        <v>2512</v>
      </c>
      <c r="D651" t="s">
        <v>1864</v>
      </c>
      <c r="E651" t="s">
        <v>1864</v>
      </c>
      <c r="F651" s="1" t="s">
        <v>508</v>
      </c>
      <c r="G651" t="str">
        <f t="shared" si="52"/>
        <v>C</v>
      </c>
      <c r="H651">
        <f t="shared" si="52"/>
        <v>23</v>
      </c>
      <c r="I651" t="str">
        <f t="shared" si="52"/>
        <v>234</v>
      </c>
      <c r="J651" t="str">
        <f t="shared" si="52"/>
        <v>23303</v>
      </c>
      <c r="K651" t="str">
        <f t="shared" si="51"/>
        <v/>
      </c>
    </row>
    <row r="652" spans="3:12" x14ac:dyDescent="0.25">
      <c r="C652" t="s">
        <v>1864</v>
      </c>
      <c r="D652" t="s">
        <v>2513</v>
      </c>
      <c r="E652" t="s">
        <v>1864</v>
      </c>
      <c r="F652" s="1" t="s">
        <v>509</v>
      </c>
      <c r="G652" t="str">
        <f t="shared" si="52"/>
        <v>C</v>
      </c>
      <c r="H652">
        <f t="shared" si="52"/>
        <v>23</v>
      </c>
      <c r="I652" t="str">
        <f t="shared" si="52"/>
        <v>234</v>
      </c>
      <c r="J652" t="str">
        <f t="shared" si="52"/>
        <v>23419</v>
      </c>
      <c r="K652" t="str">
        <f t="shared" si="51"/>
        <v/>
      </c>
    </row>
    <row r="653" spans="3:12" x14ac:dyDescent="0.25">
      <c r="C653" t="s">
        <v>1864</v>
      </c>
      <c r="D653" t="s">
        <v>1864</v>
      </c>
      <c r="E653" t="s">
        <v>2514</v>
      </c>
      <c r="F653" s="1" t="s">
        <v>509</v>
      </c>
      <c r="G653" t="str">
        <f t="shared" si="52"/>
        <v>C</v>
      </c>
      <c r="H653">
        <f t="shared" si="52"/>
        <v>23</v>
      </c>
      <c r="I653" t="str">
        <f t="shared" si="52"/>
        <v>234</v>
      </c>
      <c r="J653" t="str">
        <f t="shared" si="52"/>
        <v>23419</v>
      </c>
      <c r="K653" t="str">
        <f t="shared" si="51"/>
        <v>2341900</v>
      </c>
      <c r="L653">
        <v>0</v>
      </c>
    </row>
    <row r="654" spans="3:12" x14ac:dyDescent="0.25">
      <c r="C654" t="s">
        <v>1864</v>
      </c>
      <c r="D654" t="s">
        <v>2515</v>
      </c>
      <c r="E654" t="s">
        <v>1864</v>
      </c>
      <c r="F654" s="1" t="s">
        <v>510</v>
      </c>
      <c r="G654" t="str">
        <f t="shared" si="52"/>
        <v>C</v>
      </c>
      <c r="H654">
        <f t="shared" si="52"/>
        <v>23</v>
      </c>
      <c r="I654" t="str">
        <f t="shared" si="52"/>
        <v>234</v>
      </c>
      <c r="J654" t="str">
        <f t="shared" si="52"/>
        <v>23427</v>
      </c>
      <c r="K654" t="str">
        <f t="shared" si="51"/>
        <v/>
      </c>
    </row>
    <row r="655" spans="3:12" x14ac:dyDescent="0.25">
      <c r="C655" t="s">
        <v>1864</v>
      </c>
      <c r="D655" t="s">
        <v>1864</v>
      </c>
      <c r="E655" t="s">
        <v>2516</v>
      </c>
      <c r="F655" s="1" t="s">
        <v>511</v>
      </c>
      <c r="G655" t="str">
        <f t="shared" si="52"/>
        <v>C</v>
      </c>
      <c r="H655">
        <f t="shared" si="52"/>
        <v>23</v>
      </c>
      <c r="I655" t="str">
        <f t="shared" si="52"/>
        <v>234</v>
      </c>
      <c r="J655" t="str">
        <f t="shared" si="52"/>
        <v>23427</v>
      </c>
      <c r="K655" t="str">
        <f t="shared" si="51"/>
        <v>2342701</v>
      </c>
      <c r="L655">
        <v>0</v>
      </c>
    </row>
    <row r="656" spans="3:12" x14ac:dyDescent="0.25">
      <c r="C656" t="s">
        <v>1864</v>
      </c>
      <c r="D656" t="s">
        <v>1864</v>
      </c>
      <c r="E656" t="s">
        <v>2517</v>
      </c>
      <c r="F656" s="1" t="s">
        <v>512</v>
      </c>
      <c r="G656" t="str">
        <f t="shared" si="52"/>
        <v>C</v>
      </c>
      <c r="H656">
        <f t="shared" si="52"/>
        <v>23</v>
      </c>
      <c r="I656" t="str">
        <f t="shared" si="52"/>
        <v>234</v>
      </c>
      <c r="J656" t="str">
        <f t="shared" si="52"/>
        <v>23427</v>
      </c>
      <c r="K656" t="str">
        <f t="shared" si="51"/>
        <v>2342702</v>
      </c>
      <c r="L656">
        <v>0</v>
      </c>
    </row>
    <row r="657" spans="2:12" x14ac:dyDescent="0.25">
      <c r="C657" t="s">
        <v>1864</v>
      </c>
      <c r="D657" t="s">
        <v>2518</v>
      </c>
      <c r="E657" t="s">
        <v>1864</v>
      </c>
      <c r="F657" s="1" t="s">
        <v>513</v>
      </c>
      <c r="G657" t="str">
        <f t="shared" si="52"/>
        <v>C</v>
      </c>
      <c r="H657">
        <f t="shared" si="52"/>
        <v>23</v>
      </c>
      <c r="I657" t="str">
        <f t="shared" si="52"/>
        <v>234</v>
      </c>
      <c r="J657" t="str">
        <f t="shared" si="52"/>
        <v>23494</v>
      </c>
      <c r="K657" t="str">
        <f t="shared" si="51"/>
        <v/>
      </c>
    </row>
    <row r="658" spans="2:12" x14ac:dyDescent="0.25">
      <c r="C658" t="s">
        <v>1864</v>
      </c>
      <c r="D658" t="s">
        <v>1864</v>
      </c>
      <c r="E658" t="s">
        <v>2519</v>
      </c>
      <c r="F658" s="1" t="s">
        <v>514</v>
      </c>
      <c r="G658" t="str">
        <f t="shared" si="52"/>
        <v>C</v>
      </c>
      <c r="H658">
        <f t="shared" si="52"/>
        <v>23</v>
      </c>
      <c r="I658" t="str">
        <f t="shared" si="52"/>
        <v>234</v>
      </c>
      <c r="J658" t="str">
        <f t="shared" si="52"/>
        <v>23494</v>
      </c>
      <c r="K658" t="str">
        <f t="shared" si="51"/>
        <v>2349401</v>
      </c>
      <c r="L658">
        <v>0</v>
      </c>
    </row>
    <row r="659" spans="2:12" x14ac:dyDescent="0.25">
      <c r="C659" t="s">
        <v>1864</v>
      </c>
      <c r="D659" t="s">
        <v>1864</v>
      </c>
      <c r="E659" t="s">
        <v>2520</v>
      </c>
      <c r="F659" s="1" t="s">
        <v>513</v>
      </c>
      <c r="G659" t="str">
        <f t="shared" si="52"/>
        <v>C</v>
      </c>
      <c r="H659">
        <f t="shared" si="52"/>
        <v>23</v>
      </c>
      <c r="I659" t="str">
        <f t="shared" si="52"/>
        <v>234</v>
      </c>
      <c r="J659" t="str">
        <f t="shared" si="52"/>
        <v>23494</v>
      </c>
      <c r="K659" t="str">
        <f t="shared" si="51"/>
        <v>2349499</v>
      </c>
      <c r="L659">
        <v>0</v>
      </c>
    </row>
    <row r="660" spans="2:12" x14ac:dyDescent="0.25">
      <c r="C660" t="s">
        <v>2521</v>
      </c>
      <c r="D660" t="s">
        <v>1864</v>
      </c>
      <c r="E660" t="s">
        <v>1864</v>
      </c>
      <c r="F660" s="1" t="s">
        <v>515</v>
      </c>
      <c r="G660" t="str">
        <f t="shared" si="52"/>
        <v>C</v>
      </c>
      <c r="H660">
        <f t="shared" si="52"/>
        <v>23</v>
      </c>
      <c r="I660" t="str">
        <f t="shared" si="52"/>
        <v>239</v>
      </c>
      <c r="J660" t="str">
        <f t="shared" si="52"/>
        <v>23494</v>
      </c>
      <c r="K660" t="str">
        <f t="shared" si="51"/>
        <v/>
      </c>
    </row>
    <row r="661" spans="2:12" x14ac:dyDescent="0.25">
      <c r="C661" t="s">
        <v>1864</v>
      </c>
      <c r="D661" t="s">
        <v>2522</v>
      </c>
      <c r="E661" t="s">
        <v>1864</v>
      </c>
      <c r="F661" s="1" t="s">
        <v>516</v>
      </c>
      <c r="G661" t="str">
        <f t="shared" si="52"/>
        <v>C</v>
      </c>
      <c r="H661">
        <f t="shared" si="52"/>
        <v>23</v>
      </c>
      <c r="I661" t="str">
        <f t="shared" si="52"/>
        <v>239</v>
      </c>
      <c r="J661" t="str">
        <f t="shared" si="52"/>
        <v>23915</v>
      </c>
      <c r="K661" t="str">
        <f t="shared" si="51"/>
        <v/>
      </c>
    </row>
    <row r="662" spans="2:12" x14ac:dyDescent="0.25">
      <c r="C662" t="s">
        <v>1864</v>
      </c>
      <c r="D662" t="s">
        <v>1864</v>
      </c>
      <c r="E662" t="s">
        <v>2523</v>
      </c>
      <c r="F662" s="1" t="s">
        <v>517</v>
      </c>
      <c r="G662" t="str">
        <f t="shared" si="52"/>
        <v>C</v>
      </c>
      <c r="H662">
        <f t="shared" si="52"/>
        <v>23</v>
      </c>
      <c r="I662" t="str">
        <f t="shared" si="52"/>
        <v>239</v>
      </c>
      <c r="J662" t="str">
        <f t="shared" si="52"/>
        <v>23915</v>
      </c>
      <c r="K662" t="str">
        <f t="shared" si="51"/>
        <v>2391501</v>
      </c>
      <c r="L662">
        <v>0</v>
      </c>
    </row>
    <row r="663" spans="2:12" x14ac:dyDescent="0.25">
      <c r="C663" t="s">
        <v>1864</v>
      </c>
      <c r="D663" t="s">
        <v>1864</v>
      </c>
      <c r="E663" t="s">
        <v>2524</v>
      </c>
      <c r="F663" s="1" t="s">
        <v>518</v>
      </c>
      <c r="G663" t="str">
        <f t="shared" si="52"/>
        <v>C</v>
      </c>
      <c r="H663">
        <f t="shared" si="52"/>
        <v>23</v>
      </c>
      <c r="I663" t="str">
        <f t="shared" si="52"/>
        <v>239</v>
      </c>
      <c r="J663" t="str">
        <f t="shared" si="52"/>
        <v>23915</v>
      </c>
      <c r="K663" t="str">
        <f t="shared" si="51"/>
        <v>2391502</v>
      </c>
      <c r="L663">
        <v>0</v>
      </c>
    </row>
    <row r="664" spans="2:12" x14ac:dyDescent="0.25">
      <c r="C664" t="s">
        <v>1864</v>
      </c>
      <c r="D664" t="s">
        <v>1864</v>
      </c>
      <c r="E664" t="s">
        <v>2525</v>
      </c>
      <c r="F664" s="1" t="s">
        <v>519</v>
      </c>
      <c r="G664" t="str">
        <f t="shared" si="52"/>
        <v>C</v>
      </c>
      <c r="H664">
        <f t="shared" si="52"/>
        <v>23</v>
      </c>
      <c r="I664" t="str">
        <f t="shared" si="52"/>
        <v>239</v>
      </c>
      <c r="J664" t="str">
        <f t="shared" si="52"/>
        <v>23915</v>
      </c>
      <c r="K664" t="str">
        <f t="shared" si="51"/>
        <v>2391503</v>
      </c>
      <c r="L664">
        <v>0</v>
      </c>
    </row>
    <row r="665" spans="2:12" x14ac:dyDescent="0.25">
      <c r="C665" t="s">
        <v>1864</v>
      </c>
      <c r="D665" t="s">
        <v>2526</v>
      </c>
      <c r="E665" t="s">
        <v>1864</v>
      </c>
      <c r="F665" s="1" t="s">
        <v>520</v>
      </c>
      <c r="G665" t="str">
        <f t="shared" ref="G665:J680" si="53">IF(A665="",G664,A665)</f>
        <v>C</v>
      </c>
      <c r="H665">
        <f t="shared" si="53"/>
        <v>23</v>
      </c>
      <c r="I665" t="str">
        <f t="shared" si="53"/>
        <v>239</v>
      </c>
      <c r="J665" t="str">
        <f t="shared" si="53"/>
        <v>23923</v>
      </c>
      <c r="K665" t="str">
        <f t="shared" si="51"/>
        <v/>
      </c>
    </row>
    <row r="666" spans="2:12" x14ac:dyDescent="0.25">
      <c r="C666" t="s">
        <v>1864</v>
      </c>
      <c r="D666" t="s">
        <v>1864</v>
      </c>
      <c r="E666" t="s">
        <v>2527</v>
      </c>
      <c r="F666" s="1" t="s">
        <v>520</v>
      </c>
      <c r="G666" t="str">
        <f t="shared" si="53"/>
        <v>C</v>
      </c>
      <c r="H666">
        <f t="shared" si="53"/>
        <v>23</v>
      </c>
      <c r="I666" t="str">
        <f t="shared" si="53"/>
        <v>239</v>
      </c>
      <c r="J666" t="str">
        <f t="shared" si="53"/>
        <v>23923</v>
      </c>
      <c r="K666" t="str">
        <f t="shared" si="51"/>
        <v>2392300</v>
      </c>
      <c r="L666">
        <v>0</v>
      </c>
    </row>
    <row r="667" spans="2:12" x14ac:dyDescent="0.25">
      <c r="C667" t="s">
        <v>1864</v>
      </c>
      <c r="D667" t="s">
        <v>2528</v>
      </c>
      <c r="E667" t="s">
        <v>1864</v>
      </c>
      <c r="F667" s="1" t="s">
        <v>521</v>
      </c>
      <c r="G667" t="str">
        <f t="shared" si="53"/>
        <v>C</v>
      </c>
      <c r="H667">
        <f t="shared" si="53"/>
        <v>23</v>
      </c>
      <c r="I667" t="str">
        <f t="shared" si="53"/>
        <v>239</v>
      </c>
      <c r="J667" t="str">
        <f t="shared" si="53"/>
        <v>23991</v>
      </c>
      <c r="K667" t="str">
        <f t="shared" si="51"/>
        <v/>
      </c>
    </row>
    <row r="668" spans="2:12" x14ac:dyDescent="0.25">
      <c r="C668" t="s">
        <v>1864</v>
      </c>
      <c r="D668" t="s">
        <v>1864</v>
      </c>
      <c r="E668" t="s">
        <v>2529</v>
      </c>
      <c r="F668" s="1" t="s">
        <v>522</v>
      </c>
      <c r="G668" t="str">
        <f t="shared" si="53"/>
        <v>C</v>
      </c>
      <c r="H668">
        <f t="shared" si="53"/>
        <v>23</v>
      </c>
      <c r="I668" t="str">
        <f t="shared" si="53"/>
        <v>239</v>
      </c>
      <c r="J668" t="str">
        <f t="shared" si="53"/>
        <v>23991</v>
      </c>
      <c r="K668" t="str">
        <f t="shared" si="51"/>
        <v>2399101</v>
      </c>
      <c r="L668">
        <v>0</v>
      </c>
    </row>
    <row r="669" spans="2:12" x14ac:dyDescent="0.25">
      <c r="C669" t="s">
        <v>1864</v>
      </c>
      <c r="D669" t="s">
        <v>1864</v>
      </c>
      <c r="E669" t="s">
        <v>2530</v>
      </c>
      <c r="F669" s="1" t="s">
        <v>523</v>
      </c>
      <c r="G669" t="str">
        <f t="shared" si="53"/>
        <v>C</v>
      </c>
      <c r="H669">
        <f t="shared" si="53"/>
        <v>23</v>
      </c>
      <c r="I669" t="str">
        <f t="shared" si="53"/>
        <v>239</v>
      </c>
      <c r="J669" t="str">
        <f t="shared" si="53"/>
        <v>23991</v>
      </c>
      <c r="K669" t="str">
        <f t="shared" si="51"/>
        <v>2399102</v>
      </c>
      <c r="L669">
        <v>0</v>
      </c>
    </row>
    <row r="670" spans="2:12" x14ac:dyDescent="0.25">
      <c r="C670" t="s">
        <v>1864</v>
      </c>
      <c r="D670" t="s">
        <v>1864</v>
      </c>
      <c r="E670" t="s">
        <v>2531</v>
      </c>
      <c r="F670" s="1" t="s">
        <v>524</v>
      </c>
      <c r="G670" t="str">
        <f t="shared" si="53"/>
        <v>C</v>
      </c>
      <c r="H670">
        <f t="shared" si="53"/>
        <v>23</v>
      </c>
      <c r="I670" t="str">
        <f t="shared" si="53"/>
        <v>239</v>
      </c>
      <c r="J670" t="str">
        <f t="shared" si="53"/>
        <v>23991</v>
      </c>
      <c r="K670" t="str">
        <f t="shared" si="51"/>
        <v>2399199</v>
      </c>
      <c r="L670">
        <v>0</v>
      </c>
    </row>
    <row r="671" spans="2:12" x14ac:dyDescent="0.25">
      <c r="B671" t="s">
        <v>2532</v>
      </c>
      <c r="C671" t="s">
        <v>1864</v>
      </c>
      <c r="D671" t="s">
        <v>1864</v>
      </c>
      <c r="E671" t="s">
        <v>1864</v>
      </c>
      <c r="F671" s="1" t="s">
        <v>525</v>
      </c>
      <c r="G671" t="str">
        <f t="shared" si="53"/>
        <v>C</v>
      </c>
      <c r="H671" t="str">
        <f t="shared" si="53"/>
        <v>24</v>
      </c>
      <c r="I671" t="str">
        <f t="shared" si="53"/>
        <v>239</v>
      </c>
      <c r="J671" t="str">
        <f t="shared" si="53"/>
        <v>23991</v>
      </c>
      <c r="K671" t="str">
        <f t="shared" si="51"/>
        <v/>
      </c>
    </row>
    <row r="672" spans="2:12" x14ac:dyDescent="0.25">
      <c r="C672" t="s">
        <v>2533</v>
      </c>
      <c r="D672" t="s">
        <v>1864</v>
      </c>
      <c r="E672" t="s">
        <v>1864</v>
      </c>
      <c r="F672" s="1" t="s">
        <v>526</v>
      </c>
      <c r="G672" t="str">
        <f t="shared" si="53"/>
        <v>C</v>
      </c>
      <c r="H672" t="str">
        <f t="shared" si="53"/>
        <v>24</v>
      </c>
      <c r="I672" t="str">
        <f t="shared" si="53"/>
        <v>241</v>
      </c>
      <c r="J672" t="str">
        <f t="shared" si="53"/>
        <v>23991</v>
      </c>
      <c r="K672" t="str">
        <f t="shared" si="51"/>
        <v/>
      </c>
    </row>
    <row r="673" spans="3:12" x14ac:dyDescent="0.25">
      <c r="C673" t="s">
        <v>1864</v>
      </c>
      <c r="D673" t="s">
        <v>2534</v>
      </c>
      <c r="E673" t="s">
        <v>1864</v>
      </c>
      <c r="F673" s="1" t="s">
        <v>527</v>
      </c>
      <c r="G673" t="str">
        <f t="shared" si="53"/>
        <v>C</v>
      </c>
      <c r="H673" t="str">
        <f t="shared" si="53"/>
        <v>24</v>
      </c>
      <c r="I673" t="str">
        <f t="shared" si="53"/>
        <v>241</v>
      </c>
      <c r="J673" t="str">
        <f t="shared" si="53"/>
        <v>24113</v>
      </c>
      <c r="K673" t="str">
        <f t="shared" si="51"/>
        <v/>
      </c>
    </row>
    <row r="674" spans="3:12" x14ac:dyDescent="0.25">
      <c r="C674" t="s">
        <v>1864</v>
      </c>
      <c r="D674" t="s">
        <v>1864</v>
      </c>
      <c r="E674" t="s">
        <v>2535</v>
      </c>
      <c r="F674" s="1" t="s">
        <v>527</v>
      </c>
      <c r="G674" t="str">
        <f t="shared" si="53"/>
        <v>C</v>
      </c>
      <c r="H674" t="str">
        <f t="shared" si="53"/>
        <v>24</v>
      </c>
      <c r="I674" t="str">
        <f t="shared" si="53"/>
        <v>241</v>
      </c>
      <c r="J674" t="str">
        <f t="shared" si="53"/>
        <v>24113</v>
      </c>
      <c r="K674" t="str">
        <f t="shared" si="51"/>
        <v>2411300</v>
      </c>
      <c r="L674">
        <v>0</v>
      </c>
    </row>
    <row r="675" spans="3:12" x14ac:dyDescent="0.25">
      <c r="C675" t="s">
        <v>1864</v>
      </c>
      <c r="D675" t="s">
        <v>2536</v>
      </c>
      <c r="E675" t="s">
        <v>1864</v>
      </c>
      <c r="F675" s="1" t="s">
        <v>528</v>
      </c>
      <c r="G675" t="str">
        <f t="shared" si="53"/>
        <v>C</v>
      </c>
      <c r="H675" t="str">
        <f t="shared" si="53"/>
        <v>24</v>
      </c>
      <c r="I675" t="str">
        <f t="shared" si="53"/>
        <v>241</v>
      </c>
      <c r="J675" t="str">
        <f t="shared" si="53"/>
        <v>24121</v>
      </c>
      <c r="K675" t="str">
        <f t="shared" si="51"/>
        <v/>
      </c>
    </row>
    <row r="676" spans="3:12" x14ac:dyDescent="0.25">
      <c r="C676" t="s">
        <v>1864</v>
      </c>
      <c r="D676" t="s">
        <v>1864</v>
      </c>
      <c r="E676" t="s">
        <v>2537</v>
      </c>
      <c r="F676" s="1" t="s">
        <v>528</v>
      </c>
      <c r="G676" t="str">
        <f t="shared" si="53"/>
        <v>C</v>
      </c>
      <c r="H676" t="str">
        <f t="shared" si="53"/>
        <v>24</v>
      </c>
      <c r="I676" t="str">
        <f t="shared" si="53"/>
        <v>241</v>
      </c>
      <c r="J676" t="str">
        <f t="shared" si="53"/>
        <v>24121</v>
      </c>
      <c r="K676" t="str">
        <f t="shared" si="51"/>
        <v>2412100</v>
      </c>
      <c r="L676">
        <v>0</v>
      </c>
    </row>
    <row r="677" spans="3:12" x14ac:dyDescent="0.25">
      <c r="C677" t="s">
        <v>2538</v>
      </c>
      <c r="D677" t="s">
        <v>1864</v>
      </c>
      <c r="E677" t="s">
        <v>1864</v>
      </c>
      <c r="F677" s="1" t="s">
        <v>529</v>
      </c>
      <c r="G677" t="str">
        <f t="shared" si="53"/>
        <v>C</v>
      </c>
      <c r="H677" t="str">
        <f t="shared" si="53"/>
        <v>24</v>
      </c>
      <c r="I677" t="str">
        <f t="shared" si="53"/>
        <v>242</v>
      </c>
      <c r="J677" t="str">
        <f t="shared" si="53"/>
        <v>24121</v>
      </c>
      <c r="K677" t="str">
        <f t="shared" si="51"/>
        <v/>
      </c>
    </row>
    <row r="678" spans="3:12" x14ac:dyDescent="0.25">
      <c r="C678" t="s">
        <v>1864</v>
      </c>
      <c r="D678" t="s">
        <v>2539</v>
      </c>
      <c r="E678" t="s">
        <v>1864</v>
      </c>
      <c r="F678" s="1" t="s">
        <v>530</v>
      </c>
      <c r="G678" t="str">
        <f t="shared" si="53"/>
        <v>C</v>
      </c>
      <c r="H678" t="str">
        <f t="shared" si="53"/>
        <v>24</v>
      </c>
      <c r="I678" t="str">
        <f t="shared" si="53"/>
        <v>242</v>
      </c>
      <c r="J678" t="str">
        <f t="shared" si="53"/>
        <v>24211</v>
      </c>
      <c r="K678" t="str">
        <f t="shared" si="51"/>
        <v/>
      </c>
    </row>
    <row r="679" spans="3:12" x14ac:dyDescent="0.25">
      <c r="C679" t="s">
        <v>1864</v>
      </c>
      <c r="D679" t="s">
        <v>1864</v>
      </c>
      <c r="E679" t="s">
        <v>2540</v>
      </c>
      <c r="F679" s="1" t="s">
        <v>530</v>
      </c>
      <c r="G679" t="str">
        <f t="shared" si="53"/>
        <v>C</v>
      </c>
      <c r="H679" t="str">
        <f t="shared" si="53"/>
        <v>24</v>
      </c>
      <c r="I679" t="str">
        <f t="shared" si="53"/>
        <v>242</v>
      </c>
      <c r="J679" t="str">
        <f t="shared" si="53"/>
        <v>24211</v>
      </c>
      <c r="K679" t="str">
        <f t="shared" si="51"/>
        <v>2421100</v>
      </c>
      <c r="L679">
        <v>0</v>
      </c>
    </row>
    <row r="680" spans="3:12" x14ac:dyDescent="0.25">
      <c r="C680" t="s">
        <v>1864</v>
      </c>
      <c r="D680" t="s">
        <v>2541</v>
      </c>
      <c r="E680" t="s">
        <v>1864</v>
      </c>
      <c r="F680" s="1" t="s">
        <v>531</v>
      </c>
      <c r="G680" t="str">
        <f t="shared" si="53"/>
        <v>C</v>
      </c>
      <c r="H680" t="str">
        <f t="shared" si="53"/>
        <v>24</v>
      </c>
      <c r="I680" t="str">
        <f t="shared" si="53"/>
        <v>242</v>
      </c>
      <c r="J680" t="str">
        <f t="shared" si="53"/>
        <v>24229</v>
      </c>
      <c r="K680" t="str">
        <f t="shared" si="51"/>
        <v/>
      </c>
    </row>
    <row r="681" spans="3:12" x14ac:dyDescent="0.25">
      <c r="C681" t="s">
        <v>1864</v>
      </c>
      <c r="D681" t="s">
        <v>1864</v>
      </c>
      <c r="E681" t="s">
        <v>2542</v>
      </c>
      <c r="F681" s="1" t="s">
        <v>532</v>
      </c>
      <c r="G681" t="str">
        <f t="shared" ref="G681:J696" si="54">IF(A681="",G680,A681)</f>
        <v>C</v>
      </c>
      <c r="H681" t="str">
        <f t="shared" si="54"/>
        <v>24</v>
      </c>
      <c r="I681" t="str">
        <f t="shared" si="54"/>
        <v>242</v>
      </c>
      <c r="J681" t="str">
        <f t="shared" si="54"/>
        <v>24229</v>
      </c>
      <c r="K681" t="str">
        <f t="shared" si="51"/>
        <v>2422901</v>
      </c>
      <c r="L681">
        <v>0</v>
      </c>
    </row>
    <row r="682" spans="3:12" x14ac:dyDescent="0.25">
      <c r="C682" t="s">
        <v>1864</v>
      </c>
      <c r="D682" t="s">
        <v>1864</v>
      </c>
      <c r="E682" t="s">
        <v>2543</v>
      </c>
      <c r="F682" s="1" t="s">
        <v>533</v>
      </c>
      <c r="G682" t="str">
        <f t="shared" si="54"/>
        <v>C</v>
      </c>
      <c r="H682" t="str">
        <f t="shared" si="54"/>
        <v>24</v>
      </c>
      <c r="I682" t="str">
        <f t="shared" si="54"/>
        <v>242</v>
      </c>
      <c r="J682" t="str">
        <f t="shared" si="54"/>
        <v>24229</v>
      </c>
      <c r="K682" t="str">
        <f t="shared" si="51"/>
        <v>2422902</v>
      </c>
      <c r="L682">
        <v>0</v>
      </c>
    </row>
    <row r="683" spans="3:12" x14ac:dyDescent="0.25">
      <c r="C683" t="s">
        <v>1864</v>
      </c>
      <c r="D683" t="s">
        <v>2544</v>
      </c>
      <c r="E683" t="s">
        <v>1864</v>
      </c>
      <c r="F683" s="1" t="s">
        <v>534</v>
      </c>
      <c r="G683" t="str">
        <f t="shared" si="54"/>
        <v>C</v>
      </c>
      <c r="H683" t="str">
        <f t="shared" si="54"/>
        <v>24</v>
      </c>
      <c r="I683" t="str">
        <f t="shared" si="54"/>
        <v>242</v>
      </c>
      <c r="J683" t="str">
        <f t="shared" si="54"/>
        <v>24237</v>
      </c>
      <c r="K683" t="str">
        <f t="shared" si="51"/>
        <v/>
      </c>
    </row>
    <row r="684" spans="3:12" x14ac:dyDescent="0.25">
      <c r="C684" t="s">
        <v>1864</v>
      </c>
      <c r="D684" t="s">
        <v>1864</v>
      </c>
      <c r="E684" t="s">
        <v>2545</v>
      </c>
      <c r="F684" s="1" t="s">
        <v>535</v>
      </c>
      <c r="G684" t="str">
        <f t="shared" si="54"/>
        <v>C</v>
      </c>
      <c r="H684" t="str">
        <f t="shared" si="54"/>
        <v>24</v>
      </c>
      <c r="I684" t="str">
        <f t="shared" si="54"/>
        <v>242</v>
      </c>
      <c r="J684" t="str">
        <f t="shared" si="54"/>
        <v>24237</v>
      </c>
      <c r="K684" t="str">
        <f t="shared" si="51"/>
        <v>2423701</v>
      </c>
      <c r="L684">
        <v>0</v>
      </c>
    </row>
    <row r="685" spans="3:12" x14ac:dyDescent="0.25">
      <c r="C685" t="s">
        <v>1864</v>
      </c>
      <c r="D685" t="s">
        <v>1864</v>
      </c>
      <c r="E685" t="s">
        <v>2546</v>
      </c>
      <c r="F685" s="1" t="s">
        <v>536</v>
      </c>
      <c r="G685" t="str">
        <f t="shared" si="54"/>
        <v>C</v>
      </c>
      <c r="H685" t="str">
        <f t="shared" si="54"/>
        <v>24</v>
      </c>
      <c r="I685" t="str">
        <f t="shared" si="54"/>
        <v>242</v>
      </c>
      <c r="J685" t="str">
        <f t="shared" si="54"/>
        <v>24237</v>
      </c>
      <c r="K685" t="str">
        <f t="shared" si="51"/>
        <v>2423702</v>
      </c>
      <c r="L685">
        <v>0</v>
      </c>
    </row>
    <row r="686" spans="3:12" x14ac:dyDescent="0.25">
      <c r="C686" t="s">
        <v>1864</v>
      </c>
      <c r="D686" t="s">
        <v>2547</v>
      </c>
      <c r="E686" t="s">
        <v>1864</v>
      </c>
      <c r="F686" s="1" t="s">
        <v>537</v>
      </c>
      <c r="G686" t="str">
        <f t="shared" si="54"/>
        <v>C</v>
      </c>
      <c r="H686" t="str">
        <f t="shared" si="54"/>
        <v>24</v>
      </c>
      <c r="I686" t="str">
        <f t="shared" si="54"/>
        <v>242</v>
      </c>
      <c r="J686" t="str">
        <f t="shared" si="54"/>
        <v>24245</v>
      </c>
      <c r="K686" t="str">
        <f t="shared" si="51"/>
        <v/>
      </c>
    </row>
    <row r="687" spans="3:12" x14ac:dyDescent="0.25">
      <c r="C687" t="s">
        <v>1864</v>
      </c>
      <c r="D687" t="s">
        <v>1864</v>
      </c>
      <c r="E687" t="s">
        <v>2548</v>
      </c>
      <c r="F687" s="1" t="s">
        <v>538</v>
      </c>
      <c r="G687" t="str">
        <f t="shared" si="54"/>
        <v>C</v>
      </c>
      <c r="H687" t="str">
        <f t="shared" si="54"/>
        <v>24</v>
      </c>
      <c r="I687" t="str">
        <f t="shared" si="54"/>
        <v>242</v>
      </c>
      <c r="J687" t="str">
        <f t="shared" si="54"/>
        <v>24245</v>
      </c>
      <c r="K687" t="str">
        <f t="shared" si="51"/>
        <v>2424501</v>
      </c>
      <c r="L687">
        <v>0</v>
      </c>
    </row>
    <row r="688" spans="3:12" x14ac:dyDescent="0.25">
      <c r="C688" t="s">
        <v>1864</v>
      </c>
      <c r="D688" t="s">
        <v>1864</v>
      </c>
      <c r="E688" t="s">
        <v>2549</v>
      </c>
      <c r="F688" s="1" t="s">
        <v>539</v>
      </c>
      <c r="G688" t="str">
        <f t="shared" si="54"/>
        <v>C</v>
      </c>
      <c r="H688" t="str">
        <f t="shared" si="54"/>
        <v>24</v>
      </c>
      <c r="I688" t="str">
        <f t="shared" si="54"/>
        <v>242</v>
      </c>
      <c r="J688" t="str">
        <f t="shared" si="54"/>
        <v>24245</v>
      </c>
      <c r="K688" t="str">
        <f t="shared" si="51"/>
        <v>2424502</v>
      </c>
      <c r="L688">
        <v>0</v>
      </c>
    </row>
    <row r="689" spans="3:12" x14ac:dyDescent="0.25">
      <c r="C689" t="s">
        <v>2550</v>
      </c>
      <c r="D689" t="s">
        <v>1864</v>
      </c>
      <c r="E689" t="s">
        <v>1864</v>
      </c>
      <c r="F689" s="1" t="s">
        <v>540</v>
      </c>
      <c r="G689" t="str">
        <f t="shared" si="54"/>
        <v>C</v>
      </c>
      <c r="H689" t="str">
        <f t="shared" si="54"/>
        <v>24</v>
      </c>
      <c r="I689" t="str">
        <f t="shared" si="54"/>
        <v>243</v>
      </c>
      <c r="J689" t="str">
        <f t="shared" si="54"/>
        <v>24245</v>
      </c>
      <c r="K689" t="str">
        <f t="shared" si="51"/>
        <v/>
      </c>
    </row>
    <row r="690" spans="3:12" x14ac:dyDescent="0.25">
      <c r="C690" t="s">
        <v>1864</v>
      </c>
      <c r="D690" t="s">
        <v>2551</v>
      </c>
      <c r="E690" t="s">
        <v>1864</v>
      </c>
      <c r="F690" s="1" t="s">
        <v>541</v>
      </c>
      <c r="G690" t="str">
        <f t="shared" si="54"/>
        <v>C</v>
      </c>
      <c r="H690" t="str">
        <f t="shared" si="54"/>
        <v>24</v>
      </c>
      <c r="I690" t="str">
        <f t="shared" si="54"/>
        <v>243</v>
      </c>
      <c r="J690" t="str">
        <f t="shared" si="54"/>
        <v>24318</v>
      </c>
      <c r="K690" t="str">
        <f t="shared" si="51"/>
        <v/>
      </c>
    </row>
    <row r="691" spans="3:12" x14ac:dyDescent="0.25">
      <c r="C691" t="s">
        <v>1864</v>
      </c>
      <c r="D691" t="s">
        <v>1864</v>
      </c>
      <c r="E691" t="s">
        <v>2552</v>
      </c>
      <c r="F691" s="1" t="s">
        <v>541</v>
      </c>
      <c r="G691" t="str">
        <f t="shared" si="54"/>
        <v>C</v>
      </c>
      <c r="H691" t="str">
        <f t="shared" si="54"/>
        <v>24</v>
      </c>
      <c r="I691" t="str">
        <f t="shared" si="54"/>
        <v>243</v>
      </c>
      <c r="J691" t="str">
        <f t="shared" si="54"/>
        <v>24318</v>
      </c>
      <c r="K691" t="str">
        <f t="shared" si="51"/>
        <v>2431800</v>
      </c>
      <c r="L691">
        <v>0</v>
      </c>
    </row>
    <row r="692" spans="3:12" x14ac:dyDescent="0.25">
      <c r="C692" t="s">
        <v>1864</v>
      </c>
      <c r="D692" t="s">
        <v>2553</v>
      </c>
      <c r="E692" t="s">
        <v>1864</v>
      </c>
      <c r="F692" s="1" t="s">
        <v>542</v>
      </c>
      <c r="G692" t="str">
        <f t="shared" si="54"/>
        <v>C</v>
      </c>
      <c r="H692" t="str">
        <f t="shared" si="54"/>
        <v>24</v>
      </c>
      <c r="I692" t="str">
        <f t="shared" si="54"/>
        <v>243</v>
      </c>
      <c r="J692" t="str">
        <f t="shared" si="54"/>
        <v>24393</v>
      </c>
      <c r="K692" t="str">
        <f t="shared" si="51"/>
        <v/>
      </c>
    </row>
    <row r="693" spans="3:12" x14ac:dyDescent="0.25">
      <c r="C693" t="s">
        <v>1864</v>
      </c>
      <c r="D693" t="s">
        <v>1864</v>
      </c>
      <c r="E693" t="s">
        <v>2554</v>
      </c>
      <c r="F693" s="1" t="s">
        <v>542</v>
      </c>
      <c r="G693" t="str">
        <f t="shared" si="54"/>
        <v>C</v>
      </c>
      <c r="H693" t="str">
        <f t="shared" si="54"/>
        <v>24</v>
      </c>
      <c r="I693" t="str">
        <f t="shared" si="54"/>
        <v>243</v>
      </c>
      <c r="J693" t="str">
        <f t="shared" si="54"/>
        <v>24393</v>
      </c>
      <c r="K693" t="str">
        <f t="shared" si="51"/>
        <v>2439300</v>
      </c>
      <c r="L693">
        <v>0</v>
      </c>
    </row>
    <row r="694" spans="3:12" x14ac:dyDescent="0.25">
      <c r="C694" t="s">
        <v>2555</v>
      </c>
      <c r="D694" t="s">
        <v>1864</v>
      </c>
      <c r="E694" t="s">
        <v>1864</v>
      </c>
      <c r="F694" s="1" t="s">
        <v>543</v>
      </c>
      <c r="G694" t="str">
        <f t="shared" si="54"/>
        <v>C</v>
      </c>
      <c r="H694" t="str">
        <f t="shared" si="54"/>
        <v>24</v>
      </c>
      <c r="I694" t="str">
        <f t="shared" si="54"/>
        <v>244</v>
      </c>
      <c r="J694" t="str">
        <f t="shared" si="54"/>
        <v>24393</v>
      </c>
      <c r="K694" t="str">
        <f t="shared" si="51"/>
        <v/>
      </c>
    </row>
    <row r="695" spans="3:12" x14ac:dyDescent="0.25">
      <c r="C695" t="s">
        <v>1864</v>
      </c>
      <c r="D695" t="s">
        <v>2556</v>
      </c>
      <c r="E695" t="s">
        <v>1864</v>
      </c>
      <c r="F695" s="1" t="s">
        <v>544</v>
      </c>
      <c r="G695" t="str">
        <f t="shared" si="54"/>
        <v>C</v>
      </c>
      <c r="H695" t="str">
        <f t="shared" si="54"/>
        <v>24</v>
      </c>
      <c r="I695" t="str">
        <f t="shared" si="54"/>
        <v>244</v>
      </c>
      <c r="J695" t="str">
        <f t="shared" si="54"/>
        <v>24415</v>
      </c>
      <c r="K695" t="str">
        <f t="shared" si="51"/>
        <v/>
      </c>
    </row>
    <row r="696" spans="3:12" x14ac:dyDescent="0.25">
      <c r="C696" t="s">
        <v>1864</v>
      </c>
      <c r="D696" t="s">
        <v>1864</v>
      </c>
      <c r="E696" t="s">
        <v>2557</v>
      </c>
      <c r="F696" s="1" t="s">
        <v>545</v>
      </c>
      <c r="G696" t="str">
        <f t="shared" si="54"/>
        <v>C</v>
      </c>
      <c r="H696" t="str">
        <f t="shared" si="54"/>
        <v>24</v>
      </c>
      <c r="I696" t="str">
        <f t="shared" si="54"/>
        <v>244</v>
      </c>
      <c r="J696" t="str">
        <f t="shared" si="54"/>
        <v>24415</v>
      </c>
      <c r="K696" t="str">
        <f t="shared" si="51"/>
        <v>2441501</v>
      </c>
      <c r="L696">
        <v>0</v>
      </c>
    </row>
    <row r="697" spans="3:12" x14ac:dyDescent="0.25">
      <c r="C697" t="s">
        <v>1864</v>
      </c>
      <c r="D697" t="s">
        <v>1864</v>
      </c>
      <c r="E697" t="s">
        <v>2558</v>
      </c>
      <c r="F697" s="1" t="s">
        <v>546</v>
      </c>
      <c r="G697" t="str">
        <f t="shared" ref="G697:J712" si="55">IF(A697="",G696,A697)</f>
        <v>C</v>
      </c>
      <c r="H697" t="str">
        <f t="shared" si="55"/>
        <v>24</v>
      </c>
      <c r="I697" t="str">
        <f t="shared" si="55"/>
        <v>244</v>
      </c>
      <c r="J697" t="str">
        <f t="shared" si="55"/>
        <v>24415</v>
      </c>
      <c r="K697" t="str">
        <f t="shared" si="51"/>
        <v>2441502</v>
      </c>
      <c r="L697">
        <v>0</v>
      </c>
    </row>
    <row r="698" spans="3:12" x14ac:dyDescent="0.25">
      <c r="C698" t="s">
        <v>1864</v>
      </c>
      <c r="D698" t="s">
        <v>2559</v>
      </c>
      <c r="E698" t="s">
        <v>1864</v>
      </c>
      <c r="F698" s="1" t="s">
        <v>547</v>
      </c>
      <c r="G698" t="str">
        <f t="shared" si="55"/>
        <v>C</v>
      </c>
      <c r="H698" t="str">
        <f t="shared" si="55"/>
        <v>24</v>
      </c>
      <c r="I698" t="str">
        <f t="shared" si="55"/>
        <v>244</v>
      </c>
      <c r="J698" t="str">
        <f t="shared" si="55"/>
        <v>24423</v>
      </c>
      <c r="K698" t="str">
        <f t="shared" si="51"/>
        <v/>
      </c>
    </row>
    <row r="699" spans="3:12" x14ac:dyDescent="0.25">
      <c r="C699" t="s">
        <v>1864</v>
      </c>
      <c r="D699" t="s">
        <v>1864</v>
      </c>
      <c r="E699" t="s">
        <v>2560</v>
      </c>
      <c r="F699" s="1" t="s">
        <v>547</v>
      </c>
      <c r="G699" t="str">
        <f t="shared" si="55"/>
        <v>C</v>
      </c>
      <c r="H699" t="str">
        <f t="shared" si="55"/>
        <v>24</v>
      </c>
      <c r="I699" t="str">
        <f t="shared" si="55"/>
        <v>244</v>
      </c>
      <c r="J699" t="str">
        <f t="shared" si="55"/>
        <v>24423</v>
      </c>
      <c r="K699" t="str">
        <f t="shared" si="51"/>
        <v>2442300</v>
      </c>
      <c r="L699">
        <v>0</v>
      </c>
    </row>
    <row r="700" spans="3:12" x14ac:dyDescent="0.25">
      <c r="C700" t="s">
        <v>1864</v>
      </c>
      <c r="D700" t="s">
        <v>2561</v>
      </c>
      <c r="E700" t="s">
        <v>1864</v>
      </c>
      <c r="F700" s="1" t="s">
        <v>548</v>
      </c>
      <c r="G700" t="str">
        <f t="shared" si="55"/>
        <v>C</v>
      </c>
      <c r="H700" t="str">
        <f t="shared" si="55"/>
        <v>24</v>
      </c>
      <c r="I700" t="str">
        <f t="shared" si="55"/>
        <v>244</v>
      </c>
      <c r="J700" t="str">
        <f t="shared" si="55"/>
        <v>24431</v>
      </c>
      <c r="K700" t="str">
        <f t="shared" si="51"/>
        <v/>
      </c>
    </row>
    <row r="701" spans="3:12" x14ac:dyDescent="0.25">
      <c r="C701" t="s">
        <v>1864</v>
      </c>
      <c r="D701" t="s">
        <v>1864</v>
      </c>
      <c r="E701" t="s">
        <v>2562</v>
      </c>
      <c r="F701" s="1" t="s">
        <v>548</v>
      </c>
      <c r="G701" t="str">
        <f t="shared" si="55"/>
        <v>C</v>
      </c>
      <c r="H701" t="str">
        <f t="shared" si="55"/>
        <v>24</v>
      </c>
      <c r="I701" t="str">
        <f t="shared" si="55"/>
        <v>244</v>
      </c>
      <c r="J701" t="str">
        <f t="shared" si="55"/>
        <v>24431</v>
      </c>
      <c r="K701" t="str">
        <f t="shared" si="51"/>
        <v>2443100</v>
      </c>
      <c r="L701">
        <v>0</v>
      </c>
    </row>
    <row r="702" spans="3:12" x14ac:dyDescent="0.25">
      <c r="C702" t="s">
        <v>1864</v>
      </c>
      <c r="D702" t="s">
        <v>2563</v>
      </c>
      <c r="E702" t="s">
        <v>1864</v>
      </c>
      <c r="F702" s="1" t="s">
        <v>549</v>
      </c>
      <c r="G702" t="str">
        <f t="shared" si="55"/>
        <v>C</v>
      </c>
      <c r="H702" t="str">
        <f t="shared" si="55"/>
        <v>24</v>
      </c>
      <c r="I702" t="str">
        <f t="shared" si="55"/>
        <v>244</v>
      </c>
      <c r="J702" t="str">
        <f t="shared" si="55"/>
        <v>24491</v>
      </c>
      <c r="K702" t="str">
        <f t="shared" si="51"/>
        <v/>
      </c>
    </row>
    <row r="703" spans="3:12" x14ac:dyDescent="0.25">
      <c r="C703" t="s">
        <v>1864</v>
      </c>
      <c r="D703" t="s">
        <v>1864</v>
      </c>
      <c r="E703" t="s">
        <v>2564</v>
      </c>
      <c r="F703" s="1" t="s">
        <v>550</v>
      </c>
      <c r="G703" t="str">
        <f t="shared" si="55"/>
        <v>C</v>
      </c>
      <c r="H703" t="str">
        <f t="shared" si="55"/>
        <v>24</v>
      </c>
      <c r="I703" t="str">
        <f t="shared" si="55"/>
        <v>244</v>
      </c>
      <c r="J703" t="str">
        <f t="shared" si="55"/>
        <v>24491</v>
      </c>
      <c r="K703" t="str">
        <f t="shared" si="51"/>
        <v>2449101</v>
      </c>
      <c r="L703">
        <v>0</v>
      </c>
    </row>
    <row r="704" spans="3:12" x14ac:dyDescent="0.25">
      <c r="C704" t="s">
        <v>1864</v>
      </c>
      <c r="D704" t="s">
        <v>1864</v>
      </c>
      <c r="E704" t="s">
        <v>2565</v>
      </c>
      <c r="F704" s="1" t="s">
        <v>551</v>
      </c>
      <c r="G704" t="str">
        <f t="shared" si="55"/>
        <v>C</v>
      </c>
      <c r="H704" t="str">
        <f t="shared" si="55"/>
        <v>24</v>
      </c>
      <c r="I704" t="str">
        <f t="shared" si="55"/>
        <v>244</v>
      </c>
      <c r="J704" t="str">
        <f t="shared" si="55"/>
        <v>24491</v>
      </c>
      <c r="K704" t="str">
        <f t="shared" si="51"/>
        <v>2449102</v>
      </c>
      <c r="L704">
        <v>0</v>
      </c>
    </row>
    <row r="705" spans="2:12" x14ac:dyDescent="0.25">
      <c r="C705" t="s">
        <v>1864</v>
      </c>
      <c r="D705" t="s">
        <v>1864</v>
      </c>
      <c r="E705" t="s">
        <v>2566</v>
      </c>
      <c r="F705" s="1" t="s">
        <v>552</v>
      </c>
      <c r="G705" t="str">
        <f t="shared" si="55"/>
        <v>C</v>
      </c>
      <c r="H705" t="str">
        <f t="shared" si="55"/>
        <v>24</v>
      </c>
      <c r="I705" t="str">
        <f t="shared" si="55"/>
        <v>244</v>
      </c>
      <c r="J705" t="str">
        <f t="shared" si="55"/>
        <v>24491</v>
      </c>
      <c r="K705" t="str">
        <f t="shared" si="51"/>
        <v>2449103</v>
      </c>
      <c r="L705">
        <v>0</v>
      </c>
    </row>
    <row r="706" spans="2:12" x14ac:dyDescent="0.25">
      <c r="C706" t="s">
        <v>1864</v>
      </c>
      <c r="D706" t="s">
        <v>1864</v>
      </c>
      <c r="E706" t="s">
        <v>2567</v>
      </c>
      <c r="F706" s="1" t="s">
        <v>553</v>
      </c>
      <c r="G706" t="str">
        <f t="shared" si="55"/>
        <v>C</v>
      </c>
      <c r="H706" t="str">
        <f t="shared" si="55"/>
        <v>24</v>
      </c>
      <c r="I706" t="str">
        <f t="shared" si="55"/>
        <v>244</v>
      </c>
      <c r="J706" t="str">
        <f t="shared" si="55"/>
        <v>24491</v>
      </c>
      <c r="K706" t="str">
        <f t="shared" si="51"/>
        <v>2449199</v>
      </c>
      <c r="L706">
        <v>0</v>
      </c>
    </row>
    <row r="707" spans="2:12" x14ac:dyDescent="0.25">
      <c r="C707" t="s">
        <v>2568</v>
      </c>
      <c r="D707" t="s">
        <v>1864</v>
      </c>
      <c r="E707" t="s">
        <v>1864</v>
      </c>
      <c r="F707" s="1" t="s">
        <v>554</v>
      </c>
      <c r="G707" t="str">
        <f t="shared" si="55"/>
        <v>C</v>
      </c>
      <c r="H707" t="str">
        <f t="shared" si="55"/>
        <v>24</v>
      </c>
      <c r="I707" t="str">
        <f t="shared" si="55"/>
        <v>245</v>
      </c>
      <c r="J707" t="str">
        <f t="shared" si="55"/>
        <v>24491</v>
      </c>
      <c r="K707" t="str">
        <f t="shared" si="51"/>
        <v/>
      </c>
    </row>
    <row r="708" spans="2:12" x14ac:dyDescent="0.25">
      <c r="C708" t="s">
        <v>1864</v>
      </c>
      <c r="D708" t="s">
        <v>2569</v>
      </c>
      <c r="E708" t="s">
        <v>1864</v>
      </c>
      <c r="F708" s="1" t="s">
        <v>555</v>
      </c>
      <c r="G708" t="str">
        <f t="shared" si="55"/>
        <v>C</v>
      </c>
      <c r="H708" t="str">
        <f t="shared" si="55"/>
        <v>24</v>
      </c>
      <c r="I708" t="str">
        <f t="shared" si="55"/>
        <v>245</v>
      </c>
      <c r="J708" t="str">
        <f t="shared" si="55"/>
        <v>24512</v>
      </c>
      <c r="K708" t="str">
        <f t="shared" si="51"/>
        <v/>
      </c>
    </row>
    <row r="709" spans="2:12" x14ac:dyDescent="0.25">
      <c r="C709" t="s">
        <v>1864</v>
      </c>
      <c r="D709" t="s">
        <v>1864</v>
      </c>
      <c r="E709" t="s">
        <v>2570</v>
      </c>
      <c r="F709" s="1" t="s">
        <v>555</v>
      </c>
      <c r="G709" t="str">
        <f t="shared" si="55"/>
        <v>C</v>
      </c>
      <c r="H709" t="str">
        <f t="shared" si="55"/>
        <v>24</v>
      </c>
      <c r="I709" t="str">
        <f t="shared" si="55"/>
        <v>245</v>
      </c>
      <c r="J709" t="str">
        <f t="shared" si="55"/>
        <v>24512</v>
      </c>
      <c r="K709" t="str">
        <f t="shared" si="51"/>
        <v>2451200</v>
      </c>
      <c r="L709">
        <v>0</v>
      </c>
    </row>
    <row r="710" spans="2:12" x14ac:dyDescent="0.25">
      <c r="C710" t="s">
        <v>1864</v>
      </c>
      <c r="D710" t="s">
        <v>2571</v>
      </c>
      <c r="E710" t="s">
        <v>1864</v>
      </c>
      <c r="F710" s="1" t="s">
        <v>556</v>
      </c>
      <c r="G710" t="str">
        <f t="shared" si="55"/>
        <v>C</v>
      </c>
      <c r="H710" t="str">
        <f t="shared" si="55"/>
        <v>24</v>
      </c>
      <c r="I710" t="str">
        <f t="shared" si="55"/>
        <v>245</v>
      </c>
      <c r="J710" t="str">
        <f t="shared" si="55"/>
        <v>24521</v>
      </c>
      <c r="K710" t="str">
        <f t="shared" si="51"/>
        <v/>
      </c>
    </row>
    <row r="711" spans="2:12" x14ac:dyDescent="0.25">
      <c r="C711" t="s">
        <v>1864</v>
      </c>
      <c r="D711" t="s">
        <v>1864</v>
      </c>
      <c r="E711" t="s">
        <v>2572</v>
      </c>
      <c r="F711" s="1" t="s">
        <v>556</v>
      </c>
      <c r="G711" t="str">
        <f t="shared" si="55"/>
        <v>C</v>
      </c>
      <c r="H711" t="str">
        <f t="shared" si="55"/>
        <v>24</v>
      </c>
      <c r="I711" t="str">
        <f t="shared" si="55"/>
        <v>245</v>
      </c>
      <c r="J711" t="str">
        <f t="shared" si="55"/>
        <v>24521</v>
      </c>
      <c r="K711" t="str">
        <f t="shared" si="51"/>
        <v>2452100</v>
      </c>
      <c r="L711">
        <v>0</v>
      </c>
    </row>
    <row r="712" spans="2:12" x14ac:dyDescent="0.25">
      <c r="B712" t="s">
        <v>2573</v>
      </c>
      <c r="C712" t="s">
        <v>1864</v>
      </c>
      <c r="D712" t="s">
        <v>1864</v>
      </c>
      <c r="E712" t="s">
        <v>1864</v>
      </c>
      <c r="F712" s="2" t="s">
        <v>557</v>
      </c>
      <c r="G712" t="str">
        <f t="shared" si="55"/>
        <v>C</v>
      </c>
      <c r="H712" t="str">
        <f t="shared" si="55"/>
        <v>25</v>
      </c>
      <c r="I712" t="str">
        <f t="shared" si="55"/>
        <v>245</v>
      </c>
      <c r="J712" t="str">
        <f t="shared" si="55"/>
        <v>24521</v>
      </c>
      <c r="K712" t="str">
        <f t="shared" ref="K712:K775" si="56">E712</f>
        <v/>
      </c>
    </row>
    <row r="713" spans="2:12" x14ac:dyDescent="0.25">
      <c r="C713" t="s">
        <v>2574</v>
      </c>
      <c r="D713" t="s">
        <v>1864</v>
      </c>
      <c r="E713" t="s">
        <v>1864</v>
      </c>
      <c r="F713" s="2" t="s">
        <v>558</v>
      </c>
      <c r="G713" t="str">
        <f t="shared" ref="G713:J728" si="57">IF(A713="",G712,A713)</f>
        <v>C</v>
      </c>
      <c r="H713" t="str">
        <f t="shared" si="57"/>
        <v>25</v>
      </c>
      <c r="I713" t="str">
        <f t="shared" si="57"/>
        <v>251</v>
      </c>
      <c r="J713" t="str">
        <f t="shared" si="57"/>
        <v>24521</v>
      </c>
      <c r="K713" t="str">
        <f t="shared" si="56"/>
        <v/>
      </c>
    </row>
    <row r="714" spans="2:12" x14ac:dyDescent="0.25">
      <c r="C714" t="s">
        <v>1864</v>
      </c>
      <c r="D714" t="s">
        <v>2575</v>
      </c>
      <c r="E714" t="s">
        <v>1864</v>
      </c>
      <c r="F714" s="2" t="s">
        <v>559</v>
      </c>
      <c r="G714" t="str">
        <f t="shared" si="57"/>
        <v>C</v>
      </c>
      <c r="H714" t="str">
        <f t="shared" si="57"/>
        <v>25</v>
      </c>
      <c r="I714" t="str">
        <f t="shared" si="57"/>
        <v>251</v>
      </c>
      <c r="J714" t="str">
        <f t="shared" si="57"/>
        <v>25110</v>
      </c>
      <c r="K714" t="str">
        <f t="shared" si="56"/>
        <v/>
      </c>
    </row>
    <row r="715" spans="2:12" x14ac:dyDescent="0.25">
      <c r="C715" t="s">
        <v>1864</v>
      </c>
      <c r="D715" t="s">
        <v>1864</v>
      </c>
      <c r="E715" t="s">
        <v>2576</v>
      </c>
      <c r="F715" s="2" t="s">
        <v>559</v>
      </c>
      <c r="G715" t="str">
        <f t="shared" si="57"/>
        <v>C</v>
      </c>
      <c r="H715" t="str">
        <f t="shared" si="57"/>
        <v>25</v>
      </c>
      <c r="I715" t="str">
        <f t="shared" si="57"/>
        <v>251</v>
      </c>
      <c r="J715" t="str">
        <f t="shared" si="57"/>
        <v>25110</v>
      </c>
      <c r="K715" t="str">
        <f t="shared" si="56"/>
        <v>2511000</v>
      </c>
      <c r="L715">
        <v>1</v>
      </c>
    </row>
    <row r="716" spans="2:12" x14ac:dyDescent="0.25">
      <c r="C716" t="s">
        <v>1864</v>
      </c>
      <c r="D716" t="s">
        <v>2577</v>
      </c>
      <c r="E716" t="s">
        <v>1864</v>
      </c>
      <c r="F716" s="2" t="s">
        <v>560</v>
      </c>
      <c r="G716" t="str">
        <f t="shared" si="57"/>
        <v>C</v>
      </c>
      <c r="H716" t="str">
        <f t="shared" si="57"/>
        <v>25</v>
      </c>
      <c r="I716" t="str">
        <f t="shared" si="57"/>
        <v>251</v>
      </c>
      <c r="J716" t="str">
        <f t="shared" si="57"/>
        <v>25128</v>
      </c>
      <c r="K716" t="str">
        <f t="shared" si="56"/>
        <v/>
      </c>
    </row>
    <row r="717" spans="2:12" x14ac:dyDescent="0.25">
      <c r="C717" t="s">
        <v>1864</v>
      </c>
      <c r="D717" t="s">
        <v>1864</v>
      </c>
      <c r="E717" t="s">
        <v>2578</v>
      </c>
      <c r="F717" s="2" t="s">
        <v>560</v>
      </c>
      <c r="G717" t="str">
        <f t="shared" si="57"/>
        <v>C</v>
      </c>
      <c r="H717" t="str">
        <f t="shared" si="57"/>
        <v>25</v>
      </c>
      <c r="I717" t="str">
        <f t="shared" si="57"/>
        <v>251</v>
      </c>
      <c r="J717" t="str">
        <f t="shared" si="57"/>
        <v>25128</v>
      </c>
      <c r="K717" t="str">
        <f t="shared" si="56"/>
        <v>2512800</v>
      </c>
      <c r="L717">
        <v>1</v>
      </c>
    </row>
    <row r="718" spans="2:12" x14ac:dyDescent="0.25">
      <c r="C718" t="s">
        <v>1864</v>
      </c>
      <c r="D718" t="s">
        <v>2579</v>
      </c>
      <c r="E718" t="s">
        <v>1864</v>
      </c>
      <c r="F718" s="2" t="s">
        <v>561</v>
      </c>
      <c r="G718" t="str">
        <f t="shared" si="57"/>
        <v>C</v>
      </c>
      <c r="H718" t="str">
        <f t="shared" si="57"/>
        <v>25</v>
      </c>
      <c r="I718" t="str">
        <f t="shared" si="57"/>
        <v>251</v>
      </c>
      <c r="J718" t="str">
        <f t="shared" si="57"/>
        <v>25136</v>
      </c>
      <c r="K718" t="str">
        <f t="shared" si="56"/>
        <v/>
      </c>
    </row>
    <row r="719" spans="2:12" x14ac:dyDescent="0.25">
      <c r="C719" t="s">
        <v>1864</v>
      </c>
      <c r="D719" t="s">
        <v>1864</v>
      </c>
      <c r="E719" t="s">
        <v>2580</v>
      </c>
      <c r="F719" s="2" t="s">
        <v>561</v>
      </c>
      <c r="G719" t="str">
        <f t="shared" si="57"/>
        <v>C</v>
      </c>
      <c r="H719" t="str">
        <f t="shared" si="57"/>
        <v>25</v>
      </c>
      <c r="I719" t="str">
        <f t="shared" si="57"/>
        <v>251</v>
      </c>
      <c r="J719" t="str">
        <f t="shared" si="57"/>
        <v>25136</v>
      </c>
      <c r="K719" t="str">
        <f t="shared" si="56"/>
        <v>2513600</v>
      </c>
      <c r="L719">
        <v>1</v>
      </c>
    </row>
    <row r="720" spans="2:12" x14ac:dyDescent="0.25">
      <c r="C720" t="s">
        <v>2581</v>
      </c>
      <c r="D720" t="s">
        <v>1864</v>
      </c>
      <c r="E720" t="s">
        <v>1864</v>
      </c>
      <c r="F720" s="2" t="s">
        <v>562</v>
      </c>
      <c r="G720" t="str">
        <f t="shared" si="57"/>
        <v>C</v>
      </c>
      <c r="H720" t="str">
        <f t="shared" si="57"/>
        <v>25</v>
      </c>
      <c r="I720" t="str">
        <f t="shared" si="57"/>
        <v>252</v>
      </c>
      <c r="J720" t="str">
        <f t="shared" si="57"/>
        <v>25136</v>
      </c>
      <c r="K720" t="str">
        <f t="shared" si="56"/>
        <v/>
      </c>
    </row>
    <row r="721" spans="3:12" x14ac:dyDescent="0.25">
      <c r="C721" t="s">
        <v>1864</v>
      </c>
      <c r="D721" t="s">
        <v>2582</v>
      </c>
      <c r="E721" t="s">
        <v>1864</v>
      </c>
      <c r="F721" s="2" t="s">
        <v>563</v>
      </c>
      <c r="G721" t="str">
        <f t="shared" si="57"/>
        <v>C</v>
      </c>
      <c r="H721" t="str">
        <f t="shared" si="57"/>
        <v>25</v>
      </c>
      <c r="I721" t="str">
        <f t="shared" si="57"/>
        <v>252</v>
      </c>
      <c r="J721" t="str">
        <f t="shared" si="57"/>
        <v>25217</v>
      </c>
      <c r="K721" t="str">
        <f t="shared" si="56"/>
        <v/>
      </c>
    </row>
    <row r="722" spans="3:12" x14ac:dyDescent="0.25">
      <c r="C722" t="s">
        <v>1864</v>
      </c>
      <c r="D722" t="s">
        <v>1864</v>
      </c>
      <c r="E722" t="s">
        <v>2583</v>
      </c>
      <c r="F722" s="2" t="s">
        <v>563</v>
      </c>
      <c r="G722" t="str">
        <f t="shared" si="57"/>
        <v>C</v>
      </c>
      <c r="H722" t="str">
        <f t="shared" si="57"/>
        <v>25</v>
      </c>
      <c r="I722" t="str">
        <f t="shared" si="57"/>
        <v>252</v>
      </c>
      <c r="J722" t="str">
        <f t="shared" si="57"/>
        <v>25217</v>
      </c>
      <c r="K722" t="str">
        <f t="shared" si="56"/>
        <v>2521700</v>
      </c>
      <c r="L722">
        <v>1</v>
      </c>
    </row>
    <row r="723" spans="3:12" x14ac:dyDescent="0.25">
      <c r="C723" t="s">
        <v>1864</v>
      </c>
      <c r="D723" t="s">
        <v>2584</v>
      </c>
      <c r="E723" t="s">
        <v>1864</v>
      </c>
      <c r="F723" s="2" t="s">
        <v>564</v>
      </c>
      <c r="G723" t="str">
        <f t="shared" si="57"/>
        <v>C</v>
      </c>
      <c r="H723" t="str">
        <f t="shared" si="57"/>
        <v>25</v>
      </c>
      <c r="I723" t="str">
        <f t="shared" si="57"/>
        <v>252</v>
      </c>
      <c r="J723" t="str">
        <f t="shared" si="57"/>
        <v>25225</v>
      </c>
      <c r="K723" t="str">
        <f t="shared" si="56"/>
        <v/>
      </c>
    </row>
    <row r="724" spans="3:12" x14ac:dyDescent="0.25">
      <c r="C724" t="s">
        <v>1864</v>
      </c>
      <c r="D724" t="s">
        <v>1864</v>
      </c>
      <c r="E724" t="s">
        <v>2585</v>
      </c>
      <c r="F724" s="2" t="s">
        <v>564</v>
      </c>
      <c r="G724" t="str">
        <f t="shared" si="57"/>
        <v>C</v>
      </c>
      <c r="H724" t="str">
        <f t="shared" si="57"/>
        <v>25</v>
      </c>
      <c r="I724" t="str">
        <f t="shared" si="57"/>
        <v>252</v>
      </c>
      <c r="J724" t="str">
        <f t="shared" si="57"/>
        <v>25225</v>
      </c>
      <c r="K724" t="str">
        <f t="shared" si="56"/>
        <v>2522500</v>
      </c>
      <c r="L724">
        <v>1</v>
      </c>
    </row>
    <row r="725" spans="3:12" x14ac:dyDescent="0.25">
      <c r="C725" t="s">
        <v>2586</v>
      </c>
      <c r="D725" t="s">
        <v>1864</v>
      </c>
      <c r="E725" t="s">
        <v>1864</v>
      </c>
      <c r="F725" s="2" t="s">
        <v>565</v>
      </c>
      <c r="G725" t="str">
        <f t="shared" si="57"/>
        <v>C</v>
      </c>
      <c r="H725" t="str">
        <f t="shared" si="57"/>
        <v>25</v>
      </c>
      <c r="I725" t="str">
        <f t="shared" si="57"/>
        <v>253</v>
      </c>
      <c r="J725" t="str">
        <f t="shared" si="57"/>
        <v>25225</v>
      </c>
      <c r="K725" t="str">
        <f t="shared" si="56"/>
        <v/>
      </c>
    </row>
    <row r="726" spans="3:12" x14ac:dyDescent="0.25">
      <c r="C726" t="s">
        <v>1864</v>
      </c>
      <c r="D726" t="s">
        <v>2587</v>
      </c>
      <c r="E726" t="s">
        <v>1864</v>
      </c>
      <c r="F726" s="2" t="s">
        <v>566</v>
      </c>
      <c r="G726" t="str">
        <f t="shared" si="57"/>
        <v>C</v>
      </c>
      <c r="H726" t="str">
        <f t="shared" si="57"/>
        <v>25</v>
      </c>
      <c r="I726" t="str">
        <f t="shared" si="57"/>
        <v>253</v>
      </c>
      <c r="J726" t="str">
        <f t="shared" si="57"/>
        <v>25314</v>
      </c>
      <c r="K726" t="str">
        <f t="shared" si="56"/>
        <v/>
      </c>
    </row>
    <row r="727" spans="3:12" x14ac:dyDescent="0.25">
      <c r="C727" t="s">
        <v>1864</v>
      </c>
      <c r="D727" t="s">
        <v>1864</v>
      </c>
      <c r="E727" t="s">
        <v>2588</v>
      </c>
      <c r="F727" s="2" t="s">
        <v>567</v>
      </c>
      <c r="G727" t="str">
        <f t="shared" si="57"/>
        <v>C</v>
      </c>
      <c r="H727" t="str">
        <f t="shared" si="57"/>
        <v>25</v>
      </c>
      <c r="I727" t="str">
        <f t="shared" si="57"/>
        <v>253</v>
      </c>
      <c r="J727" t="str">
        <f t="shared" si="57"/>
        <v>25314</v>
      </c>
      <c r="K727" t="str">
        <f t="shared" si="56"/>
        <v>2531401</v>
      </c>
      <c r="L727">
        <v>1</v>
      </c>
    </row>
    <row r="728" spans="3:12" x14ac:dyDescent="0.25">
      <c r="C728" t="s">
        <v>1864</v>
      </c>
      <c r="D728" t="s">
        <v>1864</v>
      </c>
      <c r="E728" t="s">
        <v>2589</v>
      </c>
      <c r="F728" s="2" t="s">
        <v>568</v>
      </c>
      <c r="G728" t="str">
        <f t="shared" si="57"/>
        <v>C</v>
      </c>
      <c r="H728" t="str">
        <f t="shared" si="57"/>
        <v>25</v>
      </c>
      <c r="I728" t="str">
        <f t="shared" si="57"/>
        <v>253</v>
      </c>
      <c r="J728" t="str">
        <f t="shared" si="57"/>
        <v>25314</v>
      </c>
      <c r="K728" t="str">
        <f t="shared" si="56"/>
        <v>2531402</v>
      </c>
      <c r="L728">
        <v>1</v>
      </c>
    </row>
    <row r="729" spans="3:12" x14ac:dyDescent="0.25">
      <c r="C729" t="s">
        <v>1864</v>
      </c>
      <c r="D729" t="s">
        <v>2590</v>
      </c>
      <c r="E729" t="s">
        <v>1864</v>
      </c>
      <c r="F729" s="2" t="s">
        <v>569</v>
      </c>
      <c r="G729" t="str">
        <f t="shared" ref="G729:J744" si="58">IF(A729="",G728,A729)</f>
        <v>C</v>
      </c>
      <c r="H729" t="str">
        <f t="shared" si="58"/>
        <v>25</v>
      </c>
      <c r="I729" t="str">
        <f t="shared" si="58"/>
        <v>253</v>
      </c>
      <c r="J729" t="str">
        <f t="shared" si="58"/>
        <v>25322</v>
      </c>
      <c r="K729" t="str">
        <f t="shared" si="56"/>
        <v/>
      </c>
    </row>
    <row r="730" spans="3:12" x14ac:dyDescent="0.25">
      <c r="C730" t="s">
        <v>1864</v>
      </c>
      <c r="D730" t="s">
        <v>1864</v>
      </c>
      <c r="E730" t="s">
        <v>2591</v>
      </c>
      <c r="F730" s="2" t="s">
        <v>570</v>
      </c>
      <c r="G730" t="str">
        <f t="shared" si="58"/>
        <v>C</v>
      </c>
      <c r="H730" t="str">
        <f t="shared" si="58"/>
        <v>25</v>
      </c>
      <c r="I730" t="str">
        <f t="shared" si="58"/>
        <v>253</v>
      </c>
      <c r="J730" t="str">
        <f t="shared" si="58"/>
        <v>25322</v>
      </c>
      <c r="K730" t="str">
        <f t="shared" si="56"/>
        <v>2532201</v>
      </c>
      <c r="L730">
        <v>1</v>
      </c>
    </row>
    <row r="731" spans="3:12" x14ac:dyDescent="0.25">
      <c r="C731" t="s">
        <v>1864</v>
      </c>
      <c r="D731" t="s">
        <v>1864</v>
      </c>
      <c r="E731" t="s">
        <v>2592</v>
      </c>
      <c r="F731" s="2" t="s">
        <v>571</v>
      </c>
      <c r="G731" t="str">
        <f t="shared" si="58"/>
        <v>C</v>
      </c>
      <c r="H731" t="str">
        <f t="shared" si="58"/>
        <v>25</v>
      </c>
      <c r="I731" t="str">
        <f t="shared" si="58"/>
        <v>253</v>
      </c>
      <c r="J731" t="str">
        <f t="shared" si="58"/>
        <v>25322</v>
      </c>
      <c r="K731" t="str">
        <f t="shared" si="56"/>
        <v>2532202</v>
      </c>
      <c r="L731">
        <v>1</v>
      </c>
    </row>
    <row r="732" spans="3:12" x14ac:dyDescent="0.25">
      <c r="C732" t="s">
        <v>1864</v>
      </c>
      <c r="D732" t="s">
        <v>2593</v>
      </c>
      <c r="E732" t="s">
        <v>1864</v>
      </c>
      <c r="F732" s="2" t="s">
        <v>572</v>
      </c>
      <c r="G732" t="str">
        <f t="shared" si="58"/>
        <v>C</v>
      </c>
      <c r="H732" t="str">
        <f t="shared" si="58"/>
        <v>25</v>
      </c>
      <c r="I732" t="str">
        <f t="shared" si="58"/>
        <v>253</v>
      </c>
      <c r="J732" t="str">
        <f t="shared" si="58"/>
        <v>25390</v>
      </c>
      <c r="K732" t="str">
        <f t="shared" si="56"/>
        <v/>
      </c>
    </row>
    <row r="733" spans="3:12" x14ac:dyDescent="0.25">
      <c r="C733" t="s">
        <v>1864</v>
      </c>
      <c r="D733" t="s">
        <v>1864</v>
      </c>
      <c r="E733" t="s">
        <v>2594</v>
      </c>
      <c r="F733" s="2" t="s">
        <v>573</v>
      </c>
      <c r="G733" t="str">
        <f t="shared" si="58"/>
        <v>C</v>
      </c>
      <c r="H733" t="str">
        <f t="shared" si="58"/>
        <v>25</v>
      </c>
      <c r="I733" t="str">
        <f t="shared" si="58"/>
        <v>253</v>
      </c>
      <c r="J733" t="str">
        <f t="shared" si="58"/>
        <v>25390</v>
      </c>
      <c r="K733" t="str">
        <f t="shared" si="56"/>
        <v>2539001</v>
      </c>
      <c r="L733">
        <v>1</v>
      </c>
    </row>
    <row r="734" spans="3:12" x14ac:dyDescent="0.25">
      <c r="C734" t="s">
        <v>1864</v>
      </c>
      <c r="D734" t="s">
        <v>1864</v>
      </c>
      <c r="E734" t="s">
        <v>2595</v>
      </c>
      <c r="F734" s="2" t="s">
        <v>574</v>
      </c>
      <c r="G734" t="str">
        <f t="shared" si="58"/>
        <v>C</v>
      </c>
      <c r="H734" t="str">
        <f t="shared" si="58"/>
        <v>25</v>
      </c>
      <c r="I734" t="str">
        <f t="shared" si="58"/>
        <v>253</v>
      </c>
      <c r="J734" t="str">
        <f t="shared" si="58"/>
        <v>25390</v>
      </c>
      <c r="K734" t="str">
        <f t="shared" si="56"/>
        <v>2539002</v>
      </c>
      <c r="L734">
        <v>1</v>
      </c>
    </row>
    <row r="735" spans="3:12" x14ac:dyDescent="0.25">
      <c r="C735" t="s">
        <v>2596</v>
      </c>
      <c r="D735" t="s">
        <v>1864</v>
      </c>
      <c r="E735" t="s">
        <v>1864</v>
      </c>
      <c r="F735" s="2" t="s">
        <v>575</v>
      </c>
      <c r="G735" t="str">
        <f t="shared" si="58"/>
        <v>C</v>
      </c>
      <c r="H735" t="str">
        <f t="shared" si="58"/>
        <v>25</v>
      </c>
      <c r="I735" t="str">
        <f t="shared" si="58"/>
        <v>254</v>
      </c>
      <c r="J735" t="str">
        <f t="shared" si="58"/>
        <v>25390</v>
      </c>
      <c r="K735" t="str">
        <f t="shared" si="56"/>
        <v/>
      </c>
    </row>
    <row r="736" spans="3:12" x14ac:dyDescent="0.25">
      <c r="C736" t="s">
        <v>1864</v>
      </c>
      <c r="D736" t="s">
        <v>2597</v>
      </c>
      <c r="E736" t="s">
        <v>1864</v>
      </c>
      <c r="F736" s="2" t="s">
        <v>576</v>
      </c>
      <c r="G736" t="str">
        <f t="shared" si="58"/>
        <v>C</v>
      </c>
      <c r="H736" t="str">
        <f t="shared" si="58"/>
        <v>25</v>
      </c>
      <c r="I736" t="str">
        <f t="shared" si="58"/>
        <v>254</v>
      </c>
      <c r="J736" t="str">
        <f t="shared" si="58"/>
        <v>25411</v>
      </c>
      <c r="K736" t="str">
        <f t="shared" si="56"/>
        <v/>
      </c>
    </row>
    <row r="737" spans="3:12" x14ac:dyDescent="0.25">
      <c r="C737" t="s">
        <v>1864</v>
      </c>
      <c r="D737" t="s">
        <v>1864</v>
      </c>
      <c r="E737" t="s">
        <v>2598</v>
      </c>
      <c r="F737" s="2" t="s">
        <v>576</v>
      </c>
      <c r="G737" t="str">
        <f t="shared" si="58"/>
        <v>C</v>
      </c>
      <c r="H737" t="str">
        <f t="shared" si="58"/>
        <v>25</v>
      </c>
      <c r="I737" t="str">
        <f t="shared" si="58"/>
        <v>254</v>
      </c>
      <c r="J737" t="str">
        <f t="shared" si="58"/>
        <v>25411</v>
      </c>
      <c r="K737" t="str">
        <f t="shared" si="56"/>
        <v>2541100</v>
      </c>
      <c r="L737">
        <v>1</v>
      </c>
    </row>
    <row r="738" spans="3:12" x14ac:dyDescent="0.25">
      <c r="C738" t="s">
        <v>1864</v>
      </c>
      <c r="D738" t="s">
        <v>2599</v>
      </c>
      <c r="E738" t="s">
        <v>1864</v>
      </c>
      <c r="F738" s="2" t="s">
        <v>577</v>
      </c>
      <c r="G738" t="str">
        <f t="shared" si="58"/>
        <v>C</v>
      </c>
      <c r="H738" t="str">
        <f t="shared" si="58"/>
        <v>25</v>
      </c>
      <c r="I738" t="str">
        <f t="shared" si="58"/>
        <v>254</v>
      </c>
      <c r="J738" t="str">
        <f t="shared" si="58"/>
        <v>25420</v>
      </c>
      <c r="K738" t="str">
        <f t="shared" si="56"/>
        <v/>
      </c>
    </row>
    <row r="739" spans="3:12" x14ac:dyDescent="0.25">
      <c r="C739" t="s">
        <v>1864</v>
      </c>
      <c r="D739" t="s">
        <v>1864</v>
      </c>
      <c r="E739" t="s">
        <v>2600</v>
      </c>
      <c r="F739" s="2" t="s">
        <v>577</v>
      </c>
      <c r="G739" t="str">
        <f t="shared" si="58"/>
        <v>C</v>
      </c>
      <c r="H739" t="str">
        <f t="shared" si="58"/>
        <v>25</v>
      </c>
      <c r="I739" t="str">
        <f t="shared" si="58"/>
        <v>254</v>
      </c>
      <c r="J739" t="str">
        <f t="shared" si="58"/>
        <v>25420</v>
      </c>
      <c r="K739" t="str">
        <f t="shared" si="56"/>
        <v>2542000</v>
      </c>
      <c r="L739">
        <v>1</v>
      </c>
    </row>
    <row r="740" spans="3:12" x14ac:dyDescent="0.25">
      <c r="C740" t="s">
        <v>1864</v>
      </c>
      <c r="D740" t="s">
        <v>2601</v>
      </c>
      <c r="E740" t="s">
        <v>1864</v>
      </c>
      <c r="F740" s="2" t="s">
        <v>578</v>
      </c>
      <c r="G740" t="str">
        <f t="shared" si="58"/>
        <v>C</v>
      </c>
      <c r="H740" t="str">
        <f t="shared" si="58"/>
        <v>25</v>
      </c>
      <c r="I740" t="str">
        <f t="shared" si="58"/>
        <v>254</v>
      </c>
      <c r="J740" t="str">
        <f t="shared" si="58"/>
        <v>25438</v>
      </c>
      <c r="K740" t="str">
        <f t="shared" si="56"/>
        <v/>
      </c>
    </row>
    <row r="741" spans="3:12" x14ac:dyDescent="0.25">
      <c r="C741" t="s">
        <v>1864</v>
      </c>
      <c r="D741" t="s">
        <v>1864</v>
      </c>
      <c r="E741" t="s">
        <v>2602</v>
      </c>
      <c r="F741" s="2" t="s">
        <v>578</v>
      </c>
      <c r="G741" t="str">
        <f t="shared" si="58"/>
        <v>C</v>
      </c>
      <c r="H741" t="str">
        <f t="shared" si="58"/>
        <v>25</v>
      </c>
      <c r="I741" t="str">
        <f t="shared" si="58"/>
        <v>254</v>
      </c>
      <c r="J741" t="str">
        <f t="shared" si="58"/>
        <v>25438</v>
      </c>
      <c r="K741" t="str">
        <f t="shared" si="56"/>
        <v>2543800</v>
      </c>
      <c r="L741">
        <v>1</v>
      </c>
    </row>
    <row r="742" spans="3:12" x14ac:dyDescent="0.25">
      <c r="C742" t="s">
        <v>2603</v>
      </c>
      <c r="D742" t="s">
        <v>1864</v>
      </c>
      <c r="E742" t="s">
        <v>1864</v>
      </c>
      <c r="F742" s="2" t="s">
        <v>579</v>
      </c>
      <c r="G742" t="str">
        <f t="shared" si="58"/>
        <v>C</v>
      </c>
      <c r="H742" t="str">
        <f t="shared" si="58"/>
        <v>25</v>
      </c>
      <c r="I742" t="str">
        <f t="shared" si="58"/>
        <v>255</v>
      </c>
      <c r="J742" t="str">
        <f t="shared" si="58"/>
        <v>25438</v>
      </c>
      <c r="K742" t="str">
        <f t="shared" si="56"/>
        <v/>
      </c>
    </row>
    <row r="743" spans="3:12" x14ac:dyDescent="0.25">
      <c r="C743" t="s">
        <v>1864</v>
      </c>
      <c r="D743" t="s">
        <v>2604</v>
      </c>
      <c r="E743" t="s">
        <v>1864</v>
      </c>
      <c r="F743" s="2" t="s">
        <v>580</v>
      </c>
      <c r="G743" t="str">
        <f t="shared" si="58"/>
        <v>C</v>
      </c>
      <c r="H743" t="str">
        <f t="shared" si="58"/>
        <v>25</v>
      </c>
      <c r="I743" t="str">
        <f t="shared" si="58"/>
        <v>255</v>
      </c>
      <c r="J743" t="str">
        <f t="shared" si="58"/>
        <v>25501</v>
      </c>
      <c r="K743" t="str">
        <f t="shared" si="56"/>
        <v/>
      </c>
    </row>
    <row r="744" spans="3:12" x14ac:dyDescent="0.25">
      <c r="C744" t="s">
        <v>1864</v>
      </c>
      <c r="D744" t="s">
        <v>1864</v>
      </c>
      <c r="E744" t="s">
        <v>2605</v>
      </c>
      <c r="F744" s="2" t="s">
        <v>581</v>
      </c>
      <c r="G744" t="str">
        <f t="shared" si="58"/>
        <v>C</v>
      </c>
      <c r="H744" t="str">
        <f t="shared" si="58"/>
        <v>25</v>
      </c>
      <c r="I744" t="str">
        <f t="shared" si="58"/>
        <v>255</v>
      </c>
      <c r="J744" t="str">
        <f t="shared" si="58"/>
        <v>25501</v>
      </c>
      <c r="K744" t="str">
        <f t="shared" si="56"/>
        <v>2550101</v>
      </c>
      <c r="L744">
        <v>0</v>
      </c>
    </row>
    <row r="745" spans="3:12" x14ac:dyDescent="0.25">
      <c r="C745" t="s">
        <v>1864</v>
      </c>
      <c r="D745" t="s">
        <v>1864</v>
      </c>
      <c r="E745" t="s">
        <v>2606</v>
      </c>
      <c r="F745" s="2" t="s">
        <v>582</v>
      </c>
      <c r="G745" t="str">
        <f t="shared" ref="G745:J760" si="59">IF(A745="",G744,A745)</f>
        <v>C</v>
      </c>
      <c r="H745" t="str">
        <f t="shared" si="59"/>
        <v>25</v>
      </c>
      <c r="I745" t="str">
        <f t="shared" si="59"/>
        <v>255</v>
      </c>
      <c r="J745" t="str">
        <f t="shared" si="59"/>
        <v>25501</v>
      </c>
      <c r="K745" t="str">
        <f t="shared" si="56"/>
        <v>2550102</v>
      </c>
      <c r="L745">
        <v>0</v>
      </c>
    </row>
    <row r="746" spans="3:12" x14ac:dyDescent="0.25">
      <c r="C746" t="s">
        <v>2607</v>
      </c>
      <c r="D746" t="s">
        <v>1864</v>
      </c>
      <c r="E746" t="s">
        <v>1864</v>
      </c>
      <c r="F746" s="2" t="s">
        <v>583</v>
      </c>
      <c r="G746" t="str">
        <f t="shared" si="59"/>
        <v>C</v>
      </c>
      <c r="H746" t="str">
        <f t="shared" si="59"/>
        <v>25</v>
      </c>
      <c r="I746" t="str">
        <f t="shared" si="59"/>
        <v>259</v>
      </c>
      <c r="J746" t="str">
        <f t="shared" si="59"/>
        <v>25501</v>
      </c>
      <c r="K746" t="str">
        <f t="shared" si="56"/>
        <v/>
      </c>
    </row>
    <row r="747" spans="3:12" x14ac:dyDescent="0.25">
      <c r="C747" t="s">
        <v>1864</v>
      </c>
      <c r="D747" t="s">
        <v>2608</v>
      </c>
      <c r="E747" t="s">
        <v>1864</v>
      </c>
      <c r="F747" s="2" t="s">
        <v>584</v>
      </c>
      <c r="G747" t="str">
        <f t="shared" si="59"/>
        <v>C</v>
      </c>
      <c r="H747" t="str">
        <f t="shared" si="59"/>
        <v>25</v>
      </c>
      <c r="I747" t="str">
        <f t="shared" si="59"/>
        <v>259</v>
      </c>
      <c r="J747" t="str">
        <f t="shared" si="59"/>
        <v>25918</v>
      </c>
      <c r="K747" t="str">
        <f t="shared" si="56"/>
        <v/>
      </c>
    </row>
    <row r="748" spans="3:12" x14ac:dyDescent="0.25">
      <c r="C748" t="s">
        <v>1864</v>
      </c>
      <c r="D748" t="s">
        <v>1864</v>
      </c>
      <c r="E748" t="s">
        <v>2609</v>
      </c>
      <c r="F748" s="2" t="s">
        <v>584</v>
      </c>
      <c r="G748" t="str">
        <f t="shared" si="59"/>
        <v>C</v>
      </c>
      <c r="H748" t="str">
        <f t="shared" si="59"/>
        <v>25</v>
      </c>
      <c r="I748" t="str">
        <f t="shared" si="59"/>
        <v>259</v>
      </c>
      <c r="J748" t="str">
        <f t="shared" si="59"/>
        <v>25918</v>
      </c>
      <c r="K748" t="str">
        <f t="shared" si="56"/>
        <v>2591800</v>
      </c>
      <c r="L748">
        <v>1</v>
      </c>
    </row>
    <row r="749" spans="3:12" x14ac:dyDescent="0.25">
      <c r="C749" t="s">
        <v>1864</v>
      </c>
      <c r="D749" t="s">
        <v>2610</v>
      </c>
      <c r="E749" t="s">
        <v>1864</v>
      </c>
      <c r="F749" s="2" t="s">
        <v>585</v>
      </c>
      <c r="G749" t="str">
        <f t="shared" si="59"/>
        <v>C</v>
      </c>
      <c r="H749" t="str">
        <f t="shared" si="59"/>
        <v>25</v>
      </c>
      <c r="I749" t="str">
        <f t="shared" si="59"/>
        <v>259</v>
      </c>
      <c r="J749" t="str">
        <f t="shared" si="59"/>
        <v>25926</v>
      </c>
      <c r="K749" t="str">
        <f t="shared" si="56"/>
        <v/>
      </c>
    </row>
    <row r="750" spans="3:12" x14ac:dyDescent="0.25">
      <c r="C750" t="s">
        <v>1864</v>
      </c>
      <c r="D750" t="s">
        <v>1864</v>
      </c>
      <c r="E750" t="s">
        <v>2611</v>
      </c>
      <c r="F750" s="2" t="s">
        <v>586</v>
      </c>
      <c r="G750" t="str">
        <f t="shared" si="59"/>
        <v>C</v>
      </c>
      <c r="H750" t="str">
        <f t="shared" si="59"/>
        <v>25</v>
      </c>
      <c r="I750" t="str">
        <f t="shared" si="59"/>
        <v>259</v>
      </c>
      <c r="J750" t="str">
        <f t="shared" si="59"/>
        <v>25926</v>
      </c>
      <c r="K750" t="str">
        <f t="shared" si="56"/>
        <v>2592601</v>
      </c>
      <c r="L750">
        <v>1</v>
      </c>
    </row>
    <row r="751" spans="3:12" x14ac:dyDescent="0.25">
      <c r="C751" t="s">
        <v>1864</v>
      </c>
      <c r="D751" t="s">
        <v>1864</v>
      </c>
      <c r="E751" t="s">
        <v>2612</v>
      </c>
      <c r="F751" s="2" t="s">
        <v>587</v>
      </c>
      <c r="G751" t="str">
        <f t="shared" si="59"/>
        <v>C</v>
      </c>
      <c r="H751" t="str">
        <f t="shared" si="59"/>
        <v>25</v>
      </c>
      <c r="I751" t="str">
        <f t="shared" si="59"/>
        <v>259</v>
      </c>
      <c r="J751" t="str">
        <f t="shared" si="59"/>
        <v>25926</v>
      </c>
      <c r="K751" t="str">
        <f t="shared" si="56"/>
        <v>2592602</v>
      </c>
      <c r="L751">
        <v>1</v>
      </c>
    </row>
    <row r="752" spans="3:12" x14ac:dyDescent="0.25">
      <c r="C752" t="s">
        <v>1864</v>
      </c>
      <c r="D752" t="s">
        <v>2613</v>
      </c>
      <c r="E752" t="s">
        <v>1864</v>
      </c>
      <c r="F752" s="2" t="s">
        <v>588</v>
      </c>
      <c r="G752" t="str">
        <f t="shared" si="59"/>
        <v>C</v>
      </c>
      <c r="H752" t="str">
        <f t="shared" si="59"/>
        <v>25</v>
      </c>
      <c r="I752" t="str">
        <f t="shared" si="59"/>
        <v>259</v>
      </c>
      <c r="J752" t="str">
        <f t="shared" si="59"/>
        <v>25934</v>
      </c>
      <c r="K752" t="str">
        <f t="shared" si="56"/>
        <v/>
      </c>
    </row>
    <row r="753" spans="2:12" x14ac:dyDescent="0.25">
      <c r="C753" t="s">
        <v>1864</v>
      </c>
      <c r="D753" t="s">
        <v>1864</v>
      </c>
      <c r="E753" t="s">
        <v>2614</v>
      </c>
      <c r="F753" s="2" t="s">
        <v>588</v>
      </c>
      <c r="G753" t="str">
        <f t="shared" si="59"/>
        <v>C</v>
      </c>
      <c r="H753" t="str">
        <f t="shared" si="59"/>
        <v>25</v>
      </c>
      <c r="I753" t="str">
        <f t="shared" si="59"/>
        <v>259</v>
      </c>
      <c r="J753" t="str">
        <f t="shared" si="59"/>
        <v>25934</v>
      </c>
      <c r="K753" t="str">
        <f t="shared" si="56"/>
        <v>2593400</v>
      </c>
      <c r="L753">
        <v>1</v>
      </c>
    </row>
    <row r="754" spans="2:12" x14ac:dyDescent="0.25">
      <c r="C754" t="s">
        <v>1864</v>
      </c>
      <c r="D754" t="s">
        <v>2615</v>
      </c>
      <c r="E754" t="s">
        <v>1864</v>
      </c>
      <c r="F754" s="2" t="s">
        <v>583</v>
      </c>
      <c r="G754" t="str">
        <f t="shared" si="59"/>
        <v>C</v>
      </c>
      <c r="H754" t="str">
        <f t="shared" si="59"/>
        <v>25</v>
      </c>
      <c r="I754" t="str">
        <f t="shared" si="59"/>
        <v>259</v>
      </c>
      <c r="J754" t="str">
        <f t="shared" si="59"/>
        <v>25993</v>
      </c>
      <c r="K754" t="str">
        <f t="shared" si="56"/>
        <v/>
      </c>
    </row>
    <row r="755" spans="2:12" x14ac:dyDescent="0.25">
      <c r="C755" t="s">
        <v>1864</v>
      </c>
      <c r="D755" t="s">
        <v>1864</v>
      </c>
      <c r="E755" t="s">
        <v>2616</v>
      </c>
      <c r="F755" s="2" t="s">
        <v>589</v>
      </c>
      <c r="G755" t="str">
        <f t="shared" si="59"/>
        <v>C</v>
      </c>
      <c r="H755" t="str">
        <f t="shared" si="59"/>
        <v>25</v>
      </c>
      <c r="I755" t="str">
        <f t="shared" si="59"/>
        <v>259</v>
      </c>
      <c r="J755" t="str">
        <f t="shared" si="59"/>
        <v>25993</v>
      </c>
      <c r="K755" t="str">
        <f t="shared" si="56"/>
        <v>2599301</v>
      </c>
      <c r="L755">
        <v>1</v>
      </c>
    </row>
    <row r="756" spans="2:12" x14ac:dyDescent="0.25">
      <c r="C756" t="s">
        <v>1864</v>
      </c>
      <c r="D756" t="s">
        <v>1864</v>
      </c>
      <c r="E756" t="s">
        <v>2617</v>
      </c>
      <c r="F756" s="2" t="s">
        <v>590</v>
      </c>
      <c r="G756" t="str">
        <f t="shared" si="59"/>
        <v>C</v>
      </c>
      <c r="H756" t="str">
        <f t="shared" si="59"/>
        <v>25</v>
      </c>
      <c r="I756" t="str">
        <f t="shared" si="59"/>
        <v>259</v>
      </c>
      <c r="J756" t="str">
        <f t="shared" si="59"/>
        <v>25993</v>
      </c>
      <c r="K756" t="str">
        <f t="shared" si="56"/>
        <v>2599302</v>
      </c>
      <c r="L756">
        <v>1</v>
      </c>
    </row>
    <row r="757" spans="2:12" x14ac:dyDescent="0.25">
      <c r="C757" t="s">
        <v>1864</v>
      </c>
      <c r="D757" t="s">
        <v>1864</v>
      </c>
      <c r="E757" t="s">
        <v>2618</v>
      </c>
      <c r="F757" s="2" t="s">
        <v>591</v>
      </c>
      <c r="G757" t="str">
        <f t="shared" si="59"/>
        <v>C</v>
      </c>
      <c r="H757" t="str">
        <f t="shared" si="59"/>
        <v>25</v>
      </c>
      <c r="I757" t="str">
        <f t="shared" si="59"/>
        <v>259</v>
      </c>
      <c r="J757" t="str">
        <f t="shared" si="59"/>
        <v>25993</v>
      </c>
      <c r="K757" t="str">
        <f t="shared" si="56"/>
        <v>2599399</v>
      </c>
      <c r="L757">
        <v>1</v>
      </c>
    </row>
    <row r="758" spans="2:12" x14ac:dyDescent="0.25">
      <c r="B758" t="s">
        <v>2619</v>
      </c>
      <c r="C758" t="s">
        <v>1864</v>
      </c>
      <c r="D758" t="s">
        <v>1864</v>
      </c>
      <c r="E758" t="s">
        <v>1864</v>
      </c>
      <c r="F758" t="s">
        <v>592</v>
      </c>
      <c r="G758" t="str">
        <f t="shared" si="59"/>
        <v>C</v>
      </c>
      <c r="H758" t="str">
        <f t="shared" si="59"/>
        <v>26</v>
      </c>
      <c r="I758" t="str">
        <f t="shared" si="59"/>
        <v>259</v>
      </c>
      <c r="J758" t="str">
        <f t="shared" si="59"/>
        <v>25993</v>
      </c>
      <c r="K758" t="str">
        <f t="shared" si="56"/>
        <v/>
      </c>
    </row>
    <row r="759" spans="2:12" x14ac:dyDescent="0.25">
      <c r="C759" t="s">
        <v>2620</v>
      </c>
      <c r="D759" t="s">
        <v>1864</v>
      </c>
      <c r="E759" t="s">
        <v>1864</v>
      </c>
      <c r="F759" t="s">
        <v>593</v>
      </c>
      <c r="G759" t="str">
        <f t="shared" si="59"/>
        <v>C</v>
      </c>
      <c r="H759" t="str">
        <f t="shared" si="59"/>
        <v>26</v>
      </c>
      <c r="I759" t="str">
        <f t="shared" si="59"/>
        <v>261</v>
      </c>
      <c r="J759" t="str">
        <f t="shared" si="59"/>
        <v>25993</v>
      </c>
      <c r="K759" t="str">
        <f t="shared" si="56"/>
        <v/>
      </c>
    </row>
    <row r="760" spans="2:12" x14ac:dyDescent="0.25">
      <c r="C760" t="s">
        <v>1864</v>
      </c>
      <c r="D760" t="s">
        <v>2621</v>
      </c>
      <c r="E760" t="s">
        <v>1864</v>
      </c>
      <c r="F760" t="s">
        <v>593</v>
      </c>
      <c r="G760" t="str">
        <f t="shared" si="59"/>
        <v>C</v>
      </c>
      <c r="H760" t="str">
        <f t="shared" si="59"/>
        <v>26</v>
      </c>
      <c r="I760" t="str">
        <f t="shared" si="59"/>
        <v>261</v>
      </c>
      <c r="J760" t="str">
        <f t="shared" si="59"/>
        <v>26108</v>
      </c>
      <c r="K760" t="str">
        <f t="shared" si="56"/>
        <v/>
      </c>
    </row>
    <row r="761" spans="2:12" x14ac:dyDescent="0.25">
      <c r="C761" t="s">
        <v>1864</v>
      </c>
      <c r="D761" t="s">
        <v>1864</v>
      </c>
      <c r="E761" t="s">
        <v>2622</v>
      </c>
      <c r="F761" t="s">
        <v>593</v>
      </c>
      <c r="G761" t="str">
        <f t="shared" ref="G761:J776" si="60">IF(A761="",G760,A761)</f>
        <v>C</v>
      </c>
      <c r="H761" t="str">
        <f t="shared" si="60"/>
        <v>26</v>
      </c>
      <c r="I761" t="str">
        <f t="shared" si="60"/>
        <v>261</v>
      </c>
      <c r="J761" t="str">
        <f t="shared" si="60"/>
        <v>26108</v>
      </c>
      <c r="K761" t="str">
        <f t="shared" si="56"/>
        <v>2610800</v>
      </c>
      <c r="L761">
        <v>1</v>
      </c>
    </row>
    <row r="762" spans="2:12" x14ac:dyDescent="0.25">
      <c r="C762" t="s">
        <v>2623</v>
      </c>
      <c r="D762" t="s">
        <v>1864</v>
      </c>
      <c r="E762" t="s">
        <v>1864</v>
      </c>
      <c r="F762" t="s">
        <v>594</v>
      </c>
      <c r="G762" t="str">
        <f t="shared" si="60"/>
        <v>C</v>
      </c>
      <c r="H762" t="str">
        <f t="shared" si="60"/>
        <v>26</v>
      </c>
      <c r="I762" t="str">
        <f t="shared" si="60"/>
        <v>262</v>
      </c>
      <c r="J762" t="str">
        <f t="shared" si="60"/>
        <v>26108</v>
      </c>
      <c r="K762" t="str">
        <f t="shared" si="56"/>
        <v/>
      </c>
    </row>
    <row r="763" spans="2:12" x14ac:dyDescent="0.25">
      <c r="C763" t="s">
        <v>1864</v>
      </c>
      <c r="D763" t="s">
        <v>2624</v>
      </c>
      <c r="E763" t="s">
        <v>1864</v>
      </c>
      <c r="F763" t="s">
        <v>595</v>
      </c>
      <c r="G763" t="str">
        <f t="shared" si="60"/>
        <v>C</v>
      </c>
      <c r="H763" t="str">
        <f t="shared" si="60"/>
        <v>26</v>
      </c>
      <c r="I763" t="str">
        <f t="shared" si="60"/>
        <v>262</v>
      </c>
      <c r="J763" t="str">
        <f t="shared" si="60"/>
        <v>26213</v>
      </c>
      <c r="K763" t="str">
        <f t="shared" si="56"/>
        <v/>
      </c>
    </row>
    <row r="764" spans="2:12" x14ac:dyDescent="0.25">
      <c r="C764" t="s">
        <v>1864</v>
      </c>
      <c r="D764" t="s">
        <v>1864</v>
      </c>
      <c r="E764" t="s">
        <v>2625</v>
      </c>
      <c r="F764" t="s">
        <v>595</v>
      </c>
      <c r="G764" t="str">
        <f t="shared" si="60"/>
        <v>C</v>
      </c>
      <c r="H764" t="str">
        <f t="shared" si="60"/>
        <v>26</v>
      </c>
      <c r="I764" t="str">
        <f t="shared" si="60"/>
        <v>262</v>
      </c>
      <c r="J764" t="str">
        <f t="shared" si="60"/>
        <v>26213</v>
      </c>
      <c r="K764" t="str">
        <f t="shared" si="56"/>
        <v>2621300</v>
      </c>
      <c r="L764">
        <v>1</v>
      </c>
    </row>
    <row r="765" spans="2:12" x14ac:dyDescent="0.25">
      <c r="C765" t="s">
        <v>1864</v>
      </c>
      <c r="D765" t="s">
        <v>2626</v>
      </c>
      <c r="E765" t="s">
        <v>1864</v>
      </c>
      <c r="F765" t="s">
        <v>596</v>
      </c>
      <c r="G765" t="str">
        <f t="shared" si="60"/>
        <v>C</v>
      </c>
      <c r="H765" t="str">
        <f t="shared" si="60"/>
        <v>26</v>
      </c>
      <c r="I765" t="str">
        <f t="shared" si="60"/>
        <v>262</v>
      </c>
      <c r="J765" t="str">
        <f t="shared" si="60"/>
        <v>26221</v>
      </c>
      <c r="K765" t="str">
        <f t="shared" si="56"/>
        <v/>
      </c>
    </row>
    <row r="766" spans="2:12" x14ac:dyDescent="0.25">
      <c r="C766" t="s">
        <v>1864</v>
      </c>
      <c r="D766" t="s">
        <v>1864</v>
      </c>
      <c r="E766" t="s">
        <v>2627</v>
      </c>
      <c r="F766" t="s">
        <v>596</v>
      </c>
      <c r="G766" t="str">
        <f t="shared" si="60"/>
        <v>C</v>
      </c>
      <c r="H766" t="str">
        <f t="shared" si="60"/>
        <v>26</v>
      </c>
      <c r="I766" t="str">
        <f t="shared" si="60"/>
        <v>262</v>
      </c>
      <c r="J766" t="str">
        <f t="shared" si="60"/>
        <v>26221</v>
      </c>
      <c r="K766" t="str">
        <f t="shared" si="56"/>
        <v>2622100</v>
      </c>
      <c r="L766">
        <v>1</v>
      </c>
    </row>
    <row r="767" spans="2:12" x14ac:dyDescent="0.25">
      <c r="C767" t="s">
        <v>2628</v>
      </c>
      <c r="D767" t="s">
        <v>1864</v>
      </c>
      <c r="E767" t="s">
        <v>1864</v>
      </c>
      <c r="F767" t="s">
        <v>597</v>
      </c>
      <c r="G767" t="str">
        <f t="shared" si="60"/>
        <v>C</v>
      </c>
      <c r="H767" t="str">
        <f t="shared" si="60"/>
        <v>26</v>
      </c>
      <c r="I767" t="str">
        <f t="shared" si="60"/>
        <v>263</v>
      </c>
      <c r="J767" t="str">
        <f t="shared" si="60"/>
        <v>26221</v>
      </c>
      <c r="K767" t="str">
        <f t="shared" si="56"/>
        <v/>
      </c>
    </row>
    <row r="768" spans="2:12" x14ac:dyDescent="0.25">
      <c r="C768" t="s">
        <v>1864</v>
      </c>
      <c r="D768" t="s">
        <v>2629</v>
      </c>
      <c r="E768" t="s">
        <v>1864</v>
      </c>
      <c r="F768" t="s">
        <v>598</v>
      </c>
      <c r="G768" t="str">
        <f t="shared" si="60"/>
        <v>C</v>
      </c>
      <c r="H768" t="str">
        <f t="shared" si="60"/>
        <v>26</v>
      </c>
      <c r="I768" t="str">
        <f t="shared" si="60"/>
        <v>263</v>
      </c>
      <c r="J768" t="str">
        <f t="shared" si="60"/>
        <v>26311</v>
      </c>
      <c r="K768" t="str">
        <f t="shared" si="56"/>
        <v/>
      </c>
    </row>
    <row r="769" spans="3:12" x14ac:dyDescent="0.25">
      <c r="C769" t="s">
        <v>1864</v>
      </c>
      <c r="D769" t="s">
        <v>1864</v>
      </c>
      <c r="E769" t="s">
        <v>2630</v>
      </c>
      <c r="F769" t="s">
        <v>599</v>
      </c>
      <c r="G769" t="str">
        <f t="shared" si="60"/>
        <v>C</v>
      </c>
      <c r="H769" t="str">
        <f t="shared" si="60"/>
        <v>26</v>
      </c>
      <c r="I769" t="str">
        <f t="shared" si="60"/>
        <v>263</v>
      </c>
      <c r="J769" t="str">
        <f t="shared" si="60"/>
        <v>26311</v>
      </c>
      <c r="K769" t="str">
        <f t="shared" si="56"/>
        <v>2631100</v>
      </c>
      <c r="L769">
        <v>1</v>
      </c>
    </row>
    <row r="770" spans="3:12" x14ac:dyDescent="0.25">
      <c r="C770" t="s">
        <v>1864</v>
      </c>
      <c r="D770" t="s">
        <v>2631</v>
      </c>
      <c r="E770" t="s">
        <v>1864</v>
      </c>
      <c r="F770" t="s">
        <v>600</v>
      </c>
      <c r="G770" t="str">
        <f t="shared" si="60"/>
        <v>C</v>
      </c>
      <c r="H770" t="str">
        <f t="shared" si="60"/>
        <v>26</v>
      </c>
      <c r="I770" t="str">
        <f t="shared" si="60"/>
        <v>263</v>
      </c>
      <c r="J770" t="str">
        <f t="shared" si="60"/>
        <v>26329</v>
      </c>
      <c r="K770" t="str">
        <f t="shared" si="56"/>
        <v/>
      </c>
    </row>
    <row r="771" spans="3:12" x14ac:dyDescent="0.25">
      <c r="C771" t="s">
        <v>1864</v>
      </c>
      <c r="D771" t="s">
        <v>1864</v>
      </c>
      <c r="E771" t="s">
        <v>2632</v>
      </c>
      <c r="F771" t="s">
        <v>601</v>
      </c>
      <c r="G771" t="str">
        <f t="shared" si="60"/>
        <v>C</v>
      </c>
      <c r="H771" t="str">
        <f t="shared" si="60"/>
        <v>26</v>
      </c>
      <c r="I771" t="str">
        <f t="shared" si="60"/>
        <v>263</v>
      </c>
      <c r="J771" t="str">
        <f t="shared" si="60"/>
        <v>26329</v>
      </c>
      <c r="K771" t="str">
        <f t="shared" si="56"/>
        <v>2632900</v>
      </c>
      <c r="L771">
        <v>1</v>
      </c>
    </row>
    <row r="772" spans="3:12" x14ac:dyDescent="0.25">
      <c r="C772" t="s">
        <v>2633</v>
      </c>
      <c r="D772" t="s">
        <v>1864</v>
      </c>
      <c r="E772" t="s">
        <v>1864</v>
      </c>
      <c r="F772" t="s">
        <v>602</v>
      </c>
      <c r="G772" t="str">
        <f t="shared" si="60"/>
        <v>C</v>
      </c>
      <c r="H772" t="str">
        <f t="shared" si="60"/>
        <v>26</v>
      </c>
      <c r="I772" t="str">
        <f t="shared" si="60"/>
        <v>264</v>
      </c>
      <c r="J772" t="str">
        <f t="shared" si="60"/>
        <v>26329</v>
      </c>
      <c r="K772" t="str">
        <f t="shared" si="56"/>
        <v/>
      </c>
    </row>
    <row r="773" spans="3:12" x14ac:dyDescent="0.25">
      <c r="C773" t="s">
        <v>1864</v>
      </c>
      <c r="D773" t="s">
        <v>2634</v>
      </c>
      <c r="E773" t="s">
        <v>1864</v>
      </c>
      <c r="F773" t="s">
        <v>602</v>
      </c>
      <c r="G773" t="str">
        <f t="shared" si="60"/>
        <v>C</v>
      </c>
      <c r="H773" t="str">
        <f t="shared" si="60"/>
        <v>26</v>
      </c>
      <c r="I773" t="str">
        <f t="shared" si="60"/>
        <v>264</v>
      </c>
      <c r="J773" t="str">
        <f t="shared" si="60"/>
        <v>26400</v>
      </c>
      <c r="K773" t="str">
        <f t="shared" si="56"/>
        <v/>
      </c>
    </row>
    <row r="774" spans="3:12" x14ac:dyDescent="0.25">
      <c r="C774" t="s">
        <v>1864</v>
      </c>
      <c r="D774" t="s">
        <v>1864</v>
      </c>
      <c r="E774" t="s">
        <v>2635</v>
      </c>
      <c r="F774" t="s">
        <v>602</v>
      </c>
      <c r="G774" t="str">
        <f t="shared" si="60"/>
        <v>C</v>
      </c>
      <c r="H774" t="str">
        <f t="shared" si="60"/>
        <v>26</v>
      </c>
      <c r="I774" t="str">
        <f t="shared" si="60"/>
        <v>264</v>
      </c>
      <c r="J774" t="str">
        <f t="shared" si="60"/>
        <v>26400</v>
      </c>
      <c r="K774" t="str">
        <f t="shared" si="56"/>
        <v>2640000</v>
      </c>
      <c r="L774">
        <v>1</v>
      </c>
    </row>
    <row r="775" spans="3:12" x14ac:dyDescent="0.25">
      <c r="C775" t="s">
        <v>2636</v>
      </c>
      <c r="D775" t="s">
        <v>1864</v>
      </c>
      <c r="E775" t="s">
        <v>1864</v>
      </c>
      <c r="F775" t="s">
        <v>603</v>
      </c>
      <c r="G775" t="str">
        <f t="shared" si="60"/>
        <v>C</v>
      </c>
      <c r="H775" t="str">
        <f t="shared" si="60"/>
        <v>26</v>
      </c>
      <c r="I775" t="str">
        <f t="shared" si="60"/>
        <v>265</v>
      </c>
      <c r="J775" t="str">
        <f t="shared" si="60"/>
        <v>26400</v>
      </c>
      <c r="K775" t="str">
        <f t="shared" si="56"/>
        <v/>
      </c>
    </row>
    <row r="776" spans="3:12" x14ac:dyDescent="0.25">
      <c r="C776" t="s">
        <v>1864</v>
      </c>
      <c r="D776" t="s">
        <v>2637</v>
      </c>
      <c r="E776" t="s">
        <v>1864</v>
      </c>
      <c r="F776" t="s">
        <v>604</v>
      </c>
      <c r="G776" t="str">
        <f t="shared" si="60"/>
        <v>C</v>
      </c>
      <c r="H776" t="str">
        <f t="shared" si="60"/>
        <v>26</v>
      </c>
      <c r="I776" t="str">
        <f t="shared" si="60"/>
        <v>265</v>
      </c>
      <c r="J776" t="str">
        <f t="shared" si="60"/>
        <v>26515</v>
      </c>
      <c r="K776" t="str">
        <f t="shared" ref="K776:K839" si="61">E776</f>
        <v/>
      </c>
    </row>
    <row r="777" spans="3:12" x14ac:dyDescent="0.25">
      <c r="C777" t="s">
        <v>1864</v>
      </c>
      <c r="D777" t="s">
        <v>1864</v>
      </c>
      <c r="E777" t="s">
        <v>2638</v>
      </c>
      <c r="F777" t="s">
        <v>605</v>
      </c>
      <c r="G777" t="str">
        <f t="shared" ref="G777:J792" si="62">IF(A777="",G776,A777)</f>
        <v>C</v>
      </c>
      <c r="H777" t="str">
        <f t="shared" si="62"/>
        <v>26</v>
      </c>
      <c r="I777" t="str">
        <f t="shared" si="62"/>
        <v>265</v>
      </c>
      <c r="J777" t="str">
        <f t="shared" si="62"/>
        <v>26515</v>
      </c>
      <c r="K777" t="str">
        <f t="shared" si="61"/>
        <v>2651500</v>
      </c>
      <c r="L777">
        <v>1</v>
      </c>
    </row>
    <row r="778" spans="3:12" x14ac:dyDescent="0.25">
      <c r="C778" t="s">
        <v>1864</v>
      </c>
      <c r="D778" t="s">
        <v>2639</v>
      </c>
      <c r="E778" t="s">
        <v>1864</v>
      </c>
      <c r="F778" t="s">
        <v>606</v>
      </c>
      <c r="G778" t="str">
        <f t="shared" si="62"/>
        <v>C</v>
      </c>
      <c r="H778" t="str">
        <f t="shared" si="62"/>
        <v>26</v>
      </c>
      <c r="I778" t="str">
        <f t="shared" si="62"/>
        <v>265</v>
      </c>
      <c r="J778" t="str">
        <f t="shared" si="62"/>
        <v>26523</v>
      </c>
      <c r="K778" t="str">
        <f t="shared" si="61"/>
        <v/>
      </c>
    </row>
    <row r="779" spans="3:12" x14ac:dyDescent="0.25">
      <c r="C779" t="s">
        <v>1864</v>
      </c>
      <c r="D779" t="s">
        <v>1864</v>
      </c>
      <c r="E779" t="s">
        <v>2640</v>
      </c>
      <c r="F779" t="s">
        <v>606</v>
      </c>
      <c r="G779" t="str">
        <f t="shared" si="62"/>
        <v>C</v>
      </c>
      <c r="H779" t="str">
        <f t="shared" si="62"/>
        <v>26</v>
      </c>
      <c r="I779" t="str">
        <f t="shared" si="62"/>
        <v>265</v>
      </c>
      <c r="J779" t="str">
        <f t="shared" si="62"/>
        <v>26523</v>
      </c>
      <c r="K779" t="str">
        <f t="shared" si="61"/>
        <v>2652300</v>
      </c>
      <c r="L779">
        <v>1</v>
      </c>
    </row>
    <row r="780" spans="3:12" x14ac:dyDescent="0.25">
      <c r="C780" t="s">
        <v>2641</v>
      </c>
      <c r="D780" t="s">
        <v>1864</v>
      </c>
      <c r="E780" t="s">
        <v>1864</v>
      </c>
      <c r="F780" t="s">
        <v>607</v>
      </c>
      <c r="G780" t="str">
        <f t="shared" si="62"/>
        <v>C</v>
      </c>
      <c r="H780" t="str">
        <f t="shared" si="62"/>
        <v>26</v>
      </c>
      <c r="I780" t="str">
        <f t="shared" si="62"/>
        <v>266</v>
      </c>
      <c r="J780" t="str">
        <f t="shared" si="62"/>
        <v>26523</v>
      </c>
      <c r="K780" t="str">
        <f t="shared" si="61"/>
        <v/>
      </c>
    </row>
    <row r="781" spans="3:12" x14ac:dyDescent="0.25">
      <c r="C781" t="s">
        <v>1864</v>
      </c>
      <c r="D781" t="s">
        <v>2642</v>
      </c>
      <c r="E781" t="s">
        <v>1864</v>
      </c>
      <c r="F781" t="s">
        <v>607</v>
      </c>
      <c r="G781" t="str">
        <f t="shared" si="62"/>
        <v>C</v>
      </c>
      <c r="H781" t="str">
        <f t="shared" si="62"/>
        <v>26</v>
      </c>
      <c r="I781" t="str">
        <f t="shared" si="62"/>
        <v>266</v>
      </c>
      <c r="J781" t="str">
        <f t="shared" si="62"/>
        <v>26604</v>
      </c>
      <c r="K781" t="str">
        <f t="shared" si="61"/>
        <v/>
      </c>
    </row>
    <row r="782" spans="3:12" x14ac:dyDescent="0.25">
      <c r="C782" t="s">
        <v>1864</v>
      </c>
      <c r="D782" t="s">
        <v>1864</v>
      </c>
      <c r="E782" t="s">
        <v>2643</v>
      </c>
      <c r="F782" t="s">
        <v>607</v>
      </c>
      <c r="G782" t="str">
        <f t="shared" si="62"/>
        <v>C</v>
      </c>
      <c r="H782" t="str">
        <f t="shared" si="62"/>
        <v>26</v>
      </c>
      <c r="I782" t="str">
        <f t="shared" si="62"/>
        <v>266</v>
      </c>
      <c r="J782" t="str">
        <f t="shared" si="62"/>
        <v>26604</v>
      </c>
      <c r="K782" t="str">
        <f t="shared" si="61"/>
        <v>2660400</v>
      </c>
      <c r="L782">
        <v>1</v>
      </c>
    </row>
    <row r="783" spans="3:12" x14ac:dyDescent="0.25">
      <c r="C783" t="s">
        <v>2644</v>
      </c>
      <c r="D783" t="s">
        <v>1864</v>
      </c>
      <c r="E783" t="s">
        <v>1864</v>
      </c>
      <c r="F783" t="s">
        <v>608</v>
      </c>
      <c r="G783" t="str">
        <f t="shared" si="62"/>
        <v>C</v>
      </c>
      <c r="H783" t="str">
        <f t="shared" si="62"/>
        <v>26</v>
      </c>
      <c r="I783" t="str">
        <f t="shared" si="62"/>
        <v>267</v>
      </c>
      <c r="J783" t="str">
        <f t="shared" si="62"/>
        <v>26604</v>
      </c>
      <c r="K783" t="str">
        <f t="shared" si="61"/>
        <v/>
      </c>
    </row>
    <row r="784" spans="3:12" x14ac:dyDescent="0.25">
      <c r="C784" t="s">
        <v>1864</v>
      </c>
      <c r="D784" t="s">
        <v>2645</v>
      </c>
      <c r="E784" t="s">
        <v>1864</v>
      </c>
      <c r="F784" t="s">
        <v>608</v>
      </c>
      <c r="G784" t="str">
        <f t="shared" si="62"/>
        <v>C</v>
      </c>
      <c r="H784" t="str">
        <f t="shared" si="62"/>
        <v>26</v>
      </c>
      <c r="I784" t="str">
        <f t="shared" si="62"/>
        <v>267</v>
      </c>
      <c r="J784" t="str">
        <f t="shared" si="62"/>
        <v>26701</v>
      </c>
      <c r="K784" t="str">
        <f t="shared" si="61"/>
        <v/>
      </c>
    </row>
    <row r="785" spans="2:12" x14ac:dyDescent="0.25">
      <c r="C785" t="s">
        <v>1864</v>
      </c>
      <c r="D785" t="s">
        <v>1864</v>
      </c>
      <c r="E785" t="s">
        <v>2646</v>
      </c>
      <c r="F785" t="s">
        <v>609</v>
      </c>
      <c r="G785" t="str">
        <f t="shared" si="62"/>
        <v>C</v>
      </c>
      <c r="H785" t="str">
        <f t="shared" si="62"/>
        <v>26</v>
      </c>
      <c r="I785" t="str">
        <f t="shared" si="62"/>
        <v>267</v>
      </c>
      <c r="J785" t="str">
        <f t="shared" si="62"/>
        <v>26701</v>
      </c>
      <c r="K785" t="str">
        <f t="shared" si="61"/>
        <v>2670101</v>
      </c>
      <c r="L785">
        <v>1</v>
      </c>
    </row>
    <row r="786" spans="2:12" x14ac:dyDescent="0.25">
      <c r="C786" t="s">
        <v>1864</v>
      </c>
      <c r="D786" t="s">
        <v>1864</v>
      </c>
      <c r="E786" t="s">
        <v>2647</v>
      </c>
      <c r="F786" t="s">
        <v>610</v>
      </c>
      <c r="G786" t="str">
        <f t="shared" si="62"/>
        <v>C</v>
      </c>
      <c r="H786" t="str">
        <f t="shared" si="62"/>
        <v>26</v>
      </c>
      <c r="I786" t="str">
        <f t="shared" si="62"/>
        <v>267</v>
      </c>
      <c r="J786" t="str">
        <f t="shared" si="62"/>
        <v>26701</v>
      </c>
      <c r="K786" t="str">
        <f t="shared" si="61"/>
        <v>2670102</v>
      </c>
      <c r="L786">
        <v>1</v>
      </c>
    </row>
    <row r="787" spans="2:12" x14ac:dyDescent="0.25">
      <c r="C787" t="s">
        <v>2648</v>
      </c>
      <c r="D787" t="s">
        <v>1864</v>
      </c>
      <c r="E787" t="s">
        <v>1864</v>
      </c>
      <c r="F787" t="s">
        <v>611</v>
      </c>
      <c r="G787" t="str">
        <f t="shared" si="62"/>
        <v>C</v>
      </c>
      <c r="H787" t="str">
        <f t="shared" si="62"/>
        <v>26</v>
      </c>
      <c r="I787" t="str">
        <f t="shared" si="62"/>
        <v>268</v>
      </c>
      <c r="J787" t="str">
        <f t="shared" si="62"/>
        <v>26701</v>
      </c>
      <c r="K787" t="str">
        <f t="shared" si="61"/>
        <v/>
      </c>
    </row>
    <row r="788" spans="2:12" x14ac:dyDescent="0.25">
      <c r="C788" t="s">
        <v>1864</v>
      </c>
      <c r="D788" t="s">
        <v>2649</v>
      </c>
      <c r="E788" t="s">
        <v>1864</v>
      </c>
      <c r="F788" t="s">
        <v>611</v>
      </c>
      <c r="G788" t="str">
        <f t="shared" si="62"/>
        <v>C</v>
      </c>
      <c r="H788" t="str">
        <f t="shared" si="62"/>
        <v>26</v>
      </c>
      <c r="I788" t="str">
        <f t="shared" si="62"/>
        <v>268</v>
      </c>
      <c r="J788" t="str">
        <f t="shared" si="62"/>
        <v>26809</v>
      </c>
      <c r="K788" t="str">
        <f t="shared" si="61"/>
        <v/>
      </c>
    </row>
    <row r="789" spans="2:12" x14ac:dyDescent="0.25">
      <c r="C789" t="s">
        <v>1864</v>
      </c>
      <c r="D789" t="s">
        <v>1864</v>
      </c>
      <c r="E789" t="s">
        <v>2650</v>
      </c>
      <c r="F789" t="s">
        <v>611</v>
      </c>
      <c r="G789" t="str">
        <f t="shared" si="62"/>
        <v>C</v>
      </c>
      <c r="H789" t="str">
        <f t="shared" si="62"/>
        <v>26</v>
      </c>
      <c r="I789" t="str">
        <f t="shared" si="62"/>
        <v>268</v>
      </c>
      <c r="J789" t="str">
        <f t="shared" si="62"/>
        <v>26809</v>
      </c>
      <c r="K789" t="str">
        <f t="shared" si="61"/>
        <v>2680900</v>
      </c>
      <c r="L789">
        <v>1</v>
      </c>
    </row>
    <row r="790" spans="2:12" x14ac:dyDescent="0.25">
      <c r="B790" t="s">
        <v>2651</v>
      </c>
      <c r="C790" t="s">
        <v>1864</v>
      </c>
      <c r="D790" t="s">
        <v>1864</v>
      </c>
      <c r="E790" t="s">
        <v>1864</v>
      </c>
      <c r="F790" t="s">
        <v>612</v>
      </c>
      <c r="G790" t="str">
        <f t="shared" si="62"/>
        <v>C</v>
      </c>
      <c r="H790" t="str">
        <f t="shared" si="62"/>
        <v>27</v>
      </c>
      <c r="I790" t="str">
        <f t="shared" si="62"/>
        <v>268</v>
      </c>
      <c r="J790" t="str">
        <f t="shared" si="62"/>
        <v>26809</v>
      </c>
      <c r="K790" t="str">
        <f t="shared" si="61"/>
        <v/>
      </c>
    </row>
    <row r="791" spans="2:12" x14ac:dyDescent="0.25">
      <c r="C791" t="s">
        <v>2652</v>
      </c>
      <c r="D791" t="s">
        <v>1864</v>
      </c>
      <c r="E791" t="s">
        <v>1864</v>
      </c>
      <c r="F791" t="s">
        <v>613</v>
      </c>
      <c r="G791" t="str">
        <f t="shared" si="62"/>
        <v>C</v>
      </c>
      <c r="H791" t="str">
        <f t="shared" si="62"/>
        <v>27</v>
      </c>
      <c r="I791" t="str">
        <f t="shared" si="62"/>
        <v>271</v>
      </c>
      <c r="J791" t="str">
        <f t="shared" si="62"/>
        <v>26809</v>
      </c>
      <c r="K791" t="str">
        <f t="shared" si="61"/>
        <v/>
      </c>
    </row>
    <row r="792" spans="2:12" x14ac:dyDescent="0.25">
      <c r="C792" t="s">
        <v>1864</v>
      </c>
      <c r="D792" t="s">
        <v>2653</v>
      </c>
      <c r="E792" t="s">
        <v>1864</v>
      </c>
      <c r="F792" t="s">
        <v>613</v>
      </c>
      <c r="G792" t="str">
        <f t="shared" si="62"/>
        <v>C</v>
      </c>
      <c r="H792" t="str">
        <f t="shared" si="62"/>
        <v>27</v>
      </c>
      <c r="I792" t="str">
        <f t="shared" si="62"/>
        <v>271</v>
      </c>
      <c r="J792" t="str">
        <f t="shared" si="62"/>
        <v>27104</v>
      </c>
      <c r="K792" t="str">
        <f t="shared" si="61"/>
        <v/>
      </c>
    </row>
    <row r="793" spans="2:12" x14ac:dyDescent="0.25">
      <c r="C793" t="s">
        <v>1864</v>
      </c>
      <c r="D793" t="s">
        <v>1864</v>
      </c>
      <c r="E793" t="s">
        <v>2654</v>
      </c>
      <c r="F793" t="s">
        <v>614</v>
      </c>
      <c r="G793" t="str">
        <f t="shared" ref="G793:J808" si="63">IF(A793="",G792,A793)</f>
        <v>C</v>
      </c>
      <c r="H793" t="str">
        <f t="shared" si="63"/>
        <v>27</v>
      </c>
      <c r="I793" t="str">
        <f t="shared" si="63"/>
        <v>271</v>
      </c>
      <c r="J793" t="str">
        <f t="shared" si="63"/>
        <v>27104</v>
      </c>
      <c r="K793" t="str">
        <f t="shared" si="61"/>
        <v>2710401</v>
      </c>
      <c r="L793">
        <v>1</v>
      </c>
    </row>
    <row r="794" spans="2:12" x14ac:dyDescent="0.25">
      <c r="C794" t="s">
        <v>1864</v>
      </c>
      <c r="D794" t="s">
        <v>1864</v>
      </c>
      <c r="E794" t="s">
        <v>2655</v>
      </c>
      <c r="F794" t="s">
        <v>615</v>
      </c>
      <c r="G794" t="str">
        <f t="shared" si="63"/>
        <v>C</v>
      </c>
      <c r="H794" t="str">
        <f t="shared" si="63"/>
        <v>27</v>
      </c>
      <c r="I794" t="str">
        <f t="shared" si="63"/>
        <v>271</v>
      </c>
      <c r="J794" t="str">
        <f t="shared" si="63"/>
        <v>27104</v>
      </c>
      <c r="K794" t="str">
        <f t="shared" si="61"/>
        <v>2710402</v>
      </c>
      <c r="L794">
        <v>1</v>
      </c>
    </row>
    <row r="795" spans="2:12" x14ac:dyDescent="0.25">
      <c r="C795" t="s">
        <v>1864</v>
      </c>
      <c r="D795" t="s">
        <v>1864</v>
      </c>
      <c r="E795" t="s">
        <v>2656</v>
      </c>
      <c r="F795" t="s">
        <v>616</v>
      </c>
      <c r="G795" t="str">
        <f t="shared" si="63"/>
        <v>C</v>
      </c>
      <c r="H795" t="str">
        <f t="shared" si="63"/>
        <v>27</v>
      </c>
      <c r="I795" t="str">
        <f t="shared" si="63"/>
        <v>271</v>
      </c>
      <c r="J795" t="str">
        <f t="shared" si="63"/>
        <v>27104</v>
      </c>
      <c r="K795" t="str">
        <f t="shared" si="61"/>
        <v>2710403</v>
      </c>
      <c r="L795">
        <v>1</v>
      </c>
    </row>
    <row r="796" spans="2:12" x14ac:dyDescent="0.25">
      <c r="C796" t="s">
        <v>2657</v>
      </c>
      <c r="D796" t="s">
        <v>1864</v>
      </c>
      <c r="E796" t="s">
        <v>1864</v>
      </c>
      <c r="F796" t="s">
        <v>617</v>
      </c>
      <c r="G796" t="str">
        <f t="shared" si="63"/>
        <v>C</v>
      </c>
      <c r="H796" t="str">
        <f t="shared" si="63"/>
        <v>27</v>
      </c>
      <c r="I796" t="str">
        <f t="shared" si="63"/>
        <v>272</v>
      </c>
      <c r="J796" t="str">
        <f t="shared" si="63"/>
        <v>27104</v>
      </c>
      <c r="K796" t="str">
        <f t="shared" si="61"/>
        <v/>
      </c>
    </row>
    <row r="797" spans="2:12" x14ac:dyDescent="0.25">
      <c r="C797" t="s">
        <v>1864</v>
      </c>
      <c r="D797" t="s">
        <v>2658</v>
      </c>
      <c r="E797" t="s">
        <v>1864</v>
      </c>
      <c r="F797" t="s">
        <v>618</v>
      </c>
      <c r="G797" t="str">
        <f t="shared" si="63"/>
        <v>C</v>
      </c>
      <c r="H797" t="str">
        <f t="shared" si="63"/>
        <v>27</v>
      </c>
      <c r="I797" t="str">
        <f t="shared" si="63"/>
        <v>272</v>
      </c>
      <c r="J797" t="str">
        <f t="shared" si="63"/>
        <v>27210</v>
      </c>
      <c r="K797" t="str">
        <f t="shared" si="61"/>
        <v/>
      </c>
    </row>
    <row r="798" spans="2:12" x14ac:dyDescent="0.25">
      <c r="C798" t="s">
        <v>1864</v>
      </c>
      <c r="D798" t="s">
        <v>1864</v>
      </c>
      <c r="E798" t="s">
        <v>2659</v>
      </c>
      <c r="F798" t="s">
        <v>618</v>
      </c>
      <c r="G798" t="str">
        <f t="shared" si="63"/>
        <v>C</v>
      </c>
      <c r="H798" t="str">
        <f t="shared" si="63"/>
        <v>27</v>
      </c>
      <c r="I798" t="str">
        <f t="shared" si="63"/>
        <v>272</v>
      </c>
      <c r="J798" t="str">
        <f t="shared" si="63"/>
        <v>27210</v>
      </c>
      <c r="K798" t="str">
        <f t="shared" si="61"/>
        <v>2721000</v>
      </c>
      <c r="L798">
        <v>1</v>
      </c>
    </row>
    <row r="799" spans="2:12" x14ac:dyDescent="0.25">
      <c r="C799" t="s">
        <v>1864</v>
      </c>
      <c r="D799" t="s">
        <v>2660</v>
      </c>
      <c r="E799" t="s">
        <v>1864</v>
      </c>
      <c r="F799" t="s">
        <v>619</v>
      </c>
      <c r="G799" t="str">
        <f t="shared" si="63"/>
        <v>C</v>
      </c>
      <c r="H799" t="str">
        <f t="shared" si="63"/>
        <v>27</v>
      </c>
      <c r="I799" t="str">
        <f t="shared" si="63"/>
        <v>272</v>
      </c>
      <c r="J799" t="str">
        <f t="shared" si="63"/>
        <v>27228</v>
      </c>
      <c r="K799" t="str">
        <f t="shared" si="61"/>
        <v/>
      </c>
    </row>
    <row r="800" spans="2:12" x14ac:dyDescent="0.25">
      <c r="C800" t="s">
        <v>1864</v>
      </c>
      <c r="D800" t="s">
        <v>1864</v>
      </c>
      <c r="E800" t="s">
        <v>2661</v>
      </c>
      <c r="F800" t="s">
        <v>619</v>
      </c>
      <c r="G800" t="str">
        <f t="shared" si="63"/>
        <v>C</v>
      </c>
      <c r="H800" t="str">
        <f t="shared" si="63"/>
        <v>27</v>
      </c>
      <c r="I800" t="str">
        <f t="shared" si="63"/>
        <v>272</v>
      </c>
      <c r="J800" t="str">
        <f t="shared" si="63"/>
        <v>27228</v>
      </c>
      <c r="K800" t="str">
        <f t="shared" si="61"/>
        <v>2722801</v>
      </c>
      <c r="L800">
        <v>1</v>
      </c>
    </row>
    <row r="801" spans="3:12" x14ac:dyDescent="0.25">
      <c r="C801" t="s">
        <v>1864</v>
      </c>
      <c r="D801" t="s">
        <v>1864</v>
      </c>
      <c r="E801" t="s">
        <v>2662</v>
      </c>
      <c r="F801" t="s">
        <v>620</v>
      </c>
      <c r="G801" t="str">
        <f t="shared" si="63"/>
        <v>C</v>
      </c>
      <c r="H801" t="str">
        <f t="shared" si="63"/>
        <v>27</v>
      </c>
      <c r="I801" t="str">
        <f t="shared" si="63"/>
        <v>272</v>
      </c>
      <c r="J801" t="str">
        <f t="shared" si="63"/>
        <v>27228</v>
      </c>
      <c r="K801" t="str">
        <f t="shared" si="61"/>
        <v>2722802</v>
      </c>
      <c r="L801">
        <v>1</v>
      </c>
    </row>
    <row r="802" spans="3:12" x14ac:dyDescent="0.25">
      <c r="C802" t="s">
        <v>2663</v>
      </c>
      <c r="D802" t="s">
        <v>1864</v>
      </c>
      <c r="E802" t="s">
        <v>1864</v>
      </c>
      <c r="F802" t="s">
        <v>621</v>
      </c>
      <c r="G802" t="str">
        <f t="shared" si="63"/>
        <v>C</v>
      </c>
      <c r="H802" t="str">
        <f t="shared" si="63"/>
        <v>27</v>
      </c>
      <c r="I802" t="str">
        <f t="shared" si="63"/>
        <v>273</v>
      </c>
      <c r="J802" t="str">
        <f t="shared" si="63"/>
        <v>27228</v>
      </c>
      <c r="K802" t="str">
        <f t="shared" si="61"/>
        <v/>
      </c>
    </row>
    <row r="803" spans="3:12" x14ac:dyDescent="0.25">
      <c r="C803" t="s">
        <v>1864</v>
      </c>
      <c r="D803" t="s">
        <v>2664</v>
      </c>
      <c r="E803" t="s">
        <v>1864</v>
      </c>
      <c r="F803" t="s">
        <v>622</v>
      </c>
      <c r="G803" t="str">
        <f t="shared" si="63"/>
        <v>C</v>
      </c>
      <c r="H803" t="str">
        <f t="shared" si="63"/>
        <v>27</v>
      </c>
      <c r="I803" t="str">
        <f t="shared" si="63"/>
        <v>273</v>
      </c>
      <c r="J803" t="str">
        <f t="shared" si="63"/>
        <v>27317</v>
      </c>
      <c r="K803" t="str">
        <f t="shared" si="61"/>
        <v/>
      </c>
    </row>
    <row r="804" spans="3:12" x14ac:dyDescent="0.25">
      <c r="C804" t="s">
        <v>1864</v>
      </c>
      <c r="D804" t="s">
        <v>1864</v>
      </c>
      <c r="E804" t="s">
        <v>2665</v>
      </c>
      <c r="F804" t="s">
        <v>622</v>
      </c>
      <c r="G804" t="str">
        <f t="shared" si="63"/>
        <v>C</v>
      </c>
      <c r="H804" t="str">
        <f t="shared" si="63"/>
        <v>27</v>
      </c>
      <c r="I804" t="str">
        <f t="shared" si="63"/>
        <v>273</v>
      </c>
      <c r="J804" t="str">
        <f t="shared" si="63"/>
        <v>27317</v>
      </c>
      <c r="K804" t="str">
        <f t="shared" si="61"/>
        <v>2731700</v>
      </c>
      <c r="L804">
        <v>1</v>
      </c>
    </row>
    <row r="805" spans="3:12" x14ac:dyDescent="0.25">
      <c r="C805" t="s">
        <v>1864</v>
      </c>
      <c r="D805" t="s">
        <v>2666</v>
      </c>
      <c r="E805" t="s">
        <v>1864</v>
      </c>
      <c r="F805" t="s">
        <v>623</v>
      </c>
      <c r="G805" t="str">
        <f t="shared" si="63"/>
        <v>C</v>
      </c>
      <c r="H805" t="str">
        <f t="shared" si="63"/>
        <v>27</v>
      </c>
      <c r="I805" t="str">
        <f t="shared" si="63"/>
        <v>273</v>
      </c>
      <c r="J805" t="str">
        <f t="shared" si="63"/>
        <v>27325</v>
      </c>
      <c r="K805" t="str">
        <f t="shared" si="61"/>
        <v/>
      </c>
    </row>
    <row r="806" spans="3:12" x14ac:dyDescent="0.25">
      <c r="C806" t="s">
        <v>1864</v>
      </c>
      <c r="D806" t="s">
        <v>1864</v>
      </c>
      <c r="E806" t="s">
        <v>2667</v>
      </c>
      <c r="F806" t="s">
        <v>623</v>
      </c>
      <c r="G806" t="str">
        <f t="shared" si="63"/>
        <v>C</v>
      </c>
      <c r="H806" t="str">
        <f t="shared" si="63"/>
        <v>27</v>
      </c>
      <c r="I806" t="str">
        <f t="shared" si="63"/>
        <v>273</v>
      </c>
      <c r="J806" t="str">
        <f t="shared" si="63"/>
        <v>27325</v>
      </c>
      <c r="K806" t="str">
        <f t="shared" si="61"/>
        <v>2732500</v>
      </c>
      <c r="L806">
        <v>1</v>
      </c>
    </row>
    <row r="807" spans="3:12" x14ac:dyDescent="0.25">
      <c r="C807" t="s">
        <v>1864</v>
      </c>
      <c r="D807" t="s">
        <v>2668</v>
      </c>
      <c r="E807" t="s">
        <v>1864</v>
      </c>
      <c r="F807" t="s">
        <v>624</v>
      </c>
      <c r="G807" t="str">
        <f t="shared" si="63"/>
        <v>C</v>
      </c>
      <c r="H807" t="str">
        <f t="shared" si="63"/>
        <v>27</v>
      </c>
      <c r="I807" t="str">
        <f t="shared" si="63"/>
        <v>273</v>
      </c>
      <c r="J807" t="str">
        <f t="shared" si="63"/>
        <v>27333</v>
      </c>
      <c r="K807" t="str">
        <f t="shared" si="61"/>
        <v/>
      </c>
    </row>
    <row r="808" spans="3:12" x14ac:dyDescent="0.25">
      <c r="C808" t="s">
        <v>1864</v>
      </c>
      <c r="D808" t="s">
        <v>1864</v>
      </c>
      <c r="E808" t="s">
        <v>2669</v>
      </c>
      <c r="F808" t="s">
        <v>624</v>
      </c>
      <c r="G808" t="str">
        <f t="shared" si="63"/>
        <v>C</v>
      </c>
      <c r="H808" t="str">
        <f t="shared" si="63"/>
        <v>27</v>
      </c>
      <c r="I808" t="str">
        <f t="shared" si="63"/>
        <v>273</v>
      </c>
      <c r="J808" t="str">
        <f t="shared" si="63"/>
        <v>27333</v>
      </c>
      <c r="K808" t="str">
        <f t="shared" si="61"/>
        <v>2733300</v>
      </c>
      <c r="L808">
        <v>1</v>
      </c>
    </row>
    <row r="809" spans="3:12" x14ac:dyDescent="0.25">
      <c r="C809" t="s">
        <v>2670</v>
      </c>
      <c r="D809" t="s">
        <v>1864</v>
      </c>
      <c r="E809" t="s">
        <v>1864</v>
      </c>
      <c r="F809" t="s">
        <v>625</v>
      </c>
      <c r="G809" t="str">
        <f t="shared" ref="G809:J824" si="64">IF(A809="",G808,A809)</f>
        <v>C</v>
      </c>
      <c r="H809" t="str">
        <f t="shared" si="64"/>
        <v>27</v>
      </c>
      <c r="I809" t="str">
        <f t="shared" si="64"/>
        <v>274</v>
      </c>
      <c r="J809" t="str">
        <f t="shared" si="64"/>
        <v>27333</v>
      </c>
      <c r="K809" t="str">
        <f t="shared" si="61"/>
        <v/>
      </c>
    </row>
    <row r="810" spans="3:12" x14ac:dyDescent="0.25">
      <c r="C810" t="s">
        <v>1864</v>
      </c>
      <c r="D810" t="s">
        <v>2671</v>
      </c>
      <c r="E810" t="s">
        <v>1864</v>
      </c>
      <c r="F810" t="s">
        <v>625</v>
      </c>
      <c r="G810" t="str">
        <f t="shared" si="64"/>
        <v>C</v>
      </c>
      <c r="H810" t="str">
        <f t="shared" si="64"/>
        <v>27</v>
      </c>
      <c r="I810" t="str">
        <f t="shared" si="64"/>
        <v>274</v>
      </c>
      <c r="J810" t="str">
        <f t="shared" si="64"/>
        <v>27406</v>
      </c>
      <c r="K810" t="str">
        <f t="shared" si="61"/>
        <v/>
      </c>
    </row>
    <row r="811" spans="3:12" x14ac:dyDescent="0.25">
      <c r="C811" t="s">
        <v>1864</v>
      </c>
      <c r="D811" t="s">
        <v>1864</v>
      </c>
      <c r="E811" t="s">
        <v>2672</v>
      </c>
      <c r="F811" t="s">
        <v>626</v>
      </c>
      <c r="G811" t="str">
        <f t="shared" si="64"/>
        <v>C</v>
      </c>
      <c r="H811" t="str">
        <f t="shared" si="64"/>
        <v>27</v>
      </c>
      <c r="I811" t="str">
        <f t="shared" si="64"/>
        <v>274</v>
      </c>
      <c r="J811" t="str">
        <f t="shared" si="64"/>
        <v>27406</v>
      </c>
      <c r="K811" t="str">
        <f t="shared" si="61"/>
        <v>2740601</v>
      </c>
      <c r="L811">
        <v>1</v>
      </c>
    </row>
    <row r="812" spans="3:12" x14ac:dyDescent="0.25">
      <c r="C812" t="s">
        <v>1864</v>
      </c>
      <c r="D812" t="s">
        <v>1864</v>
      </c>
      <c r="E812" t="s">
        <v>2673</v>
      </c>
      <c r="F812" t="s">
        <v>627</v>
      </c>
      <c r="G812" t="str">
        <f t="shared" si="64"/>
        <v>C</v>
      </c>
      <c r="H812" t="str">
        <f t="shared" si="64"/>
        <v>27</v>
      </c>
      <c r="I812" t="str">
        <f t="shared" si="64"/>
        <v>274</v>
      </c>
      <c r="J812" t="str">
        <f t="shared" si="64"/>
        <v>27406</v>
      </c>
      <c r="K812" t="str">
        <f t="shared" si="61"/>
        <v>2740602</v>
      </c>
      <c r="L812">
        <v>1</v>
      </c>
    </row>
    <row r="813" spans="3:12" x14ac:dyDescent="0.25">
      <c r="C813" t="s">
        <v>2674</v>
      </c>
      <c r="D813" t="s">
        <v>1864</v>
      </c>
      <c r="E813" t="s">
        <v>1864</v>
      </c>
      <c r="F813" t="s">
        <v>628</v>
      </c>
      <c r="G813" t="str">
        <f t="shared" si="64"/>
        <v>C</v>
      </c>
      <c r="H813" t="str">
        <f t="shared" si="64"/>
        <v>27</v>
      </c>
      <c r="I813" t="str">
        <f t="shared" si="64"/>
        <v>275</v>
      </c>
      <c r="J813" t="str">
        <f t="shared" si="64"/>
        <v>27406</v>
      </c>
      <c r="K813" t="str">
        <f t="shared" si="61"/>
        <v/>
      </c>
    </row>
    <row r="814" spans="3:12" x14ac:dyDescent="0.25">
      <c r="C814" t="s">
        <v>1864</v>
      </c>
      <c r="D814" t="s">
        <v>2675</v>
      </c>
      <c r="E814" t="s">
        <v>1864</v>
      </c>
      <c r="F814" t="s">
        <v>629</v>
      </c>
      <c r="G814" t="str">
        <f t="shared" si="64"/>
        <v>C</v>
      </c>
      <c r="H814" t="str">
        <f t="shared" si="64"/>
        <v>27</v>
      </c>
      <c r="I814" t="str">
        <f t="shared" si="64"/>
        <v>275</v>
      </c>
      <c r="J814" t="str">
        <f t="shared" si="64"/>
        <v>27511</v>
      </c>
      <c r="K814" t="str">
        <f t="shared" si="61"/>
        <v/>
      </c>
    </row>
    <row r="815" spans="3:12" x14ac:dyDescent="0.25">
      <c r="C815" t="s">
        <v>1864</v>
      </c>
      <c r="D815" t="s">
        <v>1864</v>
      </c>
      <c r="E815" t="s">
        <v>2676</v>
      </c>
      <c r="F815" t="s">
        <v>630</v>
      </c>
      <c r="G815" t="str">
        <f t="shared" si="64"/>
        <v>C</v>
      </c>
      <c r="H815" t="str">
        <f t="shared" si="64"/>
        <v>27</v>
      </c>
      <c r="I815" t="str">
        <f t="shared" si="64"/>
        <v>275</v>
      </c>
      <c r="J815" t="str">
        <f t="shared" si="64"/>
        <v>27511</v>
      </c>
      <c r="K815" t="str">
        <f t="shared" si="61"/>
        <v>2751100</v>
      </c>
      <c r="L815">
        <v>1</v>
      </c>
    </row>
    <row r="816" spans="3:12" x14ac:dyDescent="0.25">
      <c r="C816" t="s">
        <v>1864</v>
      </c>
      <c r="D816" t="s">
        <v>2677</v>
      </c>
      <c r="E816" t="s">
        <v>1864</v>
      </c>
      <c r="F816" t="s">
        <v>631</v>
      </c>
      <c r="G816" t="str">
        <f t="shared" si="64"/>
        <v>C</v>
      </c>
      <c r="H816" t="str">
        <f t="shared" si="64"/>
        <v>27</v>
      </c>
      <c r="I816" t="str">
        <f t="shared" si="64"/>
        <v>275</v>
      </c>
      <c r="J816" t="str">
        <f t="shared" si="64"/>
        <v>27597</v>
      </c>
      <c r="K816" t="str">
        <f t="shared" si="61"/>
        <v/>
      </c>
    </row>
    <row r="817" spans="2:12" x14ac:dyDescent="0.25">
      <c r="C817" t="s">
        <v>1864</v>
      </c>
      <c r="D817" t="s">
        <v>1864</v>
      </c>
      <c r="E817" t="s">
        <v>2678</v>
      </c>
      <c r="F817" t="s">
        <v>632</v>
      </c>
      <c r="G817" t="str">
        <f t="shared" si="64"/>
        <v>C</v>
      </c>
      <c r="H817" t="str">
        <f t="shared" si="64"/>
        <v>27</v>
      </c>
      <c r="I817" t="str">
        <f t="shared" si="64"/>
        <v>275</v>
      </c>
      <c r="J817" t="str">
        <f t="shared" si="64"/>
        <v>27597</v>
      </c>
      <c r="K817" t="str">
        <f t="shared" si="61"/>
        <v>2759701</v>
      </c>
      <c r="L817">
        <v>1</v>
      </c>
    </row>
    <row r="818" spans="2:12" x14ac:dyDescent="0.25">
      <c r="C818" t="s">
        <v>1864</v>
      </c>
      <c r="D818" t="s">
        <v>1864</v>
      </c>
      <c r="E818" t="s">
        <v>2679</v>
      </c>
      <c r="F818" t="s">
        <v>633</v>
      </c>
      <c r="G818" t="str">
        <f t="shared" si="64"/>
        <v>C</v>
      </c>
      <c r="H818" t="str">
        <f t="shared" si="64"/>
        <v>27</v>
      </c>
      <c r="I818" t="str">
        <f t="shared" si="64"/>
        <v>275</v>
      </c>
      <c r="J818" t="str">
        <f t="shared" si="64"/>
        <v>27597</v>
      </c>
      <c r="K818" t="str">
        <f t="shared" si="61"/>
        <v>2759799</v>
      </c>
      <c r="L818">
        <v>1</v>
      </c>
    </row>
    <row r="819" spans="2:12" x14ac:dyDescent="0.25">
      <c r="C819" t="s">
        <v>2680</v>
      </c>
      <c r="D819" t="s">
        <v>1864</v>
      </c>
      <c r="E819" t="s">
        <v>1864</v>
      </c>
      <c r="F819" t="s">
        <v>634</v>
      </c>
      <c r="G819" t="str">
        <f t="shared" si="64"/>
        <v>C</v>
      </c>
      <c r="H819" t="str">
        <f t="shared" si="64"/>
        <v>27</v>
      </c>
      <c r="I819" t="str">
        <f t="shared" si="64"/>
        <v>279</v>
      </c>
      <c r="J819" t="str">
        <f t="shared" si="64"/>
        <v>27597</v>
      </c>
      <c r="K819" t="str">
        <f t="shared" si="61"/>
        <v/>
      </c>
    </row>
    <row r="820" spans="2:12" x14ac:dyDescent="0.25">
      <c r="C820" t="s">
        <v>1864</v>
      </c>
      <c r="D820" t="s">
        <v>2681</v>
      </c>
      <c r="E820" t="s">
        <v>1864</v>
      </c>
      <c r="F820" t="s">
        <v>634</v>
      </c>
      <c r="G820" t="str">
        <f t="shared" si="64"/>
        <v>C</v>
      </c>
      <c r="H820" t="str">
        <f t="shared" si="64"/>
        <v>27</v>
      </c>
      <c r="I820" t="str">
        <f t="shared" si="64"/>
        <v>279</v>
      </c>
      <c r="J820" t="str">
        <f t="shared" si="64"/>
        <v>27902</v>
      </c>
      <c r="K820" t="str">
        <f t="shared" si="61"/>
        <v/>
      </c>
    </row>
    <row r="821" spans="2:12" x14ac:dyDescent="0.25">
      <c r="C821" t="s">
        <v>1864</v>
      </c>
      <c r="D821" t="s">
        <v>1864</v>
      </c>
      <c r="E821" t="s">
        <v>2682</v>
      </c>
      <c r="F821" t="s">
        <v>635</v>
      </c>
      <c r="G821" t="str">
        <f t="shared" si="64"/>
        <v>C</v>
      </c>
      <c r="H821" t="str">
        <f t="shared" si="64"/>
        <v>27</v>
      </c>
      <c r="I821" t="str">
        <f t="shared" si="64"/>
        <v>279</v>
      </c>
      <c r="J821" t="str">
        <f t="shared" si="64"/>
        <v>27902</v>
      </c>
      <c r="K821" t="str">
        <f t="shared" si="61"/>
        <v>2790201</v>
      </c>
      <c r="L821">
        <v>1</v>
      </c>
    </row>
    <row r="822" spans="2:12" x14ac:dyDescent="0.25">
      <c r="C822" t="s">
        <v>1864</v>
      </c>
      <c r="D822" t="s">
        <v>1864</v>
      </c>
      <c r="E822" t="s">
        <v>2683</v>
      </c>
      <c r="F822" t="s">
        <v>636</v>
      </c>
      <c r="G822" t="str">
        <f t="shared" si="64"/>
        <v>C</v>
      </c>
      <c r="H822" t="str">
        <f t="shared" si="64"/>
        <v>27</v>
      </c>
      <c r="I822" t="str">
        <f t="shared" si="64"/>
        <v>279</v>
      </c>
      <c r="J822" t="str">
        <f t="shared" si="64"/>
        <v>27902</v>
      </c>
      <c r="K822" t="str">
        <f t="shared" si="61"/>
        <v>2790202</v>
      </c>
      <c r="L822">
        <v>1</v>
      </c>
    </row>
    <row r="823" spans="2:12" x14ac:dyDescent="0.25">
      <c r="C823" t="s">
        <v>1864</v>
      </c>
      <c r="D823" t="s">
        <v>1864</v>
      </c>
      <c r="E823" t="s">
        <v>2684</v>
      </c>
      <c r="F823" t="s">
        <v>637</v>
      </c>
      <c r="G823" t="str">
        <f t="shared" si="64"/>
        <v>C</v>
      </c>
      <c r="H823" t="str">
        <f t="shared" si="64"/>
        <v>27</v>
      </c>
      <c r="I823" t="str">
        <f t="shared" si="64"/>
        <v>279</v>
      </c>
      <c r="J823" t="str">
        <f t="shared" si="64"/>
        <v>27902</v>
      </c>
      <c r="K823" t="str">
        <f t="shared" si="61"/>
        <v>2790299</v>
      </c>
      <c r="L823">
        <v>1</v>
      </c>
    </row>
    <row r="824" spans="2:12" x14ac:dyDescent="0.25">
      <c r="B824" t="s">
        <v>2685</v>
      </c>
      <c r="C824" t="s">
        <v>1864</v>
      </c>
      <c r="D824" t="s">
        <v>1864</v>
      </c>
      <c r="E824" t="s">
        <v>1864</v>
      </c>
      <c r="F824" t="s">
        <v>638</v>
      </c>
      <c r="G824" t="str">
        <f t="shared" si="64"/>
        <v>C</v>
      </c>
      <c r="H824" t="str">
        <f t="shared" si="64"/>
        <v>28</v>
      </c>
      <c r="I824" t="str">
        <f t="shared" si="64"/>
        <v>279</v>
      </c>
      <c r="J824" t="str">
        <f t="shared" si="64"/>
        <v>27902</v>
      </c>
      <c r="K824" t="str">
        <f t="shared" si="61"/>
        <v/>
      </c>
    </row>
    <row r="825" spans="2:12" x14ac:dyDescent="0.25">
      <c r="C825" t="s">
        <v>2686</v>
      </c>
      <c r="D825" t="s">
        <v>1864</v>
      </c>
      <c r="E825" t="s">
        <v>1864</v>
      </c>
      <c r="F825" t="s">
        <v>639</v>
      </c>
      <c r="G825" t="str">
        <f t="shared" ref="G825:J840" si="65">IF(A825="",G824,A825)</f>
        <v>C</v>
      </c>
      <c r="H825" t="str">
        <f t="shared" si="65"/>
        <v>28</v>
      </c>
      <c r="I825" t="str">
        <f t="shared" si="65"/>
        <v>281</v>
      </c>
      <c r="J825" t="str">
        <f t="shared" si="65"/>
        <v>27902</v>
      </c>
      <c r="K825" t="str">
        <f t="shared" si="61"/>
        <v/>
      </c>
    </row>
    <row r="826" spans="2:12" x14ac:dyDescent="0.25">
      <c r="C826" t="s">
        <v>1864</v>
      </c>
      <c r="D826" t="s">
        <v>2687</v>
      </c>
      <c r="E826" t="s">
        <v>1864</v>
      </c>
      <c r="F826" t="s">
        <v>640</v>
      </c>
      <c r="G826" t="str">
        <f t="shared" si="65"/>
        <v>C</v>
      </c>
      <c r="H826" t="str">
        <f t="shared" si="65"/>
        <v>28</v>
      </c>
      <c r="I826" t="str">
        <f t="shared" si="65"/>
        <v>281</v>
      </c>
      <c r="J826" t="str">
        <f t="shared" si="65"/>
        <v>28119</v>
      </c>
      <c r="K826" t="str">
        <f t="shared" si="61"/>
        <v/>
      </c>
    </row>
    <row r="827" spans="2:12" x14ac:dyDescent="0.25">
      <c r="C827" t="s">
        <v>1864</v>
      </c>
      <c r="D827" t="s">
        <v>1864</v>
      </c>
      <c r="E827" t="s">
        <v>2688</v>
      </c>
      <c r="F827" t="s">
        <v>641</v>
      </c>
      <c r="G827" t="str">
        <f t="shared" si="65"/>
        <v>C</v>
      </c>
      <c r="H827" t="str">
        <f t="shared" si="65"/>
        <v>28</v>
      </c>
      <c r="I827" t="str">
        <f t="shared" si="65"/>
        <v>281</v>
      </c>
      <c r="J827" t="str">
        <f t="shared" si="65"/>
        <v>28119</v>
      </c>
      <c r="K827" t="str">
        <f t="shared" si="61"/>
        <v>2811900</v>
      </c>
      <c r="L827">
        <v>1</v>
      </c>
    </row>
    <row r="828" spans="2:12" x14ac:dyDescent="0.25">
      <c r="C828" t="s">
        <v>1864</v>
      </c>
      <c r="D828" t="s">
        <v>2689</v>
      </c>
      <c r="E828" t="s">
        <v>1864</v>
      </c>
      <c r="F828" t="s">
        <v>642</v>
      </c>
      <c r="G828" t="str">
        <f t="shared" si="65"/>
        <v>C</v>
      </c>
      <c r="H828" t="str">
        <f t="shared" si="65"/>
        <v>28</v>
      </c>
      <c r="I828" t="str">
        <f t="shared" si="65"/>
        <v>281</v>
      </c>
      <c r="J828" t="str">
        <f t="shared" si="65"/>
        <v>28127</v>
      </c>
      <c r="K828" t="str">
        <f t="shared" si="61"/>
        <v/>
      </c>
    </row>
    <row r="829" spans="2:12" x14ac:dyDescent="0.25">
      <c r="C829" t="s">
        <v>1864</v>
      </c>
      <c r="D829" t="s">
        <v>1864</v>
      </c>
      <c r="E829" t="s">
        <v>2690</v>
      </c>
      <c r="F829" t="s">
        <v>643</v>
      </c>
      <c r="G829" t="str">
        <f t="shared" si="65"/>
        <v>C</v>
      </c>
      <c r="H829" t="str">
        <f t="shared" si="65"/>
        <v>28</v>
      </c>
      <c r="I829" t="str">
        <f t="shared" si="65"/>
        <v>281</v>
      </c>
      <c r="J829" t="str">
        <f t="shared" si="65"/>
        <v>28127</v>
      </c>
      <c r="K829" t="str">
        <f t="shared" si="61"/>
        <v>2812700</v>
      </c>
      <c r="L829">
        <v>1</v>
      </c>
    </row>
    <row r="830" spans="2:12" x14ac:dyDescent="0.25">
      <c r="C830" t="s">
        <v>1864</v>
      </c>
      <c r="D830" t="s">
        <v>2691</v>
      </c>
      <c r="E830" t="s">
        <v>1864</v>
      </c>
      <c r="F830" t="s">
        <v>644</v>
      </c>
      <c r="G830" t="str">
        <f t="shared" si="65"/>
        <v>C</v>
      </c>
      <c r="H830" t="str">
        <f t="shared" si="65"/>
        <v>28</v>
      </c>
      <c r="I830" t="str">
        <f t="shared" si="65"/>
        <v>281</v>
      </c>
      <c r="J830" t="str">
        <f t="shared" si="65"/>
        <v>28135</v>
      </c>
      <c r="K830" t="str">
        <f t="shared" si="61"/>
        <v/>
      </c>
    </row>
    <row r="831" spans="2:12" x14ac:dyDescent="0.25">
      <c r="C831" t="s">
        <v>1864</v>
      </c>
      <c r="D831" t="s">
        <v>1864</v>
      </c>
      <c r="E831" t="s">
        <v>2692</v>
      </c>
      <c r="F831" t="s">
        <v>645</v>
      </c>
      <c r="G831" t="str">
        <f t="shared" si="65"/>
        <v>C</v>
      </c>
      <c r="H831" t="str">
        <f t="shared" si="65"/>
        <v>28</v>
      </c>
      <c r="I831" t="str">
        <f t="shared" si="65"/>
        <v>281</v>
      </c>
      <c r="J831" t="str">
        <f t="shared" si="65"/>
        <v>28135</v>
      </c>
      <c r="K831" t="str">
        <f t="shared" si="61"/>
        <v>2813500</v>
      </c>
      <c r="L831">
        <v>1</v>
      </c>
    </row>
    <row r="832" spans="2:12" x14ac:dyDescent="0.25">
      <c r="C832" t="s">
        <v>1864</v>
      </c>
      <c r="D832" t="s">
        <v>2693</v>
      </c>
      <c r="E832" t="s">
        <v>1864</v>
      </c>
      <c r="F832" t="s">
        <v>646</v>
      </c>
      <c r="G832" t="str">
        <f t="shared" si="65"/>
        <v>C</v>
      </c>
      <c r="H832" t="str">
        <f t="shared" si="65"/>
        <v>28</v>
      </c>
      <c r="I832" t="str">
        <f t="shared" si="65"/>
        <v>281</v>
      </c>
      <c r="J832" t="str">
        <f t="shared" si="65"/>
        <v>28143</v>
      </c>
      <c r="K832" t="str">
        <f t="shared" si="61"/>
        <v/>
      </c>
    </row>
    <row r="833" spans="3:12" x14ac:dyDescent="0.25">
      <c r="C833" t="s">
        <v>1864</v>
      </c>
      <c r="D833" t="s">
        <v>1864</v>
      </c>
      <c r="E833" t="s">
        <v>2694</v>
      </c>
      <c r="F833" t="s">
        <v>647</v>
      </c>
      <c r="G833" t="str">
        <f t="shared" si="65"/>
        <v>C</v>
      </c>
      <c r="H833" t="str">
        <f t="shared" si="65"/>
        <v>28</v>
      </c>
      <c r="I833" t="str">
        <f t="shared" si="65"/>
        <v>281</v>
      </c>
      <c r="J833" t="str">
        <f t="shared" si="65"/>
        <v>28143</v>
      </c>
      <c r="K833" t="str">
        <f t="shared" si="61"/>
        <v>2814301</v>
      </c>
      <c r="L833">
        <v>1</v>
      </c>
    </row>
    <row r="834" spans="3:12" x14ac:dyDescent="0.25">
      <c r="C834" t="s">
        <v>1864</v>
      </c>
      <c r="D834" t="s">
        <v>1864</v>
      </c>
      <c r="E834" t="s">
        <v>2695</v>
      </c>
      <c r="F834" t="s">
        <v>648</v>
      </c>
      <c r="G834" t="str">
        <f t="shared" si="65"/>
        <v>C</v>
      </c>
      <c r="H834" t="str">
        <f t="shared" si="65"/>
        <v>28</v>
      </c>
      <c r="I834" t="str">
        <f t="shared" si="65"/>
        <v>281</v>
      </c>
      <c r="J834" t="str">
        <f t="shared" si="65"/>
        <v>28143</v>
      </c>
      <c r="K834" t="str">
        <f t="shared" si="61"/>
        <v>2814302</v>
      </c>
      <c r="L834">
        <v>1</v>
      </c>
    </row>
    <row r="835" spans="3:12" x14ac:dyDescent="0.25">
      <c r="C835" t="s">
        <v>1864</v>
      </c>
      <c r="D835" t="s">
        <v>2696</v>
      </c>
      <c r="E835" t="s">
        <v>1864</v>
      </c>
      <c r="F835" t="s">
        <v>649</v>
      </c>
      <c r="G835" t="str">
        <f t="shared" si="65"/>
        <v>C</v>
      </c>
      <c r="H835" t="str">
        <f t="shared" si="65"/>
        <v>28</v>
      </c>
      <c r="I835" t="str">
        <f t="shared" si="65"/>
        <v>281</v>
      </c>
      <c r="J835" t="str">
        <f t="shared" si="65"/>
        <v>28151</v>
      </c>
      <c r="K835" t="str">
        <f t="shared" si="61"/>
        <v/>
      </c>
    </row>
    <row r="836" spans="3:12" x14ac:dyDescent="0.25">
      <c r="C836" t="s">
        <v>1864</v>
      </c>
      <c r="D836" t="s">
        <v>1864</v>
      </c>
      <c r="E836" t="s">
        <v>2697</v>
      </c>
      <c r="F836" t="s">
        <v>650</v>
      </c>
      <c r="G836" t="str">
        <f t="shared" si="65"/>
        <v>C</v>
      </c>
      <c r="H836" t="str">
        <f t="shared" si="65"/>
        <v>28</v>
      </c>
      <c r="I836" t="str">
        <f t="shared" si="65"/>
        <v>281</v>
      </c>
      <c r="J836" t="str">
        <f t="shared" si="65"/>
        <v>28151</v>
      </c>
      <c r="K836" t="str">
        <f t="shared" si="61"/>
        <v>2815101</v>
      </c>
      <c r="L836">
        <v>1</v>
      </c>
    </row>
    <row r="837" spans="3:12" x14ac:dyDescent="0.25">
      <c r="C837" t="s">
        <v>1864</v>
      </c>
      <c r="D837" t="s">
        <v>1864</v>
      </c>
      <c r="E837" t="s">
        <v>2698</v>
      </c>
      <c r="F837" t="s">
        <v>651</v>
      </c>
      <c r="G837" t="str">
        <f t="shared" si="65"/>
        <v>C</v>
      </c>
      <c r="H837" t="str">
        <f t="shared" si="65"/>
        <v>28</v>
      </c>
      <c r="I837" t="str">
        <f t="shared" si="65"/>
        <v>281</v>
      </c>
      <c r="J837" t="str">
        <f t="shared" si="65"/>
        <v>28151</v>
      </c>
      <c r="K837" t="str">
        <f t="shared" si="61"/>
        <v>2815102</v>
      </c>
      <c r="L837">
        <v>1</v>
      </c>
    </row>
    <row r="838" spans="3:12" x14ac:dyDescent="0.25">
      <c r="C838" t="s">
        <v>2699</v>
      </c>
      <c r="D838" t="s">
        <v>1864</v>
      </c>
      <c r="E838" t="s">
        <v>1864</v>
      </c>
      <c r="F838" t="s">
        <v>652</v>
      </c>
      <c r="G838" t="str">
        <f t="shared" si="65"/>
        <v>C</v>
      </c>
      <c r="H838" t="str">
        <f t="shared" si="65"/>
        <v>28</v>
      </c>
      <c r="I838" t="str">
        <f t="shared" si="65"/>
        <v>282</v>
      </c>
      <c r="J838" t="str">
        <f t="shared" si="65"/>
        <v>28151</v>
      </c>
      <c r="K838" t="str">
        <f t="shared" si="61"/>
        <v/>
      </c>
    </row>
    <row r="839" spans="3:12" x14ac:dyDescent="0.25">
      <c r="C839" t="s">
        <v>1864</v>
      </c>
      <c r="D839" t="s">
        <v>2700</v>
      </c>
      <c r="E839" t="s">
        <v>1864</v>
      </c>
      <c r="F839" t="s">
        <v>653</v>
      </c>
      <c r="G839" t="str">
        <f t="shared" si="65"/>
        <v>C</v>
      </c>
      <c r="H839" t="str">
        <f t="shared" si="65"/>
        <v>28</v>
      </c>
      <c r="I839" t="str">
        <f t="shared" si="65"/>
        <v>282</v>
      </c>
      <c r="J839" t="str">
        <f t="shared" si="65"/>
        <v>28216</v>
      </c>
      <c r="K839" t="str">
        <f t="shared" si="61"/>
        <v/>
      </c>
    </row>
    <row r="840" spans="3:12" x14ac:dyDescent="0.25">
      <c r="C840" t="s">
        <v>1864</v>
      </c>
      <c r="D840" t="s">
        <v>1864</v>
      </c>
      <c r="E840" t="s">
        <v>2701</v>
      </c>
      <c r="F840" t="s">
        <v>654</v>
      </c>
      <c r="G840" t="str">
        <f t="shared" si="65"/>
        <v>C</v>
      </c>
      <c r="H840" t="str">
        <f t="shared" si="65"/>
        <v>28</v>
      </c>
      <c r="I840" t="str">
        <f t="shared" si="65"/>
        <v>282</v>
      </c>
      <c r="J840" t="str">
        <f t="shared" si="65"/>
        <v>28216</v>
      </c>
      <c r="K840" t="str">
        <f t="shared" ref="K840:K903" si="66">E840</f>
        <v>2821601</v>
      </c>
      <c r="L840">
        <v>1</v>
      </c>
    </row>
    <row r="841" spans="3:12" x14ac:dyDescent="0.25">
      <c r="C841" t="s">
        <v>1864</v>
      </c>
      <c r="D841" t="s">
        <v>1864</v>
      </c>
      <c r="E841" t="s">
        <v>2702</v>
      </c>
      <c r="F841" t="s">
        <v>655</v>
      </c>
      <c r="G841" t="str">
        <f t="shared" ref="G841:J856" si="67">IF(A841="",G840,A841)</f>
        <v>C</v>
      </c>
      <c r="H841" t="str">
        <f t="shared" si="67"/>
        <v>28</v>
      </c>
      <c r="I841" t="str">
        <f t="shared" si="67"/>
        <v>282</v>
      </c>
      <c r="J841" t="str">
        <f t="shared" si="67"/>
        <v>28216</v>
      </c>
      <c r="K841" t="str">
        <f t="shared" si="66"/>
        <v>2821602</v>
      </c>
      <c r="L841">
        <v>1</v>
      </c>
    </row>
    <row r="842" spans="3:12" x14ac:dyDescent="0.25">
      <c r="C842" t="s">
        <v>1864</v>
      </c>
      <c r="D842" t="s">
        <v>2703</v>
      </c>
      <c r="E842" t="s">
        <v>1864</v>
      </c>
      <c r="F842" t="s">
        <v>656</v>
      </c>
      <c r="G842" t="str">
        <f t="shared" si="67"/>
        <v>C</v>
      </c>
      <c r="H842" t="str">
        <f t="shared" si="67"/>
        <v>28</v>
      </c>
      <c r="I842" t="str">
        <f t="shared" si="67"/>
        <v>282</v>
      </c>
      <c r="J842" t="str">
        <f t="shared" si="67"/>
        <v>28224</v>
      </c>
      <c r="K842" t="str">
        <f t="shared" si="66"/>
        <v/>
      </c>
    </row>
    <row r="843" spans="3:12" x14ac:dyDescent="0.25">
      <c r="C843" t="s">
        <v>1864</v>
      </c>
      <c r="D843" t="s">
        <v>1864</v>
      </c>
      <c r="E843" t="s">
        <v>2704</v>
      </c>
      <c r="F843" t="s">
        <v>657</v>
      </c>
      <c r="G843" t="str">
        <f t="shared" si="67"/>
        <v>C</v>
      </c>
      <c r="H843" t="str">
        <f t="shared" si="67"/>
        <v>28</v>
      </c>
      <c r="I843" t="str">
        <f t="shared" si="67"/>
        <v>282</v>
      </c>
      <c r="J843" t="str">
        <f t="shared" si="67"/>
        <v>28224</v>
      </c>
      <c r="K843" t="str">
        <f t="shared" si="66"/>
        <v>2822401</v>
      </c>
      <c r="L843">
        <v>1</v>
      </c>
    </row>
    <row r="844" spans="3:12" x14ac:dyDescent="0.25">
      <c r="C844" t="s">
        <v>1864</v>
      </c>
      <c r="D844" t="s">
        <v>1864</v>
      </c>
      <c r="E844" t="s">
        <v>2705</v>
      </c>
      <c r="F844" t="s">
        <v>658</v>
      </c>
      <c r="G844" t="str">
        <f t="shared" si="67"/>
        <v>C</v>
      </c>
      <c r="H844" t="str">
        <f t="shared" si="67"/>
        <v>28</v>
      </c>
      <c r="I844" t="str">
        <f t="shared" si="67"/>
        <v>282</v>
      </c>
      <c r="J844" t="str">
        <f t="shared" si="67"/>
        <v>28224</v>
      </c>
      <c r="K844" t="str">
        <f t="shared" si="66"/>
        <v>2822402</v>
      </c>
      <c r="L844">
        <v>1</v>
      </c>
    </row>
    <row r="845" spans="3:12" x14ac:dyDescent="0.25">
      <c r="C845" t="s">
        <v>1864</v>
      </c>
      <c r="D845" t="s">
        <v>2706</v>
      </c>
      <c r="E845" t="s">
        <v>1864</v>
      </c>
      <c r="F845" t="s">
        <v>659</v>
      </c>
      <c r="G845" t="str">
        <f t="shared" si="67"/>
        <v>C</v>
      </c>
      <c r="H845" t="str">
        <f t="shared" si="67"/>
        <v>28</v>
      </c>
      <c r="I845" t="str">
        <f t="shared" si="67"/>
        <v>282</v>
      </c>
      <c r="J845" t="str">
        <f t="shared" si="67"/>
        <v>28232</v>
      </c>
      <c r="K845" t="str">
        <f t="shared" si="66"/>
        <v/>
      </c>
    </row>
    <row r="846" spans="3:12" x14ac:dyDescent="0.25">
      <c r="C846" t="s">
        <v>1864</v>
      </c>
      <c r="D846" t="s">
        <v>1864</v>
      </c>
      <c r="E846" t="s">
        <v>2707</v>
      </c>
      <c r="F846" t="s">
        <v>660</v>
      </c>
      <c r="G846" t="str">
        <f t="shared" si="67"/>
        <v>C</v>
      </c>
      <c r="H846" t="str">
        <f t="shared" si="67"/>
        <v>28</v>
      </c>
      <c r="I846" t="str">
        <f t="shared" si="67"/>
        <v>282</v>
      </c>
      <c r="J846" t="str">
        <f t="shared" si="67"/>
        <v>28232</v>
      </c>
      <c r="K846" t="str">
        <f t="shared" si="66"/>
        <v>2823200</v>
      </c>
      <c r="L846">
        <v>1</v>
      </c>
    </row>
    <row r="847" spans="3:12" x14ac:dyDescent="0.25">
      <c r="C847" t="s">
        <v>1864</v>
      </c>
      <c r="D847" t="s">
        <v>2708</v>
      </c>
      <c r="E847" t="s">
        <v>1864</v>
      </c>
      <c r="F847" t="s">
        <v>661</v>
      </c>
      <c r="G847" t="str">
        <f t="shared" si="67"/>
        <v>C</v>
      </c>
      <c r="H847" t="str">
        <f t="shared" si="67"/>
        <v>28</v>
      </c>
      <c r="I847" t="str">
        <f t="shared" si="67"/>
        <v>282</v>
      </c>
      <c r="J847" t="str">
        <f t="shared" si="67"/>
        <v>28241</v>
      </c>
      <c r="K847" t="str">
        <f t="shared" si="66"/>
        <v/>
      </c>
    </row>
    <row r="848" spans="3:12" x14ac:dyDescent="0.25">
      <c r="C848" t="s">
        <v>1864</v>
      </c>
      <c r="D848" t="s">
        <v>1864</v>
      </c>
      <c r="E848" t="s">
        <v>2709</v>
      </c>
      <c r="F848" t="s">
        <v>662</v>
      </c>
      <c r="G848" t="str">
        <f t="shared" si="67"/>
        <v>C</v>
      </c>
      <c r="H848" t="str">
        <f t="shared" si="67"/>
        <v>28</v>
      </c>
      <c r="I848" t="str">
        <f t="shared" si="67"/>
        <v>282</v>
      </c>
      <c r="J848" t="str">
        <f t="shared" si="67"/>
        <v>28241</v>
      </c>
      <c r="K848" t="str">
        <f t="shared" si="66"/>
        <v>2824101</v>
      </c>
      <c r="L848">
        <v>1</v>
      </c>
    </row>
    <row r="849" spans="3:12" x14ac:dyDescent="0.25">
      <c r="C849" t="s">
        <v>1864</v>
      </c>
      <c r="D849" t="s">
        <v>1864</v>
      </c>
      <c r="E849" t="s">
        <v>2710</v>
      </c>
      <c r="F849" t="s">
        <v>663</v>
      </c>
      <c r="G849" t="str">
        <f t="shared" si="67"/>
        <v>C</v>
      </c>
      <c r="H849" t="str">
        <f t="shared" si="67"/>
        <v>28</v>
      </c>
      <c r="I849" t="str">
        <f t="shared" si="67"/>
        <v>282</v>
      </c>
      <c r="J849" t="str">
        <f t="shared" si="67"/>
        <v>28241</v>
      </c>
      <c r="K849" t="str">
        <f t="shared" si="66"/>
        <v>2824102</v>
      </c>
      <c r="L849">
        <v>1</v>
      </c>
    </row>
    <row r="850" spans="3:12" x14ac:dyDescent="0.25">
      <c r="C850" t="s">
        <v>1864</v>
      </c>
      <c r="D850" t="s">
        <v>2711</v>
      </c>
      <c r="E850" t="s">
        <v>1864</v>
      </c>
      <c r="F850" t="s">
        <v>664</v>
      </c>
      <c r="G850" t="str">
        <f t="shared" si="67"/>
        <v>C</v>
      </c>
      <c r="H850" t="str">
        <f t="shared" si="67"/>
        <v>28</v>
      </c>
      <c r="I850" t="str">
        <f t="shared" si="67"/>
        <v>282</v>
      </c>
      <c r="J850" t="str">
        <f t="shared" si="67"/>
        <v>28259</v>
      </c>
      <c r="K850" t="str">
        <f t="shared" si="66"/>
        <v/>
      </c>
    </row>
    <row r="851" spans="3:12" x14ac:dyDescent="0.25">
      <c r="C851" t="s">
        <v>1864</v>
      </c>
      <c r="D851" t="s">
        <v>1864</v>
      </c>
      <c r="E851" t="s">
        <v>2712</v>
      </c>
      <c r="F851" t="s">
        <v>665</v>
      </c>
      <c r="G851" t="str">
        <f t="shared" si="67"/>
        <v>C</v>
      </c>
      <c r="H851" t="str">
        <f t="shared" si="67"/>
        <v>28</v>
      </c>
      <c r="I851" t="str">
        <f t="shared" si="67"/>
        <v>282</v>
      </c>
      <c r="J851" t="str">
        <f t="shared" si="67"/>
        <v>28259</v>
      </c>
      <c r="K851" t="str">
        <f t="shared" si="66"/>
        <v>2825900</v>
      </c>
      <c r="L851">
        <v>1</v>
      </c>
    </row>
    <row r="852" spans="3:12" x14ac:dyDescent="0.25">
      <c r="C852" t="s">
        <v>1864</v>
      </c>
      <c r="D852" t="s">
        <v>2713</v>
      </c>
      <c r="E852" t="s">
        <v>1864</v>
      </c>
      <c r="F852" t="s">
        <v>666</v>
      </c>
      <c r="G852" t="str">
        <f t="shared" si="67"/>
        <v>C</v>
      </c>
      <c r="H852" t="str">
        <f t="shared" si="67"/>
        <v>28</v>
      </c>
      <c r="I852" t="str">
        <f t="shared" si="67"/>
        <v>282</v>
      </c>
      <c r="J852" t="str">
        <f t="shared" si="67"/>
        <v>28291</v>
      </c>
      <c r="K852" t="str">
        <f t="shared" si="66"/>
        <v/>
      </c>
    </row>
    <row r="853" spans="3:12" x14ac:dyDescent="0.25">
      <c r="C853" t="s">
        <v>1864</v>
      </c>
      <c r="D853" t="s">
        <v>1864</v>
      </c>
      <c r="E853" t="s">
        <v>2714</v>
      </c>
      <c r="F853" t="s">
        <v>667</v>
      </c>
      <c r="G853" t="str">
        <f t="shared" si="67"/>
        <v>C</v>
      </c>
      <c r="H853" t="str">
        <f t="shared" si="67"/>
        <v>28</v>
      </c>
      <c r="I853" t="str">
        <f t="shared" si="67"/>
        <v>282</v>
      </c>
      <c r="J853" t="str">
        <f t="shared" si="67"/>
        <v>28291</v>
      </c>
      <c r="K853" t="str">
        <f t="shared" si="66"/>
        <v>2829101</v>
      </c>
      <c r="L853">
        <v>1</v>
      </c>
    </row>
    <row r="854" spans="3:12" x14ac:dyDescent="0.25">
      <c r="C854" t="s">
        <v>1864</v>
      </c>
      <c r="D854" t="s">
        <v>1864</v>
      </c>
      <c r="E854" t="s">
        <v>2715</v>
      </c>
      <c r="F854" t="s">
        <v>668</v>
      </c>
      <c r="G854" t="str">
        <f t="shared" si="67"/>
        <v>C</v>
      </c>
      <c r="H854" t="str">
        <f t="shared" si="67"/>
        <v>28</v>
      </c>
      <c r="I854" t="str">
        <f t="shared" si="67"/>
        <v>282</v>
      </c>
      <c r="J854" t="str">
        <f t="shared" si="67"/>
        <v>28291</v>
      </c>
      <c r="K854" t="str">
        <f t="shared" si="66"/>
        <v>2829199</v>
      </c>
      <c r="L854">
        <v>1</v>
      </c>
    </row>
    <row r="855" spans="3:12" x14ac:dyDescent="0.25">
      <c r="C855" t="s">
        <v>2716</v>
      </c>
      <c r="D855" t="s">
        <v>1864</v>
      </c>
      <c r="E855" t="s">
        <v>1864</v>
      </c>
      <c r="F855" t="s">
        <v>669</v>
      </c>
      <c r="G855" t="str">
        <f t="shared" si="67"/>
        <v>C</v>
      </c>
      <c r="H855" t="str">
        <f t="shared" si="67"/>
        <v>28</v>
      </c>
      <c r="I855" t="str">
        <f t="shared" si="67"/>
        <v>283</v>
      </c>
      <c r="J855" t="str">
        <f t="shared" si="67"/>
        <v>28291</v>
      </c>
      <c r="K855" t="str">
        <f t="shared" si="66"/>
        <v/>
      </c>
    </row>
    <row r="856" spans="3:12" x14ac:dyDescent="0.25">
      <c r="C856" t="s">
        <v>1864</v>
      </c>
      <c r="D856" t="s">
        <v>2717</v>
      </c>
      <c r="E856" t="s">
        <v>1864</v>
      </c>
      <c r="F856" t="s">
        <v>670</v>
      </c>
      <c r="G856" t="str">
        <f t="shared" si="67"/>
        <v>C</v>
      </c>
      <c r="H856" t="str">
        <f t="shared" si="67"/>
        <v>28</v>
      </c>
      <c r="I856" t="str">
        <f t="shared" si="67"/>
        <v>283</v>
      </c>
      <c r="J856" t="str">
        <f t="shared" si="67"/>
        <v>28313</v>
      </c>
      <c r="K856" t="str">
        <f t="shared" si="66"/>
        <v/>
      </c>
    </row>
    <row r="857" spans="3:12" x14ac:dyDescent="0.25">
      <c r="C857" t="s">
        <v>1864</v>
      </c>
      <c r="D857" t="s">
        <v>1864</v>
      </c>
      <c r="E857" t="s">
        <v>2718</v>
      </c>
      <c r="F857" t="s">
        <v>671</v>
      </c>
      <c r="G857" t="str">
        <f t="shared" ref="G857:J872" si="68">IF(A857="",G856,A857)</f>
        <v>C</v>
      </c>
      <c r="H857" t="str">
        <f t="shared" si="68"/>
        <v>28</v>
      </c>
      <c r="I857" t="str">
        <f t="shared" si="68"/>
        <v>283</v>
      </c>
      <c r="J857" t="str">
        <f t="shared" si="68"/>
        <v>28313</v>
      </c>
      <c r="K857" t="str">
        <f t="shared" si="66"/>
        <v>2831300</v>
      </c>
      <c r="L857">
        <v>1</v>
      </c>
    </row>
    <row r="858" spans="3:12" x14ac:dyDescent="0.25">
      <c r="C858" t="s">
        <v>1864</v>
      </c>
      <c r="D858" t="s">
        <v>2719</v>
      </c>
      <c r="E858" t="s">
        <v>1864</v>
      </c>
      <c r="F858" t="s">
        <v>672</v>
      </c>
      <c r="G858" t="str">
        <f t="shared" si="68"/>
        <v>C</v>
      </c>
      <c r="H858" t="str">
        <f t="shared" si="68"/>
        <v>28</v>
      </c>
      <c r="I858" t="str">
        <f t="shared" si="68"/>
        <v>283</v>
      </c>
      <c r="J858" t="str">
        <f t="shared" si="68"/>
        <v>28321</v>
      </c>
      <c r="K858" t="str">
        <f t="shared" si="66"/>
        <v/>
      </c>
    </row>
    <row r="859" spans="3:12" x14ac:dyDescent="0.25">
      <c r="C859" t="s">
        <v>1864</v>
      </c>
      <c r="D859" t="s">
        <v>1864</v>
      </c>
      <c r="E859" t="s">
        <v>2720</v>
      </c>
      <c r="F859" t="s">
        <v>673</v>
      </c>
      <c r="G859" t="str">
        <f t="shared" si="68"/>
        <v>C</v>
      </c>
      <c r="H859" t="str">
        <f t="shared" si="68"/>
        <v>28</v>
      </c>
      <c r="I859" t="str">
        <f t="shared" si="68"/>
        <v>283</v>
      </c>
      <c r="J859" t="str">
        <f t="shared" si="68"/>
        <v>28321</v>
      </c>
      <c r="K859" t="str">
        <f t="shared" si="66"/>
        <v>2832100</v>
      </c>
      <c r="L859">
        <v>1</v>
      </c>
    </row>
    <row r="860" spans="3:12" x14ac:dyDescent="0.25">
      <c r="C860" t="s">
        <v>1864</v>
      </c>
      <c r="D860" t="s">
        <v>2721</v>
      </c>
      <c r="E860" t="s">
        <v>1864</v>
      </c>
      <c r="F860" t="s">
        <v>674</v>
      </c>
      <c r="G860" t="str">
        <f t="shared" si="68"/>
        <v>C</v>
      </c>
      <c r="H860" t="str">
        <f t="shared" si="68"/>
        <v>28</v>
      </c>
      <c r="I860" t="str">
        <f t="shared" si="68"/>
        <v>283</v>
      </c>
      <c r="J860" t="str">
        <f t="shared" si="68"/>
        <v>28330</v>
      </c>
      <c r="K860" t="str">
        <f t="shared" si="66"/>
        <v/>
      </c>
    </row>
    <row r="861" spans="3:12" x14ac:dyDescent="0.25">
      <c r="C861" t="s">
        <v>1864</v>
      </c>
      <c r="D861" t="s">
        <v>1864</v>
      </c>
      <c r="E861" t="s">
        <v>2722</v>
      </c>
      <c r="F861" t="s">
        <v>675</v>
      </c>
      <c r="G861" t="str">
        <f t="shared" si="68"/>
        <v>C</v>
      </c>
      <c r="H861" t="str">
        <f t="shared" si="68"/>
        <v>28</v>
      </c>
      <c r="I861" t="str">
        <f t="shared" si="68"/>
        <v>283</v>
      </c>
      <c r="J861" t="str">
        <f t="shared" si="68"/>
        <v>28330</v>
      </c>
      <c r="K861" t="str">
        <f t="shared" si="66"/>
        <v>2833000</v>
      </c>
      <c r="L861">
        <v>1</v>
      </c>
    </row>
    <row r="862" spans="3:12" x14ac:dyDescent="0.25">
      <c r="C862" t="s">
        <v>2723</v>
      </c>
      <c r="D862" t="s">
        <v>1864</v>
      </c>
      <c r="E862" t="s">
        <v>1864</v>
      </c>
      <c r="F862" t="s">
        <v>676</v>
      </c>
      <c r="G862" t="str">
        <f t="shared" si="68"/>
        <v>C</v>
      </c>
      <c r="H862" t="str">
        <f t="shared" si="68"/>
        <v>28</v>
      </c>
      <c r="I862" t="str">
        <f t="shared" si="68"/>
        <v>284</v>
      </c>
      <c r="J862" t="str">
        <f t="shared" si="68"/>
        <v>28330</v>
      </c>
      <c r="K862" t="str">
        <f t="shared" si="66"/>
        <v/>
      </c>
    </row>
    <row r="863" spans="3:12" x14ac:dyDescent="0.25">
      <c r="C863" t="s">
        <v>1864</v>
      </c>
      <c r="D863" t="s">
        <v>2724</v>
      </c>
      <c r="E863" t="s">
        <v>1864</v>
      </c>
      <c r="F863" t="s">
        <v>676</v>
      </c>
      <c r="G863" t="str">
        <f t="shared" si="68"/>
        <v>C</v>
      </c>
      <c r="H863" t="str">
        <f t="shared" si="68"/>
        <v>28</v>
      </c>
      <c r="I863" t="str">
        <f t="shared" si="68"/>
        <v>284</v>
      </c>
      <c r="J863" t="str">
        <f t="shared" si="68"/>
        <v>28402</v>
      </c>
      <c r="K863" t="str">
        <f t="shared" si="66"/>
        <v/>
      </c>
    </row>
    <row r="864" spans="3:12" x14ac:dyDescent="0.25">
      <c r="C864" t="s">
        <v>1864</v>
      </c>
      <c r="D864" t="s">
        <v>1864</v>
      </c>
      <c r="E864" t="s">
        <v>2725</v>
      </c>
      <c r="F864" t="s">
        <v>677</v>
      </c>
      <c r="G864" t="str">
        <f t="shared" si="68"/>
        <v>C</v>
      </c>
      <c r="H864" t="str">
        <f t="shared" si="68"/>
        <v>28</v>
      </c>
      <c r="I864" t="str">
        <f t="shared" si="68"/>
        <v>284</v>
      </c>
      <c r="J864" t="str">
        <f t="shared" si="68"/>
        <v>28402</v>
      </c>
      <c r="K864" t="str">
        <f t="shared" si="66"/>
        <v>2840200</v>
      </c>
      <c r="L864">
        <v>1</v>
      </c>
    </row>
    <row r="865" spans="3:12" x14ac:dyDescent="0.25">
      <c r="C865" t="s">
        <v>2726</v>
      </c>
      <c r="D865" t="s">
        <v>1864</v>
      </c>
      <c r="E865" t="s">
        <v>1864</v>
      </c>
      <c r="F865" t="s">
        <v>678</v>
      </c>
      <c r="G865" t="str">
        <f t="shared" si="68"/>
        <v>C</v>
      </c>
      <c r="H865" t="str">
        <f t="shared" si="68"/>
        <v>28</v>
      </c>
      <c r="I865" t="str">
        <f t="shared" si="68"/>
        <v>285</v>
      </c>
      <c r="J865" t="str">
        <f t="shared" si="68"/>
        <v>28402</v>
      </c>
      <c r="K865" t="str">
        <f t="shared" si="66"/>
        <v/>
      </c>
    </row>
    <row r="866" spans="3:12" x14ac:dyDescent="0.25">
      <c r="C866" t="s">
        <v>1864</v>
      </c>
      <c r="D866" t="s">
        <v>2727</v>
      </c>
      <c r="E866" t="s">
        <v>1864</v>
      </c>
      <c r="F866" t="s">
        <v>679</v>
      </c>
      <c r="G866" t="str">
        <f t="shared" si="68"/>
        <v>C</v>
      </c>
      <c r="H866" t="str">
        <f t="shared" si="68"/>
        <v>28</v>
      </c>
      <c r="I866" t="str">
        <f t="shared" si="68"/>
        <v>285</v>
      </c>
      <c r="J866" t="str">
        <f t="shared" si="68"/>
        <v>28518</v>
      </c>
      <c r="K866" t="str">
        <f t="shared" si="66"/>
        <v/>
      </c>
    </row>
    <row r="867" spans="3:12" x14ac:dyDescent="0.25">
      <c r="C867" t="s">
        <v>1864</v>
      </c>
      <c r="D867" t="s">
        <v>1864</v>
      </c>
      <c r="E867" t="s">
        <v>2728</v>
      </c>
      <c r="F867" t="s">
        <v>680</v>
      </c>
      <c r="G867" t="str">
        <f t="shared" si="68"/>
        <v>C</v>
      </c>
      <c r="H867" t="str">
        <f t="shared" si="68"/>
        <v>28</v>
      </c>
      <c r="I867" t="str">
        <f t="shared" si="68"/>
        <v>285</v>
      </c>
      <c r="J867" t="str">
        <f t="shared" si="68"/>
        <v>28518</v>
      </c>
      <c r="K867" t="str">
        <f t="shared" si="66"/>
        <v>2851800</v>
      </c>
      <c r="L867">
        <v>0</v>
      </c>
    </row>
    <row r="868" spans="3:12" x14ac:dyDescent="0.25">
      <c r="C868" t="s">
        <v>1864</v>
      </c>
      <c r="D868" t="s">
        <v>2729</v>
      </c>
      <c r="E868" t="s">
        <v>1864</v>
      </c>
      <c r="F868" t="s">
        <v>681</v>
      </c>
      <c r="G868" t="str">
        <f t="shared" si="68"/>
        <v>C</v>
      </c>
      <c r="H868" t="str">
        <f t="shared" si="68"/>
        <v>28</v>
      </c>
      <c r="I868" t="str">
        <f t="shared" si="68"/>
        <v>285</v>
      </c>
      <c r="J868" t="str">
        <f t="shared" si="68"/>
        <v>28526</v>
      </c>
      <c r="K868" t="str">
        <f t="shared" si="66"/>
        <v/>
      </c>
    </row>
    <row r="869" spans="3:12" x14ac:dyDescent="0.25">
      <c r="C869" t="s">
        <v>1864</v>
      </c>
      <c r="D869" t="s">
        <v>1864</v>
      </c>
      <c r="E869" t="s">
        <v>2730</v>
      </c>
      <c r="F869" t="s">
        <v>682</v>
      </c>
      <c r="G869" t="str">
        <f t="shared" si="68"/>
        <v>C</v>
      </c>
      <c r="H869" t="str">
        <f t="shared" si="68"/>
        <v>28</v>
      </c>
      <c r="I869" t="str">
        <f t="shared" si="68"/>
        <v>285</v>
      </c>
      <c r="J869" t="str">
        <f t="shared" si="68"/>
        <v>28526</v>
      </c>
      <c r="K869" t="str">
        <f t="shared" si="66"/>
        <v>2852600</v>
      </c>
      <c r="L869">
        <v>0</v>
      </c>
    </row>
    <row r="870" spans="3:12" x14ac:dyDescent="0.25">
      <c r="C870" t="s">
        <v>1864</v>
      </c>
      <c r="D870" t="s">
        <v>2731</v>
      </c>
      <c r="E870" t="s">
        <v>1864</v>
      </c>
      <c r="F870" t="s">
        <v>683</v>
      </c>
      <c r="G870" t="str">
        <f t="shared" si="68"/>
        <v>C</v>
      </c>
      <c r="H870" t="str">
        <f t="shared" si="68"/>
        <v>28</v>
      </c>
      <c r="I870" t="str">
        <f t="shared" si="68"/>
        <v>285</v>
      </c>
      <c r="J870" t="str">
        <f t="shared" si="68"/>
        <v>28534</v>
      </c>
      <c r="K870" t="str">
        <f t="shared" si="66"/>
        <v/>
      </c>
    </row>
    <row r="871" spans="3:12" x14ac:dyDescent="0.25">
      <c r="C871" t="s">
        <v>1864</v>
      </c>
      <c r="D871" t="s">
        <v>1864</v>
      </c>
      <c r="E871" t="s">
        <v>2732</v>
      </c>
      <c r="F871" t="s">
        <v>684</v>
      </c>
      <c r="G871" t="str">
        <f t="shared" si="68"/>
        <v>C</v>
      </c>
      <c r="H871" t="str">
        <f t="shared" si="68"/>
        <v>28</v>
      </c>
      <c r="I871" t="str">
        <f t="shared" si="68"/>
        <v>285</v>
      </c>
      <c r="J871" t="str">
        <f t="shared" si="68"/>
        <v>28534</v>
      </c>
      <c r="K871" t="str">
        <f t="shared" si="66"/>
        <v>2853400</v>
      </c>
      <c r="L871">
        <v>1</v>
      </c>
    </row>
    <row r="872" spans="3:12" x14ac:dyDescent="0.25">
      <c r="C872" t="s">
        <v>1864</v>
      </c>
      <c r="D872" t="s">
        <v>2733</v>
      </c>
      <c r="E872" t="s">
        <v>1864</v>
      </c>
      <c r="F872" t="s">
        <v>685</v>
      </c>
      <c r="G872" t="str">
        <f t="shared" si="68"/>
        <v>C</v>
      </c>
      <c r="H872" t="str">
        <f t="shared" si="68"/>
        <v>28</v>
      </c>
      <c r="I872" t="str">
        <f t="shared" si="68"/>
        <v>285</v>
      </c>
      <c r="J872" t="str">
        <f t="shared" si="68"/>
        <v>28542</v>
      </c>
      <c r="K872" t="str">
        <f t="shared" si="66"/>
        <v/>
      </c>
    </row>
    <row r="873" spans="3:12" x14ac:dyDescent="0.25">
      <c r="C873" t="s">
        <v>1864</v>
      </c>
      <c r="D873" t="s">
        <v>1864</v>
      </c>
      <c r="E873" t="s">
        <v>2734</v>
      </c>
      <c r="F873" t="s">
        <v>686</v>
      </c>
      <c r="G873" t="str">
        <f t="shared" ref="G873:J888" si="69">IF(A873="",G872,A873)</f>
        <v>C</v>
      </c>
      <c r="H873" t="str">
        <f t="shared" si="69"/>
        <v>28</v>
      </c>
      <c r="I873" t="str">
        <f t="shared" si="69"/>
        <v>285</v>
      </c>
      <c r="J873" t="str">
        <f t="shared" si="69"/>
        <v>28542</v>
      </c>
      <c r="K873" t="str">
        <f t="shared" si="66"/>
        <v>2854200</v>
      </c>
      <c r="L873">
        <v>1</v>
      </c>
    </row>
    <row r="874" spans="3:12" x14ac:dyDescent="0.25">
      <c r="C874" t="s">
        <v>2735</v>
      </c>
      <c r="D874" t="s">
        <v>1864</v>
      </c>
      <c r="E874" t="s">
        <v>1864</v>
      </c>
      <c r="F874" t="s">
        <v>687</v>
      </c>
      <c r="G874" t="str">
        <f t="shared" si="69"/>
        <v>C</v>
      </c>
      <c r="H874" t="str">
        <f t="shared" si="69"/>
        <v>28</v>
      </c>
      <c r="I874" t="str">
        <f t="shared" si="69"/>
        <v>286</v>
      </c>
      <c r="J874" t="str">
        <f t="shared" si="69"/>
        <v>28542</v>
      </c>
      <c r="K874" t="str">
        <f t="shared" si="66"/>
        <v/>
      </c>
    </row>
    <row r="875" spans="3:12" x14ac:dyDescent="0.25">
      <c r="C875" t="s">
        <v>1864</v>
      </c>
      <c r="D875" t="s">
        <v>2736</v>
      </c>
      <c r="E875" t="s">
        <v>1864</v>
      </c>
      <c r="F875" t="s">
        <v>688</v>
      </c>
      <c r="G875" t="str">
        <f t="shared" si="69"/>
        <v>C</v>
      </c>
      <c r="H875" t="str">
        <f t="shared" si="69"/>
        <v>28</v>
      </c>
      <c r="I875" t="str">
        <f t="shared" si="69"/>
        <v>286</v>
      </c>
      <c r="J875" t="str">
        <f t="shared" si="69"/>
        <v>28615</v>
      </c>
      <c r="K875" t="str">
        <f t="shared" si="66"/>
        <v/>
      </c>
    </row>
    <row r="876" spans="3:12" x14ac:dyDescent="0.25">
      <c r="C876" t="s">
        <v>1864</v>
      </c>
      <c r="D876" t="s">
        <v>1864</v>
      </c>
      <c r="E876" t="s">
        <v>2737</v>
      </c>
      <c r="F876" t="s">
        <v>689</v>
      </c>
      <c r="G876" t="str">
        <f t="shared" si="69"/>
        <v>C</v>
      </c>
      <c r="H876" t="str">
        <f t="shared" si="69"/>
        <v>28</v>
      </c>
      <c r="I876" t="str">
        <f t="shared" si="69"/>
        <v>286</v>
      </c>
      <c r="J876" t="str">
        <f t="shared" si="69"/>
        <v>28615</v>
      </c>
      <c r="K876" t="str">
        <f t="shared" si="66"/>
        <v>2861500</v>
      </c>
      <c r="L876">
        <v>1</v>
      </c>
    </row>
    <row r="877" spans="3:12" x14ac:dyDescent="0.25">
      <c r="C877" t="s">
        <v>1864</v>
      </c>
      <c r="D877" t="s">
        <v>2738</v>
      </c>
      <c r="E877" t="s">
        <v>1864</v>
      </c>
      <c r="F877" t="s">
        <v>690</v>
      </c>
      <c r="G877" t="str">
        <f t="shared" si="69"/>
        <v>C</v>
      </c>
      <c r="H877" t="str">
        <f t="shared" si="69"/>
        <v>28</v>
      </c>
      <c r="I877" t="str">
        <f t="shared" si="69"/>
        <v>286</v>
      </c>
      <c r="J877" t="str">
        <f t="shared" si="69"/>
        <v>28623</v>
      </c>
      <c r="K877" t="str">
        <f t="shared" si="66"/>
        <v/>
      </c>
    </row>
    <row r="878" spans="3:12" x14ac:dyDescent="0.25">
      <c r="C878" t="s">
        <v>1864</v>
      </c>
      <c r="D878" t="s">
        <v>1864</v>
      </c>
      <c r="E878" t="s">
        <v>2739</v>
      </c>
      <c r="F878" t="s">
        <v>691</v>
      </c>
      <c r="G878" t="str">
        <f t="shared" si="69"/>
        <v>C</v>
      </c>
      <c r="H878" t="str">
        <f t="shared" si="69"/>
        <v>28</v>
      </c>
      <c r="I878" t="str">
        <f t="shared" si="69"/>
        <v>286</v>
      </c>
      <c r="J878" t="str">
        <f t="shared" si="69"/>
        <v>28623</v>
      </c>
      <c r="K878" t="str">
        <f t="shared" si="66"/>
        <v>2862300</v>
      </c>
      <c r="L878">
        <v>1</v>
      </c>
    </row>
    <row r="879" spans="3:12" x14ac:dyDescent="0.25">
      <c r="C879" t="s">
        <v>1864</v>
      </c>
      <c r="D879" t="s">
        <v>2740</v>
      </c>
      <c r="E879" t="s">
        <v>1864</v>
      </c>
      <c r="F879" t="s">
        <v>692</v>
      </c>
      <c r="G879" t="str">
        <f t="shared" si="69"/>
        <v>C</v>
      </c>
      <c r="H879" t="str">
        <f t="shared" si="69"/>
        <v>28</v>
      </c>
      <c r="I879" t="str">
        <f t="shared" si="69"/>
        <v>286</v>
      </c>
      <c r="J879" t="str">
        <f t="shared" si="69"/>
        <v>28631</v>
      </c>
      <c r="K879" t="str">
        <f t="shared" si="66"/>
        <v/>
      </c>
    </row>
    <row r="880" spans="3:12" x14ac:dyDescent="0.25">
      <c r="C880" t="s">
        <v>1864</v>
      </c>
      <c r="D880" t="s">
        <v>1864</v>
      </c>
      <c r="E880" t="s">
        <v>2741</v>
      </c>
      <c r="F880" t="s">
        <v>693</v>
      </c>
      <c r="G880" t="str">
        <f t="shared" si="69"/>
        <v>C</v>
      </c>
      <c r="H880" t="str">
        <f t="shared" si="69"/>
        <v>28</v>
      </c>
      <c r="I880" t="str">
        <f t="shared" si="69"/>
        <v>286</v>
      </c>
      <c r="J880" t="str">
        <f t="shared" si="69"/>
        <v>28631</v>
      </c>
      <c r="K880" t="str">
        <f t="shared" si="66"/>
        <v>2863100</v>
      </c>
      <c r="L880">
        <v>1</v>
      </c>
    </row>
    <row r="881" spans="2:12" x14ac:dyDescent="0.25">
      <c r="C881" t="s">
        <v>1864</v>
      </c>
      <c r="D881" t="s">
        <v>2742</v>
      </c>
      <c r="E881" t="s">
        <v>1864</v>
      </c>
      <c r="F881" t="s">
        <v>694</v>
      </c>
      <c r="G881" t="str">
        <f t="shared" si="69"/>
        <v>C</v>
      </c>
      <c r="H881" t="str">
        <f t="shared" si="69"/>
        <v>28</v>
      </c>
      <c r="I881" t="str">
        <f t="shared" si="69"/>
        <v>286</v>
      </c>
      <c r="J881" t="str">
        <f t="shared" si="69"/>
        <v>28640</v>
      </c>
      <c r="K881" t="str">
        <f t="shared" si="66"/>
        <v/>
      </c>
    </row>
    <row r="882" spans="2:12" x14ac:dyDescent="0.25">
      <c r="C882" t="s">
        <v>1864</v>
      </c>
      <c r="D882" t="s">
        <v>1864</v>
      </c>
      <c r="E882" t="s">
        <v>2743</v>
      </c>
      <c r="F882" t="s">
        <v>695</v>
      </c>
      <c r="G882" t="str">
        <f t="shared" si="69"/>
        <v>C</v>
      </c>
      <c r="H882" t="str">
        <f t="shared" si="69"/>
        <v>28</v>
      </c>
      <c r="I882" t="str">
        <f t="shared" si="69"/>
        <v>286</v>
      </c>
      <c r="J882" t="str">
        <f t="shared" si="69"/>
        <v>28640</v>
      </c>
      <c r="K882" t="str">
        <f t="shared" si="66"/>
        <v>2864000</v>
      </c>
      <c r="L882">
        <v>1</v>
      </c>
    </row>
    <row r="883" spans="2:12" x14ac:dyDescent="0.25">
      <c r="C883" t="s">
        <v>1864</v>
      </c>
      <c r="D883" t="s">
        <v>2744</v>
      </c>
      <c r="E883" t="s">
        <v>1864</v>
      </c>
      <c r="F883" t="s">
        <v>696</v>
      </c>
      <c r="G883" t="str">
        <f t="shared" si="69"/>
        <v>C</v>
      </c>
      <c r="H883" t="str">
        <f t="shared" si="69"/>
        <v>28</v>
      </c>
      <c r="I883" t="str">
        <f t="shared" si="69"/>
        <v>286</v>
      </c>
      <c r="J883" t="str">
        <f t="shared" si="69"/>
        <v>28658</v>
      </c>
      <c r="K883" t="str">
        <f t="shared" si="66"/>
        <v/>
      </c>
    </row>
    <row r="884" spans="2:12" x14ac:dyDescent="0.25">
      <c r="C884" t="s">
        <v>1864</v>
      </c>
      <c r="D884" t="s">
        <v>1864</v>
      </c>
      <c r="E884" t="s">
        <v>2745</v>
      </c>
      <c r="F884" t="s">
        <v>697</v>
      </c>
      <c r="G884" t="str">
        <f t="shared" si="69"/>
        <v>C</v>
      </c>
      <c r="H884" t="str">
        <f t="shared" si="69"/>
        <v>28</v>
      </c>
      <c r="I884" t="str">
        <f t="shared" si="69"/>
        <v>286</v>
      </c>
      <c r="J884" t="str">
        <f t="shared" si="69"/>
        <v>28658</v>
      </c>
      <c r="K884" t="str">
        <f t="shared" si="66"/>
        <v>2865800</v>
      </c>
      <c r="L884">
        <v>0</v>
      </c>
    </row>
    <row r="885" spans="2:12" x14ac:dyDescent="0.25">
      <c r="C885" t="s">
        <v>1864</v>
      </c>
      <c r="D885" t="s">
        <v>2746</v>
      </c>
      <c r="E885" t="s">
        <v>1864</v>
      </c>
      <c r="F885" t="s">
        <v>698</v>
      </c>
      <c r="G885" t="str">
        <f t="shared" si="69"/>
        <v>C</v>
      </c>
      <c r="H885" t="str">
        <f t="shared" si="69"/>
        <v>28</v>
      </c>
      <c r="I885" t="str">
        <f t="shared" si="69"/>
        <v>286</v>
      </c>
      <c r="J885" t="str">
        <f t="shared" si="69"/>
        <v>28666</v>
      </c>
      <c r="K885" t="str">
        <f t="shared" si="66"/>
        <v/>
      </c>
    </row>
    <row r="886" spans="2:12" x14ac:dyDescent="0.25">
      <c r="C886" t="s">
        <v>1864</v>
      </c>
      <c r="D886" t="s">
        <v>1864</v>
      </c>
      <c r="E886" t="s">
        <v>2747</v>
      </c>
      <c r="F886" t="s">
        <v>699</v>
      </c>
      <c r="G886" t="str">
        <f t="shared" si="69"/>
        <v>C</v>
      </c>
      <c r="H886" t="str">
        <f t="shared" si="69"/>
        <v>28</v>
      </c>
      <c r="I886" t="str">
        <f t="shared" si="69"/>
        <v>286</v>
      </c>
      <c r="J886" t="str">
        <f t="shared" si="69"/>
        <v>28666</v>
      </c>
      <c r="K886" t="str">
        <f t="shared" si="66"/>
        <v>2866600</v>
      </c>
      <c r="L886">
        <v>1</v>
      </c>
    </row>
    <row r="887" spans="2:12" x14ac:dyDescent="0.25">
      <c r="C887" t="s">
        <v>1864</v>
      </c>
      <c r="D887" t="s">
        <v>2748</v>
      </c>
      <c r="E887" t="s">
        <v>1864</v>
      </c>
      <c r="F887" t="s">
        <v>700</v>
      </c>
      <c r="G887" t="str">
        <f t="shared" si="69"/>
        <v>C</v>
      </c>
      <c r="H887" t="str">
        <f t="shared" si="69"/>
        <v>28</v>
      </c>
      <c r="I887" t="str">
        <f t="shared" si="69"/>
        <v>286</v>
      </c>
      <c r="J887" t="str">
        <f t="shared" si="69"/>
        <v>28691</v>
      </c>
      <c r="K887" t="str">
        <f t="shared" si="66"/>
        <v/>
      </c>
    </row>
    <row r="888" spans="2:12" x14ac:dyDescent="0.25">
      <c r="C888" t="s">
        <v>1864</v>
      </c>
      <c r="D888" t="s">
        <v>1864</v>
      </c>
      <c r="E888" t="s">
        <v>2749</v>
      </c>
      <c r="F888" t="s">
        <v>701</v>
      </c>
      <c r="G888" t="str">
        <f t="shared" si="69"/>
        <v>C</v>
      </c>
      <c r="H888" t="str">
        <f t="shared" si="69"/>
        <v>28</v>
      </c>
      <c r="I888" t="str">
        <f t="shared" si="69"/>
        <v>286</v>
      </c>
      <c r="J888" t="str">
        <f t="shared" si="69"/>
        <v>28691</v>
      </c>
      <c r="K888" t="str">
        <f t="shared" si="66"/>
        <v>2869100</v>
      </c>
      <c r="L888">
        <v>1</v>
      </c>
    </row>
    <row r="889" spans="2:12" x14ac:dyDescent="0.25">
      <c r="B889" t="s">
        <v>2750</v>
      </c>
      <c r="C889" t="s">
        <v>1864</v>
      </c>
      <c r="D889" t="s">
        <v>1864</v>
      </c>
      <c r="E889" t="s">
        <v>1864</v>
      </c>
      <c r="F889" t="s">
        <v>702</v>
      </c>
      <c r="G889" t="str">
        <f t="shared" ref="G889:J904" si="70">IF(A889="",G888,A889)</f>
        <v>C</v>
      </c>
      <c r="H889" t="str">
        <f t="shared" si="70"/>
        <v>29</v>
      </c>
      <c r="I889" t="str">
        <f t="shared" si="70"/>
        <v>286</v>
      </c>
      <c r="J889" t="str">
        <f t="shared" si="70"/>
        <v>28691</v>
      </c>
      <c r="K889" t="str">
        <f t="shared" si="66"/>
        <v/>
      </c>
    </row>
    <row r="890" spans="2:12" x14ac:dyDescent="0.25">
      <c r="C890" t="s">
        <v>2751</v>
      </c>
      <c r="D890" t="s">
        <v>1864</v>
      </c>
      <c r="E890" t="s">
        <v>1864</v>
      </c>
      <c r="F890" t="s">
        <v>703</v>
      </c>
      <c r="G890" t="str">
        <f t="shared" si="70"/>
        <v>C</v>
      </c>
      <c r="H890" t="str">
        <f t="shared" si="70"/>
        <v>29</v>
      </c>
      <c r="I890" t="str">
        <f t="shared" si="70"/>
        <v>291</v>
      </c>
      <c r="J890" t="str">
        <f t="shared" si="70"/>
        <v>28691</v>
      </c>
      <c r="K890" t="str">
        <f t="shared" si="66"/>
        <v/>
      </c>
    </row>
    <row r="891" spans="2:12" x14ac:dyDescent="0.25">
      <c r="C891" t="s">
        <v>1864</v>
      </c>
      <c r="D891" t="s">
        <v>2752</v>
      </c>
      <c r="E891" t="s">
        <v>1864</v>
      </c>
      <c r="F891" t="s">
        <v>703</v>
      </c>
      <c r="G891" t="str">
        <f t="shared" si="70"/>
        <v>C</v>
      </c>
      <c r="H891" t="str">
        <f t="shared" si="70"/>
        <v>29</v>
      </c>
      <c r="I891" t="str">
        <f t="shared" si="70"/>
        <v>291</v>
      </c>
      <c r="J891" t="str">
        <f t="shared" si="70"/>
        <v>29107</v>
      </c>
      <c r="K891" t="str">
        <f t="shared" si="66"/>
        <v/>
      </c>
    </row>
    <row r="892" spans="2:12" x14ac:dyDescent="0.25">
      <c r="C892" t="s">
        <v>1864</v>
      </c>
      <c r="D892" t="s">
        <v>1864</v>
      </c>
      <c r="E892" t="s">
        <v>2753</v>
      </c>
      <c r="F892" t="s">
        <v>703</v>
      </c>
      <c r="G892" t="str">
        <f t="shared" si="70"/>
        <v>C</v>
      </c>
      <c r="H892" t="str">
        <f t="shared" si="70"/>
        <v>29</v>
      </c>
      <c r="I892" t="str">
        <f t="shared" si="70"/>
        <v>291</v>
      </c>
      <c r="J892" t="str">
        <f t="shared" si="70"/>
        <v>29107</v>
      </c>
      <c r="K892" t="str">
        <f t="shared" si="66"/>
        <v>2910701</v>
      </c>
      <c r="L892">
        <v>0</v>
      </c>
    </row>
    <row r="893" spans="2:12" x14ac:dyDescent="0.25">
      <c r="C893" t="s">
        <v>1864</v>
      </c>
      <c r="D893" t="s">
        <v>1864</v>
      </c>
      <c r="E893" t="s">
        <v>2754</v>
      </c>
      <c r="F893" t="s">
        <v>704</v>
      </c>
      <c r="G893" t="str">
        <f t="shared" si="70"/>
        <v>C</v>
      </c>
      <c r="H893" t="str">
        <f t="shared" si="70"/>
        <v>29</v>
      </c>
      <c r="I893" t="str">
        <f t="shared" si="70"/>
        <v>291</v>
      </c>
      <c r="J893" t="str">
        <f t="shared" si="70"/>
        <v>29107</v>
      </c>
      <c r="K893" t="str">
        <f t="shared" si="66"/>
        <v>2910702</v>
      </c>
      <c r="L893">
        <v>0</v>
      </c>
    </row>
    <row r="894" spans="2:12" x14ac:dyDescent="0.25">
      <c r="C894" t="s">
        <v>1864</v>
      </c>
      <c r="D894" t="s">
        <v>1864</v>
      </c>
      <c r="E894" t="s">
        <v>2755</v>
      </c>
      <c r="F894" t="s">
        <v>705</v>
      </c>
      <c r="G894" t="str">
        <f t="shared" si="70"/>
        <v>C</v>
      </c>
      <c r="H894" t="str">
        <f t="shared" si="70"/>
        <v>29</v>
      </c>
      <c r="I894" t="str">
        <f t="shared" si="70"/>
        <v>291</v>
      </c>
      <c r="J894" t="str">
        <f t="shared" si="70"/>
        <v>29107</v>
      </c>
      <c r="K894" t="str">
        <f t="shared" si="66"/>
        <v>2910703</v>
      </c>
      <c r="L894">
        <v>0</v>
      </c>
    </row>
    <row r="895" spans="2:12" x14ac:dyDescent="0.25">
      <c r="C895" t="s">
        <v>2756</v>
      </c>
      <c r="D895" t="s">
        <v>1864</v>
      </c>
      <c r="E895" t="s">
        <v>1864</v>
      </c>
      <c r="F895" t="s">
        <v>706</v>
      </c>
      <c r="G895" t="str">
        <f t="shared" si="70"/>
        <v>C</v>
      </c>
      <c r="H895" t="str">
        <f t="shared" si="70"/>
        <v>29</v>
      </c>
      <c r="I895" t="str">
        <f t="shared" si="70"/>
        <v>292</v>
      </c>
      <c r="J895" t="str">
        <f t="shared" si="70"/>
        <v>29107</v>
      </c>
      <c r="K895" t="str">
        <f t="shared" si="66"/>
        <v/>
      </c>
    </row>
    <row r="896" spans="2:12" x14ac:dyDescent="0.25">
      <c r="C896" t="s">
        <v>1864</v>
      </c>
      <c r="D896" t="s">
        <v>2757</v>
      </c>
      <c r="E896" t="s">
        <v>1864</v>
      </c>
      <c r="F896" t="s">
        <v>706</v>
      </c>
      <c r="G896" t="str">
        <f t="shared" si="70"/>
        <v>C</v>
      </c>
      <c r="H896" t="str">
        <f t="shared" si="70"/>
        <v>29</v>
      </c>
      <c r="I896" t="str">
        <f t="shared" si="70"/>
        <v>292</v>
      </c>
      <c r="J896" t="str">
        <f t="shared" si="70"/>
        <v>29204</v>
      </c>
      <c r="K896" t="str">
        <f t="shared" si="66"/>
        <v/>
      </c>
    </row>
    <row r="897" spans="3:12" x14ac:dyDescent="0.25">
      <c r="C897" t="s">
        <v>1864</v>
      </c>
      <c r="D897" t="s">
        <v>1864</v>
      </c>
      <c r="E897" t="s">
        <v>2758</v>
      </c>
      <c r="F897" t="s">
        <v>706</v>
      </c>
      <c r="G897" t="str">
        <f t="shared" si="70"/>
        <v>C</v>
      </c>
      <c r="H897" t="str">
        <f t="shared" si="70"/>
        <v>29</v>
      </c>
      <c r="I897" t="str">
        <f t="shared" si="70"/>
        <v>292</v>
      </c>
      <c r="J897" t="str">
        <f t="shared" si="70"/>
        <v>29204</v>
      </c>
      <c r="K897" t="str">
        <f t="shared" si="66"/>
        <v>2920401</v>
      </c>
      <c r="L897">
        <v>0</v>
      </c>
    </row>
    <row r="898" spans="3:12" x14ac:dyDescent="0.25">
      <c r="C898" t="s">
        <v>1864</v>
      </c>
      <c r="D898" t="s">
        <v>1864</v>
      </c>
      <c r="E898" t="s">
        <v>2759</v>
      </c>
      <c r="F898" t="s">
        <v>707</v>
      </c>
      <c r="G898" t="str">
        <f t="shared" si="70"/>
        <v>C</v>
      </c>
      <c r="H898" t="str">
        <f t="shared" si="70"/>
        <v>29</v>
      </c>
      <c r="I898" t="str">
        <f t="shared" si="70"/>
        <v>292</v>
      </c>
      <c r="J898" t="str">
        <f t="shared" si="70"/>
        <v>29204</v>
      </c>
      <c r="K898" t="str">
        <f t="shared" si="66"/>
        <v>2920402</v>
      </c>
      <c r="L898">
        <v>0</v>
      </c>
    </row>
    <row r="899" spans="3:12" x14ac:dyDescent="0.25">
      <c r="C899" t="s">
        <v>2760</v>
      </c>
      <c r="D899" t="s">
        <v>1864</v>
      </c>
      <c r="E899" t="s">
        <v>1864</v>
      </c>
      <c r="F899" t="s">
        <v>708</v>
      </c>
      <c r="G899" t="str">
        <f t="shared" si="70"/>
        <v>C</v>
      </c>
      <c r="H899" t="str">
        <f t="shared" si="70"/>
        <v>29</v>
      </c>
      <c r="I899" t="str">
        <f t="shared" si="70"/>
        <v>293</v>
      </c>
      <c r="J899" t="str">
        <f t="shared" si="70"/>
        <v>29204</v>
      </c>
      <c r="K899" t="str">
        <f t="shared" si="66"/>
        <v/>
      </c>
    </row>
    <row r="900" spans="3:12" x14ac:dyDescent="0.25">
      <c r="C900" t="s">
        <v>1864</v>
      </c>
      <c r="D900" t="s">
        <v>2761</v>
      </c>
      <c r="E900" t="s">
        <v>1864</v>
      </c>
      <c r="F900" t="s">
        <v>708</v>
      </c>
      <c r="G900" t="str">
        <f t="shared" si="70"/>
        <v>C</v>
      </c>
      <c r="H900" t="str">
        <f t="shared" si="70"/>
        <v>29</v>
      </c>
      <c r="I900" t="str">
        <f t="shared" si="70"/>
        <v>293</v>
      </c>
      <c r="J900" t="str">
        <f t="shared" si="70"/>
        <v>29301</v>
      </c>
      <c r="K900" t="str">
        <f t="shared" si="66"/>
        <v/>
      </c>
    </row>
    <row r="901" spans="3:12" x14ac:dyDescent="0.25">
      <c r="C901" t="s">
        <v>1864</v>
      </c>
      <c r="D901" t="s">
        <v>1864</v>
      </c>
      <c r="E901" t="s">
        <v>2762</v>
      </c>
      <c r="F901" t="s">
        <v>709</v>
      </c>
      <c r="G901" t="str">
        <f t="shared" si="70"/>
        <v>C</v>
      </c>
      <c r="H901" t="str">
        <f t="shared" si="70"/>
        <v>29</v>
      </c>
      <c r="I901" t="str">
        <f t="shared" si="70"/>
        <v>293</v>
      </c>
      <c r="J901" t="str">
        <f t="shared" si="70"/>
        <v>29301</v>
      </c>
      <c r="K901" t="str">
        <f t="shared" si="66"/>
        <v>2930101</v>
      </c>
      <c r="L901">
        <v>0</v>
      </c>
    </row>
    <row r="902" spans="3:12" x14ac:dyDescent="0.25">
      <c r="C902" t="s">
        <v>1864</v>
      </c>
      <c r="D902" t="s">
        <v>1864</v>
      </c>
      <c r="E902" t="s">
        <v>2763</v>
      </c>
      <c r="F902" t="s">
        <v>710</v>
      </c>
      <c r="G902" t="str">
        <f t="shared" si="70"/>
        <v>C</v>
      </c>
      <c r="H902" t="str">
        <f t="shared" si="70"/>
        <v>29</v>
      </c>
      <c r="I902" t="str">
        <f t="shared" si="70"/>
        <v>293</v>
      </c>
      <c r="J902" t="str">
        <f t="shared" si="70"/>
        <v>29301</v>
      </c>
      <c r="K902" t="str">
        <f t="shared" si="66"/>
        <v>2930102</v>
      </c>
      <c r="L902">
        <v>0</v>
      </c>
    </row>
    <row r="903" spans="3:12" x14ac:dyDescent="0.25">
      <c r="C903" t="s">
        <v>1864</v>
      </c>
      <c r="D903" t="s">
        <v>1864</v>
      </c>
      <c r="E903" t="s">
        <v>2764</v>
      </c>
      <c r="F903" t="s">
        <v>711</v>
      </c>
      <c r="G903" t="str">
        <f t="shared" si="70"/>
        <v>C</v>
      </c>
      <c r="H903" t="str">
        <f t="shared" si="70"/>
        <v>29</v>
      </c>
      <c r="I903" t="str">
        <f t="shared" si="70"/>
        <v>293</v>
      </c>
      <c r="J903" t="str">
        <f t="shared" si="70"/>
        <v>29301</v>
      </c>
      <c r="K903" t="str">
        <f t="shared" si="66"/>
        <v>2930103</v>
      </c>
      <c r="L903">
        <v>0</v>
      </c>
    </row>
    <row r="904" spans="3:12" x14ac:dyDescent="0.25">
      <c r="C904" t="s">
        <v>2765</v>
      </c>
      <c r="D904" t="s">
        <v>1864</v>
      </c>
      <c r="E904" t="s">
        <v>1864</v>
      </c>
      <c r="F904" t="s">
        <v>712</v>
      </c>
      <c r="G904" t="str">
        <f t="shared" si="70"/>
        <v>C</v>
      </c>
      <c r="H904" t="str">
        <f t="shared" si="70"/>
        <v>29</v>
      </c>
      <c r="I904" t="str">
        <f t="shared" si="70"/>
        <v>294</v>
      </c>
      <c r="J904" t="str">
        <f t="shared" si="70"/>
        <v>29301</v>
      </c>
      <c r="K904" t="str">
        <f t="shared" ref="K904:K967" si="71">E904</f>
        <v/>
      </c>
    </row>
    <row r="905" spans="3:12" x14ac:dyDescent="0.25">
      <c r="C905" t="s">
        <v>1864</v>
      </c>
      <c r="D905" t="s">
        <v>2766</v>
      </c>
      <c r="E905" t="s">
        <v>1864</v>
      </c>
      <c r="F905" t="s">
        <v>713</v>
      </c>
      <c r="G905" t="str">
        <f t="shared" ref="G905:J920" si="72">IF(A905="",G904,A905)</f>
        <v>C</v>
      </c>
      <c r="H905" t="str">
        <f t="shared" si="72"/>
        <v>29</v>
      </c>
      <c r="I905" t="str">
        <f t="shared" si="72"/>
        <v>294</v>
      </c>
      <c r="J905" t="str">
        <f t="shared" si="72"/>
        <v>29417</v>
      </c>
      <c r="K905" t="str">
        <f t="shared" si="71"/>
        <v/>
      </c>
    </row>
    <row r="906" spans="3:12" x14ac:dyDescent="0.25">
      <c r="C906" t="s">
        <v>1864</v>
      </c>
      <c r="D906" t="s">
        <v>1864</v>
      </c>
      <c r="E906" t="s">
        <v>2767</v>
      </c>
      <c r="F906" t="s">
        <v>713</v>
      </c>
      <c r="G906" t="str">
        <f t="shared" si="72"/>
        <v>C</v>
      </c>
      <c r="H906" t="str">
        <f t="shared" si="72"/>
        <v>29</v>
      </c>
      <c r="I906" t="str">
        <f t="shared" si="72"/>
        <v>294</v>
      </c>
      <c r="J906" t="str">
        <f t="shared" si="72"/>
        <v>29417</v>
      </c>
      <c r="K906" t="str">
        <f t="shared" si="71"/>
        <v>2941700</v>
      </c>
      <c r="L906">
        <v>0</v>
      </c>
    </row>
    <row r="907" spans="3:12" x14ac:dyDescent="0.25">
      <c r="C907" t="s">
        <v>1864</v>
      </c>
      <c r="D907" t="s">
        <v>2768</v>
      </c>
      <c r="E907" t="s">
        <v>1864</v>
      </c>
      <c r="F907" t="s">
        <v>714</v>
      </c>
      <c r="G907" t="str">
        <f t="shared" si="72"/>
        <v>C</v>
      </c>
      <c r="H907" t="str">
        <f t="shared" si="72"/>
        <v>29</v>
      </c>
      <c r="I907" t="str">
        <f t="shared" si="72"/>
        <v>294</v>
      </c>
      <c r="J907" t="str">
        <f t="shared" si="72"/>
        <v>29425</v>
      </c>
      <c r="K907" t="str">
        <f t="shared" si="71"/>
        <v/>
      </c>
    </row>
    <row r="908" spans="3:12" x14ac:dyDescent="0.25">
      <c r="C908" t="s">
        <v>1864</v>
      </c>
      <c r="D908" t="s">
        <v>1864</v>
      </c>
      <c r="E908" t="s">
        <v>2769</v>
      </c>
      <c r="F908" t="s">
        <v>714</v>
      </c>
      <c r="G908" t="str">
        <f t="shared" si="72"/>
        <v>C</v>
      </c>
      <c r="H908" t="str">
        <f t="shared" si="72"/>
        <v>29</v>
      </c>
      <c r="I908" t="str">
        <f t="shared" si="72"/>
        <v>294</v>
      </c>
      <c r="J908" t="str">
        <f t="shared" si="72"/>
        <v>29425</v>
      </c>
      <c r="K908" t="str">
        <f t="shared" si="71"/>
        <v>2942500</v>
      </c>
      <c r="L908">
        <v>0</v>
      </c>
    </row>
    <row r="909" spans="3:12" x14ac:dyDescent="0.25">
      <c r="C909" t="s">
        <v>1864</v>
      </c>
      <c r="D909" t="s">
        <v>2770</v>
      </c>
      <c r="E909" t="s">
        <v>1864</v>
      </c>
      <c r="F909" t="s">
        <v>715</v>
      </c>
      <c r="G909" t="str">
        <f t="shared" si="72"/>
        <v>C</v>
      </c>
      <c r="H909" t="str">
        <f t="shared" si="72"/>
        <v>29</v>
      </c>
      <c r="I909" t="str">
        <f t="shared" si="72"/>
        <v>294</v>
      </c>
      <c r="J909" t="str">
        <f t="shared" si="72"/>
        <v>29433</v>
      </c>
      <c r="K909" t="str">
        <f t="shared" si="71"/>
        <v/>
      </c>
    </row>
    <row r="910" spans="3:12" x14ac:dyDescent="0.25">
      <c r="C910" t="s">
        <v>1864</v>
      </c>
      <c r="D910" t="s">
        <v>1864</v>
      </c>
      <c r="E910" t="s">
        <v>2771</v>
      </c>
      <c r="F910" t="s">
        <v>715</v>
      </c>
      <c r="G910" t="str">
        <f t="shared" si="72"/>
        <v>C</v>
      </c>
      <c r="H910" t="str">
        <f t="shared" si="72"/>
        <v>29</v>
      </c>
      <c r="I910" t="str">
        <f t="shared" si="72"/>
        <v>294</v>
      </c>
      <c r="J910" t="str">
        <f t="shared" si="72"/>
        <v>29433</v>
      </c>
      <c r="K910" t="str">
        <f t="shared" si="71"/>
        <v>2943300</v>
      </c>
      <c r="L910">
        <v>0</v>
      </c>
    </row>
    <row r="911" spans="3:12" x14ac:dyDescent="0.25">
      <c r="C911" t="s">
        <v>1864</v>
      </c>
      <c r="D911" t="s">
        <v>2772</v>
      </c>
      <c r="E911" t="s">
        <v>1864</v>
      </c>
      <c r="F911" t="s">
        <v>716</v>
      </c>
      <c r="G911" t="str">
        <f t="shared" si="72"/>
        <v>C</v>
      </c>
      <c r="H911" t="str">
        <f t="shared" si="72"/>
        <v>29</v>
      </c>
      <c r="I911" t="str">
        <f t="shared" si="72"/>
        <v>294</v>
      </c>
      <c r="J911" t="str">
        <f t="shared" si="72"/>
        <v>29441</v>
      </c>
      <c r="K911" t="str">
        <f t="shared" si="71"/>
        <v/>
      </c>
    </row>
    <row r="912" spans="3:12" x14ac:dyDescent="0.25">
      <c r="C912" t="s">
        <v>1864</v>
      </c>
      <c r="D912" t="s">
        <v>1864</v>
      </c>
      <c r="E912" t="s">
        <v>2773</v>
      </c>
      <c r="F912" t="s">
        <v>716</v>
      </c>
      <c r="G912" t="str">
        <f t="shared" si="72"/>
        <v>C</v>
      </c>
      <c r="H912" t="str">
        <f t="shared" si="72"/>
        <v>29</v>
      </c>
      <c r="I912" t="str">
        <f t="shared" si="72"/>
        <v>294</v>
      </c>
      <c r="J912" t="str">
        <f t="shared" si="72"/>
        <v>29441</v>
      </c>
      <c r="K912" t="str">
        <f t="shared" si="71"/>
        <v>2944100</v>
      </c>
      <c r="L912">
        <v>0</v>
      </c>
    </row>
    <row r="913" spans="2:12" x14ac:dyDescent="0.25">
      <c r="C913" t="s">
        <v>1864</v>
      </c>
      <c r="D913" t="s">
        <v>2774</v>
      </c>
      <c r="E913" t="s">
        <v>1864</v>
      </c>
      <c r="F913" t="s">
        <v>717</v>
      </c>
      <c r="G913" t="str">
        <f t="shared" si="72"/>
        <v>C</v>
      </c>
      <c r="H913" t="str">
        <f t="shared" si="72"/>
        <v>29</v>
      </c>
      <c r="I913" t="str">
        <f t="shared" si="72"/>
        <v>294</v>
      </c>
      <c r="J913" t="str">
        <f t="shared" si="72"/>
        <v>29450</v>
      </c>
      <c r="K913" t="str">
        <f t="shared" si="71"/>
        <v/>
      </c>
    </row>
    <row r="914" spans="2:12" x14ac:dyDescent="0.25">
      <c r="C914" t="s">
        <v>1864</v>
      </c>
      <c r="D914" t="s">
        <v>1864</v>
      </c>
      <c r="E914" t="s">
        <v>2775</v>
      </c>
      <c r="F914" t="s">
        <v>717</v>
      </c>
      <c r="G914" t="str">
        <f t="shared" si="72"/>
        <v>C</v>
      </c>
      <c r="H914" t="str">
        <f t="shared" si="72"/>
        <v>29</v>
      </c>
      <c r="I914" t="str">
        <f t="shared" si="72"/>
        <v>294</v>
      </c>
      <c r="J914" t="str">
        <f t="shared" si="72"/>
        <v>29450</v>
      </c>
      <c r="K914" t="str">
        <f t="shared" si="71"/>
        <v>2945000</v>
      </c>
      <c r="L914">
        <v>0</v>
      </c>
    </row>
    <row r="915" spans="2:12" x14ac:dyDescent="0.25">
      <c r="C915" t="s">
        <v>1864</v>
      </c>
      <c r="D915" t="s">
        <v>2776</v>
      </c>
      <c r="E915" t="s">
        <v>1864</v>
      </c>
      <c r="F915" t="s">
        <v>718</v>
      </c>
      <c r="G915" t="str">
        <f t="shared" si="72"/>
        <v>C</v>
      </c>
      <c r="H915" t="str">
        <f t="shared" si="72"/>
        <v>29</v>
      </c>
      <c r="I915" t="str">
        <f t="shared" si="72"/>
        <v>294</v>
      </c>
      <c r="J915" t="str">
        <f t="shared" si="72"/>
        <v>29492</v>
      </c>
      <c r="K915" t="str">
        <f t="shared" si="71"/>
        <v/>
      </c>
    </row>
    <row r="916" spans="2:12" x14ac:dyDescent="0.25">
      <c r="C916" t="s">
        <v>1864</v>
      </c>
      <c r="D916" t="s">
        <v>1864</v>
      </c>
      <c r="E916" t="s">
        <v>2777</v>
      </c>
      <c r="F916" t="s">
        <v>719</v>
      </c>
      <c r="G916" t="str">
        <f t="shared" si="72"/>
        <v>C</v>
      </c>
      <c r="H916" t="str">
        <f t="shared" si="72"/>
        <v>29</v>
      </c>
      <c r="I916" t="str">
        <f t="shared" si="72"/>
        <v>294</v>
      </c>
      <c r="J916" t="str">
        <f t="shared" si="72"/>
        <v>29492</v>
      </c>
      <c r="K916" t="str">
        <f t="shared" si="71"/>
        <v>2949201</v>
      </c>
      <c r="L916">
        <v>0</v>
      </c>
    </row>
    <row r="917" spans="2:12" x14ac:dyDescent="0.25">
      <c r="C917" t="s">
        <v>1864</v>
      </c>
      <c r="D917" t="s">
        <v>1864</v>
      </c>
      <c r="E917" t="s">
        <v>2778</v>
      </c>
      <c r="F917" t="s">
        <v>720</v>
      </c>
      <c r="G917" t="str">
        <f t="shared" si="72"/>
        <v>C</v>
      </c>
      <c r="H917" t="str">
        <f t="shared" si="72"/>
        <v>29</v>
      </c>
      <c r="I917" t="str">
        <f t="shared" si="72"/>
        <v>294</v>
      </c>
      <c r="J917" t="str">
        <f t="shared" si="72"/>
        <v>29492</v>
      </c>
      <c r="K917" t="str">
        <f t="shared" si="71"/>
        <v>2949299</v>
      </c>
      <c r="L917">
        <v>0</v>
      </c>
    </row>
    <row r="918" spans="2:12" x14ac:dyDescent="0.25">
      <c r="C918" t="s">
        <v>2779</v>
      </c>
      <c r="D918" t="s">
        <v>1864</v>
      </c>
      <c r="E918" t="s">
        <v>1864</v>
      </c>
      <c r="F918" t="s">
        <v>721</v>
      </c>
      <c r="G918" t="str">
        <f t="shared" si="72"/>
        <v>C</v>
      </c>
      <c r="H918" t="str">
        <f t="shared" si="72"/>
        <v>29</v>
      </c>
      <c r="I918" t="str">
        <f t="shared" si="72"/>
        <v>295</v>
      </c>
      <c r="J918" t="str">
        <f t="shared" si="72"/>
        <v>29492</v>
      </c>
      <c r="K918" t="str">
        <f t="shared" si="71"/>
        <v/>
      </c>
    </row>
    <row r="919" spans="2:12" x14ac:dyDescent="0.25">
      <c r="C919" t="s">
        <v>1864</v>
      </c>
      <c r="D919" t="s">
        <v>2780</v>
      </c>
      <c r="E919" t="s">
        <v>1864</v>
      </c>
      <c r="F919" t="s">
        <v>721</v>
      </c>
      <c r="G919" t="str">
        <f t="shared" si="72"/>
        <v>C</v>
      </c>
      <c r="H919" t="str">
        <f t="shared" si="72"/>
        <v>29</v>
      </c>
      <c r="I919" t="str">
        <f t="shared" si="72"/>
        <v>295</v>
      </c>
      <c r="J919" t="str">
        <f t="shared" si="72"/>
        <v>29506</v>
      </c>
      <c r="K919" t="str">
        <f t="shared" si="71"/>
        <v/>
      </c>
    </row>
    <row r="920" spans="2:12" x14ac:dyDescent="0.25">
      <c r="C920" t="s">
        <v>1864</v>
      </c>
      <c r="D920" t="s">
        <v>1864</v>
      </c>
      <c r="E920" t="s">
        <v>2781</v>
      </c>
      <c r="F920" t="s">
        <v>721</v>
      </c>
      <c r="G920" t="str">
        <f t="shared" si="72"/>
        <v>C</v>
      </c>
      <c r="H920" t="str">
        <f t="shared" si="72"/>
        <v>29</v>
      </c>
      <c r="I920" t="str">
        <f t="shared" si="72"/>
        <v>295</v>
      </c>
      <c r="J920" t="str">
        <f t="shared" si="72"/>
        <v>29506</v>
      </c>
      <c r="K920" t="str">
        <f t="shared" si="71"/>
        <v>2950600</v>
      </c>
      <c r="L920">
        <v>0</v>
      </c>
    </row>
    <row r="921" spans="2:12" x14ac:dyDescent="0.25">
      <c r="B921" t="s">
        <v>2782</v>
      </c>
      <c r="C921" t="s">
        <v>1864</v>
      </c>
      <c r="D921" t="s">
        <v>1864</v>
      </c>
      <c r="E921" t="s">
        <v>1864</v>
      </c>
      <c r="F921" s="1" t="s">
        <v>722</v>
      </c>
      <c r="G921" t="str">
        <f t="shared" ref="G921:J936" si="73">IF(A921="",G920,A921)</f>
        <v>C</v>
      </c>
      <c r="H921" t="str">
        <f t="shared" si="73"/>
        <v>30</v>
      </c>
      <c r="I921" t="str">
        <f t="shared" si="73"/>
        <v>295</v>
      </c>
      <c r="J921" t="str">
        <f t="shared" si="73"/>
        <v>29506</v>
      </c>
      <c r="K921" t="str">
        <f t="shared" si="71"/>
        <v/>
      </c>
    </row>
    <row r="922" spans="2:12" x14ac:dyDescent="0.25">
      <c r="C922" t="s">
        <v>2783</v>
      </c>
      <c r="D922" t="s">
        <v>1864</v>
      </c>
      <c r="E922" t="s">
        <v>1864</v>
      </c>
      <c r="F922" s="1" t="s">
        <v>723</v>
      </c>
      <c r="G922" t="str">
        <f t="shared" si="73"/>
        <v>C</v>
      </c>
      <c r="H922" t="str">
        <f t="shared" si="73"/>
        <v>30</v>
      </c>
      <c r="I922" t="str">
        <f t="shared" si="73"/>
        <v>301</v>
      </c>
      <c r="J922" t="str">
        <f t="shared" si="73"/>
        <v>29506</v>
      </c>
      <c r="K922" t="str">
        <f t="shared" si="71"/>
        <v/>
      </c>
    </row>
    <row r="923" spans="2:12" x14ac:dyDescent="0.25">
      <c r="C923" t="s">
        <v>1864</v>
      </c>
      <c r="D923" t="s">
        <v>2784</v>
      </c>
      <c r="E923" t="s">
        <v>1864</v>
      </c>
      <c r="F923" s="1" t="s">
        <v>724</v>
      </c>
      <c r="G923" t="str">
        <f t="shared" si="73"/>
        <v>C</v>
      </c>
      <c r="H923" t="str">
        <f t="shared" si="73"/>
        <v>30</v>
      </c>
      <c r="I923" t="str">
        <f t="shared" si="73"/>
        <v>301</v>
      </c>
      <c r="J923" t="str">
        <f t="shared" si="73"/>
        <v>30113</v>
      </c>
      <c r="K923" t="str">
        <f t="shared" si="71"/>
        <v/>
      </c>
    </row>
    <row r="924" spans="2:12" x14ac:dyDescent="0.25">
      <c r="C924" t="s">
        <v>1864</v>
      </c>
      <c r="D924" t="s">
        <v>1864</v>
      </c>
      <c r="E924" t="s">
        <v>2785</v>
      </c>
      <c r="F924" s="1" t="s">
        <v>725</v>
      </c>
      <c r="G924" t="str">
        <f t="shared" si="73"/>
        <v>C</v>
      </c>
      <c r="H924" t="str">
        <f t="shared" si="73"/>
        <v>30</v>
      </c>
      <c r="I924" t="str">
        <f t="shared" si="73"/>
        <v>301</v>
      </c>
      <c r="J924" t="str">
        <f t="shared" si="73"/>
        <v>30113</v>
      </c>
      <c r="K924" t="str">
        <f t="shared" si="71"/>
        <v>3011301</v>
      </c>
      <c r="L924">
        <v>1</v>
      </c>
    </row>
    <row r="925" spans="2:12" x14ac:dyDescent="0.25">
      <c r="C925" t="s">
        <v>1864</v>
      </c>
      <c r="D925" t="s">
        <v>1864</v>
      </c>
      <c r="E925" t="s">
        <v>2786</v>
      </c>
      <c r="F925" s="1" t="s">
        <v>726</v>
      </c>
      <c r="G925" t="str">
        <f t="shared" si="73"/>
        <v>C</v>
      </c>
      <c r="H925" t="str">
        <f t="shared" si="73"/>
        <v>30</v>
      </c>
      <c r="I925" t="str">
        <f t="shared" si="73"/>
        <v>301</v>
      </c>
      <c r="J925" t="str">
        <f t="shared" si="73"/>
        <v>30113</v>
      </c>
      <c r="K925" t="str">
        <f t="shared" si="71"/>
        <v>3011302</v>
      </c>
      <c r="L925">
        <v>1</v>
      </c>
    </row>
    <row r="926" spans="2:12" x14ac:dyDescent="0.25">
      <c r="C926" t="s">
        <v>1864</v>
      </c>
      <c r="D926" t="s">
        <v>2787</v>
      </c>
      <c r="E926" t="s">
        <v>1864</v>
      </c>
      <c r="F926" s="1" t="s">
        <v>727</v>
      </c>
      <c r="G926" t="str">
        <f t="shared" si="73"/>
        <v>C</v>
      </c>
      <c r="H926" t="str">
        <f t="shared" si="73"/>
        <v>30</v>
      </c>
      <c r="I926" t="str">
        <f t="shared" si="73"/>
        <v>301</v>
      </c>
      <c r="J926" t="str">
        <f t="shared" si="73"/>
        <v>30121</v>
      </c>
      <c r="K926" t="str">
        <f t="shared" si="71"/>
        <v/>
      </c>
    </row>
    <row r="927" spans="2:12" x14ac:dyDescent="0.25">
      <c r="C927" t="s">
        <v>1864</v>
      </c>
      <c r="D927" t="s">
        <v>1864</v>
      </c>
      <c r="E927" t="s">
        <v>2788</v>
      </c>
      <c r="F927" s="1" t="s">
        <v>727</v>
      </c>
      <c r="G927" t="str">
        <f t="shared" si="73"/>
        <v>C</v>
      </c>
      <c r="H927" t="str">
        <f t="shared" si="73"/>
        <v>30</v>
      </c>
      <c r="I927" t="str">
        <f t="shared" si="73"/>
        <v>301</v>
      </c>
      <c r="J927" t="str">
        <f t="shared" si="73"/>
        <v>30121</v>
      </c>
      <c r="K927" t="str">
        <f t="shared" si="71"/>
        <v>3012100</v>
      </c>
      <c r="L927">
        <v>1</v>
      </c>
    </row>
    <row r="928" spans="2:12" x14ac:dyDescent="0.25">
      <c r="C928" t="s">
        <v>2789</v>
      </c>
      <c r="D928" t="s">
        <v>1864</v>
      </c>
      <c r="E928" t="s">
        <v>1864</v>
      </c>
      <c r="F928" s="1" t="s">
        <v>728</v>
      </c>
      <c r="G928" t="str">
        <f t="shared" si="73"/>
        <v>C</v>
      </c>
      <c r="H928" t="str">
        <f t="shared" si="73"/>
        <v>30</v>
      </c>
      <c r="I928" t="str">
        <f t="shared" si="73"/>
        <v>303</v>
      </c>
      <c r="J928" t="str">
        <f t="shared" si="73"/>
        <v>30121</v>
      </c>
      <c r="K928" t="str">
        <f t="shared" si="71"/>
        <v/>
      </c>
    </row>
    <row r="929" spans="3:12" x14ac:dyDescent="0.25">
      <c r="C929" t="s">
        <v>1864</v>
      </c>
      <c r="D929" t="s">
        <v>2790</v>
      </c>
      <c r="E929" t="s">
        <v>1864</v>
      </c>
      <c r="F929" s="1" t="s">
        <v>729</v>
      </c>
      <c r="G929" t="str">
        <f t="shared" si="73"/>
        <v>C</v>
      </c>
      <c r="H929" t="str">
        <f t="shared" si="73"/>
        <v>30</v>
      </c>
      <c r="I929" t="str">
        <f t="shared" si="73"/>
        <v>303</v>
      </c>
      <c r="J929" t="str">
        <f t="shared" si="73"/>
        <v>30318</v>
      </c>
      <c r="K929" t="str">
        <f t="shared" si="71"/>
        <v/>
      </c>
    </row>
    <row r="930" spans="3:12" x14ac:dyDescent="0.25">
      <c r="C930" t="s">
        <v>1864</v>
      </c>
      <c r="D930" t="s">
        <v>1864</v>
      </c>
      <c r="E930" t="s">
        <v>2791</v>
      </c>
      <c r="F930" s="1" t="s">
        <v>729</v>
      </c>
      <c r="G930" t="str">
        <f t="shared" si="73"/>
        <v>C</v>
      </c>
      <c r="H930" t="str">
        <f t="shared" si="73"/>
        <v>30</v>
      </c>
      <c r="I930" t="str">
        <f t="shared" si="73"/>
        <v>303</v>
      </c>
      <c r="J930" t="str">
        <f t="shared" si="73"/>
        <v>30318</v>
      </c>
      <c r="K930" t="str">
        <f t="shared" si="71"/>
        <v>3031800</v>
      </c>
      <c r="L930">
        <v>1</v>
      </c>
    </row>
    <row r="931" spans="3:12" x14ac:dyDescent="0.25">
      <c r="C931" t="s">
        <v>1864</v>
      </c>
      <c r="D931" t="s">
        <v>2792</v>
      </c>
      <c r="E931" t="s">
        <v>1864</v>
      </c>
      <c r="F931" s="1" t="s">
        <v>730</v>
      </c>
      <c r="G931" t="str">
        <f t="shared" si="73"/>
        <v>C</v>
      </c>
      <c r="H931" t="str">
        <f t="shared" si="73"/>
        <v>30</v>
      </c>
      <c r="I931" t="str">
        <f t="shared" si="73"/>
        <v>303</v>
      </c>
      <c r="J931" t="str">
        <f t="shared" si="73"/>
        <v>30326</v>
      </c>
      <c r="K931" t="str">
        <f t="shared" si="71"/>
        <v/>
      </c>
    </row>
    <row r="932" spans="3:12" x14ac:dyDescent="0.25">
      <c r="C932" t="s">
        <v>1864</v>
      </c>
      <c r="D932" t="s">
        <v>1864</v>
      </c>
      <c r="E932" t="s">
        <v>2793</v>
      </c>
      <c r="F932" s="1" t="s">
        <v>730</v>
      </c>
      <c r="G932" t="str">
        <f t="shared" si="73"/>
        <v>C</v>
      </c>
      <c r="H932" t="str">
        <f t="shared" si="73"/>
        <v>30</v>
      </c>
      <c r="I932" t="str">
        <f t="shared" si="73"/>
        <v>303</v>
      </c>
      <c r="J932" t="str">
        <f t="shared" si="73"/>
        <v>30326</v>
      </c>
      <c r="K932" t="str">
        <f t="shared" si="71"/>
        <v>3032600</v>
      </c>
      <c r="L932">
        <v>1</v>
      </c>
    </row>
    <row r="933" spans="3:12" x14ac:dyDescent="0.25">
      <c r="C933" t="s">
        <v>2794</v>
      </c>
      <c r="D933" t="s">
        <v>1864</v>
      </c>
      <c r="E933" t="s">
        <v>1864</v>
      </c>
      <c r="F933" s="1" t="s">
        <v>731</v>
      </c>
      <c r="G933" t="str">
        <f t="shared" si="73"/>
        <v>C</v>
      </c>
      <c r="H933" t="str">
        <f t="shared" si="73"/>
        <v>30</v>
      </c>
      <c r="I933" t="str">
        <f t="shared" si="73"/>
        <v>304</v>
      </c>
      <c r="J933" t="str">
        <f t="shared" si="73"/>
        <v>30326</v>
      </c>
      <c r="K933" t="str">
        <f t="shared" si="71"/>
        <v/>
      </c>
    </row>
    <row r="934" spans="3:12" x14ac:dyDescent="0.25">
      <c r="C934" t="s">
        <v>1864</v>
      </c>
      <c r="D934" t="s">
        <v>2795</v>
      </c>
      <c r="E934" t="s">
        <v>1864</v>
      </c>
      <c r="F934" s="1" t="s">
        <v>731</v>
      </c>
      <c r="G934" t="str">
        <f t="shared" si="73"/>
        <v>C</v>
      </c>
      <c r="H934" t="str">
        <f t="shared" si="73"/>
        <v>30</v>
      </c>
      <c r="I934" t="str">
        <f t="shared" si="73"/>
        <v>304</v>
      </c>
      <c r="J934" t="str">
        <f t="shared" si="73"/>
        <v>30415</v>
      </c>
      <c r="K934" t="str">
        <f t="shared" si="71"/>
        <v/>
      </c>
    </row>
    <row r="935" spans="3:12" x14ac:dyDescent="0.25">
      <c r="C935" t="s">
        <v>1864</v>
      </c>
      <c r="D935" t="s">
        <v>1864</v>
      </c>
      <c r="E935" t="s">
        <v>2796</v>
      </c>
      <c r="F935" s="1" t="s">
        <v>731</v>
      </c>
      <c r="G935" t="str">
        <f t="shared" si="73"/>
        <v>C</v>
      </c>
      <c r="H935" t="str">
        <f t="shared" si="73"/>
        <v>30</v>
      </c>
      <c r="I935" t="str">
        <f t="shared" si="73"/>
        <v>304</v>
      </c>
      <c r="J935" t="str">
        <f t="shared" si="73"/>
        <v>30415</v>
      </c>
      <c r="K935" t="str">
        <f t="shared" si="71"/>
        <v>3041500</v>
      </c>
      <c r="L935">
        <v>1</v>
      </c>
    </row>
    <row r="936" spans="3:12" x14ac:dyDescent="0.25">
      <c r="C936" t="s">
        <v>1864</v>
      </c>
      <c r="D936" t="s">
        <v>2797</v>
      </c>
      <c r="E936" t="s">
        <v>1864</v>
      </c>
      <c r="F936" s="1" t="s">
        <v>732</v>
      </c>
      <c r="G936" t="str">
        <f t="shared" si="73"/>
        <v>C</v>
      </c>
      <c r="H936" t="str">
        <f t="shared" si="73"/>
        <v>30</v>
      </c>
      <c r="I936" t="str">
        <f t="shared" si="73"/>
        <v>304</v>
      </c>
      <c r="J936" t="str">
        <f t="shared" si="73"/>
        <v>30423</v>
      </c>
      <c r="K936" t="str">
        <f t="shared" si="71"/>
        <v/>
      </c>
    </row>
    <row r="937" spans="3:12" x14ac:dyDescent="0.25">
      <c r="C937" t="s">
        <v>1864</v>
      </c>
      <c r="D937" t="s">
        <v>1864</v>
      </c>
      <c r="E937" t="s">
        <v>2798</v>
      </c>
      <c r="F937" s="1" t="s">
        <v>732</v>
      </c>
      <c r="G937" t="str">
        <f t="shared" ref="G937:J952" si="74">IF(A937="",G936,A937)</f>
        <v>C</v>
      </c>
      <c r="H937" t="str">
        <f t="shared" si="74"/>
        <v>30</v>
      </c>
      <c r="I937" t="str">
        <f t="shared" si="74"/>
        <v>304</v>
      </c>
      <c r="J937" t="str">
        <f t="shared" si="74"/>
        <v>30423</v>
      </c>
      <c r="K937" t="str">
        <f t="shared" si="71"/>
        <v>3042300</v>
      </c>
      <c r="L937">
        <v>1</v>
      </c>
    </row>
    <row r="938" spans="3:12" x14ac:dyDescent="0.25">
      <c r="C938" t="s">
        <v>2799</v>
      </c>
      <c r="D938" t="s">
        <v>1864</v>
      </c>
      <c r="E938" t="s">
        <v>1864</v>
      </c>
      <c r="F938" s="1" t="s">
        <v>733</v>
      </c>
      <c r="G938" t="str">
        <f t="shared" si="74"/>
        <v>C</v>
      </c>
      <c r="H938" t="str">
        <f t="shared" si="74"/>
        <v>30</v>
      </c>
      <c r="I938" t="str">
        <f t="shared" si="74"/>
        <v>305</v>
      </c>
      <c r="J938" t="str">
        <f t="shared" si="74"/>
        <v>30423</v>
      </c>
      <c r="K938" t="str">
        <f t="shared" si="71"/>
        <v/>
      </c>
    </row>
    <row r="939" spans="3:12" x14ac:dyDescent="0.25">
      <c r="C939" t="s">
        <v>1864</v>
      </c>
      <c r="D939" t="s">
        <v>2800</v>
      </c>
      <c r="E939" t="s">
        <v>1864</v>
      </c>
      <c r="F939" s="1" t="s">
        <v>733</v>
      </c>
      <c r="G939" t="str">
        <f t="shared" si="74"/>
        <v>C</v>
      </c>
      <c r="H939" t="str">
        <f t="shared" si="74"/>
        <v>30</v>
      </c>
      <c r="I939" t="str">
        <f t="shared" si="74"/>
        <v>305</v>
      </c>
      <c r="J939" t="str">
        <f t="shared" si="74"/>
        <v>30504</v>
      </c>
      <c r="K939" t="str">
        <f t="shared" si="71"/>
        <v/>
      </c>
    </row>
    <row r="940" spans="3:12" x14ac:dyDescent="0.25">
      <c r="C940" t="s">
        <v>1864</v>
      </c>
      <c r="D940" t="s">
        <v>1864</v>
      </c>
      <c r="E940" t="s">
        <v>2801</v>
      </c>
      <c r="F940" s="1" t="s">
        <v>733</v>
      </c>
      <c r="G940" t="str">
        <f t="shared" si="74"/>
        <v>C</v>
      </c>
      <c r="H940" t="str">
        <f t="shared" si="74"/>
        <v>30</v>
      </c>
      <c r="I940" t="str">
        <f t="shared" si="74"/>
        <v>305</v>
      </c>
      <c r="J940" t="str">
        <f t="shared" si="74"/>
        <v>30504</v>
      </c>
      <c r="K940" t="str">
        <f t="shared" si="71"/>
        <v>3050400</v>
      </c>
      <c r="L940">
        <v>0</v>
      </c>
    </row>
    <row r="941" spans="3:12" x14ac:dyDescent="0.25">
      <c r="C941" t="s">
        <v>2802</v>
      </c>
      <c r="D941" t="s">
        <v>1864</v>
      </c>
      <c r="E941" t="s">
        <v>1864</v>
      </c>
      <c r="F941" s="1" t="s">
        <v>734</v>
      </c>
      <c r="G941" t="str">
        <f t="shared" si="74"/>
        <v>C</v>
      </c>
      <c r="H941" t="str">
        <f t="shared" si="74"/>
        <v>30</v>
      </c>
      <c r="I941" t="str">
        <f t="shared" si="74"/>
        <v>309</v>
      </c>
      <c r="J941" t="str">
        <f t="shared" si="74"/>
        <v>30504</v>
      </c>
      <c r="K941" t="str">
        <f t="shared" si="71"/>
        <v/>
      </c>
    </row>
    <row r="942" spans="3:12" x14ac:dyDescent="0.25">
      <c r="C942" t="s">
        <v>1864</v>
      </c>
      <c r="D942" t="s">
        <v>2803</v>
      </c>
      <c r="E942" t="s">
        <v>1864</v>
      </c>
      <c r="F942" s="1" t="s">
        <v>735</v>
      </c>
      <c r="G942" t="str">
        <f t="shared" si="74"/>
        <v>C</v>
      </c>
      <c r="H942" t="str">
        <f t="shared" si="74"/>
        <v>30</v>
      </c>
      <c r="I942" t="str">
        <f t="shared" si="74"/>
        <v>309</v>
      </c>
      <c r="J942" t="str">
        <f t="shared" si="74"/>
        <v>30911</v>
      </c>
      <c r="K942" t="str">
        <f t="shared" si="71"/>
        <v/>
      </c>
    </row>
    <row r="943" spans="3:12" x14ac:dyDescent="0.25">
      <c r="C943" t="s">
        <v>1864</v>
      </c>
      <c r="D943" t="s">
        <v>1864</v>
      </c>
      <c r="E943" t="s">
        <v>2804</v>
      </c>
      <c r="F943" s="1" t="s">
        <v>735</v>
      </c>
      <c r="G943" t="str">
        <f t="shared" si="74"/>
        <v>C</v>
      </c>
      <c r="H943" t="str">
        <f t="shared" si="74"/>
        <v>30</v>
      </c>
      <c r="I943" t="str">
        <f t="shared" si="74"/>
        <v>309</v>
      </c>
      <c r="J943" t="str">
        <f t="shared" si="74"/>
        <v>30911</v>
      </c>
      <c r="K943" t="str">
        <f t="shared" si="71"/>
        <v>3091101</v>
      </c>
      <c r="L943">
        <v>0</v>
      </c>
    </row>
    <row r="944" spans="3:12" x14ac:dyDescent="0.25">
      <c r="C944" t="s">
        <v>1864</v>
      </c>
      <c r="D944" t="s">
        <v>1864</v>
      </c>
      <c r="E944" t="s">
        <v>2805</v>
      </c>
      <c r="F944" s="1" t="s">
        <v>736</v>
      </c>
      <c r="G944" t="str">
        <f t="shared" si="74"/>
        <v>C</v>
      </c>
      <c r="H944" t="str">
        <f t="shared" si="74"/>
        <v>30</v>
      </c>
      <c r="I944" t="str">
        <f t="shared" si="74"/>
        <v>309</v>
      </c>
      <c r="J944" t="str">
        <f t="shared" si="74"/>
        <v>30911</v>
      </c>
      <c r="K944" t="str">
        <f t="shared" si="71"/>
        <v>3091102</v>
      </c>
      <c r="L944">
        <v>0</v>
      </c>
    </row>
    <row r="945" spans="2:12" x14ac:dyDescent="0.25">
      <c r="C945" t="s">
        <v>1864</v>
      </c>
      <c r="D945" t="s">
        <v>2806</v>
      </c>
      <c r="E945" t="s">
        <v>1864</v>
      </c>
      <c r="F945" s="1" t="s">
        <v>737</v>
      </c>
      <c r="G945" t="str">
        <f t="shared" si="74"/>
        <v>C</v>
      </c>
      <c r="H945" t="str">
        <f t="shared" si="74"/>
        <v>30</v>
      </c>
      <c r="I945" t="str">
        <f t="shared" si="74"/>
        <v>309</v>
      </c>
      <c r="J945" t="str">
        <f t="shared" si="74"/>
        <v>30920</v>
      </c>
      <c r="K945" t="str">
        <f t="shared" si="71"/>
        <v/>
      </c>
    </row>
    <row r="946" spans="2:12" x14ac:dyDescent="0.25">
      <c r="C946" t="s">
        <v>1864</v>
      </c>
      <c r="D946" t="s">
        <v>1864</v>
      </c>
      <c r="E946" t="s">
        <v>2807</v>
      </c>
      <c r="F946" s="1" t="s">
        <v>738</v>
      </c>
      <c r="G946" t="str">
        <f t="shared" si="74"/>
        <v>C</v>
      </c>
      <c r="H946" t="str">
        <f t="shared" si="74"/>
        <v>30</v>
      </c>
      <c r="I946" t="str">
        <f t="shared" si="74"/>
        <v>309</v>
      </c>
      <c r="J946" t="str">
        <f t="shared" si="74"/>
        <v>30920</v>
      </c>
      <c r="K946" t="str">
        <f t="shared" si="71"/>
        <v>3092000</v>
      </c>
      <c r="L946">
        <v>0</v>
      </c>
    </row>
    <row r="947" spans="2:12" x14ac:dyDescent="0.25">
      <c r="C947" t="s">
        <v>1864</v>
      </c>
      <c r="D947" t="s">
        <v>2808</v>
      </c>
      <c r="E947" t="s">
        <v>1864</v>
      </c>
      <c r="F947" s="1" t="s">
        <v>734</v>
      </c>
      <c r="G947" t="str">
        <f t="shared" si="74"/>
        <v>C</v>
      </c>
      <c r="H947" t="str">
        <f t="shared" si="74"/>
        <v>30</v>
      </c>
      <c r="I947" t="str">
        <f t="shared" si="74"/>
        <v>309</v>
      </c>
      <c r="J947" t="str">
        <f t="shared" si="74"/>
        <v>30997</v>
      </c>
      <c r="K947" t="str">
        <f t="shared" si="71"/>
        <v/>
      </c>
    </row>
    <row r="948" spans="2:12" x14ac:dyDescent="0.25">
      <c r="C948" t="s">
        <v>1864</v>
      </c>
      <c r="D948" t="s">
        <v>1864</v>
      </c>
      <c r="E948" t="s">
        <v>2809</v>
      </c>
      <c r="F948" s="1" t="s">
        <v>734</v>
      </c>
      <c r="G948" t="str">
        <f t="shared" si="74"/>
        <v>C</v>
      </c>
      <c r="H948" t="str">
        <f t="shared" si="74"/>
        <v>30</v>
      </c>
      <c r="I948" t="str">
        <f t="shared" si="74"/>
        <v>309</v>
      </c>
      <c r="J948" t="str">
        <f t="shared" si="74"/>
        <v>30997</v>
      </c>
      <c r="K948" t="str">
        <f t="shared" si="71"/>
        <v>3099700</v>
      </c>
      <c r="L948">
        <v>0</v>
      </c>
    </row>
    <row r="949" spans="2:12" x14ac:dyDescent="0.25">
      <c r="B949" t="s">
        <v>2810</v>
      </c>
      <c r="C949" t="s">
        <v>1864</v>
      </c>
      <c r="D949" t="s">
        <v>1864</v>
      </c>
      <c r="E949" t="s">
        <v>1864</v>
      </c>
      <c r="F949" t="s">
        <v>739</v>
      </c>
      <c r="G949" t="str">
        <f t="shared" si="74"/>
        <v>C</v>
      </c>
      <c r="H949" t="str">
        <f t="shared" si="74"/>
        <v>31</v>
      </c>
      <c r="I949" t="str">
        <f t="shared" si="74"/>
        <v>309</v>
      </c>
      <c r="J949" t="str">
        <f t="shared" si="74"/>
        <v>30997</v>
      </c>
      <c r="K949" t="str">
        <f t="shared" si="71"/>
        <v/>
      </c>
    </row>
    <row r="950" spans="2:12" x14ac:dyDescent="0.25">
      <c r="C950" t="s">
        <v>2811</v>
      </c>
      <c r="D950" t="s">
        <v>1864</v>
      </c>
      <c r="E950" t="s">
        <v>1864</v>
      </c>
      <c r="F950" t="s">
        <v>740</v>
      </c>
      <c r="G950" t="str">
        <f t="shared" si="74"/>
        <v>C</v>
      </c>
      <c r="H950" t="str">
        <f t="shared" si="74"/>
        <v>31</v>
      </c>
      <c r="I950" t="str">
        <f t="shared" si="74"/>
        <v>310</v>
      </c>
      <c r="J950" t="str">
        <f t="shared" si="74"/>
        <v>30997</v>
      </c>
      <c r="K950" t="str">
        <f t="shared" si="71"/>
        <v/>
      </c>
    </row>
    <row r="951" spans="2:12" x14ac:dyDescent="0.25">
      <c r="C951" t="s">
        <v>1864</v>
      </c>
      <c r="D951" t="s">
        <v>2812</v>
      </c>
      <c r="E951" t="s">
        <v>1864</v>
      </c>
      <c r="F951" t="s">
        <v>741</v>
      </c>
      <c r="G951" t="str">
        <f t="shared" si="74"/>
        <v>C</v>
      </c>
      <c r="H951" t="str">
        <f t="shared" si="74"/>
        <v>31</v>
      </c>
      <c r="I951" t="str">
        <f t="shared" si="74"/>
        <v>310</v>
      </c>
      <c r="J951" t="str">
        <f t="shared" si="74"/>
        <v>31012</v>
      </c>
      <c r="K951" t="str">
        <f t="shared" si="71"/>
        <v/>
      </c>
    </row>
    <row r="952" spans="2:12" x14ac:dyDescent="0.25">
      <c r="C952" t="s">
        <v>1864</v>
      </c>
      <c r="D952" t="s">
        <v>1864</v>
      </c>
      <c r="E952" t="s">
        <v>2813</v>
      </c>
      <c r="F952" t="s">
        <v>741</v>
      </c>
      <c r="G952" t="str">
        <f t="shared" si="74"/>
        <v>C</v>
      </c>
      <c r="H952" t="str">
        <f t="shared" si="74"/>
        <v>31</v>
      </c>
      <c r="I952" t="str">
        <f t="shared" si="74"/>
        <v>310</v>
      </c>
      <c r="J952" t="str">
        <f t="shared" si="74"/>
        <v>31012</v>
      </c>
      <c r="K952" t="str">
        <f t="shared" si="71"/>
        <v>3101200</v>
      </c>
      <c r="L952">
        <v>1</v>
      </c>
    </row>
    <row r="953" spans="2:12" x14ac:dyDescent="0.25">
      <c r="C953" t="s">
        <v>1864</v>
      </c>
      <c r="D953" t="s">
        <v>2814</v>
      </c>
      <c r="E953" t="s">
        <v>1864</v>
      </c>
      <c r="F953" t="s">
        <v>742</v>
      </c>
      <c r="G953" t="str">
        <f t="shared" ref="G953:J968" si="75">IF(A953="",G952,A953)</f>
        <v>C</v>
      </c>
      <c r="H953" t="str">
        <f t="shared" si="75"/>
        <v>31</v>
      </c>
      <c r="I953" t="str">
        <f t="shared" si="75"/>
        <v>310</v>
      </c>
      <c r="J953" t="str">
        <f t="shared" si="75"/>
        <v>31021</v>
      </c>
      <c r="K953" t="str">
        <f t="shared" si="71"/>
        <v/>
      </c>
    </row>
    <row r="954" spans="2:12" x14ac:dyDescent="0.25">
      <c r="C954" t="s">
        <v>1864</v>
      </c>
      <c r="D954" t="s">
        <v>1864</v>
      </c>
      <c r="E954" t="s">
        <v>2815</v>
      </c>
      <c r="F954" t="s">
        <v>742</v>
      </c>
      <c r="G954" t="str">
        <f t="shared" si="75"/>
        <v>C</v>
      </c>
      <c r="H954" t="str">
        <f t="shared" si="75"/>
        <v>31</v>
      </c>
      <c r="I954" t="str">
        <f t="shared" si="75"/>
        <v>310</v>
      </c>
      <c r="J954" t="str">
        <f t="shared" si="75"/>
        <v>31021</v>
      </c>
      <c r="K954" t="str">
        <f t="shared" si="71"/>
        <v>3102100</v>
      </c>
      <c r="L954">
        <v>1</v>
      </c>
    </row>
    <row r="955" spans="2:12" x14ac:dyDescent="0.25">
      <c r="C955" t="s">
        <v>1864</v>
      </c>
      <c r="D955" t="s">
        <v>2816</v>
      </c>
      <c r="E955" t="s">
        <v>1864</v>
      </c>
      <c r="F955" t="s">
        <v>743</v>
      </c>
      <c r="G955" t="str">
        <f t="shared" si="75"/>
        <v>C</v>
      </c>
      <c r="H955" t="str">
        <f t="shared" si="75"/>
        <v>31</v>
      </c>
      <c r="I955" t="str">
        <f t="shared" si="75"/>
        <v>310</v>
      </c>
      <c r="J955" t="str">
        <f t="shared" si="75"/>
        <v>31039</v>
      </c>
      <c r="K955" t="str">
        <f t="shared" si="71"/>
        <v/>
      </c>
    </row>
    <row r="956" spans="2:12" x14ac:dyDescent="0.25">
      <c r="C956" t="s">
        <v>1864</v>
      </c>
      <c r="D956" t="s">
        <v>1864</v>
      </c>
      <c r="E956" t="s">
        <v>2817</v>
      </c>
      <c r="F956" t="s">
        <v>743</v>
      </c>
      <c r="G956" t="str">
        <f t="shared" si="75"/>
        <v>C</v>
      </c>
      <c r="H956" t="str">
        <f t="shared" si="75"/>
        <v>31</v>
      </c>
      <c r="I956" t="str">
        <f t="shared" si="75"/>
        <v>310</v>
      </c>
      <c r="J956" t="str">
        <f t="shared" si="75"/>
        <v>31039</v>
      </c>
      <c r="K956" t="str">
        <f t="shared" si="71"/>
        <v>3103900</v>
      </c>
      <c r="L956">
        <v>1</v>
      </c>
    </row>
    <row r="957" spans="2:12" x14ac:dyDescent="0.25">
      <c r="C957" t="s">
        <v>1864</v>
      </c>
      <c r="D957" t="s">
        <v>2818</v>
      </c>
      <c r="E957" t="s">
        <v>1864</v>
      </c>
      <c r="F957" t="s">
        <v>744</v>
      </c>
      <c r="G957" t="str">
        <f t="shared" si="75"/>
        <v>C</v>
      </c>
      <c r="H957" t="str">
        <f t="shared" si="75"/>
        <v>31</v>
      </c>
      <c r="I957" t="str">
        <f t="shared" si="75"/>
        <v>310</v>
      </c>
      <c r="J957" t="str">
        <f t="shared" si="75"/>
        <v>31047</v>
      </c>
      <c r="K957" t="str">
        <f t="shared" si="71"/>
        <v/>
      </c>
    </row>
    <row r="958" spans="2:12" x14ac:dyDescent="0.25">
      <c r="C958" t="s">
        <v>1864</v>
      </c>
      <c r="D958" t="s">
        <v>1864</v>
      </c>
      <c r="E958" t="s">
        <v>2819</v>
      </c>
      <c r="F958" t="s">
        <v>744</v>
      </c>
      <c r="G958" t="str">
        <f t="shared" si="75"/>
        <v>C</v>
      </c>
      <c r="H958" t="str">
        <f t="shared" si="75"/>
        <v>31</v>
      </c>
      <c r="I958" t="str">
        <f t="shared" si="75"/>
        <v>310</v>
      </c>
      <c r="J958" t="str">
        <f t="shared" si="75"/>
        <v>31047</v>
      </c>
      <c r="K958" t="str">
        <f t="shared" si="71"/>
        <v>3104700</v>
      </c>
      <c r="L958">
        <v>1</v>
      </c>
    </row>
    <row r="959" spans="2:12" x14ac:dyDescent="0.25">
      <c r="B959" t="s">
        <v>2820</v>
      </c>
      <c r="C959" t="s">
        <v>1864</v>
      </c>
      <c r="D959" t="s">
        <v>1864</v>
      </c>
      <c r="E959" t="s">
        <v>1864</v>
      </c>
      <c r="F959" t="s">
        <v>745</v>
      </c>
      <c r="G959" t="str">
        <f t="shared" si="75"/>
        <v>C</v>
      </c>
      <c r="H959" t="str">
        <f t="shared" si="75"/>
        <v>32</v>
      </c>
      <c r="I959" t="str">
        <f t="shared" si="75"/>
        <v>310</v>
      </c>
      <c r="J959" t="str">
        <f t="shared" si="75"/>
        <v>31047</v>
      </c>
      <c r="K959" t="str">
        <f t="shared" si="71"/>
        <v/>
      </c>
    </row>
    <row r="960" spans="2:12" x14ac:dyDescent="0.25">
      <c r="C960" t="s">
        <v>2821</v>
      </c>
      <c r="D960" t="s">
        <v>1864</v>
      </c>
      <c r="E960" t="s">
        <v>1864</v>
      </c>
      <c r="F960" t="s">
        <v>746</v>
      </c>
      <c r="G960" t="str">
        <f t="shared" si="75"/>
        <v>C</v>
      </c>
      <c r="H960" t="str">
        <f t="shared" si="75"/>
        <v>32</v>
      </c>
      <c r="I960" t="str">
        <f t="shared" si="75"/>
        <v>321</v>
      </c>
      <c r="J960" t="str">
        <f t="shared" si="75"/>
        <v>31047</v>
      </c>
      <c r="K960" t="str">
        <f t="shared" si="71"/>
        <v/>
      </c>
    </row>
    <row r="961" spans="3:12" x14ac:dyDescent="0.25">
      <c r="C961" t="s">
        <v>1864</v>
      </c>
      <c r="D961" t="s">
        <v>2822</v>
      </c>
      <c r="E961" t="s">
        <v>1864</v>
      </c>
      <c r="F961" t="s">
        <v>747</v>
      </c>
      <c r="G961" t="str">
        <f t="shared" si="75"/>
        <v>C</v>
      </c>
      <c r="H961" t="str">
        <f t="shared" si="75"/>
        <v>32</v>
      </c>
      <c r="I961" t="str">
        <f t="shared" si="75"/>
        <v>321</v>
      </c>
      <c r="J961" t="str">
        <f t="shared" si="75"/>
        <v>32116</v>
      </c>
      <c r="K961" t="str">
        <f t="shared" si="71"/>
        <v/>
      </c>
    </row>
    <row r="962" spans="3:12" x14ac:dyDescent="0.25">
      <c r="C962" t="s">
        <v>1864</v>
      </c>
      <c r="D962" t="s">
        <v>1864</v>
      </c>
      <c r="E962" t="s">
        <v>2823</v>
      </c>
      <c r="F962" t="s">
        <v>748</v>
      </c>
      <c r="G962" t="str">
        <f t="shared" si="75"/>
        <v>C</v>
      </c>
      <c r="H962" t="str">
        <f t="shared" si="75"/>
        <v>32</v>
      </c>
      <c r="I962" t="str">
        <f t="shared" si="75"/>
        <v>321</v>
      </c>
      <c r="J962" t="str">
        <f t="shared" si="75"/>
        <v>32116</v>
      </c>
      <c r="K962" t="str">
        <f t="shared" si="71"/>
        <v>3211601</v>
      </c>
      <c r="L962">
        <v>1</v>
      </c>
    </row>
    <row r="963" spans="3:12" x14ac:dyDescent="0.25">
      <c r="C963" t="s">
        <v>1864</v>
      </c>
      <c r="D963" t="s">
        <v>1864</v>
      </c>
      <c r="E963" t="s">
        <v>2824</v>
      </c>
      <c r="F963" t="s">
        <v>749</v>
      </c>
      <c r="G963" t="str">
        <f t="shared" si="75"/>
        <v>C</v>
      </c>
      <c r="H963" t="str">
        <f t="shared" si="75"/>
        <v>32</v>
      </c>
      <c r="I963" t="str">
        <f t="shared" si="75"/>
        <v>321</v>
      </c>
      <c r="J963" t="str">
        <f t="shared" si="75"/>
        <v>32116</v>
      </c>
      <c r="K963" t="str">
        <f t="shared" si="71"/>
        <v>3211602</v>
      </c>
      <c r="L963">
        <v>1</v>
      </c>
    </row>
    <row r="964" spans="3:12" x14ac:dyDescent="0.25">
      <c r="C964" t="s">
        <v>1864</v>
      </c>
      <c r="D964" t="s">
        <v>1864</v>
      </c>
      <c r="E964" t="s">
        <v>2825</v>
      </c>
      <c r="F964" t="s">
        <v>750</v>
      </c>
      <c r="G964" t="str">
        <f t="shared" si="75"/>
        <v>C</v>
      </c>
      <c r="H964" t="str">
        <f t="shared" si="75"/>
        <v>32</v>
      </c>
      <c r="I964" t="str">
        <f t="shared" si="75"/>
        <v>321</v>
      </c>
      <c r="J964" t="str">
        <f t="shared" si="75"/>
        <v>32116</v>
      </c>
      <c r="K964" t="str">
        <f t="shared" si="71"/>
        <v>3211603</v>
      </c>
      <c r="L964">
        <v>1</v>
      </c>
    </row>
    <row r="965" spans="3:12" x14ac:dyDescent="0.25">
      <c r="C965" t="s">
        <v>1864</v>
      </c>
      <c r="D965" t="s">
        <v>2826</v>
      </c>
      <c r="E965" t="s">
        <v>1864</v>
      </c>
      <c r="F965" t="s">
        <v>751</v>
      </c>
      <c r="G965" t="str">
        <f t="shared" si="75"/>
        <v>C</v>
      </c>
      <c r="H965" t="str">
        <f t="shared" si="75"/>
        <v>32</v>
      </c>
      <c r="I965" t="str">
        <f t="shared" si="75"/>
        <v>321</v>
      </c>
      <c r="J965" t="str">
        <f t="shared" si="75"/>
        <v>32124</v>
      </c>
      <c r="K965" t="str">
        <f t="shared" si="71"/>
        <v/>
      </c>
    </row>
    <row r="966" spans="3:12" x14ac:dyDescent="0.25">
      <c r="C966" t="s">
        <v>1864</v>
      </c>
      <c r="D966" t="s">
        <v>1864</v>
      </c>
      <c r="E966" t="s">
        <v>2827</v>
      </c>
      <c r="F966" t="s">
        <v>751</v>
      </c>
      <c r="G966" t="str">
        <f t="shared" si="75"/>
        <v>C</v>
      </c>
      <c r="H966" t="str">
        <f t="shared" si="75"/>
        <v>32</v>
      </c>
      <c r="I966" t="str">
        <f t="shared" si="75"/>
        <v>321</v>
      </c>
      <c r="J966" t="str">
        <f t="shared" si="75"/>
        <v>32124</v>
      </c>
      <c r="K966" t="str">
        <f t="shared" si="71"/>
        <v>3212400</v>
      </c>
      <c r="L966">
        <v>1</v>
      </c>
    </row>
    <row r="967" spans="3:12" x14ac:dyDescent="0.25">
      <c r="C967" t="s">
        <v>2828</v>
      </c>
      <c r="D967" t="s">
        <v>1864</v>
      </c>
      <c r="E967" t="s">
        <v>1864</v>
      </c>
      <c r="F967" t="s">
        <v>752</v>
      </c>
      <c r="G967" t="str">
        <f t="shared" si="75"/>
        <v>C</v>
      </c>
      <c r="H967" t="str">
        <f t="shared" si="75"/>
        <v>32</v>
      </c>
      <c r="I967" t="str">
        <f t="shared" si="75"/>
        <v>322</v>
      </c>
      <c r="J967" t="str">
        <f t="shared" si="75"/>
        <v>32124</v>
      </c>
      <c r="K967" t="str">
        <f t="shared" si="71"/>
        <v/>
      </c>
    </row>
    <row r="968" spans="3:12" x14ac:dyDescent="0.25">
      <c r="C968" t="s">
        <v>1864</v>
      </c>
      <c r="D968" t="s">
        <v>2829</v>
      </c>
      <c r="E968" t="s">
        <v>1864</v>
      </c>
      <c r="F968" t="s">
        <v>752</v>
      </c>
      <c r="G968" t="str">
        <f t="shared" si="75"/>
        <v>C</v>
      </c>
      <c r="H968" t="str">
        <f t="shared" si="75"/>
        <v>32</v>
      </c>
      <c r="I968" t="str">
        <f t="shared" si="75"/>
        <v>322</v>
      </c>
      <c r="J968" t="str">
        <f t="shared" si="75"/>
        <v>32205</v>
      </c>
      <c r="K968" t="str">
        <f t="shared" ref="K968:K1031" si="76">E968</f>
        <v/>
      </c>
    </row>
    <row r="969" spans="3:12" x14ac:dyDescent="0.25">
      <c r="C969" t="s">
        <v>1864</v>
      </c>
      <c r="D969" t="s">
        <v>1864</v>
      </c>
      <c r="E969" t="s">
        <v>2830</v>
      </c>
      <c r="F969" t="s">
        <v>753</v>
      </c>
      <c r="G969" t="str">
        <f t="shared" ref="G969:J984" si="77">IF(A969="",G968,A969)</f>
        <v>C</v>
      </c>
      <c r="H969" t="str">
        <f t="shared" si="77"/>
        <v>32</v>
      </c>
      <c r="I969" t="str">
        <f t="shared" si="77"/>
        <v>322</v>
      </c>
      <c r="J969" t="str">
        <f t="shared" si="77"/>
        <v>32205</v>
      </c>
      <c r="K969" t="str">
        <f t="shared" si="76"/>
        <v>3220500</v>
      </c>
      <c r="L969">
        <v>1</v>
      </c>
    </row>
    <row r="970" spans="3:12" x14ac:dyDescent="0.25">
      <c r="C970" t="s">
        <v>2831</v>
      </c>
      <c r="D970" t="s">
        <v>1864</v>
      </c>
      <c r="E970" t="s">
        <v>1864</v>
      </c>
      <c r="F970" t="s">
        <v>754</v>
      </c>
      <c r="G970" t="str">
        <f t="shared" si="77"/>
        <v>C</v>
      </c>
      <c r="H970" t="str">
        <f t="shared" si="77"/>
        <v>32</v>
      </c>
      <c r="I970" t="str">
        <f t="shared" si="77"/>
        <v>323</v>
      </c>
      <c r="J970" t="str">
        <f t="shared" si="77"/>
        <v>32205</v>
      </c>
      <c r="K970" t="str">
        <f t="shared" si="76"/>
        <v/>
      </c>
    </row>
    <row r="971" spans="3:12" x14ac:dyDescent="0.25">
      <c r="C971" t="s">
        <v>1864</v>
      </c>
      <c r="D971" t="s">
        <v>2832</v>
      </c>
      <c r="E971" t="s">
        <v>1864</v>
      </c>
      <c r="F971" t="s">
        <v>754</v>
      </c>
      <c r="G971" t="str">
        <f t="shared" si="77"/>
        <v>C</v>
      </c>
      <c r="H971" t="str">
        <f t="shared" si="77"/>
        <v>32</v>
      </c>
      <c r="I971" t="str">
        <f t="shared" si="77"/>
        <v>323</v>
      </c>
      <c r="J971" t="str">
        <f t="shared" si="77"/>
        <v>32302</v>
      </c>
      <c r="K971" t="str">
        <f t="shared" si="76"/>
        <v/>
      </c>
    </row>
    <row r="972" spans="3:12" x14ac:dyDescent="0.25">
      <c r="C972" t="s">
        <v>1864</v>
      </c>
      <c r="D972" t="s">
        <v>1864</v>
      </c>
      <c r="E972" t="s">
        <v>2833</v>
      </c>
      <c r="F972" t="s">
        <v>754</v>
      </c>
      <c r="G972" t="str">
        <f t="shared" si="77"/>
        <v>C</v>
      </c>
      <c r="H972" t="str">
        <f t="shared" si="77"/>
        <v>32</v>
      </c>
      <c r="I972" t="str">
        <f t="shared" si="77"/>
        <v>323</v>
      </c>
      <c r="J972" t="str">
        <f t="shared" si="77"/>
        <v>32302</v>
      </c>
      <c r="K972" t="str">
        <f t="shared" si="76"/>
        <v>3230200</v>
      </c>
      <c r="L972">
        <v>1</v>
      </c>
    </row>
    <row r="973" spans="3:12" x14ac:dyDescent="0.25">
      <c r="C973" t="s">
        <v>2834</v>
      </c>
      <c r="D973" t="s">
        <v>1864</v>
      </c>
      <c r="E973" t="s">
        <v>1864</v>
      </c>
      <c r="F973" t="s">
        <v>755</v>
      </c>
      <c r="G973" t="str">
        <f t="shared" si="77"/>
        <v>C</v>
      </c>
      <c r="H973" t="str">
        <f t="shared" si="77"/>
        <v>32</v>
      </c>
      <c r="I973" t="str">
        <f t="shared" si="77"/>
        <v>324</v>
      </c>
      <c r="J973" t="str">
        <f t="shared" si="77"/>
        <v>32302</v>
      </c>
      <c r="K973" t="str">
        <f t="shared" si="76"/>
        <v/>
      </c>
    </row>
    <row r="974" spans="3:12" x14ac:dyDescent="0.25">
      <c r="C974" t="s">
        <v>1864</v>
      </c>
      <c r="D974" t="s">
        <v>2835</v>
      </c>
      <c r="E974" t="s">
        <v>1864</v>
      </c>
      <c r="F974" t="s">
        <v>755</v>
      </c>
      <c r="G974" t="str">
        <f t="shared" si="77"/>
        <v>C</v>
      </c>
      <c r="H974" t="str">
        <f t="shared" si="77"/>
        <v>32</v>
      </c>
      <c r="I974" t="str">
        <f t="shared" si="77"/>
        <v>324</v>
      </c>
      <c r="J974" t="str">
        <f t="shared" si="77"/>
        <v>32400</v>
      </c>
      <c r="K974" t="str">
        <f t="shared" si="76"/>
        <v/>
      </c>
    </row>
    <row r="975" spans="3:12" x14ac:dyDescent="0.25">
      <c r="C975" t="s">
        <v>1864</v>
      </c>
      <c r="D975" t="s">
        <v>1864</v>
      </c>
      <c r="E975" t="s">
        <v>2836</v>
      </c>
      <c r="F975" t="s">
        <v>756</v>
      </c>
      <c r="G975" t="str">
        <f t="shared" si="77"/>
        <v>C</v>
      </c>
      <c r="H975" t="str">
        <f t="shared" si="77"/>
        <v>32</v>
      </c>
      <c r="I975" t="str">
        <f t="shared" si="77"/>
        <v>324</v>
      </c>
      <c r="J975" t="str">
        <f t="shared" si="77"/>
        <v>32400</v>
      </c>
      <c r="K975" t="str">
        <f t="shared" si="76"/>
        <v>3240001</v>
      </c>
      <c r="L975">
        <v>1</v>
      </c>
    </row>
    <row r="976" spans="3:12" x14ac:dyDescent="0.25">
      <c r="C976" t="s">
        <v>1864</v>
      </c>
      <c r="D976" t="s">
        <v>1864</v>
      </c>
      <c r="E976" t="s">
        <v>2837</v>
      </c>
      <c r="F976" t="s">
        <v>757</v>
      </c>
      <c r="G976" t="str">
        <f t="shared" si="77"/>
        <v>C</v>
      </c>
      <c r="H976" t="str">
        <f t="shared" si="77"/>
        <v>32</v>
      </c>
      <c r="I976" t="str">
        <f t="shared" si="77"/>
        <v>324</v>
      </c>
      <c r="J976" t="str">
        <f t="shared" si="77"/>
        <v>32400</v>
      </c>
      <c r="K976" t="str">
        <f t="shared" si="76"/>
        <v>3240002</v>
      </c>
      <c r="L976">
        <v>1</v>
      </c>
    </row>
    <row r="977" spans="3:12" x14ac:dyDescent="0.25">
      <c r="C977" t="s">
        <v>1864</v>
      </c>
      <c r="D977" t="s">
        <v>1864</v>
      </c>
      <c r="E977" t="s">
        <v>2838</v>
      </c>
      <c r="F977" t="s">
        <v>758</v>
      </c>
      <c r="G977" t="str">
        <f t="shared" si="77"/>
        <v>C</v>
      </c>
      <c r="H977" t="str">
        <f t="shared" si="77"/>
        <v>32</v>
      </c>
      <c r="I977" t="str">
        <f t="shared" si="77"/>
        <v>324</v>
      </c>
      <c r="J977" t="str">
        <f t="shared" si="77"/>
        <v>32400</v>
      </c>
      <c r="K977" t="str">
        <f t="shared" si="76"/>
        <v>3240003</v>
      </c>
      <c r="L977">
        <v>1</v>
      </c>
    </row>
    <row r="978" spans="3:12" x14ac:dyDescent="0.25">
      <c r="C978" t="s">
        <v>1864</v>
      </c>
      <c r="D978" t="s">
        <v>1864</v>
      </c>
      <c r="E978" t="s">
        <v>2839</v>
      </c>
      <c r="F978" t="s">
        <v>759</v>
      </c>
      <c r="G978" t="str">
        <f t="shared" si="77"/>
        <v>C</v>
      </c>
      <c r="H978" t="str">
        <f t="shared" si="77"/>
        <v>32</v>
      </c>
      <c r="I978" t="str">
        <f t="shared" si="77"/>
        <v>324</v>
      </c>
      <c r="J978" t="str">
        <f t="shared" si="77"/>
        <v>32400</v>
      </c>
      <c r="K978" t="str">
        <f t="shared" si="76"/>
        <v>3240099</v>
      </c>
      <c r="L978">
        <v>1</v>
      </c>
    </row>
    <row r="979" spans="3:12" x14ac:dyDescent="0.25">
      <c r="C979" t="s">
        <v>2840</v>
      </c>
      <c r="D979" t="s">
        <v>1864</v>
      </c>
      <c r="E979" t="s">
        <v>1864</v>
      </c>
      <c r="F979" t="s">
        <v>760</v>
      </c>
      <c r="G979" t="str">
        <f t="shared" si="77"/>
        <v>C</v>
      </c>
      <c r="H979" t="str">
        <f t="shared" si="77"/>
        <v>32</v>
      </c>
      <c r="I979" t="str">
        <f t="shared" si="77"/>
        <v>325</v>
      </c>
      <c r="J979" t="str">
        <f t="shared" si="77"/>
        <v>32400</v>
      </c>
      <c r="K979" t="str">
        <f t="shared" si="76"/>
        <v/>
      </c>
    </row>
    <row r="980" spans="3:12" x14ac:dyDescent="0.25">
      <c r="C980" t="s">
        <v>1864</v>
      </c>
      <c r="D980" t="s">
        <v>2841</v>
      </c>
      <c r="E980" t="s">
        <v>1864</v>
      </c>
      <c r="F980" t="s">
        <v>760</v>
      </c>
      <c r="G980" t="str">
        <f t="shared" si="77"/>
        <v>C</v>
      </c>
      <c r="H980" t="str">
        <f t="shared" si="77"/>
        <v>32</v>
      </c>
      <c r="I980" t="str">
        <f t="shared" si="77"/>
        <v>325</v>
      </c>
      <c r="J980" t="str">
        <f t="shared" si="77"/>
        <v>32507</v>
      </c>
      <c r="K980" t="str">
        <f t="shared" si="76"/>
        <v/>
      </c>
    </row>
    <row r="981" spans="3:12" x14ac:dyDescent="0.25">
      <c r="C981" t="s">
        <v>1864</v>
      </c>
      <c r="D981" t="s">
        <v>1864</v>
      </c>
      <c r="E981" t="s">
        <v>2842</v>
      </c>
      <c r="F981" t="s">
        <v>761</v>
      </c>
      <c r="G981" t="str">
        <f t="shared" si="77"/>
        <v>C</v>
      </c>
      <c r="H981" t="str">
        <f t="shared" si="77"/>
        <v>32</v>
      </c>
      <c r="I981" t="str">
        <f t="shared" si="77"/>
        <v>325</v>
      </c>
      <c r="J981" t="str">
        <f t="shared" si="77"/>
        <v>32507</v>
      </c>
      <c r="K981" t="str">
        <f t="shared" si="76"/>
        <v>3250701</v>
      </c>
      <c r="L981">
        <v>1</v>
      </c>
    </row>
    <row r="982" spans="3:12" x14ac:dyDescent="0.25">
      <c r="C982" t="s">
        <v>1864</v>
      </c>
      <c r="D982" t="s">
        <v>1864</v>
      </c>
      <c r="E982" t="s">
        <v>2843</v>
      </c>
      <c r="F982" t="s">
        <v>762</v>
      </c>
      <c r="G982" t="str">
        <f t="shared" si="77"/>
        <v>C</v>
      </c>
      <c r="H982" t="str">
        <f t="shared" si="77"/>
        <v>32</v>
      </c>
      <c r="I982" t="str">
        <f t="shared" si="77"/>
        <v>325</v>
      </c>
      <c r="J982" t="str">
        <f t="shared" si="77"/>
        <v>32507</v>
      </c>
      <c r="K982" t="str">
        <f t="shared" si="76"/>
        <v>3250702</v>
      </c>
      <c r="L982">
        <v>1</v>
      </c>
    </row>
    <row r="983" spans="3:12" x14ac:dyDescent="0.25">
      <c r="C983" t="s">
        <v>1864</v>
      </c>
      <c r="D983" t="s">
        <v>1864</v>
      </c>
      <c r="E983" t="s">
        <v>2844</v>
      </c>
      <c r="F983" t="s">
        <v>763</v>
      </c>
      <c r="G983" t="str">
        <f t="shared" si="77"/>
        <v>C</v>
      </c>
      <c r="H983" t="str">
        <f t="shared" si="77"/>
        <v>32</v>
      </c>
      <c r="I983" t="str">
        <f t="shared" si="77"/>
        <v>325</v>
      </c>
      <c r="J983" t="str">
        <f t="shared" si="77"/>
        <v>32507</v>
      </c>
      <c r="K983" t="str">
        <f t="shared" si="76"/>
        <v>3250703</v>
      </c>
      <c r="L983">
        <v>1</v>
      </c>
    </row>
    <row r="984" spans="3:12" x14ac:dyDescent="0.25">
      <c r="C984" t="s">
        <v>1864</v>
      </c>
      <c r="D984" t="s">
        <v>1864</v>
      </c>
      <c r="E984" t="s">
        <v>2845</v>
      </c>
      <c r="F984" t="s">
        <v>764</v>
      </c>
      <c r="G984" t="str">
        <f t="shared" si="77"/>
        <v>C</v>
      </c>
      <c r="H984" t="str">
        <f t="shared" si="77"/>
        <v>32</v>
      </c>
      <c r="I984" t="str">
        <f t="shared" si="77"/>
        <v>325</v>
      </c>
      <c r="J984" t="str">
        <f t="shared" si="77"/>
        <v>32507</v>
      </c>
      <c r="K984" t="str">
        <f t="shared" si="76"/>
        <v>3250704</v>
      </c>
      <c r="L984">
        <v>1</v>
      </c>
    </row>
    <row r="985" spans="3:12" x14ac:dyDescent="0.25">
      <c r="C985" t="s">
        <v>1864</v>
      </c>
      <c r="D985" t="s">
        <v>1864</v>
      </c>
      <c r="E985" t="s">
        <v>2846</v>
      </c>
      <c r="F985" t="s">
        <v>765</v>
      </c>
      <c r="G985" t="str">
        <f t="shared" ref="G985:J1000" si="78">IF(A985="",G984,A985)</f>
        <v>C</v>
      </c>
      <c r="H985" t="str">
        <f t="shared" si="78"/>
        <v>32</v>
      </c>
      <c r="I985" t="str">
        <f t="shared" si="78"/>
        <v>325</v>
      </c>
      <c r="J985" t="str">
        <f t="shared" si="78"/>
        <v>32507</v>
      </c>
      <c r="K985" t="str">
        <f t="shared" si="76"/>
        <v>3250705</v>
      </c>
      <c r="L985">
        <v>1</v>
      </c>
    </row>
    <row r="986" spans="3:12" x14ac:dyDescent="0.25">
      <c r="C986" t="s">
        <v>1864</v>
      </c>
      <c r="D986" t="s">
        <v>1864</v>
      </c>
      <c r="E986" t="s">
        <v>2847</v>
      </c>
      <c r="F986" t="s">
        <v>766</v>
      </c>
      <c r="G986" t="str">
        <f t="shared" si="78"/>
        <v>C</v>
      </c>
      <c r="H986" t="str">
        <f t="shared" si="78"/>
        <v>32</v>
      </c>
      <c r="I986" t="str">
        <f t="shared" si="78"/>
        <v>325</v>
      </c>
      <c r="J986" t="str">
        <f t="shared" si="78"/>
        <v>32507</v>
      </c>
      <c r="K986" t="str">
        <f t="shared" si="76"/>
        <v>3250706</v>
      </c>
      <c r="L986">
        <v>1</v>
      </c>
    </row>
    <row r="987" spans="3:12" x14ac:dyDescent="0.25">
      <c r="C987" t="s">
        <v>1864</v>
      </c>
      <c r="D987" t="s">
        <v>1864</v>
      </c>
      <c r="E987" t="s">
        <v>2848</v>
      </c>
      <c r="F987" t="s">
        <v>767</v>
      </c>
      <c r="G987" t="str">
        <f t="shared" si="78"/>
        <v>C</v>
      </c>
      <c r="H987" t="str">
        <f t="shared" si="78"/>
        <v>32</v>
      </c>
      <c r="I987" t="str">
        <f t="shared" si="78"/>
        <v>325</v>
      </c>
      <c r="J987" t="str">
        <f t="shared" si="78"/>
        <v>32507</v>
      </c>
      <c r="K987" t="str">
        <f t="shared" si="76"/>
        <v>3250707</v>
      </c>
      <c r="L987">
        <v>1</v>
      </c>
    </row>
    <row r="988" spans="3:12" x14ac:dyDescent="0.25">
      <c r="C988" t="s">
        <v>1864</v>
      </c>
      <c r="D988" t="s">
        <v>1864</v>
      </c>
      <c r="E988" t="s">
        <v>2849</v>
      </c>
      <c r="F988" t="s">
        <v>768</v>
      </c>
      <c r="G988" t="str">
        <f t="shared" si="78"/>
        <v>C</v>
      </c>
      <c r="H988" t="str">
        <f t="shared" si="78"/>
        <v>32</v>
      </c>
      <c r="I988" t="str">
        <f t="shared" si="78"/>
        <v>325</v>
      </c>
      <c r="J988" t="str">
        <f t="shared" si="78"/>
        <v>32507</v>
      </c>
      <c r="K988" t="str">
        <f t="shared" si="76"/>
        <v>3250709</v>
      </c>
      <c r="L988">
        <v>1</v>
      </c>
    </row>
    <row r="989" spans="3:12" x14ac:dyDescent="0.25">
      <c r="C989" t="s">
        <v>2850</v>
      </c>
      <c r="D989" t="s">
        <v>1864</v>
      </c>
      <c r="E989" t="s">
        <v>1864</v>
      </c>
      <c r="F989" t="s">
        <v>769</v>
      </c>
      <c r="G989" t="str">
        <f t="shared" si="78"/>
        <v>C</v>
      </c>
      <c r="H989" t="str">
        <f t="shared" si="78"/>
        <v>32</v>
      </c>
      <c r="I989" t="str">
        <f t="shared" si="78"/>
        <v>329</v>
      </c>
      <c r="J989" t="str">
        <f t="shared" si="78"/>
        <v>32507</v>
      </c>
      <c r="K989" t="str">
        <f t="shared" si="76"/>
        <v/>
      </c>
    </row>
    <row r="990" spans="3:12" x14ac:dyDescent="0.25">
      <c r="C990" t="s">
        <v>1864</v>
      </c>
      <c r="D990" t="s">
        <v>2851</v>
      </c>
      <c r="E990" t="s">
        <v>1864</v>
      </c>
      <c r="F990" t="s">
        <v>770</v>
      </c>
      <c r="G990" t="str">
        <f t="shared" si="78"/>
        <v>C</v>
      </c>
      <c r="H990" t="str">
        <f t="shared" si="78"/>
        <v>32</v>
      </c>
      <c r="I990" t="str">
        <f t="shared" si="78"/>
        <v>329</v>
      </c>
      <c r="J990" t="str">
        <f t="shared" si="78"/>
        <v>32914</v>
      </c>
      <c r="K990" t="str">
        <f t="shared" si="76"/>
        <v/>
      </c>
    </row>
    <row r="991" spans="3:12" x14ac:dyDescent="0.25">
      <c r="C991" t="s">
        <v>1864</v>
      </c>
      <c r="D991" t="s">
        <v>1864</v>
      </c>
      <c r="E991" t="s">
        <v>2852</v>
      </c>
      <c r="F991" t="s">
        <v>770</v>
      </c>
      <c r="G991" t="str">
        <f t="shared" si="78"/>
        <v>C</v>
      </c>
      <c r="H991" t="str">
        <f t="shared" si="78"/>
        <v>32</v>
      </c>
      <c r="I991" t="str">
        <f t="shared" si="78"/>
        <v>329</v>
      </c>
      <c r="J991" t="str">
        <f t="shared" si="78"/>
        <v>32914</v>
      </c>
      <c r="K991" t="str">
        <f t="shared" si="76"/>
        <v>3291400</v>
      </c>
      <c r="L991">
        <v>1</v>
      </c>
    </row>
    <row r="992" spans="3:12" x14ac:dyDescent="0.25">
      <c r="C992" t="s">
        <v>1864</v>
      </c>
      <c r="D992" t="s">
        <v>2853</v>
      </c>
      <c r="E992" t="s">
        <v>1864</v>
      </c>
      <c r="F992" t="s">
        <v>771</v>
      </c>
      <c r="G992" t="str">
        <f t="shared" si="78"/>
        <v>C</v>
      </c>
      <c r="H992" t="str">
        <f t="shared" si="78"/>
        <v>32</v>
      </c>
      <c r="I992" t="str">
        <f t="shared" si="78"/>
        <v>329</v>
      </c>
      <c r="J992" t="str">
        <f t="shared" si="78"/>
        <v>32922</v>
      </c>
      <c r="K992" t="str">
        <f t="shared" si="76"/>
        <v/>
      </c>
    </row>
    <row r="993" spans="2:12" x14ac:dyDescent="0.25">
      <c r="C993" t="s">
        <v>1864</v>
      </c>
      <c r="D993" t="s">
        <v>1864</v>
      </c>
      <c r="E993" t="s">
        <v>2854</v>
      </c>
      <c r="F993" t="s">
        <v>772</v>
      </c>
      <c r="G993" t="str">
        <f t="shared" si="78"/>
        <v>C</v>
      </c>
      <c r="H993" t="str">
        <f t="shared" si="78"/>
        <v>32</v>
      </c>
      <c r="I993" t="str">
        <f t="shared" si="78"/>
        <v>329</v>
      </c>
      <c r="J993" t="str">
        <f t="shared" si="78"/>
        <v>32922</v>
      </c>
      <c r="K993" t="str">
        <f t="shared" si="76"/>
        <v>3292201</v>
      </c>
      <c r="L993">
        <v>1</v>
      </c>
    </row>
    <row r="994" spans="2:12" x14ac:dyDescent="0.25">
      <c r="C994" t="s">
        <v>1864</v>
      </c>
      <c r="D994" t="s">
        <v>1864</v>
      </c>
      <c r="E994" t="s">
        <v>2855</v>
      </c>
      <c r="F994" t="s">
        <v>773</v>
      </c>
      <c r="G994" t="str">
        <f t="shared" si="78"/>
        <v>C</v>
      </c>
      <c r="H994" t="str">
        <f t="shared" si="78"/>
        <v>32</v>
      </c>
      <c r="I994" t="str">
        <f t="shared" si="78"/>
        <v>329</v>
      </c>
      <c r="J994" t="str">
        <f t="shared" si="78"/>
        <v>32922</v>
      </c>
      <c r="K994" t="str">
        <f t="shared" si="76"/>
        <v>3292202</v>
      </c>
      <c r="L994">
        <v>1</v>
      </c>
    </row>
    <row r="995" spans="2:12" x14ac:dyDescent="0.25">
      <c r="C995" t="s">
        <v>1864</v>
      </c>
      <c r="D995" t="s">
        <v>2856</v>
      </c>
      <c r="E995" t="s">
        <v>1864</v>
      </c>
      <c r="F995" t="s">
        <v>774</v>
      </c>
      <c r="G995" t="str">
        <f t="shared" si="78"/>
        <v>C</v>
      </c>
      <c r="H995" t="str">
        <f t="shared" si="78"/>
        <v>32</v>
      </c>
      <c r="I995" t="str">
        <f t="shared" si="78"/>
        <v>329</v>
      </c>
      <c r="J995" t="str">
        <f t="shared" si="78"/>
        <v>32990</v>
      </c>
      <c r="K995" t="str">
        <f t="shared" si="76"/>
        <v/>
      </c>
    </row>
    <row r="996" spans="2:12" x14ac:dyDescent="0.25">
      <c r="C996" t="s">
        <v>1864</v>
      </c>
      <c r="D996" t="s">
        <v>1864</v>
      </c>
      <c r="E996" t="s">
        <v>2857</v>
      </c>
      <c r="F996" t="s">
        <v>775</v>
      </c>
      <c r="G996" t="str">
        <f t="shared" si="78"/>
        <v>C</v>
      </c>
      <c r="H996" t="str">
        <f t="shared" si="78"/>
        <v>32</v>
      </c>
      <c r="I996" t="str">
        <f t="shared" si="78"/>
        <v>329</v>
      </c>
      <c r="J996" t="str">
        <f t="shared" si="78"/>
        <v>32990</v>
      </c>
      <c r="K996" t="str">
        <f t="shared" si="76"/>
        <v>3299001</v>
      </c>
      <c r="L996">
        <v>1</v>
      </c>
    </row>
    <row r="997" spans="2:12" x14ac:dyDescent="0.25">
      <c r="C997" t="s">
        <v>1864</v>
      </c>
      <c r="D997" t="s">
        <v>1864</v>
      </c>
      <c r="E997" t="s">
        <v>2858</v>
      </c>
      <c r="F997" t="s">
        <v>776</v>
      </c>
      <c r="G997" t="str">
        <f t="shared" si="78"/>
        <v>C</v>
      </c>
      <c r="H997" t="str">
        <f t="shared" si="78"/>
        <v>32</v>
      </c>
      <c r="I997" t="str">
        <f t="shared" si="78"/>
        <v>329</v>
      </c>
      <c r="J997" t="str">
        <f t="shared" si="78"/>
        <v>32990</v>
      </c>
      <c r="K997" t="str">
        <f t="shared" si="76"/>
        <v>3299002</v>
      </c>
      <c r="L997">
        <v>1</v>
      </c>
    </row>
    <row r="998" spans="2:12" x14ac:dyDescent="0.25">
      <c r="C998" t="s">
        <v>1864</v>
      </c>
      <c r="D998" t="s">
        <v>1864</v>
      </c>
      <c r="E998" t="s">
        <v>2859</v>
      </c>
      <c r="F998" t="s">
        <v>777</v>
      </c>
      <c r="G998" t="str">
        <f t="shared" si="78"/>
        <v>C</v>
      </c>
      <c r="H998" t="str">
        <f t="shared" si="78"/>
        <v>32</v>
      </c>
      <c r="I998" t="str">
        <f t="shared" si="78"/>
        <v>329</v>
      </c>
      <c r="J998" t="str">
        <f t="shared" si="78"/>
        <v>32990</v>
      </c>
      <c r="K998" t="str">
        <f t="shared" si="76"/>
        <v>3299003</v>
      </c>
      <c r="L998">
        <v>1</v>
      </c>
    </row>
    <row r="999" spans="2:12" x14ac:dyDescent="0.25">
      <c r="C999" t="s">
        <v>1864</v>
      </c>
      <c r="D999" t="s">
        <v>1864</v>
      </c>
      <c r="E999" t="s">
        <v>2860</v>
      </c>
      <c r="F999" t="s">
        <v>778</v>
      </c>
      <c r="G999" t="str">
        <f t="shared" si="78"/>
        <v>C</v>
      </c>
      <c r="H999" t="str">
        <f t="shared" si="78"/>
        <v>32</v>
      </c>
      <c r="I999" t="str">
        <f t="shared" si="78"/>
        <v>329</v>
      </c>
      <c r="J999" t="str">
        <f t="shared" si="78"/>
        <v>32990</v>
      </c>
      <c r="K999" t="str">
        <f t="shared" si="76"/>
        <v>3299004</v>
      </c>
      <c r="L999">
        <v>1</v>
      </c>
    </row>
    <row r="1000" spans="2:12" x14ac:dyDescent="0.25">
      <c r="C1000" t="s">
        <v>1864</v>
      </c>
      <c r="D1000" t="s">
        <v>1864</v>
      </c>
      <c r="E1000" t="s">
        <v>2861</v>
      </c>
      <c r="F1000" t="s">
        <v>779</v>
      </c>
      <c r="G1000" t="str">
        <f t="shared" si="78"/>
        <v>C</v>
      </c>
      <c r="H1000" t="str">
        <f t="shared" si="78"/>
        <v>32</v>
      </c>
      <c r="I1000" t="str">
        <f t="shared" si="78"/>
        <v>329</v>
      </c>
      <c r="J1000" t="str">
        <f t="shared" si="78"/>
        <v>32990</v>
      </c>
      <c r="K1000" t="str">
        <f t="shared" si="76"/>
        <v>3299005</v>
      </c>
      <c r="L1000">
        <v>1</v>
      </c>
    </row>
    <row r="1001" spans="2:12" x14ac:dyDescent="0.25">
      <c r="C1001" t="s">
        <v>1864</v>
      </c>
      <c r="D1001" t="s">
        <v>1864</v>
      </c>
      <c r="E1001" t="s">
        <v>2862</v>
      </c>
      <c r="F1001" t="s">
        <v>780</v>
      </c>
      <c r="G1001" t="str">
        <f t="shared" ref="G1001:J1016" si="79">IF(A1001="",G1000,A1001)</f>
        <v>C</v>
      </c>
      <c r="H1001" t="str">
        <f t="shared" si="79"/>
        <v>32</v>
      </c>
      <c r="I1001" t="str">
        <f t="shared" si="79"/>
        <v>329</v>
      </c>
      <c r="J1001" t="str">
        <f t="shared" si="79"/>
        <v>32990</v>
      </c>
      <c r="K1001" t="str">
        <f t="shared" si="76"/>
        <v>3299006</v>
      </c>
      <c r="L1001">
        <v>1</v>
      </c>
    </row>
    <row r="1002" spans="2:12" x14ac:dyDescent="0.25">
      <c r="C1002" t="s">
        <v>1864</v>
      </c>
      <c r="D1002" t="s">
        <v>1864</v>
      </c>
      <c r="E1002" t="s">
        <v>2863</v>
      </c>
      <c r="F1002" t="s">
        <v>774</v>
      </c>
      <c r="G1002" t="str">
        <f t="shared" si="79"/>
        <v>C</v>
      </c>
      <c r="H1002" t="str">
        <f t="shared" si="79"/>
        <v>32</v>
      </c>
      <c r="I1002" t="str">
        <f t="shared" si="79"/>
        <v>329</v>
      </c>
      <c r="J1002" t="str">
        <f t="shared" si="79"/>
        <v>32990</v>
      </c>
      <c r="K1002" t="str">
        <f t="shared" si="76"/>
        <v>3299099</v>
      </c>
      <c r="L1002">
        <v>1</v>
      </c>
    </row>
    <row r="1003" spans="2:12" x14ac:dyDescent="0.25">
      <c r="B1003">
        <v>33</v>
      </c>
      <c r="C1003" t="s">
        <v>1864</v>
      </c>
      <c r="D1003" t="s">
        <v>1864</v>
      </c>
      <c r="E1003" t="s">
        <v>1864</v>
      </c>
      <c r="F1003" t="s">
        <v>781</v>
      </c>
      <c r="G1003" t="str">
        <f t="shared" si="79"/>
        <v>C</v>
      </c>
      <c r="H1003">
        <f t="shared" si="79"/>
        <v>33</v>
      </c>
      <c r="I1003" t="str">
        <f t="shared" si="79"/>
        <v>329</v>
      </c>
      <c r="J1003" t="str">
        <f t="shared" si="79"/>
        <v>32990</v>
      </c>
      <c r="K1003" t="str">
        <f t="shared" si="76"/>
        <v/>
      </c>
    </row>
    <row r="1004" spans="2:12" x14ac:dyDescent="0.25">
      <c r="C1004" t="s">
        <v>2864</v>
      </c>
      <c r="D1004" t="s">
        <v>1864</v>
      </c>
      <c r="E1004" t="s">
        <v>1864</v>
      </c>
      <c r="F1004" t="s">
        <v>782</v>
      </c>
      <c r="G1004" t="str">
        <f t="shared" si="79"/>
        <v>C</v>
      </c>
      <c r="H1004">
        <f t="shared" si="79"/>
        <v>33</v>
      </c>
      <c r="I1004" t="str">
        <f t="shared" si="79"/>
        <v>331</v>
      </c>
      <c r="J1004" t="str">
        <f t="shared" si="79"/>
        <v>32990</v>
      </c>
      <c r="K1004" t="str">
        <f t="shared" si="76"/>
        <v/>
      </c>
    </row>
    <row r="1005" spans="2:12" x14ac:dyDescent="0.25">
      <c r="C1005" t="s">
        <v>1864</v>
      </c>
      <c r="D1005" t="s">
        <v>2865</v>
      </c>
      <c r="E1005" t="s">
        <v>1864</v>
      </c>
      <c r="F1005" t="s">
        <v>783</v>
      </c>
      <c r="G1005" t="str">
        <f t="shared" si="79"/>
        <v>C</v>
      </c>
      <c r="H1005">
        <f t="shared" si="79"/>
        <v>33</v>
      </c>
      <c r="I1005" t="str">
        <f t="shared" si="79"/>
        <v>331</v>
      </c>
      <c r="J1005" t="str">
        <f t="shared" si="79"/>
        <v>33112</v>
      </c>
      <c r="K1005" t="str">
        <f t="shared" si="76"/>
        <v/>
      </c>
    </row>
    <row r="1006" spans="2:12" x14ac:dyDescent="0.25">
      <c r="C1006" t="s">
        <v>1864</v>
      </c>
      <c r="D1006" t="s">
        <v>1864</v>
      </c>
      <c r="E1006" t="s">
        <v>2866</v>
      </c>
      <c r="F1006" t="s">
        <v>783</v>
      </c>
      <c r="G1006" t="str">
        <f t="shared" si="79"/>
        <v>C</v>
      </c>
      <c r="H1006">
        <f t="shared" si="79"/>
        <v>33</v>
      </c>
      <c r="I1006" t="str">
        <f t="shared" si="79"/>
        <v>331</v>
      </c>
      <c r="J1006" t="str">
        <f t="shared" si="79"/>
        <v>33112</v>
      </c>
      <c r="K1006" t="str">
        <f t="shared" si="76"/>
        <v>3311200</v>
      </c>
      <c r="L1006">
        <v>1</v>
      </c>
    </row>
    <row r="1007" spans="2:12" x14ac:dyDescent="0.25">
      <c r="C1007" t="s">
        <v>1864</v>
      </c>
      <c r="D1007" t="s">
        <v>2867</v>
      </c>
      <c r="E1007" t="s">
        <v>1864</v>
      </c>
      <c r="F1007" t="s">
        <v>784</v>
      </c>
      <c r="G1007" t="str">
        <f t="shared" si="79"/>
        <v>C</v>
      </c>
      <c r="H1007">
        <f t="shared" si="79"/>
        <v>33</v>
      </c>
      <c r="I1007" t="str">
        <f t="shared" si="79"/>
        <v>331</v>
      </c>
      <c r="J1007" t="str">
        <f t="shared" si="79"/>
        <v>33121</v>
      </c>
      <c r="K1007" t="str">
        <f t="shared" si="76"/>
        <v/>
      </c>
    </row>
    <row r="1008" spans="2:12" x14ac:dyDescent="0.25">
      <c r="C1008" t="s">
        <v>1864</v>
      </c>
      <c r="D1008" t="s">
        <v>1864</v>
      </c>
      <c r="E1008" t="s">
        <v>2868</v>
      </c>
      <c r="F1008" t="s">
        <v>785</v>
      </c>
      <c r="G1008" t="str">
        <f t="shared" si="79"/>
        <v>C</v>
      </c>
      <c r="H1008">
        <f t="shared" si="79"/>
        <v>33</v>
      </c>
      <c r="I1008" t="str">
        <f t="shared" si="79"/>
        <v>331</v>
      </c>
      <c r="J1008" t="str">
        <f t="shared" si="79"/>
        <v>33121</v>
      </c>
      <c r="K1008" t="str">
        <f t="shared" si="76"/>
        <v>3312102</v>
      </c>
      <c r="L1008">
        <v>1</v>
      </c>
    </row>
    <row r="1009" spans="3:12" x14ac:dyDescent="0.25">
      <c r="C1009" t="s">
        <v>1864</v>
      </c>
      <c r="D1009" t="s">
        <v>1864</v>
      </c>
      <c r="E1009" t="s">
        <v>2869</v>
      </c>
      <c r="F1009" t="s">
        <v>786</v>
      </c>
      <c r="G1009" t="str">
        <f t="shared" si="79"/>
        <v>C</v>
      </c>
      <c r="H1009">
        <f t="shared" si="79"/>
        <v>33</v>
      </c>
      <c r="I1009" t="str">
        <f t="shared" si="79"/>
        <v>331</v>
      </c>
      <c r="J1009" t="str">
        <f t="shared" si="79"/>
        <v>33121</v>
      </c>
      <c r="K1009" t="str">
        <f t="shared" si="76"/>
        <v>3312103</v>
      </c>
      <c r="L1009">
        <v>1</v>
      </c>
    </row>
    <row r="1010" spans="3:12" x14ac:dyDescent="0.25">
      <c r="C1010" t="s">
        <v>1864</v>
      </c>
      <c r="D1010" t="s">
        <v>1864</v>
      </c>
      <c r="E1010" t="s">
        <v>2870</v>
      </c>
      <c r="F1010" t="s">
        <v>787</v>
      </c>
      <c r="G1010" t="str">
        <f t="shared" si="79"/>
        <v>C</v>
      </c>
      <c r="H1010">
        <f t="shared" si="79"/>
        <v>33</v>
      </c>
      <c r="I1010" t="str">
        <f t="shared" si="79"/>
        <v>331</v>
      </c>
      <c r="J1010" t="str">
        <f t="shared" si="79"/>
        <v>33121</v>
      </c>
      <c r="K1010" t="str">
        <f t="shared" si="76"/>
        <v>3312104</v>
      </c>
      <c r="L1010">
        <v>1</v>
      </c>
    </row>
    <row r="1011" spans="3:12" x14ac:dyDescent="0.25">
      <c r="C1011" t="s">
        <v>1864</v>
      </c>
      <c r="D1011" t="s">
        <v>2871</v>
      </c>
      <c r="E1011" t="s">
        <v>1864</v>
      </c>
      <c r="F1011" t="s">
        <v>788</v>
      </c>
      <c r="G1011" t="str">
        <f t="shared" si="79"/>
        <v>C</v>
      </c>
      <c r="H1011">
        <f t="shared" si="79"/>
        <v>33</v>
      </c>
      <c r="I1011" t="str">
        <f t="shared" si="79"/>
        <v>331</v>
      </c>
      <c r="J1011" t="str">
        <f t="shared" si="79"/>
        <v>33139</v>
      </c>
      <c r="K1011" t="str">
        <f t="shared" si="76"/>
        <v/>
      </c>
    </row>
    <row r="1012" spans="3:12" x14ac:dyDescent="0.25">
      <c r="C1012" t="s">
        <v>1864</v>
      </c>
      <c r="D1012" t="s">
        <v>1864</v>
      </c>
      <c r="E1012" t="s">
        <v>2872</v>
      </c>
      <c r="F1012" t="s">
        <v>789</v>
      </c>
      <c r="G1012" t="str">
        <f t="shared" si="79"/>
        <v>C</v>
      </c>
      <c r="H1012">
        <f t="shared" si="79"/>
        <v>33</v>
      </c>
      <c r="I1012" t="str">
        <f t="shared" si="79"/>
        <v>331</v>
      </c>
      <c r="J1012" t="str">
        <f t="shared" si="79"/>
        <v>33139</v>
      </c>
      <c r="K1012" t="str">
        <f t="shared" si="76"/>
        <v>3313901</v>
      </c>
      <c r="L1012">
        <v>1</v>
      </c>
    </row>
    <row r="1013" spans="3:12" x14ac:dyDescent="0.25">
      <c r="C1013" t="s">
        <v>1864</v>
      </c>
      <c r="D1013" t="s">
        <v>1864</v>
      </c>
      <c r="E1013" t="s">
        <v>2873</v>
      </c>
      <c r="F1013" t="s">
        <v>790</v>
      </c>
      <c r="G1013" t="str">
        <f t="shared" si="79"/>
        <v>C</v>
      </c>
      <c r="H1013">
        <f t="shared" si="79"/>
        <v>33</v>
      </c>
      <c r="I1013" t="str">
        <f t="shared" si="79"/>
        <v>331</v>
      </c>
      <c r="J1013" t="str">
        <f t="shared" si="79"/>
        <v>33139</v>
      </c>
      <c r="K1013" t="str">
        <f t="shared" si="76"/>
        <v>3313902</v>
      </c>
      <c r="L1013">
        <v>1</v>
      </c>
    </row>
    <row r="1014" spans="3:12" x14ac:dyDescent="0.25">
      <c r="C1014" t="s">
        <v>1864</v>
      </c>
      <c r="D1014" t="s">
        <v>1864</v>
      </c>
      <c r="E1014" t="s">
        <v>2874</v>
      </c>
      <c r="F1014" t="s">
        <v>791</v>
      </c>
      <c r="G1014" t="str">
        <f t="shared" si="79"/>
        <v>C</v>
      </c>
      <c r="H1014">
        <f t="shared" si="79"/>
        <v>33</v>
      </c>
      <c r="I1014" t="str">
        <f t="shared" si="79"/>
        <v>331</v>
      </c>
      <c r="J1014" t="str">
        <f t="shared" si="79"/>
        <v>33139</v>
      </c>
      <c r="K1014" t="str">
        <f t="shared" si="76"/>
        <v>3313999</v>
      </c>
      <c r="L1014">
        <v>1</v>
      </c>
    </row>
    <row r="1015" spans="3:12" x14ac:dyDescent="0.25">
      <c r="C1015" t="s">
        <v>1864</v>
      </c>
      <c r="D1015" t="s">
        <v>2875</v>
      </c>
      <c r="E1015" t="s">
        <v>1864</v>
      </c>
      <c r="F1015" t="s">
        <v>792</v>
      </c>
      <c r="G1015" t="str">
        <f t="shared" si="79"/>
        <v>C</v>
      </c>
      <c r="H1015">
        <f t="shared" si="79"/>
        <v>33</v>
      </c>
      <c r="I1015" t="str">
        <f t="shared" si="79"/>
        <v>331</v>
      </c>
      <c r="J1015" t="str">
        <f t="shared" si="79"/>
        <v>33147</v>
      </c>
      <c r="K1015" t="str">
        <f t="shared" si="76"/>
        <v/>
      </c>
    </row>
    <row r="1016" spans="3:12" x14ac:dyDescent="0.25">
      <c r="C1016" t="s">
        <v>1864</v>
      </c>
      <c r="D1016" t="s">
        <v>1864</v>
      </c>
      <c r="E1016" t="s">
        <v>2876</v>
      </c>
      <c r="F1016" t="s">
        <v>793</v>
      </c>
      <c r="G1016" t="str">
        <f t="shared" si="79"/>
        <v>C</v>
      </c>
      <c r="H1016">
        <f t="shared" si="79"/>
        <v>33</v>
      </c>
      <c r="I1016" t="str">
        <f t="shared" si="79"/>
        <v>331</v>
      </c>
      <c r="J1016" t="str">
        <f t="shared" si="79"/>
        <v>33147</v>
      </c>
      <c r="K1016" t="str">
        <f t="shared" si="76"/>
        <v>3314701</v>
      </c>
      <c r="L1016">
        <v>1</v>
      </c>
    </row>
    <row r="1017" spans="3:12" x14ac:dyDescent="0.25">
      <c r="C1017" t="s">
        <v>1864</v>
      </c>
      <c r="D1017" t="s">
        <v>1864</v>
      </c>
      <c r="E1017" t="s">
        <v>2877</v>
      </c>
      <c r="F1017" t="s">
        <v>794</v>
      </c>
      <c r="G1017" t="str">
        <f t="shared" ref="G1017:J1032" si="80">IF(A1017="",G1016,A1017)</f>
        <v>C</v>
      </c>
      <c r="H1017">
        <f t="shared" si="80"/>
        <v>33</v>
      </c>
      <c r="I1017" t="str">
        <f t="shared" si="80"/>
        <v>331</v>
      </c>
      <c r="J1017" t="str">
        <f t="shared" si="80"/>
        <v>33147</v>
      </c>
      <c r="K1017" t="str">
        <f t="shared" si="76"/>
        <v>3314702</v>
      </c>
      <c r="L1017">
        <v>1</v>
      </c>
    </row>
    <row r="1018" spans="3:12" x14ac:dyDescent="0.25">
      <c r="C1018" t="s">
        <v>1864</v>
      </c>
      <c r="D1018" t="s">
        <v>1864</v>
      </c>
      <c r="E1018" t="s">
        <v>2878</v>
      </c>
      <c r="F1018" t="s">
        <v>795</v>
      </c>
      <c r="G1018" t="str">
        <f t="shared" si="80"/>
        <v>C</v>
      </c>
      <c r="H1018">
        <f t="shared" si="80"/>
        <v>33</v>
      </c>
      <c r="I1018" t="str">
        <f t="shared" si="80"/>
        <v>331</v>
      </c>
      <c r="J1018" t="str">
        <f t="shared" si="80"/>
        <v>33147</v>
      </c>
      <c r="K1018" t="str">
        <f t="shared" si="76"/>
        <v>3314703</v>
      </c>
      <c r="L1018">
        <v>1</v>
      </c>
    </row>
    <row r="1019" spans="3:12" x14ac:dyDescent="0.25">
      <c r="C1019" t="s">
        <v>1864</v>
      </c>
      <c r="D1019" t="s">
        <v>1864</v>
      </c>
      <c r="E1019" t="s">
        <v>2879</v>
      </c>
      <c r="F1019" t="s">
        <v>796</v>
      </c>
      <c r="G1019" t="str">
        <f t="shared" si="80"/>
        <v>C</v>
      </c>
      <c r="H1019">
        <f t="shared" si="80"/>
        <v>33</v>
      </c>
      <c r="I1019" t="str">
        <f t="shared" si="80"/>
        <v>331</v>
      </c>
      <c r="J1019" t="str">
        <f t="shared" si="80"/>
        <v>33147</v>
      </c>
      <c r="K1019" t="str">
        <f t="shared" si="76"/>
        <v>3314704</v>
      </c>
      <c r="L1019">
        <v>1</v>
      </c>
    </row>
    <row r="1020" spans="3:12" x14ac:dyDescent="0.25">
      <c r="C1020" t="s">
        <v>1864</v>
      </c>
      <c r="D1020" t="s">
        <v>1864</v>
      </c>
      <c r="E1020" t="s">
        <v>2880</v>
      </c>
      <c r="F1020" t="s">
        <v>797</v>
      </c>
      <c r="G1020" t="str">
        <f t="shared" si="80"/>
        <v>C</v>
      </c>
      <c r="H1020">
        <f t="shared" si="80"/>
        <v>33</v>
      </c>
      <c r="I1020" t="str">
        <f t="shared" si="80"/>
        <v>331</v>
      </c>
      <c r="J1020" t="str">
        <f t="shared" si="80"/>
        <v>33147</v>
      </c>
      <c r="K1020" t="str">
        <f t="shared" si="76"/>
        <v>3314705</v>
      </c>
      <c r="L1020">
        <v>1</v>
      </c>
    </row>
    <row r="1021" spans="3:12" x14ac:dyDescent="0.25">
      <c r="C1021" t="s">
        <v>1864</v>
      </c>
      <c r="D1021" t="s">
        <v>1864</v>
      </c>
      <c r="E1021" t="s">
        <v>2881</v>
      </c>
      <c r="F1021" t="s">
        <v>798</v>
      </c>
      <c r="G1021" t="str">
        <f t="shared" si="80"/>
        <v>C</v>
      </c>
      <c r="H1021">
        <f t="shared" si="80"/>
        <v>33</v>
      </c>
      <c r="I1021" t="str">
        <f t="shared" si="80"/>
        <v>331</v>
      </c>
      <c r="J1021" t="str">
        <f t="shared" si="80"/>
        <v>33147</v>
      </c>
      <c r="K1021" t="str">
        <f t="shared" si="76"/>
        <v>3314706</v>
      </c>
      <c r="L1021">
        <v>1</v>
      </c>
    </row>
    <row r="1022" spans="3:12" x14ac:dyDescent="0.25">
      <c r="C1022" t="s">
        <v>1864</v>
      </c>
      <c r="D1022" t="s">
        <v>1864</v>
      </c>
      <c r="E1022" t="s">
        <v>2882</v>
      </c>
      <c r="F1022" t="s">
        <v>799</v>
      </c>
      <c r="G1022" t="str">
        <f t="shared" si="80"/>
        <v>C</v>
      </c>
      <c r="H1022">
        <f t="shared" si="80"/>
        <v>33</v>
      </c>
      <c r="I1022" t="str">
        <f t="shared" si="80"/>
        <v>331</v>
      </c>
      <c r="J1022" t="str">
        <f t="shared" si="80"/>
        <v>33147</v>
      </c>
      <c r="K1022" t="str">
        <f t="shared" si="76"/>
        <v>3314707</v>
      </c>
      <c r="L1022">
        <v>1</v>
      </c>
    </row>
    <row r="1023" spans="3:12" x14ac:dyDescent="0.25">
      <c r="C1023" t="s">
        <v>1864</v>
      </c>
      <c r="D1023" t="s">
        <v>1864</v>
      </c>
      <c r="E1023" t="s">
        <v>2883</v>
      </c>
      <c r="F1023" t="s">
        <v>800</v>
      </c>
      <c r="G1023" t="str">
        <f t="shared" si="80"/>
        <v>C</v>
      </c>
      <c r="H1023">
        <f t="shared" si="80"/>
        <v>33</v>
      </c>
      <c r="I1023" t="str">
        <f t="shared" si="80"/>
        <v>331</v>
      </c>
      <c r="J1023" t="str">
        <f t="shared" si="80"/>
        <v>33147</v>
      </c>
      <c r="K1023" t="str">
        <f t="shared" si="76"/>
        <v>3314708</v>
      </c>
      <c r="L1023">
        <v>1</v>
      </c>
    </row>
    <row r="1024" spans="3:12" x14ac:dyDescent="0.25">
      <c r="C1024" t="s">
        <v>1864</v>
      </c>
      <c r="D1024" t="s">
        <v>1864</v>
      </c>
      <c r="E1024" t="s">
        <v>2884</v>
      </c>
      <c r="F1024" t="s">
        <v>801</v>
      </c>
      <c r="G1024" t="str">
        <f t="shared" si="80"/>
        <v>C</v>
      </c>
      <c r="H1024">
        <f t="shared" si="80"/>
        <v>33</v>
      </c>
      <c r="I1024" t="str">
        <f t="shared" si="80"/>
        <v>331</v>
      </c>
      <c r="J1024" t="str">
        <f t="shared" si="80"/>
        <v>33147</v>
      </c>
      <c r="K1024" t="str">
        <f t="shared" si="76"/>
        <v>3314709</v>
      </c>
      <c r="L1024">
        <v>1</v>
      </c>
    </row>
    <row r="1025" spans="3:12" x14ac:dyDescent="0.25">
      <c r="C1025" t="s">
        <v>1864</v>
      </c>
      <c r="D1025" t="s">
        <v>1864</v>
      </c>
      <c r="E1025" t="s">
        <v>2885</v>
      </c>
      <c r="F1025" t="s">
        <v>802</v>
      </c>
      <c r="G1025" t="str">
        <f t="shared" si="80"/>
        <v>C</v>
      </c>
      <c r="H1025">
        <f t="shared" si="80"/>
        <v>33</v>
      </c>
      <c r="I1025" t="str">
        <f t="shared" si="80"/>
        <v>331</v>
      </c>
      <c r="J1025" t="str">
        <f t="shared" si="80"/>
        <v>33147</v>
      </c>
      <c r="K1025" t="str">
        <f t="shared" si="76"/>
        <v>3314710</v>
      </c>
      <c r="L1025">
        <v>1</v>
      </c>
    </row>
    <row r="1026" spans="3:12" x14ac:dyDescent="0.25">
      <c r="C1026" t="s">
        <v>1864</v>
      </c>
      <c r="D1026" t="s">
        <v>1864</v>
      </c>
      <c r="E1026" t="s">
        <v>2886</v>
      </c>
      <c r="F1026" t="s">
        <v>803</v>
      </c>
      <c r="G1026" t="str">
        <f t="shared" si="80"/>
        <v>C</v>
      </c>
      <c r="H1026">
        <f t="shared" si="80"/>
        <v>33</v>
      </c>
      <c r="I1026" t="str">
        <f t="shared" si="80"/>
        <v>331</v>
      </c>
      <c r="J1026" t="str">
        <f t="shared" si="80"/>
        <v>33147</v>
      </c>
      <c r="K1026" t="str">
        <f t="shared" si="76"/>
        <v>3314711</v>
      </c>
      <c r="L1026">
        <v>1</v>
      </c>
    </row>
    <row r="1027" spans="3:12" x14ac:dyDescent="0.25">
      <c r="C1027" t="s">
        <v>1864</v>
      </c>
      <c r="D1027" t="s">
        <v>1864</v>
      </c>
      <c r="E1027" t="s">
        <v>2887</v>
      </c>
      <c r="F1027" t="s">
        <v>804</v>
      </c>
      <c r="G1027" t="str">
        <f t="shared" si="80"/>
        <v>C</v>
      </c>
      <c r="H1027">
        <f t="shared" si="80"/>
        <v>33</v>
      </c>
      <c r="I1027" t="str">
        <f t="shared" si="80"/>
        <v>331</v>
      </c>
      <c r="J1027" t="str">
        <f t="shared" si="80"/>
        <v>33147</v>
      </c>
      <c r="K1027" t="str">
        <f t="shared" si="76"/>
        <v>3314712</v>
      </c>
      <c r="L1027">
        <v>1</v>
      </c>
    </row>
    <row r="1028" spans="3:12" x14ac:dyDescent="0.25">
      <c r="C1028" t="s">
        <v>1864</v>
      </c>
      <c r="D1028" t="s">
        <v>1864</v>
      </c>
      <c r="E1028" t="s">
        <v>2888</v>
      </c>
      <c r="F1028" t="s">
        <v>805</v>
      </c>
      <c r="G1028" t="str">
        <f t="shared" si="80"/>
        <v>C</v>
      </c>
      <c r="H1028">
        <f t="shared" si="80"/>
        <v>33</v>
      </c>
      <c r="I1028" t="str">
        <f t="shared" si="80"/>
        <v>331</v>
      </c>
      <c r="J1028" t="str">
        <f t="shared" si="80"/>
        <v>33147</v>
      </c>
      <c r="K1028" t="str">
        <f t="shared" si="76"/>
        <v>3314713</v>
      </c>
      <c r="L1028">
        <v>1</v>
      </c>
    </row>
    <row r="1029" spans="3:12" x14ac:dyDescent="0.25">
      <c r="C1029" t="s">
        <v>1864</v>
      </c>
      <c r="D1029" t="s">
        <v>1864</v>
      </c>
      <c r="E1029" t="s">
        <v>2889</v>
      </c>
      <c r="F1029" t="s">
        <v>806</v>
      </c>
      <c r="G1029" t="str">
        <f t="shared" si="80"/>
        <v>C</v>
      </c>
      <c r="H1029">
        <f t="shared" si="80"/>
        <v>33</v>
      </c>
      <c r="I1029" t="str">
        <f t="shared" si="80"/>
        <v>331</v>
      </c>
      <c r="J1029" t="str">
        <f t="shared" si="80"/>
        <v>33147</v>
      </c>
      <c r="K1029" t="str">
        <f t="shared" si="76"/>
        <v>3314714</v>
      </c>
      <c r="L1029">
        <v>1</v>
      </c>
    </row>
    <row r="1030" spans="3:12" x14ac:dyDescent="0.25">
      <c r="C1030" t="s">
        <v>1864</v>
      </c>
      <c r="D1030" t="s">
        <v>1864</v>
      </c>
      <c r="E1030" t="s">
        <v>2890</v>
      </c>
      <c r="F1030" t="s">
        <v>807</v>
      </c>
      <c r="G1030" t="str">
        <f t="shared" si="80"/>
        <v>C</v>
      </c>
      <c r="H1030">
        <f t="shared" si="80"/>
        <v>33</v>
      </c>
      <c r="I1030" t="str">
        <f t="shared" si="80"/>
        <v>331</v>
      </c>
      <c r="J1030" t="str">
        <f t="shared" si="80"/>
        <v>33147</v>
      </c>
      <c r="K1030" t="str">
        <f t="shared" si="76"/>
        <v>3314715</v>
      </c>
      <c r="L1030">
        <v>1</v>
      </c>
    </row>
    <row r="1031" spans="3:12" x14ac:dyDescent="0.25">
      <c r="C1031" t="s">
        <v>1864</v>
      </c>
      <c r="D1031" t="s">
        <v>1864</v>
      </c>
      <c r="E1031" t="s">
        <v>2891</v>
      </c>
      <c r="F1031" t="s">
        <v>808</v>
      </c>
      <c r="G1031" t="str">
        <f t="shared" si="80"/>
        <v>C</v>
      </c>
      <c r="H1031">
        <f t="shared" si="80"/>
        <v>33</v>
      </c>
      <c r="I1031" t="str">
        <f t="shared" si="80"/>
        <v>331</v>
      </c>
      <c r="J1031" t="str">
        <f t="shared" si="80"/>
        <v>33147</v>
      </c>
      <c r="K1031" t="str">
        <f t="shared" si="76"/>
        <v>3314716</v>
      </c>
      <c r="L1031">
        <v>1</v>
      </c>
    </row>
    <row r="1032" spans="3:12" x14ac:dyDescent="0.25">
      <c r="C1032" t="s">
        <v>1864</v>
      </c>
      <c r="D1032" t="s">
        <v>1864</v>
      </c>
      <c r="E1032" t="s">
        <v>2892</v>
      </c>
      <c r="F1032" t="s">
        <v>809</v>
      </c>
      <c r="G1032" t="str">
        <f t="shared" si="80"/>
        <v>C</v>
      </c>
      <c r="H1032">
        <f t="shared" si="80"/>
        <v>33</v>
      </c>
      <c r="I1032" t="str">
        <f t="shared" si="80"/>
        <v>331</v>
      </c>
      <c r="J1032" t="str">
        <f t="shared" si="80"/>
        <v>33147</v>
      </c>
      <c r="K1032" t="str">
        <f t="shared" ref="K1032:K1095" si="81">E1032</f>
        <v>3314717</v>
      </c>
      <c r="L1032">
        <v>1</v>
      </c>
    </row>
    <row r="1033" spans="3:12" x14ac:dyDescent="0.25">
      <c r="C1033" t="s">
        <v>1864</v>
      </c>
      <c r="D1033" t="s">
        <v>1864</v>
      </c>
      <c r="E1033" t="s">
        <v>2893</v>
      </c>
      <c r="F1033" t="s">
        <v>810</v>
      </c>
      <c r="G1033" t="str">
        <f t="shared" ref="G1033:J1048" si="82">IF(A1033="",G1032,A1033)</f>
        <v>C</v>
      </c>
      <c r="H1033">
        <f t="shared" si="82"/>
        <v>33</v>
      </c>
      <c r="I1033" t="str">
        <f t="shared" si="82"/>
        <v>331</v>
      </c>
      <c r="J1033" t="str">
        <f t="shared" si="82"/>
        <v>33147</v>
      </c>
      <c r="K1033" t="str">
        <f t="shared" si="81"/>
        <v>3314718</v>
      </c>
      <c r="L1033">
        <v>1</v>
      </c>
    </row>
    <row r="1034" spans="3:12" x14ac:dyDescent="0.25">
      <c r="C1034" t="s">
        <v>1864</v>
      </c>
      <c r="D1034" t="s">
        <v>1864</v>
      </c>
      <c r="E1034" t="s">
        <v>2894</v>
      </c>
      <c r="F1034" t="s">
        <v>811</v>
      </c>
      <c r="G1034" t="str">
        <f t="shared" si="82"/>
        <v>C</v>
      </c>
      <c r="H1034">
        <f t="shared" si="82"/>
        <v>33</v>
      </c>
      <c r="I1034" t="str">
        <f t="shared" si="82"/>
        <v>331</v>
      </c>
      <c r="J1034" t="str">
        <f t="shared" si="82"/>
        <v>33147</v>
      </c>
      <c r="K1034" t="str">
        <f t="shared" si="81"/>
        <v>3314719</v>
      </c>
      <c r="L1034">
        <v>1</v>
      </c>
    </row>
    <row r="1035" spans="3:12" x14ac:dyDescent="0.25">
      <c r="C1035" t="s">
        <v>1864</v>
      </c>
      <c r="D1035" t="s">
        <v>1864</v>
      </c>
      <c r="E1035" t="s">
        <v>2895</v>
      </c>
      <c r="F1035" t="s">
        <v>812</v>
      </c>
      <c r="G1035" t="str">
        <f t="shared" si="82"/>
        <v>C</v>
      </c>
      <c r="H1035">
        <f t="shared" si="82"/>
        <v>33</v>
      </c>
      <c r="I1035" t="str">
        <f t="shared" si="82"/>
        <v>331</v>
      </c>
      <c r="J1035" t="str">
        <f t="shared" si="82"/>
        <v>33147</v>
      </c>
      <c r="K1035" t="str">
        <f t="shared" si="81"/>
        <v>3314720</v>
      </c>
      <c r="L1035">
        <v>1</v>
      </c>
    </row>
    <row r="1036" spans="3:12" x14ac:dyDescent="0.25">
      <c r="C1036" t="s">
        <v>1864</v>
      </c>
      <c r="D1036" t="s">
        <v>1864</v>
      </c>
      <c r="E1036" t="s">
        <v>2896</v>
      </c>
      <c r="F1036" t="s">
        <v>813</v>
      </c>
      <c r="G1036" t="str">
        <f t="shared" si="82"/>
        <v>C</v>
      </c>
      <c r="H1036">
        <f t="shared" si="82"/>
        <v>33</v>
      </c>
      <c r="I1036" t="str">
        <f t="shared" si="82"/>
        <v>331</v>
      </c>
      <c r="J1036" t="str">
        <f t="shared" si="82"/>
        <v>33147</v>
      </c>
      <c r="K1036" t="str">
        <f t="shared" si="81"/>
        <v>3314721</v>
      </c>
      <c r="L1036">
        <v>1</v>
      </c>
    </row>
    <row r="1037" spans="3:12" x14ac:dyDescent="0.25">
      <c r="C1037" t="s">
        <v>1864</v>
      </c>
      <c r="D1037" t="s">
        <v>1864</v>
      </c>
      <c r="E1037" t="s">
        <v>2897</v>
      </c>
      <c r="F1037" t="s">
        <v>814</v>
      </c>
      <c r="G1037" t="str">
        <f t="shared" si="82"/>
        <v>C</v>
      </c>
      <c r="H1037">
        <f t="shared" si="82"/>
        <v>33</v>
      </c>
      <c r="I1037" t="str">
        <f t="shared" si="82"/>
        <v>331</v>
      </c>
      <c r="J1037" t="str">
        <f t="shared" si="82"/>
        <v>33147</v>
      </c>
      <c r="K1037" t="str">
        <f t="shared" si="81"/>
        <v>3314722</v>
      </c>
      <c r="L1037">
        <v>1</v>
      </c>
    </row>
    <row r="1038" spans="3:12" x14ac:dyDescent="0.25">
      <c r="C1038" t="s">
        <v>1864</v>
      </c>
      <c r="D1038" t="s">
        <v>1864</v>
      </c>
      <c r="E1038" t="s">
        <v>2898</v>
      </c>
      <c r="F1038" t="s">
        <v>815</v>
      </c>
      <c r="G1038" t="str">
        <f t="shared" si="82"/>
        <v>C</v>
      </c>
      <c r="H1038">
        <f t="shared" si="82"/>
        <v>33</v>
      </c>
      <c r="I1038" t="str">
        <f t="shared" si="82"/>
        <v>331</v>
      </c>
      <c r="J1038" t="str">
        <f t="shared" si="82"/>
        <v>33147</v>
      </c>
      <c r="K1038" t="str">
        <f t="shared" si="81"/>
        <v>3314799</v>
      </c>
      <c r="L1038">
        <v>1</v>
      </c>
    </row>
    <row r="1039" spans="3:12" x14ac:dyDescent="0.25">
      <c r="C1039" t="s">
        <v>1864</v>
      </c>
      <c r="D1039" t="s">
        <v>2899</v>
      </c>
      <c r="E1039" t="s">
        <v>1864</v>
      </c>
      <c r="F1039" t="s">
        <v>816</v>
      </c>
      <c r="G1039" t="str">
        <f t="shared" si="82"/>
        <v>C</v>
      </c>
      <c r="H1039">
        <f t="shared" si="82"/>
        <v>33</v>
      </c>
      <c r="I1039" t="str">
        <f t="shared" si="82"/>
        <v>331</v>
      </c>
      <c r="J1039" t="str">
        <f t="shared" si="82"/>
        <v>33155</v>
      </c>
      <c r="K1039" t="str">
        <f t="shared" si="81"/>
        <v/>
      </c>
    </row>
    <row r="1040" spans="3:12" x14ac:dyDescent="0.25">
      <c r="C1040" t="s">
        <v>1864</v>
      </c>
      <c r="D1040" t="s">
        <v>1864</v>
      </c>
      <c r="E1040" t="s">
        <v>2900</v>
      </c>
      <c r="F1040" t="s">
        <v>816</v>
      </c>
      <c r="G1040" t="str">
        <f t="shared" si="82"/>
        <v>C</v>
      </c>
      <c r="H1040">
        <f t="shared" si="82"/>
        <v>33</v>
      </c>
      <c r="I1040" t="str">
        <f t="shared" si="82"/>
        <v>331</v>
      </c>
      <c r="J1040" t="str">
        <f t="shared" si="82"/>
        <v>33155</v>
      </c>
      <c r="K1040" t="str">
        <f t="shared" si="81"/>
        <v>3315500</v>
      </c>
      <c r="L1040">
        <v>1</v>
      </c>
    </row>
    <row r="1041" spans="1:12" x14ac:dyDescent="0.25">
      <c r="C1041" t="s">
        <v>1864</v>
      </c>
      <c r="D1041" t="s">
        <v>2901</v>
      </c>
      <c r="E1041" t="s">
        <v>1864</v>
      </c>
      <c r="F1041" t="s">
        <v>817</v>
      </c>
      <c r="G1041" t="str">
        <f t="shared" si="82"/>
        <v>C</v>
      </c>
      <c r="H1041">
        <f t="shared" si="82"/>
        <v>33</v>
      </c>
      <c r="I1041" t="str">
        <f t="shared" si="82"/>
        <v>331</v>
      </c>
      <c r="J1041" t="str">
        <f t="shared" si="82"/>
        <v>33163</v>
      </c>
      <c r="K1041" t="str">
        <f t="shared" si="81"/>
        <v/>
      </c>
    </row>
    <row r="1042" spans="1:12" x14ac:dyDescent="0.25">
      <c r="C1042" t="s">
        <v>1864</v>
      </c>
      <c r="D1042" t="s">
        <v>1864</v>
      </c>
      <c r="E1042" t="s">
        <v>2902</v>
      </c>
      <c r="F1042" t="s">
        <v>818</v>
      </c>
      <c r="G1042" t="str">
        <f t="shared" si="82"/>
        <v>C</v>
      </c>
      <c r="H1042">
        <f t="shared" si="82"/>
        <v>33</v>
      </c>
      <c r="I1042" t="str">
        <f t="shared" si="82"/>
        <v>331</v>
      </c>
      <c r="J1042" t="str">
        <f t="shared" si="82"/>
        <v>33163</v>
      </c>
      <c r="K1042" t="str">
        <f t="shared" si="81"/>
        <v>3316301</v>
      </c>
      <c r="L1042">
        <v>1</v>
      </c>
    </row>
    <row r="1043" spans="1:12" x14ac:dyDescent="0.25">
      <c r="C1043" t="s">
        <v>1864</v>
      </c>
      <c r="D1043" t="s">
        <v>1864</v>
      </c>
      <c r="E1043" t="s">
        <v>2903</v>
      </c>
      <c r="F1043" t="s">
        <v>819</v>
      </c>
      <c r="G1043" t="str">
        <f t="shared" si="82"/>
        <v>C</v>
      </c>
      <c r="H1043">
        <f t="shared" si="82"/>
        <v>33</v>
      </c>
      <c r="I1043" t="str">
        <f t="shared" si="82"/>
        <v>331</v>
      </c>
      <c r="J1043" t="str">
        <f t="shared" si="82"/>
        <v>33163</v>
      </c>
      <c r="K1043" t="str">
        <f t="shared" si="81"/>
        <v>3316302</v>
      </c>
      <c r="L1043">
        <v>1</v>
      </c>
    </row>
    <row r="1044" spans="1:12" x14ac:dyDescent="0.25">
      <c r="C1044" t="s">
        <v>1864</v>
      </c>
      <c r="D1044" t="s">
        <v>2904</v>
      </c>
      <c r="E1044" t="s">
        <v>1864</v>
      </c>
      <c r="F1044" t="s">
        <v>820</v>
      </c>
      <c r="G1044" t="str">
        <f t="shared" si="82"/>
        <v>C</v>
      </c>
      <c r="H1044">
        <f t="shared" si="82"/>
        <v>33</v>
      </c>
      <c r="I1044" t="str">
        <f t="shared" si="82"/>
        <v>331</v>
      </c>
      <c r="J1044" t="str">
        <f t="shared" si="82"/>
        <v>33171</v>
      </c>
      <c r="K1044" t="str">
        <f t="shared" si="81"/>
        <v/>
      </c>
    </row>
    <row r="1045" spans="1:12" x14ac:dyDescent="0.25">
      <c r="C1045" t="s">
        <v>1864</v>
      </c>
      <c r="D1045" t="s">
        <v>1864</v>
      </c>
      <c r="E1045" t="s">
        <v>2905</v>
      </c>
      <c r="F1045" t="s">
        <v>821</v>
      </c>
      <c r="G1045" t="str">
        <f t="shared" si="82"/>
        <v>C</v>
      </c>
      <c r="H1045">
        <f t="shared" si="82"/>
        <v>33</v>
      </c>
      <c r="I1045" t="str">
        <f t="shared" si="82"/>
        <v>331</v>
      </c>
      <c r="J1045" t="str">
        <f t="shared" si="82"/>
        <v>33171</v>
      </c>
      <c r="K1045" t="str">
        <f t="shared" si="81"/>
        <v>3317101</v>
      </c>
      <c r="L1045">
        <v>1</v>
      </c>
    </row>
    <row r="1046" spans="1:12" x14ac:dyDescent="0.25">
      <c r="C1046" t="s">
        <v>1864</v>
      </c>
      <c r="D1046" t="s">
        <v>1864</v>
      </c>
      <c r="E1046" t="s">
        <v>2906</v>
      </c>
      <c r="F1046" t="s">
        <v>822</v>
      </c>
      <c r="G1046" t="str">
        <f t="shared" si="82"/>
        <v>C</v>
      </c>
      <c r="H1046">
        <f t="shared" si="82"/>
        <v>33</v>
      </c>
      <c r="I1046" t="str">
        <f t="shared" si="82"/>
        <v>331</v>
      </c>
      <c r="J1046" t="str">
        <f t="shared" si="82"/>
        <v>33171</v>
      </c>
      <c r="K1046" t="str">
        <f t="shared" si="81"/>
        <v>3317102</v>
      </c>
      <c r="L1046">
        <v>1</v>
      </c>
    </row>
    <row r="1047" spans="1:12" x14ac:dyDescent="0.25">
      <c r="C1047" t="s">
        <v>1864</v>
      </c>
      <c r="D1047" t="s">
        <v>2907</v>
      </c>
      <c r="E1047" t="s">
        <v>1864</v>
      </c>
      <c r="F1047" t="s">
        <v>823</v>
      </c>
      <c r="G1047" t="str">
        <f t="shared" si="82"/>
        <v>C</v>
      </c>
      <c r="H1047">
        <f t="shared" si="82"/>
        <v>33</v>
      </c>
      <c r="I1047" t="str">
        <f t="shared" si="82"/>
        <v>331</v>
      </c>
      <c r="J1047" t="str">
        <f t="shared" si="82"/>
        <v>33198</v>
      </c>
      <c r="K1047" t="str">
        <f t="shared" si="81"/>
        <v/>
      </c>
    </row>
    <row r="1048" spans="1:12" x14ac:dyDescent="0.25">
      <c r="C1048" t="s">
        <v>1864</v>
      </c>
      <c r="D1048" t="s">
        <v>1864</v>
      </c>
      <c r="E1048" t="s">
        <v>2908</v>
      </c>
      <c r="F1048" t="s">
        <v>823</v>
      </c>
      <c r="G1048" t="str">
        <f t="shared" si="82"/>
        <v>C</v>
      </c>
      <c r="H1048">
        <f t="shared" si="82"/>
        <v>33</v>
      </c>
      <c r="I1048" t="str">
        <f t="shared" si="82"/>
        <v>331</v>
      </c>
      <c r="J1048" t="str">
        <f t="shared" si="82"/>
        <v>33198</v>
      </c>
      <c r="K1048" t="str">
        <f t="shared" si="81"/>
        <v>3319800</v>
      </c>
      <c r="L1048">
        <v>1</v>
      </c>
    </row>
    <row r="1049" spans="1:12" x14ac:dyDescent="0.25">
      <c r="C1049" t="s">
        <v>2909</v>
      </c>
      <c r="D1049" t="s">
        <v>1864</v>
      </c>
      <c r="E1049" t="s">
        <v>1864</v>
      </c>
      <c r="F1049" t="s">
        <v>824</v>
      </c>
      <c r="G1049" t="str">
        <f t="shared" ref="G1049:J1064" si="83">IF(A1049="",G1048,A1049)</f>
        <v>C</v>
      </c>
      <c r="H1049">
        <f t="shared" si="83"/>
        <v>33</v>
      </c>
      <c r="I1049" t="str">
        <f t="shared" si="83"/>
        <v>332</v>
      </c>
      <c r="J1049" t="str">
        <f t="shared" si="83"/>
        <v>33198</v>
      </c>
      <c r="K1049" t="str">
        <f t="shared" si="81"/>
        <v/>
      </c>
    </row>
    <row r="1050" spans="1:12" x14ac:dyDescent="0.25">
      <c r="C1050" t="s">
        <v>1864</v>
      </c>
      <c r="D1050" t="s">
        <v>2910</v>
      </c>
      <c r="E1050" t="s">
        <v>1864</v>
      </c>
      <c r="F1050" t="s">
        <v>825</v>
      </c>
      <c r="G1050" t="str">
        <f t="shared" si="83"/>
        <v>C</v>
      </c>
      <c r="H1050">
        <f t="shared" si="83"/>
        <v>33</v>
      </c>
      <c r="I1050" t="str">
        <f t="shared" si="83"/>
        <v>332</v>
      </c>
      <c r="J1050" t="str">
        <f t="shared" si="83"/>
        <v>33210</v>
      </c>
      <c r="K1050" t="str">
        <f t="shared" si="81"/>
        <v/>
      </c>
    </row>
    <row r="1051" spans="1:12" x14ac:dyDescent="0.25">
      <c r="C1051" t="s">
        <v>1864</v>
      </c>
      <c r="D1051" t="s">
        <v>1864</v>
      </c>
      <c r="E1051" t="s">
        <v>2911</v>
      </c>
      <c r="F1051" t="s">
        <v>825</v>
      </c>
      <c r="G1051" t="str">
        <f t="shared" si="83"/>
        <v>C</v>
      </c>
      <c r="H1051">
        <f t="shared" si="83"/>
        <v>33</v>
      </c>
      <c r="I1051" t="str">
        <f t="shared" si="83"/>
        <v>332</v>
      </c>
      <c r="J1051" t="str">
        <f t="shared" si="83"/>
        <v>33210</v>
      </c>
      <c r="K1051" t="str">
        <f t="shared" si="81"/>
        <v>3321000</v>
      </c>
      <c r="L1051">
        <v>1</v>
      </c>
    </row>
    <row r="1052" spans="1:12" x14ac:dyDescent="0.25">
      <c r="C1052" t="s">
        <v>1864</v>
      </c>
      <c r="D1052" t="s">
        <v>2912</v>
      </c>
      <c r="E1052" t="s">
        <v>1864</v>
      </c>
      <c r="F1052" t="s">
        <v>826</v>
      </c>
      <c r="G1052" t="str">
        <f t="shared" si="83"/>
        <v>C</v>
      </c>
      <c r="H1052">
        <f t="shared" si="83"/>
        <v>33</v>
      </c>
      <c r="I1052" t="str">
        <f t="shared" si="83"/>
        <v>332</v>
      </c>
      <c r="J1052" t="str">
        <f t="shared" si="83"/>
        <v>33295</v>
      </c>
      <c r="K1052" t="str">
        <f t="shared" si="81"/>
        <v/>
      </c>
    </row>
    <row r="1053" spans="1:12" x14ac:dyDescent="0.25">
      <c r="C1053" t="s">
        <v>1864</v>
      </c>
      <c r="D1053" t="s">
        <v>1864</v>
      </c>
      <c r="E1053" t="s">
        <v>2913</v>
      </c>
      <c r="F1053" t="s">
        <v>827</v>
      </c>
      <c r="G1053" t="str">
        <f t="shared" si="83"/>
        <v>C</v>
      </c>
      <c r="H1053">
        <f t="shared" si="83"/>
        <v>33</v>
      </c>
      <c r="I1053" t="str">
        <f t="shared" si="83"/>
        <v>332</v>
      </c>
      <c r="J1053" t="str">
        <f t="shared" si="83"/>
        <v>33295</v>
      </c>
      <c r="K1053" t="str">
        <f t="shared" si="81"/>
        <v>3329501</v>
      </c>
      <c r="L1053">
        <v>1</v>
      </c>
    </row>
    <row r="1054" spans="1:12" x14ac:dyDescent="0.25">
      <c r="C1054" t="s">
        <v>1864</v>
      </c>
      <c r="D1054" t="s">
        <v>1864</v>
      </c>
      <c r="E1054" t="s">
        <v>2914</v>
      </c>
      <c r="F1054" t="s">
        <v>828</v>
      </c>
      <c r="G1054" t="str">
        <f t="shared" si="83"/>
        <v>C</v>
      </c>
      <c r="H1054">
        <f t="shared" si="83"/>
        <v>33</v>
      </c>
      <c r="I1054" t="str">
        <f t="shared" si="83"/>
        <v>332</v>
      </c>
      <c r="J1054" t="str">
        <f t="shared" si="83"/>
        <v>33295</v>
      </c>
      <c r="K1054" t="str">
        <f t="shared" si="81"/>
        <v>3329599</v>
      </c>
      <c r="L1054">
        <v>1</v>
      </c>
    </row>
    <row r="1055" spans="1:12" x14ac:dyDescent="0.25">
      <c r="A1055" t="s">
        <v>2915</v>
      </c>
      <c r="C1055" t="s">
        <v>1864</v>
      </c>
      <c r="D1055" t="s">
        <v>1864</v>
      </c>
      <c r="E1055" t="s">
        <v>1864</v>
      </c>
      <c r="F1055" t="s">
        <v>829</v>
      </c>
      <c r="G1055" t="str">
        <f t="shared" si="83"/>
        <v>D</v>
      </c>
      <c r="H1055">
        <f t="shared" si="83"/>
        <v>33</v>
      </c>
      <c r="I1055" t="str">
        <f t="shared" si="83"/>
        <v>332</v>
      </c>
      <c r="J1055" t="str">
        <f t="shared" si="83"/>
        <v>33295</v>
      </c>
      <c r="K1055" t="str">
        <f t="shared" si="81"/>
        <v/>
      </c>
    </row>
    <row r="1056" spans="1:12" x14ac:dyDescent="0.25">
      <c r="B1056">
        <v>35</v>
      </c>
      <c r="C1056" t="s">
        <v>1864</v>
      </c>
      <c r="D1056" t="s">
        <v>1864</v>
      </c>
      <c r="E1056" t="s">
        <v>1864</v>
      </c>
      <c r="F1056" t="s">
        <v>830</v>
      </c>
      <c r="G1056" t="str">
        <f t="shared" si="83"/>
        <v>D</v>
      </c>
      <c r="H1056">
        <f t="shared" si="83"/>
        <v>35</v>
      </c>
      <c r="I1056" t="str">
        <f t="shared" si="83"/>
        <v>332</v>
      </c>
      <c r="J1056" t="str">
        <f t="shared" si="83"/>
        <v>33295</v>
      </c>
      <c r="K1056" t="str">
        <f t="shared" si="81"/>
        <v/>
      </c>
    </row>
    <row r="1057" spans="3:12" x14ac:dyDescent="0.25">
      <c r="C1057" t="s">
        <v>2916</v>
      </c>
      <c r="D1057" t="s">
        <v>1864</v>
      </c>
      <c r="E1057" t="s">
        <v>1864</v>
      </c>
      <c r="F1057" t="s">
        <v>831</v>
      </c>
      <c r="G1057" t="str">
        <f t="shared" si="83"/>
        <v>D</v>
      </c>
      <c r="H1057">
        <f t="shared" si="83"/>
        <v>35</v>
      </c>
      <c r="I1057" t="str">
        <f t="shared" si="83"/>
        <v>351</v>
      </c>
      <c r="J1057" t="str">
        <f t="shared" si="83"/>
        <v>33295</v>
      </c>
      <c r="K1057" t="str">
        <f t="shared" si="81"/>
        <v/>
      </c>
    </row>
    <row r="1058" spans="3:12" x14ac:dyDescent="0.25">
      <c r="C1058" t="s">
        <v>1864</v>
      </c>
      <c r="D1058" t="s">
        <v>2917</v>
      </c>
      <c r="E1058" t="s">
        <v>1864</v>
      </c>
      <c r="F1058" t="s">
        <v>832</v>
      </c>
      <c r="G1058" t="str">
        <f t="shared" si="83"/>
        <v>D</v>
      </c>
      <c r="H1058">
        <f t="shared" si="83"/>
        <v>35</v>
      </c>
      <c r="I1058" t="str">
        <f t="shared" si="83"/>
        <v>351</v>
      </c>
      <c r="J1058" t="str">
        <f t="shared" si="83"/>
        <v>35115</v>
      </c>
      <c r="K1058" t="str">
        <f t="shared" si="81"/>
        <v/>
      </c>
    </row>
    <row r="1059" spans="3:12" x14ac:dyDescent="0.25">
      <c r="C1059" t="s">
        <v>1864</v>
      </c>
      <c r="D1059" t="s">
        <v>1864</v>
      </c>
      <c r="E1059" t="s">
        <v>2918</v>
      </c>
      <c r="F1059" t="s">
        <v>832</v>
      </c>
      <c r="G1059" t="str">
        <f t="shared" si="83"/>
        <v>D</v>
      </c>
      <c r="H1059">
        <f t="shared" si="83"/>
        <v>35</v>
      </c>
      <c r="I1059" t="str">
        <f t="shared" si="83"/>
        <v>351</v>
      </c>
      <c r="J1059" t="str">
        <f t="shared" si="83"/>
        <v>35115</v>
      </c>
      <c r="K1059" t="str">
        <f t="shared" si="81"/>
        <v>3511501</v>
      </c>
      <c r="L1059">
        <v>0</v>
      </c>
    </row>
    <row r="1060" spans="3:12" x14ac:dyDescent="0.25">
      <c r="C1060" t="s">
        <v>1864</v>
      </c>
      <c r="D1060" t="s">
        <v>1864</v>
      </c>
      <c r="E1060" t="s">
        <v>2919</v>
      </c>
      <c r="F1060" t="s">
        <v>833</v>
      </c>
      <c r="G1060" t="str">
        <f t="shared" si="83"/>
        <v>D</v>
      </c>
      <c r="H1060">
        <f t="shared" si="83"/>
        <v>35</v>
      </c>
      <c r="I1060" t="str">
        <f t="shared" si="83"/>
        <v>351</v>
      </c>
      <c r="J1060" t="str">
        <f t="shared" si="83"/>
        <v>35115</v>
      </c>
      <c r="K1060" t="str">
        <f t="shared" si="81"/>
        <v>3511502</v>
      </c>
      <c r="L1060">
        <v>0</v>
      </c>
    </row>
    <row r="1061" spans="3:12" x14ac:dyDescent="0.25">
      <c r="C1061" t="s">
        <v>1864</v>
      </c>
      <c r="D1061" t="s">
        <v>2920</v>
      </c>
      <c r="E1061" t="s">
        <v>1864</v>
      </c>
      <c r="F1061" t="s">
        <v>834</v>
      </c>
      <c r="G1061" t="str">
        <f t="shared" si="83"/>
        <v>D</v>
      </c>
      <c r="H1061">
        <f t="shared" si="83"/>
        <v>35</v>
      </c>
      <c r="I1061" t="str">
        <f t="shared" si="83"/>
        <v>351</v>
      </c>
      <c r="J1061" t="str">
        <f t="shared" si="83"/>
        <v>35123</v>
      </c>
      <c r="K1061" t="str">
        <f t="shared" si="81"/>
        <v/>
      </c>
    </row>
    <row r="1062" spans="3:12" x14ac:dyDescent="0.25">
      <c r="C1062" t="s">
        <v>1864</v>
      </c>
      <c r="D1062" t="s">
        <v>1864</v>
      </c>
      <c r="E1062" t="s">
        <v>2921</v>
      </c>
      <c r="F1062" t="s">
        <v>834</v>
      </c>
      <c r="G1062" t="str">
        <f t="shared" si="83"/>
        <v>D</v>
      </c>
      <c r="H1062">
        <f t="shared" si="83"/>
        <v>35</v>
      </c>
      <c r="I1062" t="str">
        <f t="shared" si="83"/>
        <v>351</v>
      </c>
      <c r="J1062" t="str">
        <f t="shared" si="83"/>
        <v>35123</v>
      </c>
      <c r="K1062" t="str">
        <f t="shared" si="81"/>
        <v>3512300</v>
      </c>
      <c r="L1062">
        <v>0</v>
      </c>
    </row>
    <row r="1063" spans="3:12" x14ac:dyDescent="0.25">
      <c r="C1063" t="s">
        <v>1864</v>
      </c>
      <c r="D1063" t="s">
        <v>2922</v>
      </c>
      <c r="E1063" t="s">
        <v>1864</v>
      </c>
      <c r="F1063" t="s">
        <v>835</v>
      </c>
      <c r="G1063" t="str">
        <f t="shared" si="83"/>
        <v>D</v>
      </c>
      <c r="H1063">
        <f t="shared" si="83"/>
        <v>35</v>
      </c>
      <c r="I1063" t="str">
        <f t="shared" si="83"/>
        <v>351</v>
      </c>
      <c r="J1063" t="str">
        <f t="shared" si="83"/>
        <v>35131</v>
      </c>
      <c r="K1063" t="str">
        <f t="shared" si="81"/>
        <v/>
      </c>
    </row>
    <row r="1064" spans="3:12" x14ac:dyDescent="0.25">
      <c r="C1064" t="s">
        <v>1864</v>
      </c>
      <c r="D1064" t="s">
        <v>1864</v>
      </c>
      <c r="E1064" t="s">
        <v>2923</v>
      </c>
      <c r="F1064" t="s">
        <v>835</v>
      </c>
      <c r="G1064" t="str">
        <f t="shared" si="83"/>
        <v>D</v>
      </c>
      <c r="H1064">
        <f t="shared" si="83"/>
        <v>35</v>
      </c>
      <c r="I1064" t="str">
        <f t="shared" si="83"/>
        <v>351</v>
      </c>
      <c r="J1064" t="str">
        <f t="shared" si="83"/>
        <v>35131</v>
      </c>
      <c r="K1064" t="str">
        <f t="shared" si="81"/>
        <v>3513100</v>
      </c>
      <c r="L1064">
        <v>0</v>
      </c>
    </row>
    <row r="1065" spans="3:12" x14ac:dyDescent="0.25">
      <c r="C1065" t="s">
        <v>1864</v>
      </c>
      <c r="D1065" t="s">
        <v>2924</v>
      </c>
      <c r="E1065" t="s">
        <v>1864</v>
      </c>
      <c r="F1065" t="s">
        <v>836</v>
      </c>
      <c r="G1065" t="str">
        <f t="shared" ref="G1065:J1080" si="84">IF(A1065="",G1064,A1065)</f>
        <v>D</v>
      </c>
      <c r="H1065">
        <f t="shared" si="84"/>
        <v>35</v>
      </c>
      <c r="I1065" t="str">
        <f t="shared" si="84"/>
        <v>351</v>
      </c>
      <c r="J1065" t="str">
        <f t="shared" si="84"/>
        <v>35140</v>
      </c>
      <c r="K1065" t="str">
        <f t="shared" si="81"/>
        <v/>
      </c>
    </row>
    <row r="1066" spans="3:12" x14ac:dyDescent="0.25">
      <c r="C1066" t="s">
        <v>1864</v>
      </c>
      <c r="D1066" t="s">
        <v>1864</v>
      </c>
      <c r="E1066" t="s">
        <v>2925</v>
      </c>
      <c r="F1066" t="s">
        <v>836</v>
      </c>
      <c r="G1066" t="str">
        <f t="shared" si="84"/>
        <v>D</v>
      </c>
      <c r="H1066">
        <f t="shared" si="84"/>
        <v>35</v>
      </c>
      <c r="I1066" t="str">
        <f t="shared" si="84"/>
        <v>351</v>
      </c>
      <c r="J1066" t="str">
        <f t="shared" si="84"/>
        <v>35140</v>
      </c>
      <c r="K1066" t="str">
        <f t="shared" si="81"/>
        <v>3514000</v>
      </c>
      <c r="L1066">
        <v>0</v>
      </c>
    </row>
    <row r="1067" spans="3:12" x14ac:dyDescent="0.25">
      <c r="C1067" t="s">
        <v>2926</v>
      </c>
      <c r="D1067" t="s">
        <v>1864</v>
      </c>
      <c r="E1067" t="s">
        <v>1864</v>
      </c>
      <c r="F1067" t="s">
        <v>837</v>
      </c>
      <c r="G1067" t="str">
        <f t="shared" si="84"/>
        <v>D</v>
      </c>
      <c r="H1067">
        <f t="shared" si="84"/>
        <v>35</v>
      </c>
      <c r="I1067" t="str">
        <f t="shared" si="84"/>
        <v>352</v>
      </c>
      <c r="J1067" t="str">
        <f t="shared" si="84"/>
        <v>35140</v>
      </c>
      <c r="K1067" t="str">
        <f t="shared" si="81"/>
        <v/>
      </c>
    </row>
    <row r="1068" spans="3:12" x14ac:dyDescent="0.25">
      <c r="C1068" t="s">
        <v>1864</v>
      </c>
      <c r="D1068" t="s">
        <v>2927</v>
      </c>
      <c r="E1068" t="s">
        <v>1864</v>
      </c>
      <c r="F1068" t="s">
        <v>838</v>
      </c>
      <c r="G1068" t="str">
        <f t="shared" si="84"/>
        <v>D</v>
      </c>
      <c r="H1068">
        <f t="shared" si="84"/>
        <v>35</v>
      </c>
      <c r="I1068" t="str">
        <f t="shared" si="84"/>
        <v>352</v>
      </c>
      <c r="J1068" t="str">
        <f t="shared" si="84"/>
        <v>35204</v>
      </c>
      <c r="K1068" t="str">
        <f t="shared" si="81"/>
        <v/>
      </c>
    </row>
    <row r="1069" spans="3:12" x14ac:dyDescent="0.25">
      <c r="C1069" t="s">
        <v>1864</v>
      </c>
      <c r="D1069" t="s">
        <v>1864</v>
      </c>
      <c r="E1069" t="s">
        <v>2928</v>
      </c>
      <c r="F1069" t="s">
        <v>839</v>
      </c>
      <c r="G1069" t="str">
        <f t="shared" si="84"/>
        <v>D</v>
      </c>
      <c r="H1069">
        <f t="shared" si="84"/>
        <v>35</v>
      </c>
      <c r="I1069" t="str">
        <f t="shared" si="84"/>
        <v>352</v>
      </c>
      <c r="J1069" t="str">
        <f t="shared" si="84"/>
        <v>35204</v>
      </c>
      <c r="K1069" t="str">
        <f t="shared" si="81"/>
        <v>3520401</v>
      </c>
      <c r="L1069">
        <v>0</v>
      </c>
    </row>
    <row r="1070" spans="3:12" x14ac:dyDescent="0.25">
      <c r="C1070" t="s">
        <v>1864</v>
      </c>
      <c r="D1070" t="s">
        <v>1864</v>
      </c>
      <c r="E1070" t="s">
        <v>2929</v>
      </c>
      <c r="F1070" t="s">
        <v>840</v>
      </c>
      <c r="G1070" t="str">
        <f t="shared" si="84"/>
        <v>D</v>
      </c>
      <c r="H1070">
        <f t="shared" si="84"/>
        <v>35</v>
      </c>
      <c r="I1070" t="str">
        <f t="shared" si="84"/>
        <v>352</v>
      </c>
      <c r="J1070" t="str">
        <f t="shared" si="84"/>
        <v>35204</v>
      </c>
      <c r="K1070" t="str">
        <f t="shared" si="81"/>
        <v>3520402</v>
      </c>
      <c r="L1070">
        <v>0</v>
      </c>
    </row>
    <row r="1071" spans="3:12" x14ac:dyDescent="0.25">
      <c r="C1071" t="s">
        <v>2930</v>
      </c>
      <c r="D1071" t="s">
        <v>1864</v>
      </c>
      <c r="E1071" t="s">
        <v>1864</v>
      </c>
      <c r="F1071" t="s">
        <v>841</v>
      </c>
      <c r="G1071" t="str">
        <f t="shared" si="84"/>
        <v>D</v>
      </c>
      <c r="H1071">
        <f t="shared" si="84"/>
        <v>35</v>
      </c>
      <c r="I1071" t="str">
        <f t="shared" si="84"/>
        <v>353</v>
      </c>
      <c r="J1071" t="str">
        <f t="shared" si="84"/>
        <v>35204</v>
      </c>
      <c r="K1071" t="str">
        <f t="shared" si="81"/>
        <v/>
      </c>
    </row>
    <row r="1072" spans="3:12" x14ac:dyDescent="0.25">
      <c r="C1072" t="s">
        <v>1864</v>
      </c>
      <c r="D1072" t="s">
        <v>2931</v>
      </c>
      <c r="E1072" t="s">
        <v>1864</v>
      </c>
      <c r="F1072" t="s">
        <v>841</v>
      </c>
      <c r="G1072" t="str">
        <f t="shared" si="84"/>
        <v>D</v>
      </c>
      <c r="H1072">
        <f t="shared" si="84"/>
        <v>35</v>
      </c>
      <c r="I1072" t="str">
        <f t="shared" si="84"/>
        <v>353</v>
      </c>
      <c r="J1072" t="str">
        <f t="shared" si="84"/>
        <v>35301</v>
      </c>
      <c r="K1072" t="str">
        <f t="shared" si="81"/>
        <v/>
      </c>
    </row>
    <row r="1073" spans="1:12" x14ac:dyDescent="0.25">
      <c r="C1073" t="s">
        <v>1864</v>
      </c>
      <c r="D1073" t="s">
        <v>1864</v>
      </c>
      <c r="E1073" t="s">
        <v>2932</v>
      </c>
      <c r="F1073" t="s">
        <v>842</v>
      </c>
      <c r="G1073" t="str">
        <f t="shared" si="84"/>
        <v>D</v>
      </c>
      <c r="H1073">
        <f t="shared" si="84"/>
        <v>35</v>
      </c>
      <c r="I1073" t="str">
        <f t="shared" si="84"/>
        <v>353</v>
      </c>
      <c r="J1073" t="str">
        <f t="shared" si="84"/>
        <v>35301</v>
      </c>
      <c r="K1073" t="str">
        <f t="shared" si="81"/>
        <v>3530100</v>
      </c>
      <c r="L1073">
        <v>0</v>
      </c>
    </row>
    <row r="1074" spans="1:12" x14ac:dyDescent="0.25">
      <c r="A1074" t="s">
        <v>2933</v>
      </c>
      <c r="C1074" t="s">
        <v>1864</v>
      </c>
      <c r="D1074" t="s">
        <v>1864</v>
      </c>
      <c r="E1074" t="s">
        <v>1864</v>
      </c>
      <c r="F1074" t="s">
        <v>843</v>
      </c>
      <c r="G1074" t="str">
        <f t="shared" si="84"/>
        <v>E</v>
      </c>
      <c r="H1074">
        <f t="shared" si="84"/>
        <v>35</v>
      </c>
      <c r="I1074" t="str">
        <f t="shared" si="84"/>
        <v>353</v>
      </c>
      <c r="J1074" t="str">
        <f t="shared" si="84"/>
        <v>35301</v>
      </c>
      <c r="K1074" t="str">
        <f t="shared" si="81"/>
        <v/>
      </c>
    </row>
    <row r="1075" spans="1:12" x14ac:dyDescent="0.25">
      <c r="B1075">
        <v>36</v>
      </c>
      <c r="C1075" t="s">
        <v>1864</v>
      </c>
      <c r="D1075" t="s">
        <v>1864</v>
      </c>
      <c r="E1075" t="s">
        <v>1864</v>
      </c>
      <c r="F1075" t="s">
        <v>844</v>
      </c>
      <c r="G1075" t="str">
        <f t="shared" si="84"/>
        <v>E</v>
      </c>
      <c r="H1075">
        <f t="shared" si="84"/>
        <v>36</v>
      </c>
      <c r="I1075" t="str">
        <f t="shared" si="84"/>
        <v>353</v>
      </c>
      <c r="J1075" t="str">
        <f t="shared" si="84"/>
        <v>35301</v>
      </c>
      <c r="K1075" t="str">
        <f t="shared" si="81"/>
        <v/>
      </c>
    </row>
    <row r="1076" spans="1:12" x14ac:dyDescent="0.25">
      <c r="C1076" t="s">
        <v>2934</v>
      </c>
      <c r="D1076" t="s">
        <v>1864</v>
      </c>
      <c r="E1076" t="s">
        <v>1864</v>
      </c>
      <c r="F1076" t="s">
        <v>845</v>
      </c>
      <c r="G1076" t="str">
        <f t="shared" si="84"/>
        <v>E</v>
      </c>
      <c r="H1076">
        <f t="shared" si="84"/>
        <v>36</v>
      </c>
      <c r="I1076" t="str">
        <f t="shared" si="84"/>
        <v>360</v>
      </c>
      <c r="J1076" t="str">
        <f t="shared" si="84"/>
        <v>35301</v>
      </c>
      <c r="K1076" t="str">
        <f t="shared" si="81"/>
        <v/>
      </c>
    </row>
    <row r="1077" spans="1:12" x14ac:dyDescent="0.25">
      <c r="C1077" t="s">
        <v>1864</v>
      </c>
      <c r="D1077" t="s">
        <v>2935</v>
      </c>
      <c r="E1077" t="s">
        <v>1864</v>
      </c>
      <c r="F1077" t="s">
        <v>845</v>
      </c>
      <c r="G1077" t="str">
        <f t="shared" si="84"/>
        <v>E</v>
      </c>
      <c r="H1077">
        <f t="shared" si="84"/>
        <v>36</v>
      </c>
      <c r="I1077" t="str">
        <f t="shared" si="84"/>
        <v>360</v>
      </c>
      <c r="J1077" t="str">
        <f t="shared" si="84"/>
        <v>36006</v>
      </c>
      <c r="K1077" t="str">
        <f t="shared" si="81"/>
        <v/>
      </c>
    </row>
    <row r="1078" spans="1:12" x14ac:dyDescent="0.25">
      <c r="C1078" t="s">
        <v>1864</v>
      </c>
      <c r="D1078" t="s">
        <v>1864</v>
      </c>
      <c r="E1078" t="s">
        <v>2936</v>
      </c>
      <c r="F1078" t="s">
        <v>845</v>
      </c>
      <c r="G1078" t="str">
        <f t="shared" si="84"/>
        <v>E</v>
      </c>
      <c r="H1078">
        <f t="shared" si="84"/>
        <v>36</v>
      </c>
      <c r="I1078" t="str">
        <f t="shared" si="84"/>
        <v>360</v>
      </c>
      <c r="J1078" t="str">
        <f t="shared" si="84"/>
        <v>36006</v>
      </c>
      <c r="K1078" t="str">
        <f t="shared" si="81"/>
        <v>3600601</v>
      </c>
      <c r="L1078">
        <v>1</v>
      </c>
    </row>
    <row r="1079" spans="1:12" x14ac:dyDescent="0.25">
      <c r="C1079" t="s">
        <v>1864</v>
      </c>
      <c r="D1079" t="s">
        <v>1864</v>
      </c>
      <c r="E1079" t="s">
        <v>2937</v>
      </c>
      <c r="F1079" t="s">
        <v>846</v>
      </c>
      <c r="G1079" t="str">
        <f t="shared" si="84"/>
        <v>E</v>
      </c>
      <c r="H1079">
        <f t="shared" si="84"/>
        <v>36</v>
      </c>
      <c r="I1079" t="str">
        <f t="shared" si="84"/>
        <v>360</v>
      </c>
      <c r="J1079" t="str">
        <f t="shared" si="84"/>
        <v>36006</v>
      </c>
      <c r="K1079" t="str">
        <f t="shared" si="81"/>
        <v>3600602</v>
      </c>
      <c r="L1079">
        <v>1</v>
      </c>
    </row>
    <row r="1080" spans="1:12" x14ac:dyDescent="0.25">
      <c r="B1080">
        <v>37</v>
      </c>
      <c r="C1080" t="s">
        <v>1864</v>
      </c>
      <c r="D1080" t="s">
        <v>1864</v>
      </c>
      <c r="E1080" t="s">
        <v>1864</v>
      </c>
      <c r="F1080" t="s">
        <v>847</v>
      </c>
      <c r="G1080" t="str">
        <f t="shared" si="84"/>
        <v>E</v>
      </c>
      <c r="H1080">
        <f t="shared" si="84"/>
        <v>37</v>
      </c>
      <c r="I1080" t="str">
        <f t="shared" si="84"/>
        <v>360</v>
      </c>
      <c r="J1080" t="str">
        <f t="shared" si="84"/>
        <v>36006</v>
      </c>
      <c r="K1080" t="str">
        <f t="shared" si="81"/>
        <v/>
      </c>
    </row>
    <row r="1081" spans="1:12" x14ac:dyDescent="0.25">
      <c r="C1081" t="s">
        <v>2938</v>
      </c>
      <c r="D1081" t="s">
        <v>1864</v>
      </c>
      <c r="E1081" t="s">
        <v>1864</v>
      </c>
      <c r="F1081" t="s">
        <v>848</v>
      </c>
      <c r="G1081" t="str">
        <f t="shared" ref="G1081:J1096" si="85">IF(A1081="",G1080,A1081)</f>
        <v>E</v>
      </c>
      <c r="H1081">
        <f t="shared" si="85"/>
        <v>37</v>
      </c>
      <c r="I1081" t="str">
        <f t="shared" si="85"/>
        <v>370</v>
      </c>
      <c r="J1081" t="str">
        <f t="shared" si="85"/>
        <v>36006</v>
      </c>
      <c r="K1081" t="str">
        <f t="shared" si="81"/>
        <v/>
      </c>
    </row>
    <row r="1082" spans="1:12" x14ac:dyDescent="0.25">
      <c r="C1082" t="s">
        <v>1864</v>
      </c>
      <c r="D1082" t="s">
        <v>2939</v>
      </c>
      <c r="E1082" t="s">
        <v>1864</v>
      </c>
      <c r="F1082" t="s">
        <v>849</v>
      </c>
      <c r="G1082" t="str">
        <f t="shared" si="85"/>
        <v>E</v>
      </c>
      <c r="H1082">
        <f t="shared" si="85"/>
        <v>37</v>
      </c>
      <c r="I1082" t="str">
        <f t="shared" si="85"/>
        <v>370</v>
      </c>
      <c r="J1082" t="str">
        <f t="shared" si="85"/>
        <v>37011</v>
      </c>
      <c r="K1082" t="str">
        <f t="shared" si="81"/>
        <v/>
      </c>
    </row>
    <row r="1083" spans="1:12" x14ac:dyDescent="0.25">
      <c r="C1083" t="s">
        <v>1864</v>
      </c>
      <c r="D1083" t="s">
        <v>1864</v>
      </c>
      <c r="E1083" t="s">
        <v>2940</v>
      </c>
      <c r="F1083" s="1" t="s">
        <v>849</v>
      </c>
      <c r="G1083" s="1" t="str">
        <f t="shared" si="85"/>
        <v>E</v>
      </c>
      <c r="H1083" s="1">
        <f t="shared" si="85"/>
        <v>37</v>
      </c>
      <c r="I1083" s="1" t="str">
        <f t="shared" si="85"/>
        <v>370</v>
      </c>
      <c r="J1083" s="1" t="str">
        <f t="shared" si="85"/>
        <v>37011</v>
      </c>
      <c r="K1083" s="1" t="str">
        <f t="shared" si="81"/>
        <v>3701100</v>
      </c>
      <c r="L1083" s="1">
        <v>0</v>
      </c>
    </row>
    <row r="1084" spans="1:12" x14ac:dyDescent="0.25">
      <c r="C1084" t="s">
        <v>1864</v>
      </c>
      <c r="D1084" t="s">
        <v>2941</v>
      </c>
      <c r="E1084" t="s">
        <v>1864</v>
      </c>
      <c r="F1084" t="s">
        <v>850</v>
      </c>
      <c r="G1084" t="str">
        <f t="shared" si="85"/>
        <v>E</v>
      </c>
      <c r="H1084">
        <f t="shared" si="85"/>
        <v>37</v>
      </c>
      <c r="I1084" t="str">
        <f t="shared" si="85"/>
        <v>370</v>
      </c>
      <c r="J1084" t="str">
        <f t="shared" si="85"/>
        <v>37029</v>
      </c>
      <c r="K1084" t="str">
        <f t="shared" si="81"/>
        <v/>
      </c>
    </row>
    <row r="1085" spans="1:12" x14ac:dyDescent="0.25">
      <c r="C1085" t="s">
        <v>1864</v>
      </c>
      <c r="D1085" t="s">
        <v>1864</v>
      </c>
      <c r="E1085" t="s">
        <v>2942</v>
      </c>
      <c r="F1085" t="s">
        <v>850</v>
      </c>
      <c r="G1085" t="str">
        <f t="shared" si="85"/>
        <v>E</v>
      </c>
      <c r="H1085">
        <f t="shared" si="85"/>
        <v>37</v>
      </c>
      <c r="I1085" t="str">
        <f t="shared" si="85"/>
        <v>370</v>
      </c>
      <c r="J1085" t="str">
        <f t="shared" si="85"/>
        <v>37029</v>
      </c>
      <c r="K1085" t="str">
        <f t="shared" si="81"/>
        <v>3702900</v>
      </c>
      <c r="L1085">
        <v>1</v>
      </c>
    </row>
    <row r="1086" spans="1:12" x14ac:dyDescent="0.25">
      <c r="B1086">
        <v>38</v>
      </c>
      <c r="C1086" t="s">
        <v>1864</v>
      </c>
      <c r="D1086" t="s">
        <v>1864</v>
      </c>
      <c r="E1086" t="s">
        <v>1864</v>
      </c>
      <c r="F1086" t="s">
        <v>851</v>
      </c>
      <c r="G1086" t="str">
        <f t="shared" si="85"/>
        <v>E</v>
      </c>
      <c r="H1086">
        <f t="shared" si="85"/>
        <v>38</v>
      </c>
      <c r="I1086" t="str">
        <f t="shared" si="85"/>
        <v>370</v>
      </c>
      <c r="J1086" t="str">
        <f t="shared" si="85"/>
        <v>37029</v>
      </c>
      <c r="K1086" t="str">
        <f t="shared" si="81"/>
        <v/>
      </c>
    </row>
    <row r="1087" spans="1:12" x14ac:dyDescent="0.25">
      <c r="C1087" t="s">
        <v>2943</v>
      </c>
      <c r="D1087" t="s">
        <v>1864</v>
      </c>
      <c r="E1087" t="s">
        <v>1864</v>
      </c>
      <c r="F1087" t="s">
        <v>852</v>
      </c>
      <c r="G1087" t="str">
        <f t="shared" si="85"/>
        <v>E</v>
      </c>
      <c r="H1087">
        <f t="shared" si="85"/>
        <v>38</v>
      </c>
      <c r="I1087" t="str">
        <f t="shared" si="85"/>
        <v>381</v>
      </c>
      <c r="J1087" t="str">
        <f t="shared" si="85"/>
        <v>37029</v>
      </c>
      <c r="K1087" t="str">
        <f t="shared" si="81"/>
        <v/>
      </c>
    </row>
    <row r="1088" spans="1:12" x14ac:dyDescent="0.25">
      <c r="C1088" t="s">
        <v>1864</v>
      </c>
      <c r="D1088" t="s">
        <v>2944</v>
      </c>
      <c r="E1088" t="s">
        <v>1864</v>
      </c>
      <c r="F1088" t="s">
        <v>853</v>
      </c>
      <c r="G1088" t="str">
        <f t="shared" si="85"/>
        <v>E</v>
      </c>
      <c r="H1088">
        <f t="shared" si="85"/>
        <v>38</v>
      </c>
      <c r="I1088" t="str">
        <f t="shared" si="85"/>
        <v>381</v>
      </c>
      <c r="J1088" t="str">
        <f t="shared" si="85"/>
        <v>38114</v>
      </c>
      <c r="K1088" t="str">
        <f t="shared" si="81"/>
        <v/>
      </c>
    </row>
    <row r="1089" spans="3:12" x14ac:dyDescent="0.25">
      <c r="C1089" t="s">
        <v>1864</v>
      </c>
      <c r="D1089" t="s">
        <v>1864</v>
      </c>
      <c r="E1089" t="s">
        <v>2945</v>
      </c>
      <c r="F1089" t="s">
        <v>853</v>
      </c>
      <c r="G1089" t="str">
        <f t="shared" si="85"/>
        <v>E</v>
      </c>
      <c r="H1089">
        <f t="shared" si="85"/>
        <v>38</v>
      </c>
      <c r="I1089" t="str">
        <f t="shared" si="85"/>
        <v>381</v>
      </c>
      <c r="J1089" t="str">
        <f t="shared" si="85"/>
        <v>38114</v>
      </c>
      <c r="K1089" t="str">
        <f t="shared" si="81"/>
        <v>3811400</v>
      </c>
      <c r="L1089">
        <v>1</v>
      </c>
    </row>
    <row r="1090" spans="3:12" x14ac:dyDescent="0.25">
      <c r="C1090" t="s">
        <v>1864</v>
      </c>
      <c r="D1090" t="s">
        <v>2946</v>
      </c>
      <c r="E1090" t="s">
        <v>1864</v>
      </c>
      <c r="F1090" t="s">
        <v>854</v>
      </c>
      <c r="G1090" t="str">
        <f t="shared" si="85"/>
        <v>E</v>
      </c>
      <c r="H1090">
        <f t="shared" si="85"/>
        <v>38</v>
      </c>
      <c r="I1090" t="str">
        <f t="shared" si="85"/>
        <v>381</v>
      </c>
      <c r="J1090" t="str">
        <f t="shared" si="85"/>
        <v>38122</v>
      </c>
      <c r="K1090" t="str">
        <f t="shared" si="81"/>
        <v/>
      </c>
    </row>
    <row r="1091" spans="3:12" x14ac:dyDescent="0.25">
      <c r="C1091" t="s">
        <v>1864</v>
      </c>
      <c r="D1091" t="s">
        <v>1864</v>
      </c>
      <c r="E1091" t="s">
        <v>2947</v>
      </c>
      <c r="F1091" t="s">
        <v>854</v>
      </c>
      <c r="G1091" t="str">
        <f t="shared" si="85"/>
        <v>E</v>
      </c>
      <c r="H1091">
        <f t="shared" si="85"/>
        <v>38</v>
      </c>
      <c r="I1091" t="str">
        <f t="shared" si="85"/>
        <v>381</v>
      </c>
      <c r="J1091" t="str">
        <f t="shared" si="85"/>
        <v>38122</v>
      </c>
      <c r="K1091" t="str">
        <f t="shared" si="81"/>
        <v>3812200</v>
      </c>
      <c r="L1091">
        <v>1</v>
      </c>
    </row>
    <row r="1092" spans="3:12" x14ac:dyDescent="0.25">
      <c r="C1092" t="s">
        <v>2948</v>
      </c>
      <c r="D1092" t="s">
        <v>1864</v>
      </c>
      <c r="E1092" t="s">
        <v>1864</v>
      </c>
      <c r="F1092" t="s">
        <v>855</v>
      </c>
      <c r="G1092" t="str">
        <f t="shared" si="85"/>
        <v>E</v>
      </c>
      <c r="H1092">
        <f t="shared" si="85"/>
        <v>38</v>
      </c>
      <c r="I1092" t="str">
        <f t="shared" si="85"/>
        <v>382</v>
      </c>
      <c r="J1092" t="str">
        <f t="shared" si="85"/>
        <v>38122</v>
      </c>
      <c r="K1092" t="str">
        <f t="shared" si="81"/>
        <v/>
      </c>
    </row>
    <row r="1093" spans="3:12" x14ac:dyDescent="0.25">
      <c r="C1093" t="s">
        <v>1864</v>
      </c>
      <c r="D1093" t="s">
        <v>2949</v>
      </c>
      <c r="E1093" t="s">
        <v>1864</v>
      </c>
      <c r="F1093" t="s">
        <v>856</v>
      </c>
      <c r="G1093" t="str">
        <f t="shared" si="85"/>
        <v>E</v>
      </c>
      <c r="H1093">
        <f t="shared" si="85"/>
        <v>38</v>
      </c>
      <c r="I1093" t="str">
        <f t="shared" si="85"/>
        <v>382</v>
      </c>
      <c r="J1093" t="str">
        <f t="shared" si="85"/>
        <v>38211</v>
      </c>
      <c r="K1093" t="str">
        <f t="shared" si="81"/>
        <v/>
      </c>
    </row>
    <row r="1094" spans="3:12" x14ac:dyDescent="0.25">
      <c r="C1094" t="s">
        <v>1864</v>
      </c>
      <c r="D1094" t="s">
        <v>1864</v>
      </c>
      <c r="E1094" t="s">
        <v>2950</v>
      </c>
      <c r="F1094" t="s">
        <v>856</v>
      </c>
      <c r="G1094" t="str">
        <f t="shared" si="85"/>
        <v>E</v>
      </c>
      <c r="H1094">
        <f t="shared" si="85"/>
        <v>38</v>
      </c>
      <c r="I1094" t="str">
        <f t="shared" si="85"/>
        <v>382</v>
      </c>
      <c r="J1094" t="str">
        <f t="shared" si="85"/>
        <v>38211</v>
      </c>
      <c r="K1094" t="str">
        <f t="shared" si="81"/>
        <v>3821100</v>
      </c>
      <c r="L1094">
        <v>1</v>
      </c>
    </row>
    <row r="1095" spans="3:12" x14ac:dyDescent="0.25">
      <c r="C1095" t="s">
        <v>1864</v>
      </c>
      <c r="D1095" t="s">
        <v>2951</v>
      </c>
      <c r="E1095" t="s">
        <v>1864</v>
      </c>
      <c r="F1095" t="s">
        <v>857</v>
      </c>
      <c r="G1095" t="str">
        <f t="shared" si="85"/>
        <v>E</v>
      </c>
      <c r="H1095">
        <f t="shared" si="85"/>
        <v>38</v>
      </c>
      <c r="I1095" t="str">
        <f t="shared" si="85"/>
        <v>382</v>
      </c>
      <c r="J1095" t="str">
        <f t="shared" si="85"/>
        <v>38220</v>
      </c>
      <c r="K1095" t="str">
        <f t="shared" si="81"/>
        <v/>
      </c>
    </row>
    <row r="1096" spans="3:12" x14ac:dyDescent="0.25">
      <c r="C1096" t="s">
        <v>1864</v>
      </c>
      <c r="D1096" t="s">
        <v>1864</v>
      </c>
      <c r="E1096" t="s">
        <v>2952</v>
      </c>
      <c r="F1096" t="s">
        <v>857</v>
      </c>
      <c r="G1096" t="str">
        <f t="shared" si="85"/>
        <v>E</v>
      </c>
      <c r="H1096">
        <f t="shared" si="85"/>
        <v>38</v>
      </c>
      <c r="I1096" t="str">
        <f t="shared" si="85"/>
        <v>382</v>
      </c>
      <c r="J1096" t="str">
        <f t="shared" si="85"/>
        <v>38220</v>
      </c>
      <c r="K1096" t="str">
        <f t="shared" ref="K1096:K1159" si="86">E1096</f>
        <v>3822000</v>
      </c>
      <c r="L1096">
        <v>1</v>
      </c>
    </row>
    <row r="1097" spans="3:12" x14ac:dyDescent="0.25">
      <c r="C1097" t="s">
        <v>2953</v>
      </c>
      <c r="D1097" t="s">
        <v>1864</v>
      </c>
      <c r="E1097" t="s">
        <v>1864</v>
      </c>
      <c r="F1097" t="s">
        <v>858</v>
      </c>
      <c r="G1097" t="str">
        <f t="shared" ref="G1097:J1112" si="87">IF(A1097="",G1096,A1097)</f>
        <v>E</v>
      </c>
      <c r="H1097">
        <f t="shared" si="87"/>
        <v>38</v>
      </c>
      <c r="I1097" t="str">
        <f t="shared" si="87"/>
        <v>383</v>
      </c>
      <c r="J1097" t="str">
        <f t="shared" si="87"/>
        <v>38220</v>
      </c>
      <c r="K1097" t="str">
        <f t="shared" si="86"/>
        <v/>
      </c>
    </row>
    <row r="1098" spans="3:12" x14ac:dyDescent="0.25">
      <c r="C1098" t="s">
        <v>1864</v>
      </c>
      <c r="D1098" t="s">
        <v>2954</v>
      </c>
      <c r="E1098" t="s">
        <v>1864</v>
      </c>
      <c r="F1098" t="s">
        <v>859</v>
      </c>
      <c r="G1098" t="str">
        <f t="shared" si="87"/>
        <v>E</v>
      </c>
      <c r="H1098">
        <f t="shared" si="87"/>
        <v>38</v>
      </c>
      <c r="I1098" t="str">
        <f t="shared" si="87"/>
        <v>383</v>
      </c>
      <c r="J1098" t="str">
        <f t="shared" si="87"/>
        <v>38319</v>
      </c>
      <c r="K1098" t="str">
        <f t="shared" si="86"/>
        <v/>
      </c>
    </row>
    <row r="1099" spans="3:12" x14ac:dyDescent="0.25">
      <c r="C1099" t="s">
        <v>1864</v>
      </c>
      <c r="D1099" t="s">
        <v>1864</v>
      </c>
      <c r="E1099" t="s">
        <v>2955</v>
      </c>
      <c r="F1099" t="s">
        <v>860</v>
      </c>
      <c r="G1099" t="str">
        <f t="shared" si="87"/>
        <v>E</v>
      </c>
      <c r="H1099">
        <f t="shared" si="87"/>
        <v>38</v>
      </c>
      <c r="I1099" t="str">
        <f t="shared" si="87"/>
        <v>383</v>
      </c>
      <c r="J1099" t="str">
        <f t="shared" si="87"/>
        <v>38319</v>
      </c>
      <c r="K1099" t="str">
        <f t="shared" si="86"/>
        <v>3831901</v>
      </c>
      <c r="L1099">
        <v>1</v>
      </c>
    </row>
    <row r="1100" spans="3:12" x14ac:dyDescent="0.25">
      <c r="C1100" t="s">
        <v>1864</v>
      </c>
      <c r="D1100" t="s">
        <v>1864</v>
      </c>
      <c r="E1100" t="s">
        <v>2956</v>
      </c>
      <c r="F1100" t="s">
        <v>861</v>
      </c>
      <c r="G1100" t="str">
        <f t="shared" si="87"/>
        <v>E</v>
      </c>
      <c r="H1100">
        <f t="shared" si="87"/>
        <v>38</v>
      </c>
      <c r="I1100" t="str">
        <f t="shared" si="87"/>
        <v>383</v>
      </c>
      <c r="J1100" t="str">
        <f t="shared" si="87"/>
        <v>38319</v>
      </c>
      <c r="K1100" t="str">
        <f t="shared" si="86"/>
        <v>3831999</v>
      </c>
      <c r="L1100">
        <v>1</v>
      </c>
    </row>
    <row r="1101" spans="3:12" x14ac:dyDescent="0.25">
      <c r="C1101" t="s">
        <v>1864</v>
      </c>
      <c r="D1101" t="s">
        <v>2957</v>
      </c>
      <c r="E1101" t="s">
        <v>1864</v>
      </c>
      <c r="F1101" t="s">
        <v>862</v>
      </c>
      <c r="G1101" t="str">
        <f t="shared" si="87"/>
        <v>E</v>
      </c>
      <c r="H1101">
        <f t="shared" si="87"/>
        <v>38</v>
      </c>
      <c r="I1101" t="str">
        <f t="shared" si="87"/>
        <v>383</v>
      </c>
      <c r="J1101" t="str">
        <f t="shared" si="87"/>
        <v>38327</v>
      </c>
      <c r="K1101" t="str">
        <f t="shared" si="86"/>
        <v/>
      </c>
    </row>
    <row r="1102" spans="3:12" x14ac:dyDescent="0.25">
      <c r="C1102" t="s">
        <v>1864</v>
      </c>
      <c r="D1102" t="s">
        <v>1864</v>
      </c>
      <c r="E1102" t="s">
        <v>2958</v>
      </c>
      <c r="F1102" t="s">
        <v>862</v>
      </c>
      <c r="G1102" t="str">
        <f t="shared" si="87"/>
        <v>E</v>
      </c>
      <c r="H1102">
        <f t="shared" si="87"/>
        <v>38</v>
      </c>
      <c r="I1102" t="str">
        <f t="shared" si="87"/>
        <v>383</v>
      </c>
      <c r="J1102" t="str">
        <f t="shared" si="87"/>
        <v>38327</v>
      </c>
      <c r="K1102" t="str">
        <f t="shared" si="86"/>
        <v>3832700</v>
      </c>
      <c r="L1102">
        <v>1</v>
      </c>
    </row>
    <row r="1103" spans="3:12" x14ac:dyDescent="0.25">
      <c r="C1103" t="s">
        <v>1864</v>
      </c>
      <c r="D1103" t="s">
        <v>2959</v>
      </c>
      <c r="E1103" t="s">
        <v>1864</v>
      </c>
      <c r="F1103" t="s">
        <v>863</v>
      </c>
      <c r="G1103" t="str">
        <f t="shared" si="87"/>
        <v>E</v>
      </c>
      <c r="H1103">
        <f t="shared" si="87"/>
        <v>38</v>
      </c>
      <c r="I1103" t="str">
        <f t="shared" si="87"/>
        <v>383</v>
      </c>
      <c r="J1103" t="str">
        <f t="shared" si="87"/>
        <v>38394</v>
      </c>
      <c r="K1103" t="str">
        <f t="shared" si="86"/>
        <v/>
      </c>
    </row>
    <row r="1104" spans="3:12" x14ac:dyDescent="0.25">
      <c r="C1104" t="s">
        <v>1864</v>
      </c>
      <c r="D1104" t="s">
        <v>1864</v>
      </c>
      <c r="E1104" t="s">
        <v>2960</v>
      </c>
      <c r="F1104" t="s">
        <v>864</v>
      </c>
      <c r="G1104" t="str">
        <f t="shared" si="87"/>
        <v>E</v>
      </c>
      <c r="H1104">
        <f t="shared" si="87"/>
        <v>38</v>
      </c>
      <c r="I1104" t="str">
        <f t="shared" si="87"/>
        <v>383</v>
      </c>
      <c r="J1104" t="str">
        <f t="shared" si="87"/>
        <v>38394</v>
      </c>
      <c r="K1104" t="str">
        <f t="shared" si="86"/>
        <v>3839401</v>
      </c>
      <c r="L1104">
        <v>1</v>
      </c>
    </row>
    <row r="1105" spans="1:12" x14ac:dyDescent="0.25">
      <c r="C1105" t="s">
        <v>1864</v>
      </c>
      <c r="D1105" t="s">
        <v>1864</v>
      </c>
      <c r="E1105" t="s">
        <v>2961</v>
      </c>
      <c r="F1105" t="s">
        <v>863</v>
      </c>
      <c r="G1105" t="str">
        <f t="shared" si="87"/>
        <v>E</v>
      </c>
      <c r="H1105">
        <f t="shared" si="87"/>
        <v>38</v>
      </c>
      <c r="I1105" t="str">
        <f t="shared" si="87"/>
        <v>383</v>
      </c>
      <c r="J1105" t="str">
        <f t="shared" si="87"/>
        <v>38394</v>
      </c>
      <c r="K1105" t="str">
        <f t="shared" si="86"/>
        <v>3839499</v>
      </c>
      <c r="L1105">
        <v>1</v>
      </c>
    </row>
    <row r="1106" spans="1:12" x14ac:dyDescent="0.25">
      <c r="B1106">
        <v>39</v>
      </c>
      <c r="C1106" t="s">
        <v>1864</v>
      </c>
      <c r="D1106" t="s">
        <v>1864</v>
      </c>
      <c r="E1106" t="s">
        <v>1864</v>
      </c>
      <c r="F1106" t="s">
        <v>865</v>
      </c>
      <c r="G1106" t="str">
        <f t="shared" si="87"/>
        <v>E</v>
      </c>
      <c r="H1106">
        <f t="shared" si="87"/>
        <v>39</v>
      </c>
      <c r="I1106" t="str">
        <f t="shared" si="87"/>
        <v>383</v>
      </c>
      <c r="J1106" t="str">
        <f t="shared" si="87"/>
        <v>38394</v>
      </c>
      <c r="K1106" t="str">
        <f t="shared" si="86"/>
        <v/>
      </c>
    </row>
    <row r="1107" spans="1:12" x14ac:dyDescent="0.25">
      <c r="C1107" t="s">
        <v>2962</v>
      </c>
      <c r="D1107" t="s">
        <v>1864</v>
      </c>
      <c r="E1107" t="s">
        <v>1864</v>
      </c>
      <c r="F1107" t="s">
        <v>866</v>
      </c>
      <c r="G1107" t="str">
        <f t="shared" si="87"/>
        <v>E</v>
      </c>
      <c r="H1107">
        <f t="shared" si="87"/>
        <v>39</v>
      </c>
      <c r="I1107" t="str">
        <f t="shared" si="87"/>
        <v>390</v>
      </c>
      <c r="J1107" t="str">
        <f t="shared" si="87"/>
        <v>38394</v>
      </c>
      <c r="K1107" t="str">
        <f t="shared" si="86"/>
        <v/>
      </c>
    </row>
    <row r="1108" spans="1:12" x14ac:dyDescent="0.25">
      <c r="C1108" t="s">
        <v>1864</v>
      </c>
      <c r="D1108" t="s">
        <v>2963</v>
      </c>
      <c r="E1108" t="s">
        <v>1864</v>
      </c>
      <c r="F1108" t="s">
        <v>866</v>
      </c>
      <c r="G1108" t="str">
        <f t="shared" si="87"/>
        <v>E</v>
      </c>
      <c r="H1108">
        <f t="shared" si="87"/>
        <v>39</v>
      </c>
      <c r="I1108" t="str">
        <f t="shared" si="87"/>
        <v>390</v>
      </c>
      <c r="J1108" t="str">
        <f t="shared" si="87"/>
        <v>39005</v>
      </c>
      <c r="K1108" t="str">
        <f t="shared" si="86"/>
        <v/>
      </c>
    </row>
    <row r="1109" spans="1:12" x14ac:dyDescent="0.25">
      <c r="C1109" t="s">
        <v>1864</v>
      </c>
      <c r="D1109" t="s">
        <v>1864</v>
      </c>
      <c r="E1109" t="s">
        <v>2964</v>
      </c>
      <c r="F1109" t="s">
        <v>866</v>
      </c>
      <c r="G1109" t="str">
        <f t="shared" si="87"/>
        <v>E</v>
      </c>
      <c r="H1109">
        <f t="shared" si="87"/>
        <v>39</v>
      </c>
      <c r="I1109" t="str">
        <f t="shared" si="87"/>
        <v>390</v>
      </c>
      <c r="J1109" t="str">
        <f t="shared" si="87"/>
        <v>39005</v>
      </c>
      <c r="K1109" t="str">
        <f t="shared" si="86"/>
        <v>3900500</v>
      </c>
      <c r="L1109">
        <v>1</v>
      </c>
    </row>
    <row r="1110" spans="1:12" x14ac:dyDescent="0.25">
      <c r="A1110" t="s">
        <v>2965</v>
      </c>
      <c r="C1110" t="s">
        <v>1864</v>
      </c>
      <c r="D1110" t="s">
        <v>1864</v>
      </c>
      <c r="E1110" t="s">
        <v>1864</v>
      </c>
      <c r="F1110" s="2" t="s">
        <v>867</v>
      </c>
      <c r="G1110" t="str">
        <f t="shared" si="87"/>
        <v>F</v>
      </c>
      <c r="H1110">
        <f t="shared" si="87"/>
        <v>39</v>
      </c>
      <c r="I1110" t="str">
        <f t="shared" si="87"/>
        <v>390</v>
      </c>
      <c r="J1110" t="str">
        <f t="shared" si="87"/>
        <v>39005</v>
      </c>
      <c r="K1110" t="str">
        <f t="shared" si="86"/>
        <v/>
      </c>
    </row>
    <row r="1111" spans="1:12" x14ac:dyDescent="0.25">
      <c r="B1111">
        <v>41</v>
      </c>
      <c r="C1111" t="s">
        <v>1864</v>
      </c>
      <c r="D1111" t="s">
        <v>1864</v>
      </c>
      <c r="E1111" t="s">
        <v>1864</v>
      </c>
      <c r="F1111" s="2" t="s">
        <v>868</v>
      </c>
      <c r="G1111" t="str">
        <f t="shared" si="87"/>
        <v>F</v>
      </c>
      <c r="H1111">
        <f t="shared" si="87"/>
        <v>41</v>
      </c>
      <c r="I1111" t="str">
        <f t="shared" si="87"/>
        <v>390</v>
      </c>
      <c r="J1111" t="str">
        <f t="shared" si="87"/>
        <v>39005</v>
      </c>
      <c r="K1111" t="str">
        <f t="shared" si="86"/>
        <v/>
      </c>
    </row>
    <row r="1112" spans="1:12" x14ac:dyDescent="0.25">
      <c r="C1112" t="s">
        <v>2966</v>
      </c>
      <c r="D1112" t="s">
        <v>1864</v>
      </c>
      <c r="E1112" t="s">
        <v>1864</v>
      </c>
      <c r="F1112" s="2" t="s">
        <v>869</v>
      </c>
      <c r="G1112" t="str">
        <f t="shared" si="87"/>
        <v>F</v>
      </c>
      <c r="H1112">
        <f t="shared" si="87"/>
        <v>41</v>
      </c>
      <c r="I1112" t="str">
        <f t="shared" si="87"/>
        <v>411</v>
      </c>
      <c r="J1112" t="str">
        <f t="shared" si="87"/>
        <v>39005</v>
      </c>
      <c r="K1112" t="str">
        <f t="shared" si="86"/>
        <v/>
      </c>
    </row>
    <row r="1113" spans="1:12" x14ac:dyDescent="0.25">
      <c r="C1113" t="s">
        <v>1864</v>
      </c>
      <c r="D1113" t="s">
        <v>2967</v>
      </c>
      <c r="E1113" t="s">
        <v>1864</v>
      </c>
      <c r="F1113" s="2" t="s">
        <v>869</v>
      </c>
      <c r="G1113" t="str">
        <f t="shared" ref="G1113:J1128" si="88">IF(A1113="",G1112,A1113)</f>
        <v>F</v>
      </c>
      <c r="H1113">
        <f t="shared" si="88"/>
        <v>41</v>
      </c>
      <c r="I1113" t="str">
        <f t="shared" si="88"/>
        <v>411</v>
      </c>
      <c r="J1113" t="str">
        <f t="shared" si="88"/>
        <v>41107</v>
      </c>
      <c r="K1113" t="str">
        <f t="shared" si="86"/>
        <v/>
      </c>
    </row>
    <row r="1114" spans="1:12" x14ac:dyDescent="0.25">
      <c r="C1114" t="s">
        <v>1864</v>
      </c>
      <c r="D1114" t="s">
        <v>1864</v>
      </c>
      <c r="E1114" t="s">
        <v>2968</v>
      </c>
      <c r="F1114" s="2" t="s">
        <v>869</v>
      </c>
      <c r="G1114" t="str">
        <f t="shared" si="88"/>
        <v>F</v>
      </c>
      <c r="H1114">
        <f t="shared" si="88"/>
        <v>41</v>
      </c>
      <c r="I1114" t="str">
        <f t="shared" si="88"/>
        <v>411</v>
      </c>
      <c r="J1114" t="str">
        <f t="shared" si="88"/>
        <v>41107</v>
      </c>
      <c r="K1114" t="str">
        <f t="shared" si="86"/>
        <v>4110700</v>
      </c>
      <c r="L1114">
        <v>0</v>
      </c>
    </row>
    <row r="1115" spans="1:12" x14ac:dyDescent="0.25">
      <c r="C1115" t="s">
        <v>2969</v>
      </c>
      <c r="D1115" t="s">
        <v>1864</v>
      </c>
      <c r="E1115" t="s">
        <v>1864</v>
      </c>
      <c r="F1115" s="2" t="s">
        <v>870</v>
      </c>
      <c r="G1115" t="str">
        <f t="shared" si="88"/>
        <v>F</v>
      </c>
      <c r="H1115">
        <f t="shared" si="88"/>
        <v>41</v>
      </c>
      <c r="I1115" t="str">
        <f t="shared" si="88"/>
        <v>412</v>
      </c>
      <c r="J1115" t="str">
        <f t="shared" si="88"/>
        <v>41107</v>
      </c>
      <c r="K1115" t="str">
        <f t="shared" si="86"/>
        <v/>
      </c>
    </row>
    <row r="1116" spans="1:12" x14ac:dyDescent="0.25">
      <c r="C1116" t="s">
        <v>1864</v>
      </c>
      <c r="D1116" t="s">
        <v>2970</v>
      </c>
      <c r="E1116" t="s">
        <v>1864</v>
      </c>
      <c r="F1116" s="2" t="s">
        <v>870</v>
      </c>
      <c r="G1116" t="str">
        <f t="shared" si="88"/>
        <v>F</v>
      </c>
      <c r="H1116">
        <f t="shared" si="88"/>
        <v>41</v>
      </c>
      <c r="I1116" t="str">
        <f t="shared" si="88"/>
        <v>412</v>
      </c>
      <c r="J1116" t="str">
        <f t="shared" si="88"/>
        <v>41204</v>
      </c>
      <c r="K1116" t="str">
        <f t="shared" si="86"/>
        <v/>
      </c>
    </row>
    <row r="1117" spans="1:12" x14ac:dyDescent="0.25">
      <c r="C1117" t="s">
        <v>1864</v>
      </c>
      <c r="D1117" t="s">
        <v>1864</v>
      </c>
      <c r="E1117" t="s">
        <v>2971</v>
      </c>
      <c r="F1117" s="2" t="s">
        <v>870</v>
      </c>
      <c r="G1117" t="str">
        <f t="shared" si="88"/>
        <v>F</v>
      </c>
      <c r="H1117">
        <f t="shared" si="88"/>
        <v>41</v>
      </c>
      <c r="I1117" t="str">
        <f t="shared" si="88"/>
        <v>412</v>
      </c>
      <c r="J1117" t="str">
        <f t="shared" si="88"/>
        <v>41204</v>
      </c>
      <c r="K1117" t="str">
        <f t="shared" si="86"/>
        <v>4120400</v>
      </c>
      <c r="L1117">
        <v>0</v>
      </c>
    </row>
    <row r="1118" spans="1:12" x14ac:dyDescent="0.25">
      <c r="B1118">
        <v>42</v>
      </c>
      <c r="C1118" t="s">
        <v>1864</v>
      </c>
      <c r="D1118" t="s">
        <v>1864</v>
      </c>
      <c r="E1118" t="s">
        <v>1864</v>
      </c>
      <c r="F1118" s="2" t="s">
        <v>871</v>
      </c>
      <c r="G1118" t="str">
        <f t="shared" si="88"/>
        <v>F</v>
      </c>
      <c r="H1118">
        <f t="shared" si="88"/>
        <v>42</v>
      </c>
      <c r="I1118" t="str">
        <f t="shared" si="88"/>
        <v>412</v>
      </c>
      <c r="J1118" t="str">
        <f t="shared" si="88"/>
        <v>41204</v>
      </c>
      <c r="K1118" t="str">
        <f t="shared" si="86"/>
        <v/>
      </c>
    </row>
    <row r="1119" spans="1:12" x14ac:dyDescent="0.25">
      <c r="C1119" t="s">
        <v>2972</v>
      </c>
      <c r="D1119" t="s">
        <v>1864</v>
      </c>
      <c r="E1119" t="s">
        <v>1864</v>
      </c>
      <c r="F1119" s="2" t="s">
        <v>872</v>
      </c>
      <c r="G1119" t="str">
        <f t="shared" si="88"/>
        <v>F</v>
      </c>
      <c r="H1119">
        <f t="shared" si="88"/>
        <v>42</v>
      </c>
      <c r="I1119" t="str">
        <f t="shared" si="88"/>
        <v>421</v>
      </c>
      <c r="J1119" t="str">
        <f t="shared" si="88"/>
        <v>41204</v>
      </c>
      <c r="K1119" t="str">
        <f t="shared" si="86"/>
        <v/>
      </c>
    </row>
    <row r="1120" spans="1:12" x14ac:dyDescent="0.25">
      <c r="C1120" t="s">
        <v>1864</v>
      </c>
      <c r="D1120" t="s">
        <v>2973</v>
      </c>
      <c r="E1120" t="s">
        <v>1864</v>
      </c>
      <c r="F1120" s="2" t="s">
        <v>873</v>
      </c>
      <c r="G1120" t="str">
        <f t="shared" si="88"/>
        <v>F</v>
      </c>
      <c r="H1120">
        <f t="shared" si="88"/>
        <v>42</v>
      </c>
      <c r="I1120" t="str">
        <f t="shared" si="88"/>
        <v>421</v>
      </c>
      <c r="J1120" t="str">
        <f t="shared" si="88"/>
        <v>42111</v>
      </c>
      <c r="K1120" t="str">
        <f t="shared" si="86"/>
        <v/>
      </c>
    </row>
    <row r="1121" spans="3:12" x14ac:dyDescent="0.25">
      <c r="C1121" t="s">
        <v>1864</v>
      </c>
      <c r="D1121" t="s">
        <v>1864</v>
      </c>
      <c r="E1121" t="s">
        <v>2974</v>
      </c>
      <c r="F1121" s="2" t="s">
        <v>873</v>
      </c>
      <c r="G1121" t="str">
        <f t="shared" si="88"/>
        <v>F</v>
      </c>
      <c r="H1121">
        <f t="shared" si="88"/>
        <v>42</v>
      </c>
      <c r="I1121" t="str">
        <f t="shared" si="88"/>
        <v>421</v>
      </c>
      <c r="J1121" t="str">
        <f t="shared" si="88"/>
        <v>42111</v>
      </c>
      <c r="K1121" t="str">
        <f t="shared" si="86"/>
        <v>4211101</v>
      </c>
      <c r="L1121">
        <v>0</v>
      </c>
    </row>
    <row r="1122" spans="3:12" x14ac:dyDescent="0.25">
      <c r="C1122" t="s">
        <v>1864</v>
      </c>
      <c r="D1122" t="s">
        <v>1864</v>
      </c>
      <c r="E1122" t="s">
        <v>2975</v>
      </c>
      <c r="F1122" s="2" t="s">
        <v>874</v>
      </c>
      <c r="G1122" t="str">
        <f t="shared" si="88"/>
        <v>F</v>
      </c>
      <c r="H1122">
        <f t="shared" si="88"/>
        <v>42</v>
      </c>
      <c r="I1122" t="str">
        <f t="shared" si="88"/>
        <v>421</v>
      </c>
      <c r="J1122" t="str">
        <f t="shared" si="88"/>
        <v>42111</v>
      </c>
      <c r="K1122" t="str">
        <f t="shared" si="86"/>
        <v>4211102</v>
      </c>
      <c r="L1122">
        <v>0</v>
      </c>
    </row>
    <row r="1123" spans="3:12" x14ac:dyDescent="0.25">
      <c r="C1123" t="s">
        <v>1864</v>
      </c>
      <c r="D1123" t="s">
        <v>2976</v>
      </c>
      <c r="E1123" t="s">
        <v>1864</v>
      </c>
      <c r="F1123" s="2" t="s">
        <v>875</v>
      </c>
      <c r="G1123" t="str">
        <f t="shared" si="88"/>
        <v>F</v>
      </c>
      <c r="H1123">
        <f t="shared" si="88"/>
        <v>42</v>
      </c>
      <c r="I1123" t="str">
        <f t="shared" si="88"/>
        <v>421</v>
      </c>
      <c r="J1123" t="str">
        <f t="shared" si="88"/>
        <v>42120</v>
      </c>
      <c r="K1123" t="str">
        <f t="shared" si="86"/>
        <v/>
      </c>
    </row>
    <row r="1124" spans="3:12" x14ac:dyDescent="0.25">
      <c r="C1124" t="s">
        <v>1864</v>
      </c>
      <c r="D1124" t="s">
        <v>1864</v>
      </c>
      <c r="E1124" t="s">
        <v>2977</v>
      </c>
      <c r="F1124" s="2" t="s">
        <v>875</v>
      </c>
      <c r="G1124" t="str">
        <f t="shared" si="88"/>
        <v>F</v>
      </c>
      <c r="H1124">
        <f t="shared" si="88"/>
        <v>42</v>
      </c>
      <c r="I1124" t="str">
        <f t="shared" si="88"/>
        <v>421</v>
      </c>
      <c r="J1124" t="str">
        <f t="shared" si="88"/>
        <v>42120</v>
      </c>
      <c r="K1124" t="str">
        <f t="shared" si="86"/>
        <v>4212000</v>
      </c>
      <c r="L1124">
        <v>0</v>
      </c>
    </row>
    <row r="1125" spans="3:12" x14ac:dyDescent="0.25">
      <c r="C1125" t="s">
        <v>1864</v>
      </c>
      <c r="D1125" t="s">
        <v>2978</v>
      </c>
      <c r="E1125" t="s">
        <v>1864</v>
      </c>
      <c r="F1125" s="2" t="s">
        <v>876</v>
      </c>
      <c r="G1125" t="str">
        <f t="shared" si="88"/>
        <v>F</v>
      </c>
      <c r="H1125">
        <f t="shared" si="88"/>
        <v>42</v>
      </c>
      <c r="I1125" t="str">
        <f t="shared" si="88"/>
        <v>421</v>
      </c>
      <c r="J1125" t="str">
        <f t="shared" si="88"/>
        <v>42138</v>
      </c>
      <c r="K1125" t="str">
        <f t="shared" si="86"/>
        <v/>
      </c>
    </row>
    <row r="1126" spans="3:12" x14ac:dyDescent="0.25">
      <c r="C1126" t="s">
        <v>1864</v>
      </c>
      <c r="D1126" t="s">
        <v>1864</v>
      </c>
      <c r="E1126" t="s">
        <v>2979</v>
      </c>
      <c r="F1126" s="2" t="s">
        <v>876</v>
      </c>
      <c r="G1126" t="str">
        <f t="shared" si="88"/>
        <v>F</v>
      </c>
      <c r="H1126">
        <f t="shared" si="88"/>
        <v>42</v>
      </c>
      <c r="I1126" t="str">
        <f t="shared" si="88"/>
        <v>421</v>
      </c>
      <c r="J1126" t="str">
        <f t="shared" si="88"/>
        <v>42138</v>
      </c>
      <c r="K1126" t="str">
        <f t="shared" si="86"/>
        <v>4213800</v>
      </c>
      <c r="L1126">
        <v>0</v>
      </c>
    </row>
    <row r="1127" spans="3:12" x14ac:dyDescent="0.25">
      <c r="C1127" t="s">
        <v>2980</v>
      </c>
      <c r="D1127" t="s">
        <v>1864</v>
      </c>
      <c r="E1127" t="s">
        <v>1864</v>
      </c>
      <c r="F1127" s="2" t="s">
        <v>877</v>
      </c>
      <c r="G1127" t="str">
        <f t="shared" si="88"/>
        <v>F</v>
      </c>
      <c r="H1127">
        <f t="shared" si="88"/>
        <v>42</v>
      </c>
      <c r="I1127" t="str">
        <f t="shared" si="88"/>
        <v>422</v>
      </c>
      <c r="J1127" t="str">
        <f t="shared" si="88"/>
        <v>42138</v>
      </c>
      <c r="K1127" t="str">
        <f t="shared" si="86"/>
        <v/>
      </c>
    </row>
    <row r="1128" spans="3:12" x14ac:dyDescent="0.25">
      <c r="C1128" t="s">
        <v>1864</v>
      </c>
      <c r="D1128" t="s">
        <v>2981</v>
      </c>
      <c r="E1128" t="s">
        <v>1864</v>
      </c>
      <c r="F1128" s="2" t="s">
        <v>878</v>
      </c>
      <c r="G1128" t="str">
        <f t="shared" si="88"/>
        <v>F</v>
      </c>
      <c r="H1128">
        <f t="shared" si="88"/>
        <v>42</v>
      </c>
      <c r="I1128" t="str">
        <f t="shared" si="88"/>
        <v>422</v>
      </c>
      <c r="J1128" t="str">
        <f t="shared" si="88"/>
        <v>42219</v>
      </c>
      <c r="K1128" t="str">
        <f t="shared" si="86"/>
        <v/>
      </c>
    </row>
    <row r="1129" spans="3:12" x14ac:dyDescent="0.25">
      <c r="C1129" t="s">
        <v>1864</v>
      </c>
      <c r="D1129" t="s">
        <v>1864</v>
      </c>
      <c r="E1129" t="s">
        <v>2982</v>
      </c>
      <c r="F1129" s="2" t="s">
        <v>879</v>
      </c>
      <c r="G1129" t="str">
        <f t="shared" ref="G1129:J1144" si="89">IF(A1129="",G1128,A1129)</f>
        <v>F</v>
      </c>
      <c r="H1129">
        <f t="shared" si="89"/>
        <v>42</v>
      </c>
      <c r="I1129" t="str">
        <f t="shared" si="89"/>
        <v>422</v>
      </c>
      <c r="J1129" t="str">
        <f t="shared" si="89"/>
        <v>42219</v>
      </c>
      <c r="K1129" t="str">
        <f t="shared" si="86"/>
        <v>4221901</v>
      </c>
      <c r="L1129">
        <v>0</v>
      </c>
    </row>
    <row r="1130" spans="3:12" x14ac:dyDescent="0.25">
      <c r="C1130" t="s">
        <v>1864</v>
      </c>
      <c r="D1130" t="s">
        <v>1864</v>
      </c>
      <c r="E1130" t="s">
        <v>2983</v>
      </c>
      <c r="F1130" s="2" t="s">
        <v>880</v>
      </c>
      <c r="G1130" t="str">
        <f t="shared" si="89"/>
        <v>F</v>
      </c>
      <c r="H1130">
        <f t="shared" si="89"/>
        <v>42</v>
      </c>
      <c r="I1130" t="str">
        <f t="shared" si="89"/>
        <v>422</v>
      </c>
      <c r="J1130" t="str">
        <f t="shared" si="89"/>
        <v>42219</v>
      </c>
      <c r="K1130" t="str">
        <f t="shared" si="86"/>
        <v>4221902</v>
      </c>
      <c r="L1130">
        <v>0</v>
      </c>
    </row>
    <row r="1131" spans="3:12" x14ac:dyDescent="0.25">
      <c r="C1131" t="s">
        <v>1864</v>
      </c>
      <c r="D1131" t="s">
        <v>1864</v>
      </c>
      <c r="E1131" t="s">
        <v>2984</v>
      </c>
      <c r="F1131" s="2" t="s">
        <v>881</v>
      </c>
      <c r="G1131" t="str">
        <f t="shared" si="89"/>
        <v>F</v>
      </c>
      <c r="H1131">
        <f t="shared" si="89"/>
        <v>42</v>
      </c>
      <c r="I1131" t="str">
        <f t="shared" si="89"/>
        <v>422</v>
      </c>
      <c r="J1131" t="str">
        <f t="shared" si="89"/>
        <v>42219</v>
      </c>
      <c r="K1131" t="str">
        <f t="shared" si="86"/>
        <v>4221903</v>
      </c>
      <c r="L1131">
        <v>1</v>
      </c>
    </row>
    <row r="1132" spans="3:12" x14ac:dyDescent="0.25">
      <c r="C1132" t="s">
        <v>1864</v>
      </c>
      <c r="D1132" t="s">
        <v>1864</v>
      </c>
      <c r="E1132" t="s">
        <v>2985</v>
      </c>
      <c r="F1132" s="2" t="s">
        <v>882</v>
      </c>
      <c r="G1132" t="str">
        <f t="shared" si="89"/>
        <v>F</v>
      </c>
      <c r="H1132">
        <f t="shared" si="89"/>
        <v>42</v>
      </c>
      <c r="I1132" t="str">
        <f t="shared" si="89"/>
        <v>422</v>
      </c>
      <c r="J1132" t="str">
        <f t="shared" si="89"/>
        <v>42219</v>
      </c>
      <c r="K1132" t="str">
        <f t="shared" si="86"/>
        <v>4221904</v>
      </c>
      <c r="L1132">
        <v>0</v>
      </c>
    </row>
    <row r="1133" spans="3:12" x14ac:dyDescent="0.25">
      <c r="C1133" t="s">
        <v>1864</v>
      </c>
      <c r="D1133" t="s">
        <v>1864</v>
      </c>
      <c r="E1133" t="s">
        <v>2986</v>
      </c>
      <c r="F1133" s="2" t="s">
        <v>883</v>
      </c>
      <c r="G1133" t="str">
        <f t="shared" si="89"/>
        <v>F</v>
      </c>
      <c r="H1133">
        <f t="shared" si="89"/>
        <v>42</v>
      </c>
      <c r="I1133" t="str">
        <f t="shared" si="89"/>
        <v>422</v>
      </c>
      <c r="J1133" t="str">
        <f t="shared" si="89"/>
        <v>42219</v>
      </c>
      <c r="K1133" t="str">
        <f t="shared" si="86"/>
        <v>4221905</v>
      </c>
      <c r="L1133">
        <v>0</v>
      </c>
    </row>
    <row r="1134" spans="3:12" x14ac:dyDescent="0.25">
      <c r="C1134" t="s">
        <v>1864</v>
      </c>
      <c r="D1134" t="s">
        <v>2987</v>
      </c>
      <c r="E1134" t="s">
        <v>1864</v>
      </c>
      <c r="F1134" s="2" t="s">
        <v>884</v>
      </c>
      <c r="G1134" t="str">
        <f t="shared" si="89"/>
        <v>F</v>
      </c>
      <c r="H1134">
        <f t="shared" si="89"/>
        <v>42</v>
      </c>
      <c r="I1134" t="str">
        <f t="shared" si="89"/>
        <v>422</v>
      </c>
      <c r="J1134" t="str">
        <f t="shared" si="89"/>
        <v>42227</v>
      </c>
      <c r="K1134" t="str">
        <f t="shared" si="86"/>
        <v/>
      </c>
    </row>
    <row r="1135" spans="3:12" x14ac:dyDescent="0.25">
      <c r="C1135" t="s">
        <v>1864</v>
      </c>
      <c r="D1135" t="s">
        <v>1864</v>
      </c>
      <c r="E1135" t="s">
        <v>2988</v>
      </c>
      <c r="F1135" s="2" t="s">
        <v>885</v>
      </c>
      <c r="G1135" t="str">
        <f t="shared" si="89"/>
        <v>F</v>
      </c>
      <c r="H1135">
        <f t="shared" si="89"/>
        <v>42</v>
      </c>
      <c r="I1135" t="str">
        <f t="shared" si="89"/>
        <v>422</v>
      </c>
      <c r="J1135" t="str">
        <f t="shared" si="89"/>
        <v>42227</v>
      </c>
      <c r="K1135" t="str">
        <f t="shared" si="86"/>
        <v>4222701</v>
      </c>
      <c r="L1135">
        <v>0</v>
      </c>
    </row>
    <row r="1136" spans="3:12" x14ac:dyDescent="0.25">
      <c r="C1136" t="s">
        <v>1864</v>
      </c>
      <c r="D1136" t="s">
        <v>1864</v>
      </c>
      <c r="E1136" t="s">
        <v>2989</v>
      </c>
      <c r="F1136" s="3" t="s">
        <v>886</v>
      </c>
      <c r="G1136" t="str">
        <f t="shared" si="89"/>
        <v>F</v>
      </c>
      <c r="H1136">
        <f t="shared" si="89"/>
        <v>42</v>
      </c>
      <c r="I1136" t="str">
        <f t="shared" si="89"/>
        <v>422</v>
      </c>
      <c r="J1136" t="str">
        <f t="shared" si="89"/>
        <v>42227</v>
      </c>
      <c r="K1136" t="str">
        <f t="shared" si="86"/>
        <v>4222702</v>
      </c>
      <c r="L1136">
        <v>1</v>
      </c>
    </row>
    <row r="1137" spans="2:12" x14ac:dyDescent="0.25">
      <c r="C1137" t="s">
        <v>1864</v>
      </c>
      <c r="D1137" t="s">
        <v>2990</v>
      </c>
      <c r="E1137" t="s">
        <v>1864</v>
      </c>
      <c r="F1137" s="2" t="s">
        <v>887</v>
      </c>
      <c r="G1137" t="str">
        <f t="shared" si="89"/>
        <v>F</v>
      </c>
      <c r="H1137">
        <f t="shared" si="89"/>
        <v>42</v>
      </c>
      <c r="I1137" t="str">
        <f t="shared" si="89"/>
        <v>422</v>
      </c>
      <c r="J1137" t="str">
        <f t="shared" si="89"/>
        <v>42235</v>
      </c>
      <c r="K1137" t="str">
        <f t="shared" si="86"/>
        <v/>
      </c>
    </row>
    <row r="1138" spans="2:12" x14ac:dyDescent="0.25">
      <c r="C1138" t="s">
        <v>1864</v>
      </c>
      <c r="D1138" t="s">
        <v>1864</v>
      </c>
      <c r="E1138" t="s">
        <v>2991</v>
      </c>
      <c r="F1138" s="2" t="s">
        <v>887</v>
      </c>
      <c r="G1138" t="str">
        <f t="shared" si="89"/>
        <v>F</v>
      </c>
      <c r="H1138">
        <f t="shared" si="89"/>
        <v>42</v>
      </c>
      <c r="I1138" t="str">
        <f t="shared" si="89"/>
        <v>422</v>
      </c>
      <c r="J1138" t="str">
        <f t="shared" si="89"/>
        <v>42235</v>
      </c>
      <c r="K1138" t="str">
        <f t="shared" si="86"/>
        <v>4223500</v>
      </c>
      <c r="L1138">
        <v>0</v>
      </c>
    </row>
    <row r="1139" spans="2:12" x14ac:dyDescent="0.25">
      <c r="C1139" t="s">
        <v>2992</v>
      </c>
      <c r="D1139" t="s">
        <v>1864</v>
      </c>
      <c r="E1139" t="s">
        <v>1864</v>
      </c>
      <c r="F1139" s="2" t="s">
        <v>888</v>
      </c>
      <c r="G1139" t="str">
        <f t="shared" si="89"/>
        <v>F</v>
      </c>
      <c r="H1139">
        <f t="shared" si="89"/>
        <v>42</v>
      </c>
      <c r="I1139" t="str">
        <f t="shared" si="89"/>
        <v>429</v>
      </c>
      <c r="J1139" t="str">
        <f t="shared" si="89"/>
        <v>42235</v>
      </c>
      <c r="K1139" t="str">
        <f t="shared" si="86"/>
        <v/>
      </c>
    </row>
    <row r="1140" spans="2:12" x14ac:dyDescent="0.25">
      <c r="C1140" t="s">
        <v>1864</v>
      </c>
      <c r="D1140" t="s">
        <v>2993</v>
      </c>
      <c r="E1140" t="s">
        <v>1864</v>
      </c>
      <c r="F1140" s="2" t="s">
        <v>889</v>
      </c>
      <c r="G1140" t="str">
        <f t="shared" si="89"/>
        <v>F</v>
      </c>
      <c r="H1140">
        <f t="shared" si="89"/>
        <v>42</v>
      </c>
      <c r="I1140" t="str">
        <f t="shared" si="89"/>
        <v>429</v>
      </c>
      <c r="J1140" t="str">
        <f t="shared" si="89"/>
        <v>42910</v>
      </c>
      <c r="K1140" t="str">
        <f t="shared" si="86"/>
        <v/>
      </c>
    </row>
    <row r="1141" spans="2:12" x14ac:dyDescent="0.25">
      <c r="C1141" t="s">
        <v>1864</v>
      </c>
      <c r="D1141" t="s">
        <v>1864</v>
      </c>
      <c r="E1141" t="s">
        <v>2994</v>
      </c>
      <c r="F1141" s="2" t="s">
        <v>889</v>
      </c>
      <c r="G1141" t="str">
        <f t="shared" si="89"/>
        <v>F</v>
      </c>
      <c r="H1141">
        <f t="shared" si="89"/>
        <v>42</v>
      </c>
      <c r="I1141" t="str">
        <f t="shared" si="89"/>
        <v>429</v>
      </c>
      <c r="J1141" t="str">
        <f t="shared" si="89"/>
        <v>42910</v>
      </c>
      <c r="K1141" t="str">
        <f t="shared" si="86"/>
        <v>4291000</v>
      </c>
      <c r="L1141">
        <v>0</v>
      </c>
    </row>
    <row r="1142" spans="2:12" x14ac:dyDescent="0.25">
      <c r="C1142" t="s">
        <v>1864</v>
      </c>
      <c r="D1142" t="s">
        <v>2995</v>
      </c>
      <c r="E1142" t="s">
        <v>1864</v>
      </c>
      <c r="F1142" s="2" t="s">
        <v>890</v>
      </c>
      <c r="G1142" t="str">
        <f t="shared" si="89"/>
        <v>F</v>
      </c>
      <c r="H1142">
        <f t="shared" si="89"/>
        <v>42</v>
      </c>
      <c r="I1142" t="str">
        <f t="shared" si="89"/>
        <v>429</v>
      </c>
      <c r="J1142" t="str">
        <f t="shared" si="89"/>
        <v>42928</v>
      </c>
      <c r="K1142" t="str">
        <f t="shared" si="86"/>
        <v/>
      </c>
    </row>
    <row r="1143" spans="2:12" x14ac:dyDescent="0.25">
      <c r="C1143" t="s">
        <v>1864</v>
      </c>
      <c r="D1143" t="s">
        <v>1864</v>
      </c>
      <c r="E1143" t="s">
        <v>2996</v>
      </c>
      <c r="F1143" s="2" t="s">
        <v>891</v>
      </c>
      <c r="G1143" t="str">
        <f t="shared" si="89"/>
        <v>F</v>
      </c>
      <c r="H1143">
        <f t="shared" si="89"/>
        <v>42</v>
      </c>
      <c r="I1143" t="str">
        <f t="shared" si="89"/>
        <v>429</v>
      </c>
      <c r="J1143" t="str">
        <f t="shared" si="89"/>
        <v>42928</v>
      </c>
      <c r="K1143" t="str">
        <f t="shared" si="86"/>
        <v>4292801</v>
      </c>
      <c r="L1143">
        <v>1</v>
      </c>
    </row>
    <row r="1144" spans="2:12" x14ac:dyDescent="0.25">
      <c r="C1144" t="s">
        <v>1864</v>
      </c>
      <c r="D1144" t="s">
        <v>1864</v>
      </c>
      <c r="E1144" t="s">
        <v>2997</v>
      </c>
      <c r="F1144" s="3" t="s">
        <v>892</v>
      </c>
      <c r="G1144" t="str">
        <f t="shared" si="89"/>
        <v>F</v>
      </c>
      <c r="H1144">
        <f t="shared" si="89"/>
        <v>42</v>
      </c>
      <c r="I1144" t="str">
        <f t="shared" si="89"/>
        <v>429</v>
      </c>
      <c r="J1144" t="str">
        <f t="shared" si="89"/>
        <v>42928</v>
      </c>
      <c r="K1144" t="str">
        <f t="shared" si="86"/>
        <v>4292802</v>
      </c>
      <c r="L1144">
        <v>1</v>
      </c>
    </row>
    <row r="1145" spans="2:12" x14ac:dyDescent="0.25">
      <c r="C1145" t="s">
        <v>1864</v>
      </c>
      <c r="D1145" t="s">
        <v>2998</v>
      </c>
      <c r="E1145" t="s">
        <v>1864</v>
      </c>
      <c r="F1145" s="2" t="s">
        <v>893</v>
      </c>
      <c r="G1145" t="str">
        <f t="shared" ref="G1145:J1160" si="90">IF(A1145="",G1144,A1145)</f>
        <v>F</v>
      </c>
      <c r="H1145">
        <f t="shared" si="90"/>
        <v>42</v>
      </c>
      <c r="I1145" t="str">
        <f t="shared" si="90"/>
        <v>429</v>
      </c>
      <c r="J1145" t="str">
        <f t="shared" si="90"/>
        <v>42995</v>
      </c>
      <c r="K1145" t="str">
        <f t="shared" si="86"/>
        <v/>
      </c>
    </row>
    <row r="1146" spans="2:12" x14ac:dyDescent="0.25">
      <c r="C1146" t="s">
        <v>1864</v>
      </c>
      <c r="D1146" t="s">
        <v>1864</v>
      </c>
      <c r="E1146" t="s">
        <v>2999</v>
      </c>
      <c r="F1146" s="2" t="s">
        <v>894</v>
      </c>
      <c r="G1146" t="str">
        <f t="shared" si="90"/>
        <v>F</v>
      </c>
      <c r="H1146">
        <f t="shared" si="90"/>
        <v>42</v>
      </c>
      <c r="I1146" t="str">
        <f t="shared" si="90"/>
        <v>429</v>
      </c>
      <c r="J1146" t="str">
        <f t="shared" si="90"/>
        <v>42995</v>
      </c>
      <c r="K1146" t="str">
        <f t="shared" si="86"/>
        <v>4299501</v>
      </c>
      <c r="L1146">
        <v>0</v>
      </c>
    </row>
    <row r="1147" spans="2:12" x14ac:dyDescent="0.25">
      <c r="C1147" t="s">
        <v>1864</v>
      </c>
      <c r="D1147" t="s">
        <v>1864</v>
      </c>
      <c r="E1147" t="s">
        <v>3000</v>
      </c>
      <c r="F1147" s="2" t="s">
        <v>895</v>
      </c>
      <c r="G1147" t="str">
        <f t="shared" si="90"/>
        <v>F</v>
      </c>
      <c r="H1147">
        <f t="shared" si="90"/>
        <v>42</v>
      </c>
      <c r="I1147" t="str">
        <f t="shared" si="90"/>
        <v>429</v>
      </c>
      <c r="J1147" t="str">
        <f t="shared" si="90"/>
        <v>42995</v>
      </c>
      <c r="K1147" t="str">
        <f t="shared" si="86"/>
        <v>4299599</v>
      </c>
      <c r="L1147">
        <v>0</v>
      </c>
    </row>
    <row r="1148" spans="2:12" x14ac:dyDescent="0.25">
      <c r="B1148">
        <v>43</v>
      </c>
      <c r="C1148" t="s">
        <v>1864</v>
      </c>
      <c r="D1148" t="s">
        <v>1864</v>
      </c>
      <c r="E1148" t="s">
        <v>1864</v>
      </c>
      <c r="F1148" s="2" t="s">
        <v>896</v>
      </c>
      <c r="G1148" t="str">
        <f t="shared" si="90"/>
        <v>F</v>
      </c>
      <c r="H1148">
        <f t="shared" si="90"/>
        <v>43</v>
      </c>
      <c r="I1148" t="str">
        <f t="shared" si="90"/>
        <v>429</v>
      </c>
      <c r="J1148" t="str">
        <f t="shared" si="90"/>
        <v>42995</v>
      </c>
      <c r="K1148" t="str">
        <f t="shared" si="86"/>
        <v/>
      </c>
    </row>
    <row r="1149" spans="2:12" x14ac:dyDescent="0.25">
      <c r="C1149" t="s">
        <v>3001</v>
      </c>
      <c r="D1149" t="s">
        <v>1864</v>
      </c>
      <c r="E1149" t="s">
        <v>1864</v>
      </c>
      <c r="F1149" s="2" t="s">
        <v>897</v>
      </c>
      <c r="G1149" t="str">
        <f t="shared" si="90"/>
        <v>F</v>
      </c>
      <c r="H1149">
        <f t="shared" si="90"/>
        <v>43</v>
      </c>
      <c r="I1149" t="str">
        <f t="shared" si="90"/>
        <v>431</v>
      </c>
      <c r="J1149" t="str">
        <f t="shared" si="90"/>
        <v>42995</v>
      </c>
      <c r="K1149" t="str">
        <f t="shared" si="86"/>
        <v/>
      </c>
    </row>
    <row r="1150" spans="2:12" x14ac:dyDescent="0.25">
      <c r="C1150" t="s">
        <v>1864</v>
      </c>
      <c r="D1150" t="s">
        <v>3002</v>
      </c>
      <c r="E1150" t="s">
        <v>1864</v>
      </c>
      <c r="F1150" s="2" t="s">
        <v>898</v>
      </c>
      <c r="G1150" t="str">
        <f t="shared" si="90"/>
        <v>F</v>
      </c>
      <c r="H1150">
        <f t="shared" si="90"/>
        <v>43</v>
      </c>
      <c r="I1150" t="str">
        <f t="shared" si="90"/>
        <v>431</v>
      </c>
      <c r="J1150" t="str">
        <f t="shared" si="90"/>
        <v>43118</v>
      </c>
      <c r="K1150" t="str">
        <f t="shared" si="86"/>
        <v/>
      </c>
    </row>
    <row r="1151" spans="2:12" x14ac:dyDescent="0.25">
      <c r="C1151" t="s">
        <v>1864</v>
      </c>
      <c r="D1151" t="s">
        <v>1864</v>
      </c>
      <c r="E1151" t="s">
        <v>3003</v>
      </c>
      <c r="F1151" s="2" t="s">
        <v>899</v>
      </c>
      <c r="G1151" t="str">
        <f t="shared" si="90"/>
        <v>F</v>
      </c>
      <c r="H1151">
        <f t="shared" si="90"/>
        <v>43</v>
      </c>
      <c r="I1151" t="str">
        <f t="shared" si="90"/>
        <v>431</v>
      </c>
      <c r="J1151" t="str">
        <f t="shared" si="90"/>
        <v>43118</v>
      </c>
      <c r="K1151" t="str">
        <f t="shared" si="86"/>
        <v>4311801</v>
      </c>
      <c r="L1151">
        <v>0</v>
      </c>
    </row>
    <row r="1152" spans="2:12" x14ac:dyDescent="0.25">
      <c r="C1152" t="s">
        <v>1864</v>
      </c>
      <c r="D1152" t="s">
        <v>1864</v>
      </c>
      <c r="E1152" t="s">
        <v>3004</v>
      </c>
      <c r="F1152" s="2" t="s">
        <v>900</v>
      </c>
      <c r="G1152" t="str">
        <f t="shared" si="90"/>
        <v>F</v>
      </c>
      <c r="H1152">
        <f t="shared" si="90"/>
        <v>43</v>
      </c>
      <c r="I1152" t="str">
        <f t="shared" si="90"/>
        <v>431</v>
      </c>
      <c r="J1152" t="str">
        <f t="shared" si="90"/>
        <v>43118</v>
      </c>
      <c r="K1152" t="str">
        <f t="shared" si="86"/>
        <v>4311802</v>
      </c>
      <c r="L1152">
        <v>0</v>
      </c>
    </row>
    <row r="1153" spans="3:12" x14ac:dyDescent="0.25">
      <c r="C1153" t="s">
        <v>1864</v>
      </c>
      <c r="D1153" t="s">
        <v>3005</v>
      </c>
      <c r="E1153" t="s">
        <v>1864</v>
      </c>
      <c r="F1153" s="2" t="s">
        <v>901</v>
      </c>
      <c r="G1153" t="str">
        <f t="shared" si="90"/>
        <v>F</v>
      </c>
      <c r="H1153">
        <f t="shared" si="90"/>
        <v>43</v>
      </c>
      <c r="I1153" t="str">
        <f t="shared" si="90"/>
        <v>431</v>
      </c>
      <c r="J1153" t="str">
        <f t="shared" si="90"/>
        <v>43126</v>
      </c>
      <c r="K1153" t="str">
        <f t="shared" si="86"/>
        <v/>
      </c>
    </row>
    <row r="1154" spans="3:12" x14ac:dyDescent="0.25">
      <c r="C1154" t="s">
        <v>1864</v>
      </c>
      <c r="D1154" t="s">
        <v>1864</v>
      </c>
      <c r="E1154" t="s">
        <v>3006</v>
      </c>
      <c r="F1154" s="2" t="s">
        <v>901</v>
      </c>
      <c r="G1154" t="str">
        <f t="shared" si="90"/>
        <v>F</v>
      </c>
      <c r="H1154">
        <f t="shared" si="90"/>
        <v>43</v>
      </c>
      <c r="I1154" t="str">
        <f t="shared" si="90"/>
        <v>431</v>
      </c>
      <c r="J1154" t="str">
        <f t="shared" si="90"/>
        <v>43126</v>
      </c>
      <c r="K1154" t="str">
        <f t="shared" si="86"/>
        <v>4312600</v>
      </c>
      <c r="L1154">
        <v>0</v>
      </c>
    </row>
    <row r="1155" spans="3:12" x14ac:dyDescent="0.25">
      <c r="C1155" t="s">
        <v>1864</v>
      </c>
      <c r="D1155" t="s">
        <v>3007</v>
      </c>
      <c r="E1155" t="s">
        <v>1864</v>
      </c>
      <c r="F1155" s="2" t="s">
        <v>902</v>
      </c>
      <c r="G1155" t="str">
        <f t="shared" si="90"/>
        <v>F</v>
      </c>
      <c r="H1155">
        <f t="shared" si="90"/>
        <v>43</v>
      </c>
      <c r="I1155" t="str">
        <f t="shared" si="90"/>
        <v>431</v>
      </c>
      <c r="J1155" t="str">
        <f t="shared" si="90"/>
        <v>43134</v>
      </c>
      <c r="K1155" t="str">
        <f t="shared" si="86"/>
        <v/>
      </c>
    </row>
    <row r="1156" spans="3:12" x14ac:dyDescent="0.25">
      <c r="C1156" t="s">
        <v>1864</v>
      </c>
      <c r="D1156" t="s">
        <v>1864</v>
      </c>
      <c r="E1156" t="s">
        <v>3008</v>
      </c>
      <c r="F1156" s="2" t="s">
        <v>902</v>
      </c>
      <c r="G1156" t="str">
        <f t="shared" si="90"/>
        <v>F</v>
      </c>
      <c r="H1156">
        <f t="shared" si="90"/>
        <v>43</v>
      </c>
      <c r="I1156" t="str">
        <f t="shared" si="90"/>
        <v>431</v>
      </c>
      <c r="J1156" t="str">
        <f t="shared" si="90"/>
        <v>43134</v>
      </c>
      <c r="K1156" t="str">
        <f t="shared" si="86"/>
        <v>4313400</v>
      </c>
      <c r="L1156">
        <v>0</v>
      </c>
    </row>
    <row r="1157" spans="3:12" x14ac:dyDescent="0.25">
      <c r="C1157" t="s">
        <v>1864</v>
      </c>
      <c r="D1157" t="s">
        <v>3009</v>
      </c>
      <c r="E1157" t="s">
        <v>1864</v>
      </c>
      <c r="F1157" s="2" t="s">
        <v>903</v>
      </c>
      <c r="G1157" t="str">
        <f t="shared" si="90"/>
        <v>F</v>
      </c>
      <c r="H1157">
        <f t="shared" si="90"/>
        <v>43</v>
      </c>
      <c r="I1157" t="str">
        <f t="shared" si="90"/>
        <v>431</v>
      </c>
      <c r="J1157" t="str">
        <f t="shared" si="90"/>
        <v>43193</v>
      </c>
      <c r="K1157" t="str">
        <f t="shared" si="86"/>
        <v/>
      </c>
    </row>
    <row r="1158" spans="3:12" x14ac:dyDescent="0.25">
      <c r="C1158" t="s">
        <v>1864</v>
      </c>
      <c r="D1158" t="s">
        <v>1864</v>
      </c>
      <c r="E1158" t="s">
        <v>3010</v>
      </c>
      <c r="F1158" s="2" t="s">
        <v>903</v>
      </c>
      <c r="G1158" t="str">
        <f t="shared" si="90"/>
        <v>F</v>
      </c>
      <c r="H1158">
        <f t="shared" si="90"/>
        <v>43</v>
      </c>
      <c r="I1158" t="str">
        <f t="shared" si="90"/>
        <v>431</v>
      </c>
      <c r="J1158" t="str">
        <f t="shared" si="90"/>
        <v>43193</v>
      </c>
      <c r="K1158" t="str">
        <f t="shared" si="86"/>
        <v>4319300</v>
      </c>
      <c r="L1158">
        <v>0</v>
      </c>
    </row>
    <row r="1159" spans="3:12" x14ac:dyDescent="0.25">
      <c r="C1159" t="s">
        <v>3011</v>
      </c>
      <c r="D1159" t="s">
        <v>1864</v>
      </c>
      <c r="E1159" t="s">
        <v>1864</v>
      </c>
      <c r="F1159" s="2" t="s">
        <v>904</v>
      </c>
      <c r="G1159" t="str">
        <f t="shared" si="90"/>
        <v>F</v>
      </c>
      <c r="H1159">
        <f t="shared" si="90"/>
        <v>43</v>
      </c>
      <c r="I1159" t="str">
        <f t="shared" si="90"/>
        <v>432</v>
      </c>
      <c r="J1159" t="str">
        <f t="shared" si="90"/>
        <v>43193</v>
      </c>
      <c r="K1159" t="str">
        <f t="shared" si="86"/>
        <v/>
      </c>
    </row>
    <row r="1160" spans="3:12" x14ac:dyDescent="0.25">
      <c r="C1160" t="s">
        <v>1864</v>
      </c>
      <c r="D1160" t="s">
        <v>3012</v>
      </c>
      <c r="E1160" t="s">
        <v>1864</v>
      </c>
      <c r="F1160" s="2" t="s">
        <v>905</v>
      </c>
      <c r="G1160" t="str">
        <f t="shared" si="90"/>
        <v>F</v>
      </c>
      <c r="H1160">
        <f t="shared" si="90"/>
        <v>43</v>
      </c>
      <c r="I1160" t="str">
        <f t="shared" si="90"/>
        <v>432</v>
      </c>
      <c r="J1160" t="str">
        <f t="shared" si="90"/>
        <v>43215</v>
      </c>
      <c r="K1160" t="str">
        <f t="shared" ref="K1160:K1223" si="91">E1160</f>
        <v/>
      </c>
    </row>
    <row r="1161" spans="3:12" x14ac:dyDescent="0.25">
      <c r="C1161" t="s">
        <v>1864</v>
      </c>
      <c r="D1161" t="s">
        <v>1864</v>
      </c>
      <c r="E1161" t="s">
        <v>3013</v>
      </c>
      <c r="F1161" s="2" t="s">
        <v>906</v>
      </c>
      <c r="G1161" t="str">
        <f t="shared" ref="G1161:J1176" si="92">IF(A1161="",G1160,A1161)</f>
        <v>F</v>
      </c>
      <c r="H1161">
        <f t="shared" si="92"/>
        <v>43</v>
      </c>
      <c r="I1161" t="str">
        <f t="shared" si="92"/>
        <v>432</v>
      </c>
      <c r="J1161" t="str">
        <f t="shared" si="92"/>
        <v>43215</v>
      </c>
      <c r="K1161" t="str">
        <f t="shared" si="91"/>
        <v>4321500</v>
      </c>
      <c r="L1161">
        <v>0</v>
      </c>
    </row>
    <row r="1162" spans="3:12" x14ac:dyDescent="0.25">
      <c r="C1162" t="s">
        <v>1864</v>
      </c>
      <c r="D1162" t="s">
        <v>3014</v>
      </c>
      <c r="E1162" t="s">
        <v>1864</v>
      </c>
      <c r="F1162" s="2" t="s">
        <v>907</v>
      </c>
      <c r="G1162" t="str">
        <f t="shared" si="92"/>
        <v>F</v>
      </c>
      <c r="H1162">
        <f t="shared" si="92"/>
        <v>43</v>
      </c>
      <c r="I1162" t="str">
        <f t="shared" si="92"/>
        <v>432</v>
      </c>
      <c r="J1162" t="str">
        <f t="shared" si="92"/>
        <v>43223</v>
      </c>
      <c r="K1162" t="str">
        <f t="shared" si="91"/>
        <v/>
      </c>
    </row>
    <row r="1163" spans="3:12" x14ac:dyDescent="0.25">
      <c r="C1163" t="s">
        <v>1864</v>
      </c>
      <c r="D1163" t="s">
        <v>1864</v>
      </c>
      <c r="E1163" t="s">
        <v>3015</v>
      </c>
      <c r="F1163" s="2" t="s">
        <v>908</v>
      </c>
      <c r="G1163" t="str">
        <f t="shared" si="92"/>
        <v>F</v>
      </c>
      <c r="H1163">
        <f t="shared" si="92"/>
        <v>43</v>
      </c>
      <c r="I1163" t="str">
        <f t="shared" si="92"/>
        <v>432</v>
      </c>
      <c r="J1163" t="str">
        <f t="shared" si="92"/>
        <v>43223</v>
      </c>
      <c r="K1163" t="str">
        <f t="shared" si="91"/>
        <v>4322301</v>
      </c>
      <c r="L1163">
        <v>0</v>
      </c>
    </row>
    <row r="1164" spans="3:12" x14ac:dyDescent="0.25">
      <c r="C1164" t="s">
        <v>1864</v>
      </c>
      <c r="D1164" t="s">
        <v>1864</v>
      </c>
      <c r="E1164" t="s">
        <v>3016</v>
      </c>
      <c r="F1164" s="2" t="s">
        <v>909</v>
      </c>
      <c r="G1164" t="str">
        <f t="shared" si="92"/>
        <v>F</v>
      </c>
      <c r="H1164">
        <f t="shared" si="92"/>
        <v>43</v>
      </c>
      <c r="I1164" t="str">
        <f t="shared" si="92"/>
        <v>432</v>
      </c>
      <c r="J1164" t="str">
        <f t="shared" si="92"/>
        <v>43223</v>
      </c>
      <c r="K1164" t="str">
        <f t="shared" si="91"/>
        <v>4322302</v>
      </c>
      <c r="L1164">
        <v>0</v>
      </c>
    </row>
    <row r="1165" spans="3:12" x14ac:dyDescent="0.25">
      <c r="C1165" t="s">
        <v>1864</v>
      </c>
      <c r="D1165" t="s">
        <v>1864</v>
      </c>
      <c r="E1165" t="s">
        <v>3017</v>
      </c>
      <c r="F1165" s="2" t="s">
        <v>910</v>
      </c>
      <c r="G1165" t="str">
        <f t="shared" si="92"/>
        <v>F</v>
      </c>
      <c r="H1165">
        <f t="shared" si="92"/>
        <v>43</v>
      </c>
      <c r="I1165" t="str">
        <f t="shared" si="92"/>
        <v>432</v>
      </c>
      <c r="J1165" t="str">
        <f t="shared" si="92"/>
        <v>43223</v>
      </c>
      <c r="K1165" t="str">
        <f t="shared" si="91"/>
        <v>4322303</v>
      </c>
      <c r="L1165">
        <v>0</v>
      </c>
    </row>
    <row r="1166" spans="3:12" x14ac:dyDescent="0.25">
      <c r="C1166" t="s">
        <v>1864</v>
      </c>
      <c r="D1166" t="s">
        <v>3018</v>
      </c>
      <c r="E1166" t="s">
        <v>1864</v>
      </c>
      <c r="F1166" s="2" t="s">
        <v>911</v>
      </c>
      <c r="G1166" t="str">
        <f t="shared" si="92"/>
        <v>F</v>
      </c>
      <c r="H1166">
        <f t="shared" si="92"/>
        <v>43</v>
      </c>
      <c r="I1166" t="str">
        <f t="shared" si="92"/>
        <v>432</v>
      </c>
      <c r="J1166" t="str">
        <f t="shared" si="92"/>
        <v>43291</v>
      </c>
      <c r="K1166" t="str">
        <f t="shared" si="91"/>
        <v/>
      </c>
    </row>
    <row r="1167" spans="3:12" x14ac:dyDescent="0.25">
      <c r="C1167" t="s">
        <v>1864</v>
      </c>
      <c r="D1167" t="s">
        <v>1864</v>
      </c>
      <c r="E1167" t="s">
        <v>3019</v>
      </c>
      <c r="F1167" s="2" t="s">
        <v>912</v>
      </c>
      <c r="G1167" t="str">
        <f t="shared" si="92"/>
        <v>F</v>
      </c>
      <c r="H1167">
        <f t="shared" si="92"/>
        <v>43</v>
      </c>
      <c r="I1167" t="str">
        <f t="shared" si="92"/>
        <v>432</v>
      </c>
      <c r="J1167" t="str">
        <f t="shared" si="92"/>
        <v>43291</v>
      </c>
      <c r="K1167" t="str">
        <f t="shared" si="91"/>
        <v>4329101</v>
      </c>
      <c r="L1167">
        <v>0</v>
      </c>
    </row>
    <row r="1168" spans="3:12" x14ac:dyDescent="0.25">
      <c r="C1168" t="s">
        <v>1864</v>
      </c>
      <c r="D1168" t="s">
        <v>1864</v>
      </c>
      <c r="E1168" t="s">
        <v>3020</v>
      </c>
      <c r="F1168" s="2" t="s">
        <v>913</v>
      </c>
      <c r="G1168" t="str">
        <f t="shared" si="92"/>
        <v>F</v>
      </c>
      <c r="H1168">
        <f t="shared" si="92"/>
        <v>43</v>
      </c>
      <c r="I1168" t="str">
        <f t="shared" si="92"/>
        <v>432</v>
      </c>
      <c r="J1168" t="str">
        <f t="shared" si="92"/>
        <v>43291</v>
      </c>
      <c r="K1168" t="str">
        <f t="shared" si="91"/>
        <v>4329102</v>
      </c>
      <c r="L1168">
        <v>0</v>
      </c>
    </row>
    <row r="1169" spans="3:12" x14ac:dyDescent="0.25">
      <c r="C1169" t="s">
        <v>1864</v>
      </c>
      <c r="D1169" t="s">
        <v>1864</v>
      </c>
      <c r="E1169" t="s">
        <v>3021</v>
      </c>
      <c r="F1169" s="2" t="s">
        <v>914</v>
      </c>
      <c r="G1169" t="str">
        <f t="shared" si="92"/>
        <v>F</v>
      </c>
      <c r="H1169">
        <f t="shared" si="92"/>
        <v>43</v>
      </c>
      <c r="I1169" t="str">
        <f t="shared" si="92"/>
        <v>432</v>
      </c>
      <c r="J1169" t="str">
        <f t="shared" si="92"/>
        <v>43291</v>
      </c>
      <c r="K1169" t="str">
        <f t="shared" si="91"/>
        <v>4329103</v>
      </c>
      <c r="L1169">
        <v>0</v>
      </c>
    </row>
    <row r="1170" spans="3:12" x14ac:dyDescent="0.25">
      <c r="C1170" t="s">
        <v>1864</v>
      </c>
      <c r="D1170" t="s">
        <v>1864</v>
      </c>
      <c r="E1170" t="s">
        <v>3022</v>
      </c>
      <c r="F1170" s="2" t="s">
        <v>915</v>
      </c>
      <c r="G1170" t="str">
        <f t="shared" si="92"/>
        <v>F</v>
      </c>
      <c r="H1170">
        <f t="shared" si="92"/>
        <v>43</v>
      </c>
      <c r="I1170" t="str">
        <f t="shared" si="92"/>
        <v>432</v>
      </c>
      <c r="J1170" t="str">
        <f t="shared" si="92"/>
        <v>43291</v>
      </c>
      <c r="K1170" t="str">
        <f t="shared" si="91"/>
        <v>4329104</v>
      </c>
      <c r="L1170">
        <v>0</v>
      </c>
    </row>
    <row r="1171" spans="3:12" x14ac:dyDescent="0.25">
      <c r="C1171" t="s">
        <v>1864</v>
      </c>
      <c r="D1171" t="s">
        <v>1864</v>
      </c>
      <c r="E1171" t="s">
        <v>3023</v>
      </c>
      <c r="F1171" s="2" t="s">
        <v>916</v>
      </c>
      <c r="G1171" t="str">
        <f t="shared" si="92"/>
        <v>F</v>
      </c>
      <c r="H1171">
        <f t="shared" si="92"/>
        <v>43</v>
      </c>
      <c r="I1171" t="str">
        <f t="shared" si="92"/>
        <v>432</v>
      </c>
      <c r="J1171" t="str">
        <f t="shared" si="92"/>
        <v>43291</v>
      </c>
      <c r="K1171" t="str">
        <f t="shared" si="91"/>
        <v>4329105</v>
      </c>
      <c r="L1171">
        <v>0</v>
      </c>
    </row>
    <row r="1172" spans="3:12" x14ac:dyDescent="0.25">
      <c r="C1172" t="s">
        <v>1864</v>
      </c>
      <c r="D1172" t="s">
        <v>1864</v>
      </c>
      <c r="E1172" t="s">
        <v>3024</v>
      </c>
      <c r="F1172" s="2" t="s">
        <v>917</v>
      </c>
      <c r="G1172" t="str">
        <f t="shared" si="92"/>
        <v>F</v>
      </c>
      <c r="H1172">
        <f t="shared" si="92"/>
        <v>43</v>
      </c>
      <c r="I1172" t="str">
        <f t="shared" si="92"/>
        <v>432</v>
      </c>
      <c r="J1172" t="str">
        <f t="shared" si="92"/>
        <v>43291</v>
      </c>
      <c r="K1172" t="str">
        <f t="shared" si="91"/>
        <v>4329199</v>
      </c>
      <c r="L1172">
        <v>0</v>
      </c>
    </row>
    <row r="1173" spans="3:12" x14ac:dyDescent="0.25">
      <c r="C1173" t="s">
        <v>3025</v>
      </c>
      <c r="D1173" t="s">
        <v>1864</v>
      </c>
      <c r="E1173" t="s">
        <v>1864</v>
      </c>
      <c r="F1173" s="2" t="s">
        <v>918</v>
      </c>
      <c r="G1173" t="str">
        <f t="shared" si="92"/>
        <v>F</v>
      </c>
      <c r="H1173">
        <f t="shared" si="92"/>
        <v>43</v>
      </c>
      <c r="I1173" t="str">
        <f t="shared" si="92"/>
        <v>433</v>
      </c>
      <c r="J1173" t="str">
        <f t="shared" si="92"/>
        <v>43291</v>
      </c>
      <c r="K1173" t="str">
        <f t="shared" si="91"/>
        <v/>
      </c>
    </row>
    <row r="1174" spans="3:12" x14ac:dyDescent="0.25">
      <c r="C1174" t="s">
        <v>1864</v>
      </c>
      <c r="D1174" t="s">
        <v>3026</v>
      </c>
      <c r="E1174" t="s">
        <v>1864</v>
      </c>
      <c r="F1174" s="2" t="s">
        <v>918</v>
      </c>
      <c r="G1174" t="str">
        <f t="shared" si="92"/>
        <v>F</v>
      </c>
      <c r="H1174">
        <f t="shared" si="92"/>
        <v>43</v>
      </c>
      <c r="I1174" t="str">
        <f t="shared" si="92"/>
        <v>433</v>
      </c>
      <c r="J1174" t="str">
        <f t="shared" si="92"/>
        <v>43304</v>
      </c>
      <c r="K1174" t="str">
        <f t="shared" si="91"/>
        <v/>
      </c>
    </row>
    <row r="1175" spans="3:12" x14ac:dyDescent="0.25">
      <c r="C1175" t="s">
        <v>1864</v>
      </c>
      <c r="D1175" t="s">
        <v>1864</v>
      </c>
      <c r="E1175" t="s">
        <v>3027</v>
      </c>
      <c r="F1175" s="2" t="s">
        <v>919</v>
      </c>
      <c r="G1175" t="str">
        <f t="shared" si="92"/>
        <v>F</v>
      </c>
      <c r="H1175">
        <f t="shared" si="92"/>
        <v>43</v>
      </c>
      <c r="I1175" t="str">
        <f t="shared" si="92"/>
        <v>433</v>
      </c>
      <c r="J1175" t="str">
        <f t="shared" si="92"/>
        <v>43304</v>
      </c>
      <c r="K1175" t="str">
        <f t="shared" si="91"/>
        <v>4330401</v>
      </c>
      <c r="L1175">
        <v>0</v>
      </c>
    </row>
    <row r="1176" spans="3:12" x14ac:dyDescent="0.25">
      <c r="C1176" t="s">
        <v>1864</v>
      </c>
      <c r="D1176" t="s">
        <v>1864</v>
      </c>
      <c r="E1176" t="s">
        <v>3028</v>
      </c>
      <c r="F1176" s="2" t="s">
        <v>920</v>
      </c>
      <c r="G1176" t="str">
        <f t="shared" si="92"/>
        <v>F</v>
      </c>
      <c r="H1176">
        <f t="shared" si="92"/>
        <v>43</v>
      </c>
      <c r="I1176" t="str">
        <f t="shared" si="92"/>
        <v>433</v>
      </c>
      <c r="J1176" t="str">
        <f t="shared" si="92"/>
        <v>43304</v>
      </c>
      <c r="K1176" t="str">
        <f t="shared" si="91"/>
        <v>4330402</v>
      </c>
      <c r="L1176">
        <v>0</v>
      </c>
    </row>
    <row r="1177" spans="3:12" x14ac:dyDescent="0.25">
      <c r="C1177" t="s">
        <v>1864</v>
      </c>
      <c r="D1177" t="s">
        <v>1864</v>
      </c>
      <c r="E1177" t="s">
        <v>3029</v>
      </c>
      <c r="F1177" s="2" t="s">
        <v>921</v>
      </c>
      <c r="G1177" t="str">
        <f t="shared" ref="G1177:J1192" si="93">IF(A1177="",G1176,A1177)</f>
        <v>F</v>
      </c>
      <c r="H1177">
        <f t="shared" si="93"/>
        <v>43</v>
      </c>
      <c r="I1177" t="str">
        <f t="shared" si="93"/>
        <v>433</v>
      </c>
      <c r="J1177" t="str">
        <f t="shared" si="93"/>
        <v>43304</v>
      </c>
      <c r="K1177" t="str">
        <f t="shared" si="91"/>
        <v>4330403</v>
      </c>
      <c r="L1177">
        <v>0</v>
      </c>
    </row>
    <row r="1178" spans="3:12" x14ac:dyDescent="0.25">
      <c r="C1178" t="s">
        <v>1864</v>
      </c>
      <c r="D1178" t="s">
        <v>1864</v>
      </c>
      <c r="E1178" t="s">
        <v>3030</v>
      </c>
      <c r="F1178" s="2" t="s">
        <v>922</v>
      </c>
      <c r="G1178" t="str">
        <f t="shared" si="93"/>
        <v>F</v>
      </c>
      <c r="H1178">
        <f t="shared" si="93"/>
        <v>43</v>
      </c>
      <c r="I1178" t="str">
        <f t="shared" si="93"/>
        <v>433</v>
      </c>
      <c r="J1178" t="str">
        <f t="shared" si="93"/>
        <v>43304</v>
      </c>
      <c r="K1178" t="str">
        <f t="shared" si="91"/>
        <v>4330404</v>
      </c>
      <c r="L1178">
        <v>0</v>
      </c>
    </row>
    <row r="1179" spans="3:12" x14ac:dyDescent="0.25">
      <c r="C1179" t="s">
        <v>1864</v>
      </c>
      <c r="D1179" t="s">
        <v>1864</v>
      </c>
      <c r="E1179" t="s">
        <v>3031</v>
      </c>
      <c r="F1179" s="2" t="s">
        <v>923</v>
      </c>
      <c r="G1179" t="str">
        <f t="shared" si="93"/>
        <v>F</v>
      </c>
      <c r="H1179">
        <f t="shared" si="93"/>
        <v>43</v>
      </c>
      <c r="I1179" t="str">
        <f t="shared" si="93"/>
        <v>433</v>
      </c>
      <c r="J1179" t="str">
        <f t="shared" si="93"/>
        <v>43304</v>
      </c>
      <c r="K1179" t="str">
        <f t="shared" si="91"/>
        <v>4330405</v>
      </c>
      <c r="L1179">
        <v>0</v>
      </c>
    </row>
    <row r="1180" spans="3:12" x14ac:dyDescent="0.25">
      <c r="C1180" t="s">
        <v>1864</v>
      </c>
      <c r="D1180" t="s">
        <v>1864</v>
      </c>
      <c r="E1180" t="s">
        <v>3032</v>
      </c>
      <c r="F1180" s="2" t="s">
        <v>924</v>
      </c>
      <c r="G1180" t="str">
        <f t="shared" si="93"/>
        <v>F</v>
      </c>
      <c r="H1180">
        <f t="shared" si="93"/>
        <v>43</v>
      </c>
      <c r="I1180" t="str">
        <f t="shared" si="93"/>
        <v>433</v>
      </c>
      <c r="J1180" t="str">
        <f t="shared" si="93"/>
        <v>43304</v>
      </c>
      <c r="K1180" t="str">
        <f t="shared" si="91"/>
        <v>4330499</v>
      </c>
      <c r="L1180">
        <v>0</v>
      </c>
    </row>
    <row r="1181" spans="3:12" x14ac:dyDescent="0.25">
      <c r="C1181" t="s">
        <v>3033</v>
      </c>
      <c r="D1181" t="s">
        <v>1864</v>
      </c>
      <c r="E1181" t="s">
        <v>1864</v>
      </c>
      <c r="F1181" s="2" t="s">
        <v>925</v>
      </c>
      <c r="G1181" t="str">
        <f t="shared" si="93"/>
        <v>F</v>
      </c>
      <c r="H1181">
        <f t="shared" si="93"/>
        <v>43</v>
      </c>
      <c r="I1181" t="str">
        <f t="shared" si="93"/>
        <v>439</v>
      </c>
      <c r="J1181" t="str">
        <f t="shared" si="93"/>
        <v>43304</v>
      </c>
      <c r="K1181" t="str">
        <f t="shared" si="91"/>
        <v/>
      </c>
    </row>
    <row r="1182" spans="3:12" x14ac:dyDescent="0.25">
      <c r="C1182" t="s">
        <v>1864</v>
      </c>
      <c r="D1182" t="s">
        <v>3034</v>
      </c>
      <c r="E1182" t="s">
        <v>1864</v>
      </c>
      <c r="F1182" s="2" t="s">
        <v>926</v>
      </c>
      <c r="G1182" t="str">
        <f t="shared" si="93"/>
        <v>F</v>
      </c>
      <c r="H1182">
        <f t="shared" si="93"/>
        <v>43</v>
      </c>
      <c r="I1182" t="str">
        <f t="shared" si="93"/>
        <v>439</v>
      </c>
      <c r="J1182" t="str">
        <f t="shared" si="93"/>
        <v>43916</v>
      </c>
      <c r="K1182" t="str">
        <f t="shared" si="91"/>
        <v/>
      </c>
    </row>
    <row r="1183" spans="3:12" x14ac:dyDescent="0.25">
      <c r="C1183" t="s">
        <v>1864</v>
      </c>
      <c r="D1183" t="s">
        <v>1864</v>
      </c>
      <c r="E1183" t="s">
        <v>3035</v>
      </c>
      <c r="F1183" s="2" t="s">
        <v>926</v>
      </c>
      <c r="G1183" t="str">
        <f t="shared" si="93"/>
        <v>F</v>
      </c>
      <c r="H1183">
        <f t="shared" si="93"/>
        <v>43</v>
      </c>
      <c r="I1183" t="str">
        <f t="shared" si="93"/>
        <v>439</v>
      </c>
      <c r="J1183" t="str">
        <f t="shared" si="93"/>
        <v>43916</v>
      </c>
      <c r="K1183" t="str">
        <f t="shared" si="91"/>
        <v>4391600</v>
      </c>
      <c r="L1183">
        <v>0</v>
      </c>
    </row>
    <row r="1184" spans="3:12" x14ac:dyDescent="0.25">
      <c r="C1184" t="s">
        <v>1864</v>
      </c>
      <c r="D1184" t="s">
        <v>3036</v>
      </c>
      <c r="E1184" t="s">
        <v>1864</v>
      </c>
      <c r="F1184" s="2" t="s">
        <v>927</v>
      </c>
      <c r="G1184" t="str">
        <f t="shared" si="93"/>
        <v>F</v>
      </c>
      <c r="H1184">
        <f t="shared" si="93"/>
        <v>43</v>
      </c>
      <c r="I1184" t="str">
        <f t="shared" si="93"/>
        <v>439</v>
      </c>
      <c r="J1184" t="str">
        <f t="shared" si="93"/>
        <v>43991</v>
      </c>
      <c r="K1184" t="str">
        <f t="shared" si="91"/>
        <v/>
      </c>
    </row>
    <row r="1185" spans="1:12" x14ac:dyDescent="0.25">
      <c r="C1185" t="s">
        <v>1864</v>
      </c>
      <c r="D1185" t="s">
        <v>1864</v>
      </c>
      <c r="E1185" t="s">
        <v>3037</v>
      </c>
      <c r="F1185" s="2" t="s">
        <v>928</v>
      </c>
      <c r="G1185" t="str">
        <f t="shared" si="93"/>
        <v>F</v>
      </c>
      <c r="H1185">
        <f t="shared" si="93"/>
        <v>43</v>
      </c>
      <c r="I1185" t="str">
        <f t="shared" si="93"/>
        <v>439</v>
      </c>
      <c r="J1185" t="str">
        <f t="shared" si="93"/>
        <v>43991</v>
      </c>
      <c r="K1185" t="str">
        <f t="shared" si="91"/>
        <v>4399101</v>
      </c>
      <c r="L1185">
        <v>0</v>
      </c>
    </row>
    <row r="1186" spans="1:12" x14ac:dyDescent="0.25">
      <c r="C1186" t="s">
        <v>1864</v>
      </c>
      <c r="D1186" t="s">
        <v>1864</v>
      </c>
      <c r="E1186" t="s">
        <v>3038</v>
      </c>
      <c r="F1186" s="2" t="s">
        <v>929</v>
      </c>
      <c r="G1186" t="str">
        <f t="shared" si="93"/>
        <v>F</v>
      </c>
      <c r="H1186">
        <f t="shared" si="93"/>
        <v>43</v>
      </c>
      <c r="I1186" t="str">
        <f t="shared" si="93"/>
        <v>439</v>
      </c>
      <c r="J1186" t="str">
        <f t="shared" si="93"/>
        <v>43991</v>
      </c>
      <c r="K1186" t="str">
        <f t="shared" si="91"/>
        <v>4399102</v>
      </c>
      <c r="L1186">
        <v>0</v>
      </c>
    </row>
    <row r="1187" spans="1:12" x14ac:dyDescent="0.25">
      <c r="C1187" t="s">
        <v>1864</v>
      </c>
      <c r="D1187" t="s">
        <v>1864</v>
      </c>
      <c r="E1187" t="s">
        <v>3039</v>
      </c>
      <c r="F1187" s="2" t="s">
        <v>930</v>
      </c>
      <c r="G1187" t="str">
        <f t="shared" si="93"/>
        <v>F</v>
      </c>
      <c r="H1187">
        <f t="shared" si="93"/>
        <v>43</v>
      </c>
      <c r="I1187" t="str">
        <f t="shared" si="93"/>
        <v>439</v>
      </c>
      <c r="J1187" t="str">
        <f t="shared" si="93"/>
        <v>43991</v>
      </c>
      <c r="K1187" t="str">
        <f t="shared" si="91"/>
        <v>4399103</v>
      </c>
      <c r="L1187">
        <v>0</v>
      </c>
    </row>
    <row r="1188" spans="1:12" x14ac:dyDescent="0.25">
      <c r="C1188" t="s">
        <v>1864</v>
      </c>
      <c r="D1188" t="s">
        <v>1864</v>
      </c>
      <c r="E1188" t="s">
        <v>3040</v>
      </c>
      <c r="F1188" s="2" t="s">
        <v>931</v>
      </c>
      <c r="G1188" t="str">
        <f t="shared" si="93"/>
        <v>F</v>
      </c>
      <c r="H1188">
        <f t="shared" si="93"/>
        <v>43</v>
      </c>
      <c r="I1188" t="str">
        <f t="shared" si="93"/>
        <v>439</v>
      </c>
      <c r="J1188" t="str">
        <f t="shared" si="93"/>
        <v>43991</v>
      </c>
      <c r="K1188" t="str">
        <f t="shared" si="91"/>
        <v>4399104</v>
      </c>
      <c r="L1188">
        <v>0</v>
      </c>
    </row>
    <row r="1189" spans="1:12" x14ac:dyDescent="0.25">
      <c r="C1189" t="s">
        <v>1864</v>
      </c>
      <c r="D1189" t="s">
        <v>1864</v>
      </c>
      <c r="E1189" t="s">
        <v>3041</v>
      </c>
      <c r="F1189" s="3" t="s">
        <v>932</v>
      </c>
      <c r="G1189" t="str">
        <f t="shared" si="93"/>
        <v>F</v>
      </c>
      <c r="H1189">
        <f t="shared" si="93"/>
        <v>43</v>
      </c>
      <c r="I1189" t="str">
        <f t="shared" si="93"/>
        <v>439</v>
      </c>
      <c r="J1189" t="str">
        <f t="shared" si="93"/>
        <v>43991</v>
      </c>
      <c r="K1189" t="str">
        <f t="shared" si="91"/>
        <v>4399105</v>
      </c>
      <c r="L1189">
        <v>1</v>
      </c>
    </row>
    <row r="1190" spans="1:12" x14ac:dyDescent="0.25">
      <c r="C1190" t="s">
        <v>1864</v>
      </c>
      <c r="D1190" t="s">
        <v>1864</v>
      </c>
      <c r="E1190" t="s">
        <v>3042</v>
      </c>
      <c r="F1190" s="2" t="s">
        <v>927</v>
      </c>
      <c r="G1190" t="str">
        <f t="shared" si="93"/>
        <v>F</v>
      </c>
      <c r="H1190">
        <f t="shared" si="93"/>
        <v>43</v>
      </c>
      <c r="I1190" t="str">
        <f t="shared" si="93"/>
        <v>439</v>
      </c>
      <c r="J1190" t="str">
        <f t="shared" si="93"/>
        <v>43991</v>
      </c>
      <c r="K1190" t="str">
        <f t="shared" si="91"/>
        <v>4399199</v>
      </c>
      <c r="L1190">
        <v>0</v>
      </c>
    </row>
    <row r="1191" spans="1:12" x14ac:dyDescent="0.25">
      <c r="A1191" t="s">
        <v>3043</v>
      </c>
      <c r="C1191" t="s">
        <v>1864</v>
      </c>
      <c r="D1191" t="s">
        <v>1864</v>
      </c>
      <c r="E1191" t="s">
        <v>1864</v>
      </c>
      <c r="F1191" s="4" t="s">
        <v>933</v>
      </c>
      <c r="G1191" t="str">
        <f t="shared" si="93"/>
        <v>G</v>
      </c>
      <c r="H1191">
        <f t="shared" si="93"/>
        <v>43</v>
      </c>
      <c r="I1191" t="str">
        <f t="shared" si="93"/>
        <v>439</v>
      </c>
      <c r="J1191" t="str">
        <f t="shared" si="93"/>
        <v>43991</v>
      </c>
      <c r="K1191" t="str">
        <f t="shared" si="91"/>
        <v/>
      </c>
    </row>
    <row r="1192" spans="1:12" x14ac:dyDescent="0.25">
      <c r="B1192">
        <v>45</v>
      </c>
      <c r="C1192" t="s">
        <v>1864</v>
      </c>
      <c r="D1192" t="s">
        <v>1864</v>
      </c>
      <c r="E1192" t="s">
        <v>1864</v>
      </c>
      <c r="F1192" s="4" t="s">
        <v>934</v>
      </c>
      <c r="G1192" t="str">
        <f t="shared" si="93"/>
        <v>G</v>
      </c>
      <c r="H1192">
        <f t="shared" si="93"/>
        <v>45</v>
      </c>
      <c r="I1192" t="str">
        <f t="shared" si="93"/>
        <v>439</v>
      </c>
      <c r="J1192" t="str">
        <f t="shared" si="93"/>
        <v>43991</v>
      </c>
      <c r="K1192" t="str">
        <f t="shared" si="91"/>
        <v/>
      </c>
    </row>
    <row r="1193" spans="1:12" x14ac:dyDescent="0.25">
      <c r="C1193" t="s">
        <v>3044</v>
      </c>
      <c r="D1193" t="s">
        <v>1864</v>
      </c>
      <c r="E1193" t="s">
        <v>1864</v>
      </c>
      <c r="F1193" s="4" t="s">
        <v>935</v>
      </c>
      <c r="G1193" t="str">
        <f t="shared" ref="G1193:J1208" si="94">IF(A1193="",G1192,A1193)</f>
        <v>G</v>
      </c>
      <c r="H1193">
        <f t="shared" si="94"/>
        <v>45</v>
      </c>
      <c r="I1193" t="str">
        <f t="shared" si="94"/>
        <v>451</v>
      </c>
      <c r="J1193" t="str">
        <f t="shared" si="94"/>
        <v>43991</v>
      </c>
      <c r="K1193" t="str">
        <f t="shared" si="91"/>
        <v/>
      </c>
    </row>
    <row r="1194" spans="1:12" x14ac:dyDescent="0.25">
      <c r="C1194" t="s">
        <v>1864</v>
      </c>
      <c r="D1194" t="s">
        <v>3045</v>
      </c>
      <c r="E1194" t="s">
        <v>1864</v>
      </c>
      <c r="F1194" s="4" t="s">
        <v>936</v>
      </c>
      <c r="G1194" t="str">
        <f t="shared" si="94"/>
        <v>G</v>
      </c>
      <c r="H1194">
        <f t="shared" si="94"/>
        <v>45</v>
      </c>
      <c r="I1194" t="str">
        <f t="shared" si="94"/>
        <v>451</v>
      </c>
      <c r="J1194" t="str">
        <f t="shared" si="94"/>
        <v>45111</v>
      </c>
      <c r="K1194" t="str">
        <f t="shared" si="91"/>
        <v/>
      </c>
    </row>
    <row r="1195" spans="1:12" x14ac:dyDescent="0.25">
      <c r="C1195" t="s">
        <v>1864</v>
      </c>
      <c r="D1195" t="s">
        <v>1864</v>
      </c>
      <c r="E1195" t="s">
        <v>3046</v>
      </c>
      <c r="F1195" s="4" t="s">
        <v>937</v>
      </c>
      <c r="G1195" t="str">
        <f t="shared" si="94"/>
        <v>G</v>
      </c>
      <c r="H1195">
        <f t="shared" si="94"/>
        <v>45</v>
      </c>
      <c r="I1195" t="str">
        <f t="shared" si="94"/>
        <v>451</v>
      </c>
      <c r="J1195" t="str">
        <f t="shared" si="94"/>
        <v>45111</v>
      </c>
      <c r="K1195" t="str">
        <f t="shared" si="91"/>
        <v>4511101</v>
      </c>
      <c r="L1195">
        <v>0</v>
      </c>
    </row>
    <row r="1196" spans="1:12" x14ac:dyDescent="0.25">
      <c r="C1196" t="s">
        <v>1864</v>
      </c>
      <c r="D1196" t="s">
        <v>1864</v>
      </c>
      <c r="E1196" t="s">
        <v>3047</v>
      </c>
      <c r="F1196" s="4" t="s">
        <v>938</v>
      </c>
      <c r="G1196" t="str">
        <f t="shared" si="94"/>
        <v>G</v>
      </c>
      <c r="H1196">
        <f t="shared" si="94"/>
        <v>45</v>
      </c>
      <c r="I1196" t="str">
        <f t="shared" si="94"/>
        <v>451</v>
      </c>
      <c r="J1196" t="str">
        <f t="shared" si="94"/>
        <v>45111</v>
      </c>
      <c r="K1196" t="str">
        <f t="shared" si="91"/>
        <v>4511102</v>
      </c>
      <c r="L1196">
        <v>0</v>
      </c>
    </row>
    <row r="1197" spans="1:12" x14ac:dyDescent="0.25">
      <c r="C1197" t="s">
        <v>1864</v>
      </c>
      <c r="D1197" t="s">
        <v>1864</v>
      </c>
      <c r="E1197" t="s">
        <v>3048</v>
      </c>
      <c r="F1197" s="4" t="s">
        <v>939</v>
      </c>
      <c r="G1197" t="str">
        <f t="shared" si="94"/>
        <v>G</v>
      </c>
      <c r="H1197">
        <f t="shared" si="94"/>
        <v>45</v>
      </c>
      <c r="I1197" t="str">
        <f t="shared" si="94"/>
        <v>451</v>
      </c>
      <c r="J1197" t="str">
        <f t="shared" si="94"/>
        <v>45111</v>
      </c>
      <c r="K1197" t="str">
        <f t="shared" si="91"/>
        <v>4511103</v>
      </c>
      <c r="L1197">
        <v>0</v>
      </c>
    </row>
    <row r="1198" spans="1:12" x14ac:dyDescent="0.25">
      <c r="C1198" t="s">
        <v>1864</v>
      </c>
      <c r="D1198" t="s">
        <v>1864</v>
      </c>
      <c r="E1198" t="s">
        <v>3049</v>
      </c>
      <c r="F1198" s="4" t="s">
        <v>940</v>
      </c>
      <c r="G1198" t="str">
        <f t="shared" si="94"/>
        <v>G</v>
      </c>
      <c r="H1198">
        <f t="shared" si="94"/>
        <v>45</v>
      </c>
      <c r="I1198" t="str">
        <f t="shared" si="94"/>
        <v>451</v>
      </c>
      <c r="J1198" t="str">
        <f t="shared" si="94"/>
        <v>45111</v>
      </c>
      <c r="K1198" t="str">
        <f t="shared" si="91"/>
        <v>4511104</v>
      </c>
      <c r="L1198">
        <v>0</v>
      </c>
    </row>
    <row r="1199" spans="1:12" x14ac:dyDescent="0.25">
      <c r="C1199" t="s">
        <v>1864</v>
      </c>
      <c r="D1199" t="s">
        <v>1864</v>
      </c>
      <c r="E1199" t="s">
        <v>3050</v>
      </c>
      <c r="F1199" s="4" t="s">
        <v>941</v>
      </c>
      <c r="G1199" t="str">
        <f t="shared" si="94"/>
        <v>G</v>
      </c>
      <c r="H1199">
        <f t="shared" si="94"/>
        <v>45</v>
      </c>
      <c r="I1199" t="str">
        <f t="shared" si="94"/>
        <v>451</v>
      </c>
      <c r="J1199" t="str">
        <f t="shared" si="94"/>
        <v>45111</v>
      </c>
      <c r="K1199" t="str">
        <f t="shared" si="91"/>
        <v>4511105</v>
      </c>
      <c r="L1199">
        <v>0</v>
      </c>
    </row>
    <row r="1200" spans="1:12" x14ac:dyDescent="0.25">
      <c r="C1200" t="s">
        <v>1864</v>
      </c>
      <c r="D1200" t="s">
        <v>1864</v>
      </c>
      <c r="E1200" t="s">
        <v>3051</v>
      </c>
      <c r="F1200" s="4" t="s">
        <v>942</v>
      </c>
      <c r="G1200" t="str">
        <f t="shared" si="94"/>
        <v>G</v>
      </c>
      <c r="H1200">
        <f t="shared" si="94"/>
        <v>45</v>
      </c>
      <c r="I1200" t="str">
        <f t="shared" si="94"/>
        <v>451</v>
      </c>
      <c r="J1200" t="str">
        <f t="shared" si="94"/>
        <v>45111</v>
      </c>
      <c r="K1200" t="str">
        <f t="shared" si="91"/>
        <v>4511106</v>
      </c>
      <c r="L1200">
        <v>0</v>
      </c>
    </row>
    <row r="1201" spans="3:12" x14ac:dyDescent="0.25">
      <c r="C1201" t="s">
        <v>1864</v>
      </c>
      <c r="D1201" t="s">
        <v>3052</v>
      </c>
      <c r="E1201" t="s">
        <v>1864</v>
      </c>
      <c r="F1201" s="4" t="s">
        <v>943</v>
      </c>
      <c r="G1201" t="str">
        <f t="shared" si="94"/>
        <v>G</v>
      </c>
      <c r="H1201">
        <f t="shared" si="94"/>
        <v>45</v>
      </c>
      <c r="I1201" t="str">
        <f t="shared" si="94"/>
        <v>451</v>
      </c>
      <c r="J1201" t="str">
        <f t="shared" si="94"/>
        <v>45129</v>
      </c>
      <c r="K1201" t="str">
        <f t="shared" si="91"/>
        <v/>
      </c>
    </row>
    <row r="1202" spans="3:12" x14ac:dyDescent="0.25">
      <c r="C1202" t="s">
        <v>1864</v>
      </c>
      <c r="D1202" t="s">
        <v>1864</v>
      </c>
      <c r="E1202" t="s">
        <v>3053</v>
      </c>
      <c r="F1202" s="4" t="s">
        <v>943</v>
      </c>
      <c r="G1202" t="str">
        <f t="shared" si="94"/>
        <v>G</v>
      </c>
      <c r="H1202">
        <f t="shared" si="94"/>
        <v>45</v>
      </c>
      <c r="I1202" t="str">
        <f t="shared" si="94"/>
        <v>451</v>
      </c>
      <c r="J1202" t="str">
        <f t="shared" si="94"/>
        <v>45129</v>
      </c>
      <c r="K1202" t="str">
        <f t="shared" si="91"/>
        <v>4512901</v>
      </c>
      <c r="L1202">
        <v>0</v>
      </c>
    </row>
    <row r="1203" spans="3:12" x14ac:dyDescent="0.25">
      <c r="C1203" t="s">
        <v>1864</v>
      </c>
      <c r="D1203" t="s">
        <v>1864</v>
      </c>
      <c r="E1203" t="s">
        <v>3054</v>
      </c>
      <c r="F1203" s="4" t="s">
        <v>944</v>
      </c>
      <c r="G1203" t="str">
        <f t="shared" si="94"/>
        <v>G</v>
      </c>
      <c r="H1203">
        <f t="shared" si="94"/>
        <v>45</v>
      </c>
      <c r="I1203" t="str">
        <f t="shared" si="94"/>
        <v>451</v>
      </c>
      <c r="J1203" t="str">
        <f t="shared" si="94"/>
        <v>45129</v>
      </c>
      <c r="K1203" t="str">
        <f t="shared" si="91"/>
        <v>4512902</v>
      </c>
      <c r="L1203">
        <v>0</v>
      </c>
    </row>
    <row r="1204" spans="3:12" x14ac:dyDescent="0.25">
      <c r="C1204" t="s">
        <v>3055</v>
      </c>
      <c r="D1204" t="s">
        <v>1864</v>
      </c>
      <c r="E1204" t="s">
        <v>1864</v>
      </c>
      <c r="F1204" s="4" t="s">
        <v>945</v>
      </c>
      <c r="G1204" t="str">
        <f t="shared" si="94"/>
        <v>G</v>
      </c>
      <c r="H1204">
        <f t="shared" si="94"/>
        <v>45</v>
      </c>
      <c r="I1204" t="str">
        <f t="shared" si="94"/>
        <v>452</v>
      </c>
      <c r="J1204" t="str">
        <f t="shared" si="94"/>
        <v>45129</v>
      </c>
      <c r="K1204" t="str">
        <f t="shared" si="91"/>
        <v/>
      </c>
    </row>
    <row r="1205" spans="3:12" x14ac:dyDescent="0.25">
      <c r="C1205" t="s">
        <v>1864</v>
      </c>
      <c r="D1205" t="s">
        <v>3056</v>
      </c>
      <c r="E1205" t="s">
        <v>1864</v>
      </c>
      <c r="F1205" s="4" t="s">
        <v>945</v>
      </c>
      <c r="G1205" t="str">
        <f t="shared" si="94"/>
        <v>G</v>
      </c>
      <c r="H1205">
        <f t="shared" si="94"/>
        <v>45</v>
      </c>
      <c r="I1205" t="str">
        <f t="shared" si="94"/>
        <v>452</v>
      </c>
      <c r="J1205" t="str">
        <f t="shared" si="94"/>
        <v>45200</v>
      </c>
      <c r="K1205" t="str">
        <f t="shared" si="91"/>
        <v/>
      </c>
    </row>
    <row r="1206" spans="3:12" x14ac:dyDescent="0.25">
      <c r="C1206" t="s">
        <v>1864</v>
      </c>
      <c r="D1206" t="s">
        <v>1864</v>
      </c>
      <c r="E1206" t="s">
        <v>3057</v>
      </c>
      <c r="F1206" s="4" t="s">
        <v>946</v>
      </c>
      <c r="G1206" t="str">
        <f t="shared" si="94"/>
        <v>G</v>
      </c>
      <c r="H1206">
        <f t="shared" si="94"/>
        <v>45</v>
      </c>
      <c r="I1206" t="str">
        <f t="shared" si="94"/>
        <v>452</v>
      </c>
      <c r="J1206" t="str">
        <f t="shared" si="94"/>
        <v>45200</v>
      </c>
      <c r="K1206" t="str">
        <f t="shared" si="91"/>
        <v>4520001</v>
      </c>
      <c r="L1206">
        <v>1</v>
      </c>
    </row>
    <row r="1207" spans="3:12" x14ac:dyDescent="0.25">
      <c r="C1207" t="s">
        <v>1864</v>
      </c>
      <c r="D1207" t="s">
        <v>1864</v>
      </c>
      <c r="E1207" t="s">
        <v>3058</v>
      </c>
      <c r="F1207" s="4" t="s">
        <v>947</v>
      </c>
      <c r="G1207" t="str">
        <f t="shared" si="94"/>
        <v>G</v>
      </c>
      <c r="H1207">
        <f t="shared" si="94"/>
        <v>45</v>
      </c>
      <c r="I1207" t="str">
        <f t="shared" si="94"/>
        <v>452</v>
      </c>
      <c r="J1207" t="str">
        <f t="shared" si="94"/>
        <v>45200</v>
      </c>
      <c r="K1207" t="str">
        <f t="shared" si="91"/>
        <v>4520002</v>
      </c>
      <c r="L1207">
        <v>1</v>
      </c>
    </row>
    <row r="1208" spans="3:12" x14ac:dyDescent="0.25">
      <c r="C1208" t="s">
        <v>1864</v>
      </c>
      <c r="D1208" t="s">
        <v>1864</v>
      </c>
      <c r="E1208" t="s">
        <v>3059</v>
      </c>
      <c r="F1208" s="4" t="s">
        <v>948</v>
      </c>
      <c r="G1208" t="str">
        <f t="shared" si="94"/>
        <v>G</v>
      </c>
      <c r="H1208">
        <f t="shared" si="94"/>
        <v>45</v>
      </c>
      <c r="I1208" t="str">
        <f t="shared" si="94"/>
        <v>452</v>
      </c>
      <c r="J1208" t="str">
        <f t="shared" si="94"/>
        <v>45200</v>
      </c>
      <c r="K1208" t="str">
        <f t="shared" si="91"/>
        <v>4520003</v>
      </c>
      <c r="L1208">
        <v>1</v>
      </c>
    </row>
    <row r="1209" spans="3:12" x14ac:dyDescent="0.25">
      <c r="C1209" t="s">
        <v>1864</v>
      </c>
      <c r="D1209" t="s">
        <v>1864</v>
      </c>
      <c r="E1209" t="s">
        <v>3060</v>
      </c>
      <c r="F1209" s="4" t="s">
        <v>949</v>
      </c>
      <c r="G1209" t="str">
        <f t="shared" ref="G1209:J1224" si="95">IF(A1209="",G1208,A1209)</f>
        <v>G</v>
      </c>
      <c r="H1209">
        <f t="shared" si="95"/>
        <v>45</v>
      </c>
      <c r="I1209" t="str">
        <f t="shared" si="95"/>
        <v>452</v>
      </c>
      <c r="J1209" t="str">
        <f t="shared" si="95"/>
        <v>45200</v>
      </c>
      <c r="K1209" t="str">
        <f t="shared" si="91"/>
        <v>4520004</v>
      </c>
      <c r="L1209">
        <v>1</v>
      </c>
    </row>
    <row r="1210" spans="3:12" x14ac:dyDescent="0.25">
      <c r="C1210" t="s">
        <v>1864</v>
      </c>
      <c r="D1210" t="s">
        <v>1864</v>
      </c>
      <c r="E1210" t="s">
        <v>3061</v>
      </c>
      <c r="F1210" s="4" t="s">
        <v>950</v>
      </c>
      <c r="G1210" t="str">
        <f t="shared" si="95"/>
        <v>G</v>
      </c>
      <c r="H1210">
        <f t="shared" si="95"/>
        <v>45</v>
      </c>
      <c r="I1210" t="str">
        <f t="shared" si="95"/>
        <v>452</v>
      </c>
      <c r="J1210" t="str">
        <f t="shared" si="95"/>
        <v>45200</v>
      </c>
      <c r="K1210" t="str">
        <f t="shared" si="91"/>
        <v>4520005</v>
      </c>
      <c r="L1210">
        <v>1</v>
      </c>
    </row>
    <row r="1211" spans="3:12" x14ac:dyDescent="0.25">
      <c r="C1211" t="s">
        <v>1864</v>
      </c>
      <c r="D1211" t="s">
        <v>1864</v>
      </c>
      <c r="E1211" t="s">
        <v>3062</v>
      </c>
      <c r="F1211" s="4" t="s">
        <v>951</v>
      </c>
      <c r="G1211" t="str">
        <f t="shared" si="95"/>
        <v>G</v>
      </c>
      <c r="H1211">
        <f t="shared" si="95"/>
        <v>45</v>
      </c>
      <c r="I1211" t="str">
        <f t="shared" si="95"/>
        <v>452</v>
      </c>
      <c r="J1211" t="str">
        <f t="shared" si="95"/>
        <v>45200</v>
      </c>
      <c r="K1211" t="str">
        <f t="shared" si="91"/>
        <v>4520006</v>
      </c>
      <c r="L1211">
        <v>1</v>
      </c>
    </row>
    <row r="1212" spans="3:12" x14ac:dyDescent="0.25">
      <c r="C1212" t="s">
        <v>1864</v>
      </c>
      <c r="D1212" t="s">
        <v>1864</v>
      </c>
      <c r="E1212" t="s">
        <v>3063</v>
      </c>
      <c r="F1212" s="4" t="s">
        <v>952</v>
      </c>
      <c r="G1212" t="str">
        <f t="shared" si="95"/>
        <v>G</v>
      </c>
      <c r="H1212">
        <f t="shared" si="95"/>
        <v>45</v>
      </c>
      <c r="I1212" t="str">
        <f t="shared" si="95"/>
        <v>452</v>
      </c>
      <c r="J1212" t="str">
        <f t="shared" si="95"/>
        <v>45200</v>
      </c>
      <c r="K1212" t="str">
        <f t="shared" si="91"/>
        <v>4520007</v>
      </c>
      <c r="L1212">
        <v>1</v>
      </c>
    </row>
    <row r="1213" spans="3:12" x14ac:dyDescent="0.25">
      <c r="C1213" t="s">
        <v>1864</v>
      </c>
      <c r="D1213" t="s">
        <v>1864</v>
      </c>
      <c r="E1213" t="s">
        <v>3064</v>
      </c>
      <c r="F1213" s="4" t="s">
        <v>953</v>
      </c>
      <c r="G1213" t="str">
        <f t="shared" si="95"/>
        <v>G</v>
      </c>
      <c r="H1213">
        <f t="shared" si="95"/>
        <v>45</v>
      </c>
      <c r="I1213" t="str">
        <f t="shared" si="95"/>
        <v>452</v>
      </c>
      <c r="J1213" t="str">
        <f t="shared" si="95"/>
        <v>45200</v>
      </c>
      <c r="K1213" t="str">
        <f t="shared" si="91"/>
        <v>4520008</v>
      </c>
      <c r="L1213">
        <v>1</v>
      </c>
    </row>
    <row r="1214" spans="3:12" x14ac:dyDescent="0.25">
      <c r="C1214" t="s">
        <v>3065</v>
      </c>
      <c r="D1214" t="s">
        <v>1864</v>
      </c>
      <c r="E1214" t="s">
        <v>1864</v>
      </c>
      <c r="F1214" s="4" t="s">
        <v>954</v>
      </c>
      <c r="G1214" t="str">
        <f t="shared" si="95"/>
        <v>G</v>
      </c>
      <c r="H1214">
        <f t="shared" si="95"/>
        <v>45</v>
      </c>
      <c r="I1214" t="str">
        <f t="shared" si="95"/>
        <v>453</v>
      </c>
      <c r="J1214" t="str">
        <f t="shared" si="95"/>
        <v>45200</v>
      </c>
      <c r="K1214" t="str">
        <f t="shared" si="91"/>
        <v/>
      </c>
    </row>
    <row r="1215" spans="3:12" x14ac:dyDescent="0.25">
      <c r="C1215" t="s">
        <v>1864</v>
      </c>
      <c r="D1215" t="s">
        <v>3066</v>
      </c>
      <c r="E1215" t="s">
        <v>1864</v>
      </c>
      <c r="F1215" s="4" t="s">
        <v>954</v>
      </c>
      <c r="G1215" t="str">
        <f t="shared" si="95"/>
        <v>G</v>
      </c>
      <c r="H1215">
        <f t="shared" si="95"/>
        <v>45</v>
      </c>
      <c r="I1215" t="str">
        <f t="shared" si="95"/>
        <v>453</v>
      </c>
      <c r="J1215" t="str">
        <f t="shared" si="95"/>
        <v>45307</v>
      </c>
      <c r="K1215" t="str">
        <f t="shared" si="91"/>
        <v/>
      </c>
    </row>
    <row r="1216" spans="3:12" x14ac:dyDescent="0.25">
      <c r="C1216" t="s">
        <v>1864</v>
      </c>
      <c r="D1216" t="s">
        <v>1864</v>
      </c>
      <c r="E1216" t="s">
        <v>3067</v>
      </c>
      <c r="F1216" s="4" t="s">
        <v>955</v>
      </c>
      <c r="G1216" t="str">
        <f t="shared" si="95"/>
        <v>G</v>
      </c>
      <c r="H1216">
        <f t="shared" si="95"/>
        <v>45</v>
      </c>
      <c r="I1216" t="str">
        <f t="shared" si="95"/>
        <v>453</v>
      </c>
      <c r="J1216" t="str">
        <f t="shared" si="95"/>
        <v>45307</v>
      </c>
      <c r="K1216" t="str">
        <f t="shared" si="91"/>
        <v>4530701</v>
      </c>
      <c r="L1216">
        <v>0</v>
      </c>
    </row>
    <row r="1217" spans="3:12" x14ac:dyDescent="0.25">
      <c r="C1217" t="s">
        <v>1864</v>
      </c>
      <c r="D1217" t="s">
        <v>1864</v>
      </c>
      <c r="E1217" t="s">
        <v>3068</v>
      </c>
      <c r="F1217" s="4" t="s">
        <v>956</v>
      </c>
      <c r="G1217" t="str">
        <f t="shared" si="95"/>
        <v>G</v>
      </c>
      <c r="H1217">
        <f t="shared" si="95"/>
        <v>45</v>
      </c>
      <c r="I1217" t="str">
        <f t="shared" si="95"/>
        <v>453</v>
      </c>
      <c r="J1217" t="str">
        <f t="shared" si="95"/>
        <v>45307</v>
      </c>
      <c r="K1217" t="str">
        <f t="shared" si="91"/>
        <v>4530702</v>
      </c>
      <c r="L1217">
        <v>0</v>
      </c>
    </row>
    <row r="1218" spans="3:12" x14ac:dyDescent="0.25">
      <c r="C1218" t="s">
        <v>1864</v>
      </c>
      <c r="D1218" t="s">
        <v>1864</v>
      </c>
      <c r="E1218" t="s">
        <v>3069</v>
      </c>
      <c r="F1218" s="4" t="s">
        <v>957</v>
      </c>
      <c r="G1218" t="str">
        <f t="shared" si="95"/>
        <v>G</v>
      </c>
      <c r="H1218">
        <f t="shared" si="95"/>
        <v>45</v>
      </c>
      <c r="I1218" t="str">
        <f t="shared" si="95"/>
        <v>453</v>
      </c>
      <c r="J1218" t="str">
        <f t="shared" si="95"/>
        <v>45307</v>
      </c>
      <c r="K1218" t="str">
        <f t="shared" si="91"/>
        <v>4530703</v>
      </c>
      <c r="L1218">
        <v>0</v>
      </c>
    </row>
    <row r="1219" spans="3:12" x14ac:dyDescent="0.25">
      <c r="C1219" t="s">
        <v>1864</v>
      </c>
      <c r="D1219" t="s">
        <v>1864</v>
      </c>
      <c r="E1219" t="s">
        <v>3070</v>
      </c>
      <c r="F1219" s="4" t="s">
        <v>958</v>
      </c>
      <c r="G1219" t="str">
        <f t="shared" si="95"/>
        <v>G</v>
      </c>
      <c r="H1219">
        <f t="shared" si="95"/>
        <v>45</v>
      </c>
      <c r="I1219" t="str">
        <f t="shared" si="95"/>
        <v>453</v>
      </c>
      <c r="J1219" t="str">
        <f t="shared" si="95"/>
        <v>45307</v>
      </c>
      <c r="K1219" t="str">
        <f t="shared" si="91"/>
        <v>4530704</v>
      </c>
      <c r="L1219">
        <v>0</v>
      </c>
    </row>
    <row r="1220" spans="3:12" x14ac:dyDescent="0.25">
      <c r="C1220" t="s">
        <v>1864</v>
      </c>
      <c r="D1220" t="s">
        <v>1864</v>
      </c>
      <c r="E1220" t="s">
        <v>3071</v>
      </c>
      <c r="F1220" s="4" t="s">
        <v>959</v>
      </c>
      <c r="G1220" t="str">
        <f t="shared" si="95"/>
        <v>G</v>
      </c>
      <c r="H1220">
        <f t="shared" si="95"/>
        <v>45</v>
      </c>
      <c r="I1220" t="str">
        <f t="shared" si="95"/>
        <v>453</v>
      </c>
      <c r="J1220" t="str">
        <f t="shared" si="95"/>
        <v>45307</v>
      </c>
      <c r="K1220" t="str">
        <f t="shared" si="91"/>
        <v>4530705</v>
      </c>
      <c r="L1220">
        <v>0</v>
      </c>
    </row>
    <row r="1221" spans="3:12" x14ac:dyDescent="0.25">
      <c r="C1221" t="s">
        <v>1864</v>
      </c>
      <c r="D1221" t="s">
        <v>1864</v>
      </c>
      <c r="E1221" t="s">
        <v>3072</v>
      </c>
      <c r="F1221" s="4" t="s">
        <v>960</v>
      </c>
      <c r="G1221" t="str">
        <f t="shared" si="95"/>
        <v>G</v>
      </c>
      <c r="H1221">
        <f t="shared" si="95"/>
        <v>45</v>
      </c>
      <c r="I1221" t="str">
        <f t="shared" si="95"/>
        <v>453</v>
      </c>
      <c r="J1221" t="str">
        <f t="shared" si="95"/>
        <v>45307</v>
      </c>
      <c r="K1221" t="str">
        <f t="shared" si="91"/>
        <v>4530706</v>
      </c>
      <c r="L1221">
        <v>0</v>
      </c>
    </row>
    <row r="1222" spans="3:12" x14ac:dyDescent="0.25">
      <c r="C1222" t="s">
        <v>3073</v>
      </c>
      <c r="D1222" t="s">
        <v>1864</v>
      </c>
      <c r="E1222" t="s">
        <v>1864</v>
      </c>
      <c r="F1222" s="4" t="s">
        <v>961</v>
      </c>
      <c r="G1222" t="str">
        <f t="shared" si="95"/>
        <v>G</v>
      </c>
      <c r="H1222">
        <f t="shared" si="95"/>
        <v>45</v>
      </c>
      <c r="I1222" t="str">
        <f t="shared" si="95"/>
        <v>454</v>
      </c>
      <c r="J1222" t="str">
        <f t="shared" si="95"/>
        <v>45307</v>
      </c>
      <c r="K1222" t="str">
        <f t="shared" si="91"/>
        <v/>
      </c>
    </row>
    <row r="1223" spans="3:12" x14ac:dyDescent="0.25">
      <c r="C1223" t="s">
        <v>1864</v>
      </c>
      <c r="D1223" t="s">
        <v>3074</v>
      </c>
      <c r="E1223" t="s">
        <v>1864</v>
      </c>
      <c r="F1223" s="4" t="s">
        <v>962</v>
      </c>
      <c r="G1223" t="str">
        <f t="shared" si="95"/>
        <v>G</v>
      </c>
      <c r="H1223">
        <f t="shared" si="95"/>
        <v>45</v>
      </c>
      <c r="I1223" t="str">
        <f t="shared" si="95"/>
        <v>454</v>
      </c>
      <c r="J1223" t="str">
        <f t="shared" si="95"/>
        <v>45412</v>
      </c>
      <c r="K1223" t="str">
        <f t="shared" si="91"/>
        <v/>
      </c>
    </row>
    <row r="1224" spans="3:12" x14ac:dyDescent="0.25">
      <c r="C1224" t="s">
        <v>1864</v>
      </c>
      <c r="D1224" t="s">
        <v>1864</v>
      </c>
      <c r="E1224" t="s">
        <v>3075</v>
      </c>
      <c r="F1224" s="4" t="s">
        <v>963</v>
      </c>
      <c r="G1224" t="str">
        <f t="shared" si="95"/>
        <v>G</v>
      </c>
      <c r="H1224">
        <f t="shared" si="95"/>
        <v>45</v>
      </c>
      <c r="I1224" t="str">
        <f t="shared" si="95"/>
        <v>454</v>
      </c>
      <c r="J1224" t="str">
        <f t="shared" si="95"/>
        <v>45412</v>
      </c>
      <c r="K1224" t="str">
        <f t="shared" ref="K1224:K1287" si="96">E1224</f>
        <v>4541201</v>
      </c>
      <c r="L1224">
        <v>0</v>
      </c>
    </row>
    <row r="1225" spans="3:12" x14ac:dyDescent="0.25">
      <c r="C1225" t="s">
        <v>1864</v>
      </c>
      <c r="D1225" t="s">
        <v>1864</v>
      </c>
      <c r="E1225" t="s">
        <v>3076</v>
      </c>
      <c r="F1225" s="4" t="s">
        <v>964</v>
      </c>
      <c r="G1225" t="str">
        <f t="shared" ref="G1225:J1240" si="97">IF(A1225="",G1224,A1225)</f>
        <v>G</v>
      </c>
      <c r="H1225">
        <f t="shared" si="97"/>
        <v>45</v>
      </c>
      <c r="I1225" t="str">
        <f t="shared" si="97"/>
        <v>454</v>
      </c>
      <c r="J1225" t="str">
        <f t="shared" si="97"/>
        <v>45412</v>
      </c>
      <c r="K1225" t="str">
        <f t="shared" si="96"/>
        <v>4541202</v>
      </c>
      <c r="L1225">
        <v>0</v>
      </c>
    </row>
    <row r="1226" spans="3:12" x14ac:dyDescent="0.25">
      <c r="C1226" t="s">
        <v>1864</v>
      </c>
      <c r="D1226" t="s">
        <v>1864</v>
      </c>
      <c r="E1226" t="s">
        <v>3077</v>
      </c>
      <c r="F1226" s="4" t="s">
        <v>965</v>
      </c>
      <c r="G1226" t="str">
        <f t="shared" si="97"/>
        <v>G</v>
      </c>
      <c r="H1226">
        <f t="shared" si="97"/>
        <v>45</v>
      </c>
      <c r="I1226" t="str">
        <f t="shared" si="97"/>
        <v>454</v>
      </c>
      <c r="J1226" t="str">
        <f t="shared" si="97"/>
        <v>45412</v>
      </c>
      <c r="K1226" t="str">
        <f t="shared" si="96"/>
        <v>4541203</v>
      </c>
      <c r="L1226">
        <v>0</v>
      </c>
    </row>
    <row r="1227" spans="3:12" x14ac:dyDescent="0.25">
      <c r="C1227" t="s">
        <v>1864</v>
      </c>
      <c r="D1227" t="s">
        <v>1864</v>
      </c>
      <c r="E1227" t="s">
        <v>3078</v>
      </c>
      <c r="F1227" s="4" t="s">
        <v>966</v>
      </c>
      <c r="G1227" t="str">
        <f t="shared" si="97"/>
        <v>G</v>
      </c>
      <c r="H1227">
        <f t="shared" si="97"/>
        <v>45</v>
      </c>
      <c r="I1227" t="str">
        <f t="shared" si="97"/>
        <v>454</v>
      </c>
      <c r="J1227" t="str">
        <f t="shared" si="97"/>
        <v>45412</v>
      </c>
      <c r="K1227" t="str">
        <f t="shared" si="96"/>
        <v>4541204</v>
      </c>
      <c r="L1227">
        <v>0</v>
      </c>
    </row>
    <row r="1228" spans="3:12" x14ac:dyDescent="0.25">
      <c r="C1228" t="s">
        <v>1864</v>
      </c>
      <c r="D1228" t="s">
        <v>1864</v>
      </c>
      <c r="E1228" t="s">
        <v>3079</v>
      </c>
      <c r="F1228" s="4" t="s">
        <v>967</v>
      </c>
      <c r="G1228" t="str">
        <f t="shared" si="97"/>
        <v>G</v>
      </c>
      <c r="H1228">
        <f t="shared" si="97"/>
        <v>45</v>
      </c>
      <c r="I1228" t="str">
        <f t="shared" si="97"/>
        <v>454</v>
      </c>
      <c r="J1228" t="str">
        <f t="shared" si="97"/>
        <v>45412</v>
      </c>
      <c r="K1228" t="str">
        <f t="shared" si="96"/>
        <v>4541206</v>
      </c>
      <c r="L1228">
        <v>0</v>
      </c>
    </row>
    <row r="1229" spans="3:12" x14ac:dyDescent="0.25">
      <c r="C1229" t="s">
        <v>1864</v>
      </c>
      <c r="D1229" t="s">
        <v>1864</v>
      </c>
      <c r="E1229" t="s">
        <v>3080</v>
      </c>
      <c r="F1229" s="4" t="s">
        <v>968</v>
      </c>
      <c r="G1229" t="str">
        <f t="shared" si="97"/>
        <v>G</v>
      </c>
      <c r="H1229">
        <f t="shared" si="97"/>
        <v>45</v>
      </c>
      <c r="I1229" t="str">
        <f t="shared" si="97"/>
        <v>454</v>
      </c>
      <c r="J1229" t="str">
        <f t="shared" si="97"/>
        <v>45412</v>
      </c>
      <c r="K1229" t="str">
        <f t="shared" si="96"/>
        <v>4541207</v>
      </c>
      <c r="L1229">
        <v>0</v>
      </c>
    </row>
    <row r="1230" spans="3:12" x14ac:dyDescent="0.25">
      <c r="C1230" t="s">
        <v>1864</v>
      </c>
      <c r="D1230" t="s">
        <v>3081</v>
      </c>
      <c r="E1230" t="s">
        <v>1864</v>
      </c>
      <c r="F1230" s="4" t="s">
        <v>969</v>
      </c>
      <c r="G1230" t="str">
        <f t="shared" si="97"/>
        <v>G</v>
      </c>
      <c r="H1230">
        <f t="shared" si="97"/>
        <v>45</v>
      </c>
      <c r="I1230" t="str">
        <f t="shared" si="97"/>
        <v>454</v>
      </c>
      <c r="J1230" t="str">
        <f t="shared" si="97"/>
        <v>45421</v>
      </c>
      <c r="K1230" t="str">
        <f t="shared" si="96"/>
        <v/>
      </c>
    </row>
    <row r="1231" spans="3:12" x14ac:dyDescent="0.25">
      <c r="C1231" t="s">
        <v>1864</v>
      </c>
      <c r="D1231" t="s">
        <v>1864</v>
      </c>
      <c r="E1231" t="s">
        <v>3082</v>
      </c>
      <c r="F1231" s="4" t="s">
        <v>970</v>
      </c>
      <c r="G1231" t="str">
        <f t="shared" si="97"/>
        <v>G</v>
      </c>
      <c r="H1231">
        <f t="shared" si="97"/>
        <v>45</v>
      </c>
      <c r="I1231" t="str">
        <f t="shared" si="97"/>
        <v>454</v>
      </c>
      <c r="J1231" t="str">
        <f t="shared" si="97"/>
        <v>45421</v>
      </c>
      <c r="K1231" t="str">
        <f t="shared" si="96"/>
        <v>4542101</v>
      </c>
      <c r="L1231">
        <v>0</v>
      </c>
    </row>
    <row r="1232" spans="3:12" x14ac:dyDescent="0.25">
      <c r="C1232" t="s">
        <v>1864</v>
      </c>
      <c r="D1232" t="s">
        <v>1864</v>
      </c>
      <c r="E1232" t="s">
        <v>3083</v>
      </c>
      <c r="F1232" s="4" t="s">
        <v>971</v>
      </c>
      <c r="G1232" t="str">
        <f t="shared" si="97"/>
        <v>G</v>
      </c>
      <c r="H1232">
        <f t="shared" si="97"/>
        <v>45</v>
      </c>
      <c r="I1232" t="str">
        <f t="shared" si="97"/>
        <v>454</v>
      </c>
      <c r="J1232" t="str">
        <f t="shared" si="97"/>
        <v>45421</v>
      </c>
      <c r="K1232" t="str">
        <f t="shared" si="96"/>
        <v>4542102</v>
      </c>
      <c r="L1232">
        <v>0</v>
      </c>
    </row>
    <row r="1233" spans="2:12" x14ac:dyDescent="0.25">
      <c r="C1233" t="s">
        <v>1864</v>
      </c>
      <c r="D1233" t="s">
        <v>3084</v>
      </c>
      <c r="E1233" t="s">
        <v>1864</v>
      </c>
      <c r="F1233" s="4" t="s">
        <v>972</v>
      </c>
      <c r="G1233" t="str">
        <f t="shared" si="97"/>
        <v>G</v>
      </c>
      <c r="H1233">
        <f t="shared" si="97"/>
        <v>45</v>
      </c>
      <c r="I1233" t="str">
        <f t="shared" si="97"/>
        <v>454</v>
      </c>
      <c r="J1233" t="str">
        <f t="shared" si="97"/>
        <v>45439</v>
      </c>
      <c r="K1233" t="str">
        <f t="shared" si="96"/>
        <v/>
      </c>
    </row>
    <row r="1234" spans="2:12" x14ac:dyDescent="0.25">
      <c r="C1234" t="s">
        <v>1864</v>
      </c>
      <c r="D1234" t="s">
        <v>1864</v>
      </c>
      <c r="E1234" t="s">
        <v>3085</v>
      </c>
      <c r="F1234" s="4" t="s">
        <v>973</v>
      </c>
      <c r="G1234" t="str">
        <f t="shared" si="97"/>
        <v>G</v>
      </c>
      <c r="H1234">
        <f t="shared" si="97"/>
        <v>45</v>
      </c>
      <c r="I1234" t="str">
        <f t="shared" si="97"/>
        <v>454</v>
      </c>
      <c r="J1234" t="str">
        <f t="shared" si="97"/>
        <v>45439</v>
      </c>
      <c r="K1234" t="str">
        <f t="shared" si="96"/>
        <v>4543900</v>
      </c>
      <c r="L1234">
        <v>1</v>
      </c>
    </row>
    <row r="1235" spans="2:12" x14ac:dyDescent="0.25">
      <c r="B1235" t="s">
        <v>3086</v>
      </c>
      <c r="C1235" t="s">
        <v>1864</v>
      </c>
      <c r="D1235" t="s">
        <v>1864</v>
      </c>
      <c r="E1235" t="s">
        <v>1864</v>
      </c>
      <c r="F1235" s="4" t="s">
        <v>974</v>
      </c>
      <c r="G1235" t="str">
        <f t="shared" si="97"/>
        <v>G</v>
      </c>
      <c r="H1235" t="str">
        <f t="shared" si="97"/>
        <v>46</v>
      </c>
      <c r="I1235" t="str">
        <f t="shared" si="97"/>
        <v>454</v>
      </c>
      <c r="J1235" t="str">
        <f t="shared" si="97"/>
        <v>45439</v>
      </c>
      <c r="K1235" t="str">
        <f t="shared" si="96"/>
        <v/>
      </c>
    </row>
    <row r="1236" spans="2:12" x14ac:dyDescent="0.25">
      <c r="C1236" t="s">
        <v>3087</v>
      </c>
      <c r="D1236" t="s">
        <v>1864</v>
      </c>
      <c r="E1236" t="s">
        <v>1864</v>
      </c>
      <c r="F1236" s="4" t="s">
        <v>975</v>
      </c>
      <c r="G1236" t="str">
        <f t="shared" si="97"/>
        <v>G</v>
      </c>
      <c r="H1236" t="str">
        <f t="shared" si="97"/>
        <v>46</v>
      </c>
      <c r="I1236" t="str">
        <f t="shared" si="97"/>
        <v>461</v>
      </c>
      <c r="J1236" t="str">
        <f t="shared" si="97"/>
        <v>45439</v>
      </c>
      <c r="K1236" t="str">
        <f t="shared" si="96"/>
        <v/>
      </c>
    </row>
    <row r="1237" spans="2:12" x14ac:dyDescent="0.25">
      <c r="C1237" t="s">
        <v>1864</v>
      </c>
      <c r="D1237" t="s">
        <v>3088</v>
      </c>
      <c r="E1237" t="s">
        <v>1864</v>
      </c>
      <c r="F1237" s="4" t="s">
        <v>976</v>
      </c>
      <c r="G1237" t="str">
        <f t="shared" si="97"/>
        <v>G</v>
      </c>
      <c r="H1237" t="str">
        <f t="shared" si="97"/>
        <v>46</v>
      </c>
      <c r="I1237" t="str">
        <f t="shared" si="97"/>
        <v>461</v>
      </c>
      <c r="J1237" t="str">
        <f t="shared" si="97"/>
        <v>46117</v>
      </c>
      <c r="K1237" t="str">
        <f t="shared" si="96"/>
        <v/>
      </c>
    </row>
    <row r="1238" spans="2:12" x14ac:dyDescent="0.25">
      <c r="C1238" t="s">
        <v>1864</v>
      </c>
      <c r="D1238" t="s">
        <v>1864</v>
      </c>
      <c r="E1238" t="s">
        <v>3089</v>
      </c>
      <c r="F1238" s="4" t="s">
        <v>976</v>
      </c>
      <c r="G1238" t="str">
        <f t="shared" si="97"/>
        <v>G</v>
      </c>
      <c r="H1238" t="str">
        <f t="shared" si="97"/>
        <v>46</v>
      </c>
      <c r="I1238" t="str">
        <f t="shared" si="97"/>
        <v>461</v>
      </c>
      <c r="J1238" t="str">
        <f t="shared" si="97"/>
        <v>46117</v>
      </c>
      <c r="K1238" t="str">
        <f t="shared" si="96"/>
        <v>4611700</v>
      </c>
      <c r="L1238">
        <v>0</v>
      </c>
    </row>
    <row r="1239" spans="2:12" x14ac:dyDescent="0.25">
      <c r="C1239" t="s">
        <v>1864</v>
      </c>
      <c r="D1239" t="s">
        <v>3090</v>
      </c>
      <c r="E1239" t="s">
        <v>1864</v>
      </c>
      <c r="F1239" s="4" t="s">
        <v>977</v>
      </c>
      <c r="G1239" t="str">
        <f t="shared" si="97"/>
        <v>G</v>
      </c>
      <c r="H1239" t="str">
        <f t="shared" si="97"/>
        <v>46</v>
      </c>
      <c r="I1239" t="str">
        <f t="shared" si="97"/>
        <v>461</v>
      </c>
      <c r="J1239" t="str">
        <f t="shared" si="97"/>
        <v>46125</v>
      </c>
      <c r="K1239" t="str">
        <f t="shared" si="96"/>
        <v/>
      </c>
    </row>
    <row r="1240" spans="2:12" x14ac:dyDescent="0.25">
      <c r="C1240" t="s">
        <v>1864</v>
      </c>
      <c r="D1240" t="s">
        <v>1864</v>
      </c>
      <c r="E1240" t="s">
        <v>3091</v>
      </c>
      <c r="F1240" s="4" t="s">
        <v>977</v>
      </c>
      <c r="G1240" t="str">
        <f t="shared" si="97"/>
        <v>G</v>
      </c>
      <c r="H1240" t="str">
        <f t="shared" si="97"/>
        <v>46</v>
      </c>
      <c r="I1240" t="str">
        <f t="shared" si="97"/>
        <v>461</v>
      </c>
      <c r="J1240" t="str">
        <f t="shared" si="97"/>
        <v>46125</v>
      </c>
      <c r="K1240" t="str">
        <f t="shared" si="96"/>
        <v>4612500</v>
      </c>
      <c r="L1240">
        <v>0</v>
      </c>
    </row>
    <row r="1241" spans="2:12" x14ac:dyDescent="0.25">
      <c r="C1241" t="s">
        <v>1864</v>
      </c>
      <c r="D1241" t="s">
        <v>3092</v>
      </c>
      <c r="E1241" t="s">
        <v>1864</v>
      </c>
      <c r="F1241" s="4" t="s">
        <v>978</v>
      </c>
      <c r="G1241" t="str">
        <f t="shared" ref="G1241:J1256" si="98">IF(A1241="",G1240,A1241)</f>
        <v>G</v>
      </c>
      <c r="H1241" t="str">
        <f t="shared" si="98"/>
        <v>46</v>
      </c>
      <c r="I1241" t="str">
        <f t="shared" si="98"/>
        <v>461</v>
      </c>
      <c r="J1241" t="str">
        <f t="shared" si="98"/>
        <v>46133</v>
      </c>
      <c r="K1241" t="str">
        <f t="shared" si="96"/>
        <v/>
      </c>
    </row>
    <row r="1242" spans="2:12" x14ac:dyDescent="0.25">
      <c r="C1242" t="s">
        <v>1864</v>
      </c>
      <c r="D1242" t="s">
        <v>1864</v>
      </c>
      <c r="E1242" t="s">
        <v>3093</v>
      </c>
      <c r="F1242" s="4" t="s">
        <v>978</v>
      </c>
      <c r="G1242" t="str">
        <f t="shared" si="98"/>
        <v>G</v>
      </c>
      <c r="H1242" t="str">
        <f t="shared" si="98"/>
        <v>46</v>
      </c>
      <c r="I1242" t="str">
        <f t="shared" si="98"/>
        <v>461</v>
      </c>
      <c r="J1242" t="str">
        <f t="shared" si="98"/>
        <v>46133</v>
      </c>
      <c r="K1242" t="str">
        <f t="shared" si="96"/>
        <v>4613300</v>
      </c>
      <c r="L1242">
        <v>0</v>
      </c>
    </row>
    <row r="1243" spans="2:12" x14ac:dyDescent="0.25">
      <c r="C1243" t="s">
        <v>1864</v>
      </c>
      <c r="D1243" t="s">
        <v>3094</v>
      </c>
      <c r="E1243" t="s">
        <v>1864</v>
      </c>
      <c r="F1243" s="4" t="s">
        <v>979</v>
      </c>
      <c r="G1243" t="str">
        <f t="shared" si="98"/>
        <v>G</v>
      </c>
      <c r="H1243" t="str">
        <f t="shared" si="98"/>
        <v>46</v>
      </c>
      <c r="I1243" t="str">
        <f t="shared" si="98"/>
        <v>461</v>
      </c>
      <c r="J1243" t="str">
        <f t="shared" si="98"/>
        <v>46141</v>
      </c>
      <c r="K1243" t="str">
        <f t="shared" si="96"/>
        <v/>
      </c>
    </row>
    <row r="1244" spans="2:12" x14ac:dyDescent="0.25">
      <c r="C1244" t="s">
        <v>1864</v>
      </c>
      <c r="D1244" t="s">
        <v>1864</v>
      </c>
      <c r="E1244" t="s">
        <v>3095</v>
      </c>
      <c r="F1244" s="4" t="s">
        <v>979</v>
      </c>
      <c r="G1244" t="str">
        <f t="shared" si="98"/>
        <v>G</v>
      </c>
      <c r="H1244" t="str">
        <f t="shared" si="98"/>
        <v>46</v>
      </c>
      <c r="I1244" t="str">
        <f t="shared" si="98"/>
        <v>461</v>
      </c>
      <c r="J1244" t="str">
        <f t="shared" si="98"/>
        <v>46141</v>
      </c>
      <c r="K1244" t="str">
        <f t="shared" si="96"/>
        <v>4614100</v>
      </c>
      <c r="L1244">
        <v>0</v>
      </c>
    </row>
    <row r="1245" spans="2:12" x14ac:dyDescent="0.25">
      <c r="C1245" t="s">
        <v>1864</v>
      </c>
      <c r="D1245" t="s">
        <v>3096</v>
      </c>
      <c r="E1245" t="s">
        <v>1864</v>
      </c>
      <c r="F1245" s="4" t="s">
        <v>980</v>
      </c>
      <c r="G1245" t="str">
        <f t="shared" si="98"/>
        <v>G</v>
      </c>
      <c r="H1245" t="str">
        <f t="shared" si="98"/>
        <v>46</v>
      </c>
      <c r="I1245" t="str">
        <f t="shared" si="98"/>
        <v>461</v>
      </c>
      <c r="J1245" t="str">
        <f t="shared" si="98"/>
        <v>46150</v>
      </c>
      <c r="K1245" t="str">
        <f t="shared" si="96"/>
        <v/>
      </c>
    </row>
    <row r="1246" spans="2:12" x14ac:dyDescent="0.25">
      <c r="C1246" t="s">
        <v>1864</v>
      </c>
      <c r="D1246" t="s">
        <v>1864</v>
      </c>
      <c r="E1246" t="s">
        <v>3097</v>
      </c>
      <c r="F1246" s="4" t="s">
        <v>980</v>
      </c>
      <c r="G1246" t="str">
        <f t="shared" si="98"/>
        <v>G</v>
      </c>
      <c r="H1246" t="str">
        <f t="shared" si="98"/>
        <v>46</v>
      </c>
      <c r="I1246" t="str">
        <f t="shared" si="98"/>
        <v>461</v>
      </c>
      <c r="J1246" t="str">
        <f t="shared" si="98"/>
        <v>46150</v>
      </c>
      <c r="K1246" t="str">
        <f t="shared" si="96"/>
        <v>4615000</v>
      </c>
      <c r="L1246">
        <v>0</v>
      </c>
    </row>
    <row r="1247" spans="2:12" x14ac:dyDescent="0.25">
      <c r="C1247" t="s">
        <v>1864</v>
      </c>
      <c r="D1247" t="s">
        <v>3098</v>
      </c>
      <c r="E1247" t="s">
        <v>1864</v>
      </c>
      <c r="F1247" s="4" t="s">
        <v>981</v>
      </c>
      <c r="G1247" t="str">
        <f t="shared" si="98"/>
        <v>G</v>
      </c>
      <c r="H1247" t="str">
        <f t="shared" si="98"/>
        <v>46</v>
      </c>
      <c r="I1247" t="str">
        <f t="shared" si="98"/>
        <v>461</v>
      </c>
      <c r="J1247" t="str">
        <f t="shared" si="98"/>
        <v>46168</v>
      </c>
      <c r="K1247" t="str">
        <f t="shared" si="96"/>
        <v/>
      </c>
    </row>
    <row r="1248" spans="2:12" x14ac:dyDescent="0.25">
      <c r="C1248" t="s">
        <v>1864</v>
      </c>
      <c r="D1248" t="s">
        <v>1864</v>
      </c>
      <c r="E1248" t="s">
        <v>3099</v>
      </c>
      <c r="F1248" s="4" t="s">
        <v>981</v>
      </c>
      <c r="G1248" t="str">
        <f t="shared" si="98"/>
        <v>G</v>
      </c>
      <c r="H1248" t="str">
        <f t="shared" si="98"/>
        <v>46</v>
      </c>
      <c r="I1248" t="str">
        <f t="shared" si="98"/>
        <v>461</v>
      </c>
      <c r="J1248" t="str">
        <f t="shared" si="98"/>
        <v>46168</v>
      </c>
      <c r="K1248" t="str">
        <f t="shared" si="96"/>
        <v>4616800</v>
      </c>
      <c r="L1248">
        <v>0</v>
      </c>
    </row>
    <row r="1249" spans="3:12" x14ac:dyDescent="0.25">
      <c r="C1249" t="s">
        <v>1864</v>
      </c>
      <c r="D1249" t="s">
        <v>3100</v>
      </c>
      <c r="E1249" t="s">
        <v>1864</v>
      </c>
      <c r="F1249" s="4" t="s">
        <v>982</v>
      </c>
      <c r="G1249" t="str">
        <f t="shared" si="98"/>
        <v>G</v>
      </c>
      <c r="H1249" t="str">
        <f t="shared" si="98"/>
        <v>46</v>
      </c>
      <c r="I1249" t="str">
        <f t="shared" si="98"/>
        <v>461</v>
      </c>
      <c r="J1249" t="str">
        <f t="shared" si="98"/>
        <v>46176</v>
      </c>
      <c r="K1249" t="str">
        <f t="shared" si="96"/>
        <v/>
      </c>
    </row>
    <row r="1250" spans="3:12" x14ac:dyDescent="0.25">
      <c r="C1250" t="s">
        <v>1864</v>
      </c>
      <c r="D1250" t="s">
        <v>1864</v>
      </c>
      <c r="E1250" t="s">
        <v>3101</v>
      </c>
      <c r="F1250" s="4" t="s">
        <v>982</v>
      </c>
      <c r="G1250" t="str">
        <f t="shared" si="98"/>
        <v>G</v>
      </c>
      <c r="H1250" t="str">
        <f t="shared" si="98"/>
        <v>46</v>
      </c>
      <c r="I1250" t="str">
        <f t="shared" si="98"/>
        <v>461</v>
      </c>
      <c r="J1250" t="str">
        <f t="shared" si="98"/>
        <v>46176</v>
      </c>
      <c r="K1250" t="str">
        <f t="shared" si="96"/>
        <v>4617600</v>
      </c>
      <c r="L1250">
        <v>0</v>
      </c>
    </row>
    <row r="1251" spans="3:12" x14ac:dyDescent="0.25">
      <c r="C1251" t="s">
        <v>1864</v>
      </c>
      <c r="D1251" t="s">
        <v>3102</v>
      </c>
      <c r="E1251" t="s">
        <v>1864</v>
      </c>
      <c r="F1251" s="4" t="s">
        <v>983</v>
      </c>
      <c r="G1251" t="str">
        <f t="shared" si="98"/>
        <v>G</v>
      </c>
      <c r="H1251" t="str">
        <f t="shared" si="98"/>
        <v>46</v>
      </c>
      <c r="I1251" t="str">
        <f t="shared" si="98"/>
        <v>461</v>
      </c>
      <c r="J1251" t="str">
        <f t="shared" si="98"/>
        <v>46184</v>
      </c>
      <c r="K1251" t="str">
        <f t="shared" si="96"/>
        <v/>
      </c>
    </row>
    <row r="1252" spans="3:12" x14ac:dyDescent="0.25">
      <c r="C1252" t="s">
        <v>1864</v>
      </c>
      <c r="D1252" t="s">
        <v>1864</v>
      </c>
      <c r="E1252" t="s">
        <v>3103</v>
      </c>
      <c r="F1252" s="4" t="s">
        <v>984</v>
      </c>
      <c r="G1252" t="str">
        <f t="shared" si="98"/>
        <v>G</v>
      </c>
      <c r="H1252" t="str">
        <f t="shared" si="98"/>
        <v>46</v>
      </c>
      <c r="I1252" t="str">
        <f t="shared" si="98"/>
        <v>461</v>
      </c>
      <c r="J1252" t="str">
        <f t="shared" si="98"/>
        <v>46184</v>
      </c>
      <c r="K1252" t="str">
        <f t="shared" si="96"/>
        <v>4618401</v>
      </c>
      <c r="L1252">
        <v>0</v>
      </c>
    </row>
    <row r="1253" spans="3:12" x14ac:dyDescent="0.25">
      <c r="C1253" t="s">
        <v>1864</v>
      </c>
      <c r="D1253" t="s">
        <v>1864</v>
      </c>
      <c r="E1253" t="s">
        <v>3104</v>
      </c>
      <c r="F1253" s="4" t="s">
        <v>985</v>
      </c>
      <c r="G1253" t="str">
        <f t="shared" si="98"/>
        <v>G</v>
      </c>
      <c r="H1253" t="str">
        <f t="shared" si="98"/>
        <v>46</v>
      </c>
      <c r="I1253" t="str">
        <f t="shared" si="98"/>
        <v>461</v>
      </c>
      <c r="J1253" t="str">
        <f t="shared" si="98"/>
        <v>46184</v>
      </c>
      <c r="K1253" t="str">
        <f t="shared" si="96"/>
        <v>4618402</v>
      </c>
      <c r="L1253">
        <v>0</v>
      </c>
    </row>
    <row r="1254" spans="3:12" x14ac:dyDescent="0.25">
      <c r="C1254" t="s">
        <v>1864</v>
      </c>
      <c r="D1254" t="s">
        <v>1864</v>
      </c>
      <c r="E1254" t="s">
        <v>3105</v>
      </c>
      <c r="F1254" s="4" t="s">
        <v>986</v>
      </c>
      <c r="G1254" t="str">
        <f t="shared" si="98"/>
        <v>G</v>
      </c>
      <c r="H1254" t="str">
        <f t="shared" si="98"/>
        <v>46</v>
      </c>
      <c r="I1254" t="str">
        <f t="shared" si="98"/>
        <v>461</v>
      </c>
      <c r="J1254" t="str">
        <f t="shared" si="98"/>
        <v>46184</v>
      </c>
      <c r="K1254" t="str">
        <f t="shared" si="96"/>
        <v>4618403</v>
      </c>
      <c r="L1254">
        <v>0</v>
      </c>
    </row>
    <row r="1255" spans="3:12" x14ac:dyDescent="0.25">
      <c r="C1255" t="s">
        <v>1864</v>
      </c>
      <c r="D1255" t="s">
        <v>1864</v>
      </c>
      <c r="E1255" t="s">
        <v>3106</v>
      </c>
      <c r="F1255" s="4" t="s">
        <v>987</v>
      </c>
      <c r="G1255" t="str">
        <f t="shared" si="98"/>
        <v>G</v>
      </c>
      <c r="H1255" t="str">
        <f t="shared" si="98"/>
        <v>46</v>
      </c>
      <c r="I1255" t="str">
        <f t="shared" si="98"/>
        <v>461</v>
      </c>
      <c r="J1255" t="str">
        <f t="shared" si="98"/>
        <v>46184</v>
      </c>
      <c r="K1255" t="str">
        <f t="shared" si="96"/>
        <v>4618499</v>
      </c>
      <c r="L1255">
        <v>0</v>
      </c>
    </row>
    <row r="1256" spans="3:12" x14ac:dyDescent="0.25">
      <c r="C1256" t="s">
        <v>1864</v>
      </c>
      <c r="D1256" t="s">
        <v>3107</v>
      </c>
      <c r="E1256" t="s">
        <v>1864</v>
      </c>
      <c r="F1256" s="4" t="s">
        <v>988</v>
      </c>
      <c r="G1256" t="str">
        <f t="shared" si="98"/>
        <v>G</v>
      </c>
      <c r="H1256" t="str">
        <f t="shared" si="98"/>
        <v>46</v>
      </c>
      <c r="I1256" t="str">
        <f t="shared" si="98"/>
        <v>461</v>
      </c>
      <c r="J1256" t="str">
        <f t="shared" si="98"/>
        <v>46192</v>
      </c>
      <c r="K1256" t="str">
        <f t="shared" si="96"/>
        <v/>
      </c>
    </row>
    <row r="1257" spans="3:12" x14ac:dyDescent="0.25">
      <c r="C1257" t="s">
        <v>1864</v>
      </c>
      <c r="D1257" t="s">
        <v>1864</v>
      </c>
      <c r="E1257" t="s">
        <v>3108</v>
      </c>
      <c r="F1257" s="4" t="s">
        <v>988</v>
      </c>
      <c r="G1257" t="str">
        <f t="shared" ref="G1257:J1272" si="99">IF(A1257="",G1256,A1257)</f>
        <v>G</v>
      </c>
      <c r="H1257" t="str">
        <f t="shared" si="99"/>
        <v>46</v>
      </c>
      <c r="I1257" t="str">
        <f t="shared" si="99"/>
        <v>461</v>
      </c>
      <c r="J1257" t="str">
        <f t="shared" si="99"/>
        <v>46192</v>
      </c>
      <c r="K1257" t="str">
        <f t="shared" si="96"/>
        <v>4619200</v>
      </c>
      <c r="L1257">
        <v>0</v>
      </c>
    </row>
    <row r="1258" spans="3:12" x14ac:dyDescent="0.25">
      <c r="C1258" t="s">
        <v>3109</v>
      </c>
      <c r="D1258" t="s">
        <v>1864</v>
      </c>
      <c r="E1258" t="s">
        <v>1864</v>
      </c>
      <c r="F1258" s="4" t="s">
        <v>989</v>
      </c>
      <c r="G1258" t="str">
        <f t="shared" si="99"/>
        <v>G</v>
      </c>
      <c r="H1258" t="str">
        <f t="shared" si="99"/>
        <v>46</v>
      </c>
      <c r="I1258" t="str">
        <f t="shared" si="99"/>
        <v>462</v>
      </c>
      <c r="J1258" t="str">
        <f t="shared" si="99"/>
        <v>46192</v>
      </c>
      <c r="K1258" t="str">
        <f t="shared" si="96"/>
        <v/>
      </c>
    </row>
    <row r="1259" spans="3:12" x14ac:dyDescent="0.25">
      <c r="C1259" t="s">
        <v>1864</v>
      </c>
      <c r="D1259" t="s">
        <v>3110</v>
      </c>
      <c r="E1259" t="s">
        <v>1864</v>
      </c>
      <c r="F1259" s="4" t="s">
        <v>990</v>
      </c>
      <c r="G1259" t="str">
        <f t="shared" si="99"/>
        <v>G</v>
      </c>
      <c r="H1259" t="str">
        <f t="shared" si="99"/>
        <v>46</v>
      </c>
      <c r="I1259" t="str">
        <f t="shared" si="99"/>
        <v>462</v>
      </c>
      <c r="J1259" t="str">
        <f t="shared" si="99"/>
        <v>46214</v>
      </c>
      <c r="K1259" t="str">
        <f t="shared" si="96"/>
        <v/>
      </c>
    </row>
    <row r="1260" spans="3:12" x14ac:dyDescent="0.25">
      <c r="C1260" t="s">
        <v>1864</v>
      </c>
      <c r="D1260" t="s">
        <v>1864</v>
      </c>
      <c r="E1260" t="s">
        <v>3111</v>
      </c>
      <c r="F1260" s="1" t="s">
        <v>990</v>
      </c>
      <c r="G1260" t="str">
        <f t="shared" si="99"/>
        <v>G</v>
      </c>
      <c r="H1260" t="str">
        <f t="shared" si="99"/>
        <v>46</v>
      </c>
      <c r="I1260" t="str">
        <f t="shared" si="99"/>
        <v>462</v>
      </c>
      <c r="J1260" t="str">
        <f t="shared" si="99"/>
        <v>46214</v>
      </c>
      <c r="K1260" t="str">
        <f t="shared" si="96"/>
        <v>4621400</v>
      </c>
      <c r="L1260">
        <v>0</v>
      </c>
    </row>
    <row r="1261" spans="3:12" x14ac:dyDescent="0.25">
      <c r="C1261" t="s">
        <v>1864</v>
      </c>
      <c r="D1261" t="s">
        <v>3112</v>
      </c>
      <c r="E1261" t="s">
        <v>1864</v>
      </c>
      <c r="F1261" s="1" t="s">
        <v>991</v>
      </c>
      <c r="G1261" t="str">
        <f t="shared" si="99"/>
        <v>G</v>
      </c>
      <c r="H1261" t="str">
        <f t="shared" si="99"/>
        <v>46</v>
      </c>
      <c r="I1261" t="str">
        <f t="shared" si="99"/>
        <v>462</v>
      </c>
      <c r="J1261" t="str">
        <f t="shared" si="99"/>
        <v>46222</v>
      </c>
      <c r="K1261" t="str">
        <f t="shared" si="96"/>
        <v/>
      </c>
    </row>
    <row r="1262" spans="3:12" x14ac:dyDescent="0.25">
      <c r="C1262" t="s">
        <v>1864</v>
      </c>
      <c r="D1262" t="s">
        <v>1864</v>
      </c>
      <c r="E1262" t="s">
        <v>3113</v>
      </c>
      <c r="F1262" s="1" t="s">
        <v>991</v>
      </c>
      <c r="G1262" t="str">
        <f t="shared" si="99"/>
        <v>G</v>
      </c>
      <c r="H1262" t="str">
        <f t="shared" si="99"/>
        <v>46</v>
      </c>
      <c r="I1262" t="str">
        <f t="shared" si="99"/>
        <v>462</v>
      </c>
      <c r="J1262" t="str">
        <f t="shared" si="99"/>
        <v>46222</v>
      </c>
      <c r="K1262" t="str">
        <f t="shared" si="96"/>
        <v>4622200</v>
      </c>
      <c r="L1262">
        <v>0</v>
      </c>
    </row>
    <row r="1263" spans="3:12" x14ac:dyDescent="0.25">
      <c r="C1263" t="s">
        <v>1864</v>
      </c>
      <c r="D1263" t="s">
        <v>3114</v>
      </c>
      <c r="E1263" t="s">
        <v>1864</v>
      </c>
      <c r="F1263" s="1" t="s">
        <v>992</v>
      </c>
      <c r="G1263" t="str">
        <f t="shared" si="99"/>
        <v>G</v>
      </c>
      <c r="H1263" t="str">
        <f t="shared" si="99"/>
        <v>46</v>
      </c>
      <c r="I1263" t="str">
        <f t="shared" si="99"/>
        <v>462</v>
      </c>
      <c r="J1263" t="str">
        <f t="shared" si="99"/>
        <v>46231</v>
      </c>
      <c r="K1263" t="str">
        <f t="shared" si="96"/>
        <v/>
      </c>
    </row>
    <row r="1264" spans="3:12" x14ac:dyDescent="0.25">
      <c r="C1264" t="s">
        <v>1864</v>
      </c>
      <c r="D1264" t="s">
        <v>1864</v>
      </c>
      <c r="E1264" t="s">
        <v>3115</v>
      </c>
      <c r="F1264" s="1" t="s">
        <v>993</v>
      </c>
      <c r="G1264" t="str">
        <f t="shared" si="99"/>
        <v>G</v>
      </c>
      <c r="H1264" t="str">
        <f t="shared" si="99"/>
        <v>46</v>
      </c>
      <c r="I1264" t="str">
        <f t="shared" si="99"/>
        <v>462</v>
      </c>
      <c r="J1264" t="str">
        <f t="shared" si="99"/>
        <v>46231</v>
      </c>
      <c r="K1264" t="str">
        <f t="shared" si="96"/>
        <v>4623101</v>
      </c>
      <c r="L1264">
        <v>0</v>
      </c>
    </row>
    <row r="1265" spans="3:12" x14ac:dyDescent="0.25">
      <c r="C1265" t="s">
        <v>1864</v>
      </c>
      <c r="D1265" t="s">
        <v>1864</v>
      </c>
      <c r="E1265" t="s">
        <v>3116</v>
      </c>
      <c r="F1265" s="1" t="s">
        <v>994</v>
      </c>
      <c r="G1265" t="str">
        <f t="shared" si="99"/>
        <v>G</v>
      </c>
      <c r="H1265" t="str">
        <f t="shared" si="99"/>
        <v>46</v>
      </c>
      <c r="I1265" t="str">
        <f t="shared" si="99"/>
        <v>462</v>
      </c>
      <c r="J1265" t="str">
        <f t="shared" si="99"/>
        <v>46231</v>
      </c>
      <c r="K1265" t="str">
        <f t="shared" si="96"/>
        <v>4623102</v>
      </c>
      <c r="L1265">
        <v>0</v>
      </c>
    </row>
    <row r="1266" spans="3:12" x14ac:dyDescent="0.25">
      <c r="C1266" t="s">
        <v>1864</v>
      </c>
      <c r="D1266" t="s">
        <v>1864</v>
      </c>
      <c r="E1266" t="s">
        <v>3117</v>
      </c>
      <c r="F1266" s="1" t="s">
        <v>995</v>
      </c>
      <c r="G1266" t="str">
        <f t="shared" si="99"/>
        <v>G</v>
      </c>
      <c r="H1266" t="str">
        <f t="shared" si="99"/>
        <v>46</v>
      </c>
      <c r="I1266" t="str">
        <f t="shared" si="99"/>
        <v>462</v>
      </c>
      <c r="J1266" t="str">
        <f t="shared" si="99"/>
        <v>46231</v>
      </c>
      <c r="K1266" t="str">
        <f t="shared" si="96"/>
        <v>4623103</v>
      </c>
      <c r="L1266">
        <v>0</v>
      </c>
    </row>
    <row r="1267" spans="3:12" x14ac:dyDescent="0.25">
      <c r="C1267" t="s">
        <v>1864</v>
      </c>
      <c r="D1267" t="s">
        <v>1864</v>
      </c>
      <c r="E1267" t="s">
        <v>3118</v>
      </c>
      <c r="F1267" s="1" t="s">
        <v>996</v>
      </c>
      <c r="G1267" t="str">
        <f t="shared" si="99"/>
        <v>G</v>
      </c>
      <c r="H1267" t="str">
        <f t="shared" si="99"/>
        <v>46</v>
      </c>
      <c r="I1267" t="str">
        <f t="shared" si="99"/>
        <v>462</v>
      </c>
      <c r="J1267" t="str">
        <f t="shared" si="99"/>
        <v>46231</v>
      </c>
      <c r="K1267" t="str">
        <f t="shared" si="96"/>
        <v>4623104</v>
      </c>
      <c r="L1267">
        <v>0</v>
      </c>
    </row>
    <row r="1268" spans="3:12" x14ac:dyDescent="0.25">
      <c r="C1268" t="s">
        <v>1864</v>
      </c>
      <c r="D1268" t="s">
        <v>1864</v>
      </c>
      <c r="E1268" t="s">
        <v>3119</v>
      </c>
      <c r="F1268" s="1" t="s">
        <v>997</v>
      </c>
      <c r="G1268" t="str">
        <f t="shared" si="99"/>
        <v>G</v>
      </c>
      <c r="H1268" t="str">
        <f t="shared" si="99"/>
        <v>46</v>
      </c>
      <c r="I1268" t="str">
        <f t="shared" si="99"/>
        <v>462</v>
      </c>
      <c r="J1268" t="str">
        <f t="shared" si="99"/>
        <v>46231</v>
      </c>
      <c r="K1268" t="str">
        <f t="shared" si="96"/>
        <v>4623105</v>
      </c>
      <c r="L1268">
        <v>0</v>
      </c>
    </row>
    <row r="1269" spans="3:12" x14ac:dyDescent="0.25">
      <c r="C1269" t="s">
        <v>1864</v>
      </c>
      <c r="D1269" t="s">
        <v>1864</v>
      </c>
      <c r="E1269" t="s">
        <v>3120</v>
      </c>
      <c r="F1269" s="1" t="s">
        <v>998</v>
      </c>
      <c r="G1269" t="str">
        <f t="shared" si="99"/>
        <v>G</v>
      </c>
      <c r="H1269" t="str">
        <f t="shared" si="99"/>
        <v>46</v>
      </c>
      <c r="I1269" t="str">
        <f t="shared" si="99"/>
        <v>462</v>
      </c>
      <c r="J1269" t="str">
        <f t="shared" si="99"/>
        <v>46231</v>
      </c>
      <c r="K1269" t="str">
        <f t="shared" si="96"/>
        <v>4623106</v>
      </c>
      <c r="L1269">
        <v>0</v>
      </c>
    </row>
    <row r="1270" spans="3:12" x14ac:dyDescent="0.25">
      <c r="C1270" t="s">
        <v>1864</v>
      </c>
      <c r="D1270" t="s">
        <v>1864</v>
      </c>
      <c r="E1270" t="s">
        <v>3121</v>
      </c>
      <c r="F1270" s="1" t="s">
        <v>999</v>
      </c>
      <c r="G1270" t="str">
        <f t="shared" si="99"/>
        <v>G</v>
      </c>
      <c r="H1270" t="str">
        <f t="shared" si="99"/>
        <v>46</v>
      </c>
      <c r="I1270" t="str">
        <f t="shared" si="99"/>
        <v>462</v>
      </c>
      <c r="J1270" t="str">
        <f t="shared" si="99"/>
        <v>46231</v>
      </c>
      <c r="K1270" t="str">
        <f t="shared" si="96"/>
        <v>4623107</v>
      </c>
      <c r="L1270">
        <v>0</v>
      </c>
    </row>
    <row r="1271" spans="3:12" x14ac:dyDescent="0.25">
      <c r="C1271" t="s">
        <v>1864</v>
      </c>
      <c r="D1271" t="s">
        <v>1864</v>
      </c>
      <c r="E1271" t="s">
        <v>3122</v>
      </c>
      <c r="F1271" s="1" t="s">
        <v>1000</v>
      </c>
      <c r="G1271" t="str">
        <f t="shared" si="99"/>
        <v>G</v>
      </c>
      <c r="H1271" t="str">
        <f t="shared" si="99"/>
        <v>46</v>
      </c>
      <c r="I1271" t="str">
        <f t="shared" si="99"/>
        <v>462</v>
      </c>
      <c r="J1271" t="str">
        <f t="shared" si="99"/>
        <v>46231</v>
      </c>
      <c r="K1271" t="str">
        <f t="shared" si="96"/>
        <v>4623108</v>
      </c>
      <c r="L1271">
        <v>0</v>
      </c>
    </row>
    <row r="1272" spans="3:12" x14ac:dyDescent="0.25">
      <c r="C1272" t="s">
        <v>1864</v>
      </c>
      <c r="D1272" t="s">
        <v>1864</v>
      </c>
      <c r="E1272" t="s">
        <v>3123</v>
      </c>
      <c r="F1272" s="1" t="s">
        <v>1001</v>
      </c>
      <c r="G1272" t="str">
        <f t="shared" si="99"/>
        <v>G</v>
      </c>
      <c r="H1272" t="str">
        <f t="shared" si="99"/>
        <v>46</v>
      </c>
      <c r="I1272" t="str">
        <f t="shared" si="99"/>
        <v>462</v>
      </c>
      <c r="J1272" t="str">
        <f t="shared" si="99"/>
        <v>46231</v>
      </c>
      <c r="K1272" t="str">
        <f t="shared" si="96"/>
        <v>4623109</v>
      </c>
      <c r="L1272">
        <v>0</v>
      </c>
    </row>
    <row r="1273" spans="3:12" x14ac:dyDescent="0.25">
      <c r="C1273" t="s">
        <v>1864</v>
      </c>
      <c r="D1273" t="s">
        <v>1864</v>
      </c>
      <c r="E1273" t="s">
        <v>3124</v>
      </c>
      <c r="F1273" s="1" t="s">
        <v>1002</v>
      </c>
      <c r="G1273" t="str">
        <f t="shared" ref="G1273:J1288" si="100">IF(A1273="",G1272,A1273)</f>
        <v>G</v>
      </c>
      <c r="H1273" t="str">
        <f t="shared" si="100"/>
        <v>46</v>
      </c>
      <c r="I1273" t="str">
        <f t="shared" si="100"/>
        <v>462</v>
      </c>
      <c r="J1273" t="str">
        <f t="shared" si="100"/>
        <v>46231</v>
      </c>
      <c r="K1273" t="str">
        <f t="shared" si="96"/>
        <v>4623199</v>
      </c>
      <c r="L1273">
        <v>0</v>
      </c>
    </row>
    <row r="1274" spans="3:12" x14ac:dyDescent="0.25">
      <c r="C1274" t="s">
        <v>3125</v>
      </c>
      <c r="D1274" t="s">
        <v>1864</v>
      </c>
      <c r="E1274" t="s">
        <v>1864</v>
      </c>
      <c r="F1274" s="1" t="s">
        <v>1003</v>
      </c>
      <c r="G1274" t="str">
        <f t="shared" si="100"/>
        <v>G</v>
      </c>
      <c r="H1274" t="str">
        <f t="shared" si="100"/>
        <v>46</v>
      </c>
      <c r="I1274" t="str">
        <f t="shared" si="100"/>
        <v>463</v>
      </c>
      <c r="J1274" t="str">
        <f t="shared" si="100"/>
        <v>46231</v>
      </c>
      <c r="K1274" t="str">
        <f t="shared" si="96"/>
        <v/>
      </c>
    </row>
    <row r="1275" spans="3:12" x14ac:dyDescent="0.25">
      <c r="C1275" t="s">
        <v>1864</v>
      </c>
      <c r="D1275" t="s">
        <v>3126</v>
      </c>
      <c r="E1275" t="s">
        <v>1864</v>
      </c>
      <c r="F1275" s="1" t="s">
        <v>1004</v>
      </c>
      <c r="G1275" t="str">
        <f t="shared" si="100"/>
        <v>G</v>
      </c>
      <c r="H1275" t="str">
        <f t="shared" si="100"/>
        <v>46</v>
      </c>
      <c r="I1275" t="str">
        <f t="shared" si="100"/>
        <v>463</v>
      </c>
      <c r="J1275" t="str">
        <f t="shared" si="100"/>
        <v>46311</v>
      </c>
      <c r="K1275" t="str">
        <f t="shared" si="96"/>
        <v/>
      </c>
    </row>
    <row r="1276" spans="3:12" x14ac:dyDescent="0.25">
      <c r="C1276" t="s">
        <v>1864</v>
      </c>
      <c r="D1276" t="s">
        <v>1864</v>
      </c>
      <c r="E1276" t="s">
        <v>3127</v>
      </c>
      <c r="F1276" s="1" t="s">
        <v>1004</v>
      </c>
      <c r="G1276" t="str">
        <f t="shared" si="100"/>
        <v>G</v>
      </c>
      <c r="H1276" t="str">
        <f t="shared" si="100"/>
        <v>46</v>
      </c>
      <c r="I1276" t="str">
        <f t="shared" si="100"/>
        <v>463</v>
      </c>
      <c r="J1276" t="str">
        <f t="shared" si="100"/>
        <v>46311</v>
      </c>
      <c r="K1276" t="str">
        <f t="shared" si="96"/>
        <v>4631100</v>
      </c>
      <c r="L1276">
        <v>0</v>
      </c>
    </row>
    <row r="1277" spans="3:12" x14ac:dyDescent="0.25">
      <c r="C1277" t="s">
        <v>1864</v>
      </c>
      <c r="D1277" t="s">
        <v>3128</v>
      </c>
      <c r="E1277" t="s">
        <v>1864</v>
      </c>
      <c r="F1277" s="1" t="s">
        <v>1005</v>
      </c>
      <c r="G1277" t="str">
        <f t="shared" si="100"/>
        <v>G</v>
      </c>
      <c r="H1277" t="str">
        <f t="shared" si="100"/>
        <v>46</v>
      </c>
      <c r="I1277" t="str">
        <f t="shared" si="100"/>
        <v>463</v>
      </c>
      <c r="J1277" t="str">
        <f t="shared" si="100"/>
        <v>46320</v>
      </c>
      <c r="K1277" t="str">
        <f t="shared" si="96"/>
        <v/>
      </c>
    </row>
    <row r="1278" spans="3:12" x14ac:dyDescent="0.25">
      <c r="C1278" t="s">
        <v>1864</v>
      </c>
      <c r="D1278" t="s">
        <v>1864</v>
      </c>
      <c r="E1278" t="s">
        <v>3129</v>
      </c>
      <c r="F1278" s="1" t="s">
        <v>1006</v>
      </c>
      <c r="G1278" t="str">
        <f t="shared" si="100"/>
        <v>G</v>
      </c>
      <c r="H1278" t="str">
        <f t="shared" si="100"/>
        <v>46</v>
      </c>
      <c r="I1278" t="str">
        <f t="shared" si="100"/>
        <v>463</v>
      </c>
      <c r="J1278" t="str">
        <f t="shared" si="100"/>
        <v>46320</v>
      </c>
      <c r="K1278" t="str">
        <f t="shared" si="96"/>
        <v>4632001</v>
      </c>
      <c r="L1278">
        <v>0</v>
      </c>
    </row>
    <row r="1279" spans="3:12" x14ac:dyDescent="0.25">
      <c r="C1279" t="s">
        <v>1864</v>
      </c>
      <c r="D1279" t="s">
        <v>1864</v>
      </c>
      <c r="E1279" t="s">
        <v>3130</v>
      </c>
      <c r="F1279" s="1" t="s">
        <v>1007</v>
      </c>
      <c r="G1279" t="str">
        <f t="shared" si="100"/>
        <v>G</v>
      </c>
      <c r="H1279" t="str">
        <f t="shared" si="100"/>
        <v>46</v>
      </c>
      <c r="I1279" t="str">
        <f t="shared" si="100"/>
        <v>463</v>
      </c>
      <c r="J1279" t="str">
        <f t="shared" si="100"/>
        <v>46320</v>
      </c>
      <c r="K1279" t="str">
        <f t="shared" si="96"/>
        <v>4632002</v>
      </c>
      <c r="L1279">
        <v>0</v>
      </c>
    </row>
    <row r="1280" spans="3:12" x14ac:dyDescent="0.25">
      <c r="C1280" t="s">
        <v>1864</v>
      </c>
      <c r="D1280" t="s">
        <v>1864</v>
      </c>
      <c r="E1280" t="s">
        <v>3131</v>
      </c>
      <c r="F1280" s="1" t="s">
        <v>1008</v>
      </c>
      <c r="G1280" t="str">
        <f t="shared" si="100"/>
        <v>G</v>
      </c>
      <c r="H1280" t="str">
        <f t="shared" si="100"/>
        <v>46</v>
      </c>
      <c r="I1280" t="str">
        <f t="shared" si="100"/>
        <v>463</v>
      </c>
      <c r="J1280" t="str">
        <f t="shared" si="100"/>
        <v>46320</v>
      </c>
      <c r="K1280" t="str">
        <f t="shared" si="96"/>
        <v>4632003</v>
      </c>
      <c r="L1280">
        <v>0</v>
      </c>
    </row>
    <row r="1281" spans="3:12" x14ac:dyDescent="0.25">
      <c r="C1281" t="s">
        <v>1864</v>
      </c>
      <c r="D1281" t="s">
        <v>3132</v>
      </c>
      <c r="E1281" t="s">
        <v>1864</v>
      </c>
      <c r="F1281" s="1" t="s">
        <v>1009</v>
      </c>
      <c r="G1281" t="str">
        <f t="shared" si="100"/>
        <v>G</v>
      </c>
      <c r="H1281" t="str">
        <f t="shared" si="100"/>
        <v>46</v>
      </c>
      <c r="I1281" t="str">
        <f t="shared" si="100"/>
        <v>463</v>
      </c>
      <c r="J1281" t="str">
        <f t="shared" si="100"/>
        <v>46338</v>
      </c>
      <c r="K1281" t="str">
        <f t="shared" si="96"/>
        <v/>
      </c>
    </row>
    <row r="1282" spans="3:12" x14ac:dyDescent="0.25">
      <c r="C1282" t="s">
        <v>1864</v>
      </c>
      <c r="D1282" t="s">
        <v>1864</v>
      </c>
      <c r="E1282" t="s">
        <v>3133</v>
      </c>
      <c r="F1282" s="1" t="s">
        <v>1010</v>
      </c>
      <c r="G1282" t="str">
        <f t="shared" si="100"/>
        <v>G</v>
      </c>
      <c r="H1282" t="str">
        <f t="shared" si="100"/>
        <v>46</v>
      </c>
      <c r="I1282" t="str">
        <f t="shared" si="100"/>
        <v>463</v>
      </c>
      <c r="J1282" t="str">
        <f t="shared" si="100"/>
        <v>46338</v>
      </c>
      <c r="K1282" t="str">
        <f t="shared" si="96"/>
        <v>4633801</v>
      </c>
      <c r="L1282">
        <v>0</v>
      </c>
    </row>
    <row r="1283" spans="3:12" x14ac:dyDescent="0.25">
      <c r="C1283" t="s">
        <v>1864</v>
      </c>
      <c r="D1283" t="s">
        <v>1864</v>
      </c>
      <c r="E1283" t="s">
        <v>3134</v>
      </c>
      <c r="F1283" s="1" t="s">
        <v>1011</v>
      </c>
      <c r="G1283" t="str">
        <f t="shared" si="100"/>
        <v>G</v>
      </c>
      <c r="H1283" t="str">
        <f t="shared" si="100"/>
        <v>46</v>
      </c>
      <c r="I1283" t="str">
        <f t="shared" si="100"/>
        <v>463</v>
      </c>
      <c r="J1283" t="str">
        <f t="shared" si="100"/>
        <v>46338</v>
      </c>
      <c r="K1283" t="str">
        <f t="shared" si="96"/>
        <v>4633802</v>
      </c>
      <c r="L1283">
        <v>0</v>
      </c>
    </row>
    <row r="1284" spans="3:12" x14ac:dyDescent="0.25">
      <c r="C1284" t="s">
        <v>1864</v>
      </c>
      <c r="D1284" t="s">
        <v>1864</v>
      </c>
      <c r="E1284" t="s">
        <v>3135</v>
      </c>
      <c r="F1284" s="1" t="s">
        <v>1012</v>
      </c>
      <c r="G1284" t="str">
        <f t="shared" si="100"/>
        <v>G</v>
      </c>
      <c r="H1284" t="str">
        <f t="shared" si="100"/>
        <v>46</v>
      </c>
      <c r="I1284" t="str">
        <f t="shared" si="100"/>
        <v>463</v>
      </c>
      <c r="J1284" t="str">
        <f t="shared" si="100"/>
        <v>46338</v>
      </c>
      <c r="K1284" t="str">
        <f t="shared" si="96"/>
        <v>4633803</v>
      </c>
      <c r="L1284">
        <v>0</v>
      </c>
    </row>
    <row r="1285" spans="3:12" x14ac:dyDescent="0.25">
      <c r="C1285" t="s">
        <v>1864</v>
      </c>
      <c r="D1285" t="s">
        <v>3136</v>
      </c>
      <c r="E1285" t="s">
        <v>1864</v>
      </c>
      <c r="F1285" s="1" t="s">
        <v>1013</v>
      </c>
      <c r="G1285" t="str">
        <f t="shared" si="100"/>
        <v>G</v>
      </c>
      <c r="H1285" t="str">
        <f t="shared" si="100"/>
        <v>46</v>
      </c>
      <c r="I1285" t="str">
        <f t="shared" si="100"/>
        <v>463</v>
      </c>
      <c r="J1285" t="str">
        <f t="shared" si="100"/>
        <v>46346</v>
      </c>
      <c r="K1285" t="str">
        <f t="shared" si="96"/>
        <v/>
      </c>
    </row>
    <row r="1286" spans="3:12" x14ac:dyDescent="0.25">
      <c r="C1286" t="s">
        <v>1864</v>
      </c>
      <c r="D1286" t="s">
        <v>1864</v>
      </c>
      <c r="E1286" t="s">
        <v>3137</v>
      </c>
      <c r="F1286" s="1" t="s">
        <v>1014</v>
      </c>
      <c r="G1286" t="str">
        <f t="shared" si="100"/>
        <v>G</v>
      </c>
      <c r="H1286" t="str">
        <f t="shared" si="100"/>
        <v>46</v>
      </c>
      <c r="I1286" t="str">
        <f t="shared" si="100"/>
        <v>463</v>
      </c>
      <c r="J1286" t="str">
        <f t="shared" si="100"/>
        <v>46346</v>
      </c>
      <c r="K1286" t="str">
        <f t="shared" si="96"/>
        <v>4634601</v>
      </c>
      <c r="L1286">
        <v>0</v>
      </c>
    </row>
    <row r="1287" spans="3:12" x14ac:dyDescent="0.25">
      <c r="C1287" t="s">
        <v>1864</v>
      </c>
      <c r="D1287" t="s">
        <v>1864</v>
      </c>
      <c r="E1287" t="s">
        <v>3138</v>
      </c>
      <c r="F1287" s="1" t="s">
        <v>1015</v>
      </c>
      <c r="G1287" t="str">
        <f t="shared" si="100"/>
        <v>G</v>
      </c>
      <c r="H1287" t="str">
        <f t="shared" si="100"/>
        <v>46</v>
      </c>
      <c r="I1287" t="str">
        <f t="shared" si="100"/>
        <v>463</v>
      </c>
      <c r="J1287" t="str">
        <f t="shared" si="100"/>
        <v>46346</v>
      </c>
      <c r="K1287" t="str">
        <f t="shared" si="96"/>
        <v>4634602</v>
      </c>
      <c r="L1287">
        <v>0</v>
      </c>
    </row>
    <row r="1288" spans="3:12" x14ac:dyDescent="0.25">
      <c r="C1288" t="s">
        <v>1864</v>
      </c>
      <c r="D1288" t="s">
        <v>1864</v>
      </c>
      <c r="E1288" t="s">
        <v>3139</v>
      </c>
      <c r="F1288" s="1" t="s">
        <v>1016</v>
      </c>
      <c r="G1288" t="str">
        <f t="shared" si="100"/>
        <v>G</v>
      </c>
      <c r="H1288" t="str">
        <f t="shared" si="100"/>
        <v>46</v>
      </c>
      <c r="I1288" t="str">
        <f t="shared" si="100"/>
        <v>463</v>
      </c>
      <c r="J1288" t="str">
        <f t="shared" si="100"/>
        <v>46346</v>
      </c>
      <c r="K1288" t="str">
        <f t="shared" ref="K1288:K1351" si="101">E1288</f>
        <v>4634603</v>
      </c>
      <c r="L1288">
        <v>0</v>
      </c>
    </row>
    <row r="1289" spans="3:12" x14ac:dyDescent="0.25">
      <c r="C1289" t="s">
        <v>1864</v>
      </c>
      <c r="D1289" t="s">
        <v>1864</v>
      </c>
      <c r="E1289" t="s">
        <v>3140</v>
      </c>
      <c r="F1289" s="1" t="s">
        <v>1017</v>
      </c>
      <c r="G1289" t="str">
        <f t="shared" ref="G1289:J1304" si="102">IF(A1289="",G1288,A1289)</f>
        <v>G</v>
      </c>
      <c r="H1289" t="str">
        <f t="shared" si="102"/>
        <v>46</v>
      </c>
      <c r="I1289" t="str">
        <f t="shared" si="102"/>
        <v>463</v>
      </c>
      <c r="J1289" t="str">
        <f t="shared" si="102"/>
        <v>46346</v>
      </c>
      <c r="K1289" t="str">
        <f t="shared" si="101"/>
        <v>4634699</v>
      </c>
      <c r="L1289">
        <v>0</v>
      </c>
    </row>
    <row r="1290" spans="3:12" x14ac:dyDescent="0.25">
      <c r="C1290" t="s">
        <v>1864</v>
      </c>
      <c r="D1290" t="s">
        <v>3141</v>
      </c>
      <c r="E1290" t="s">
        <v>1864</v>
      </c>
      <c r="F1290" s="4" t="s">
        <v>1018</v>
      </c>
      <c r="G1290" t="str">
        <f t="shared" si="102"/>
        <v>G</v>
      </c>
      <c r="H1290" t="str">
        <f t="shared" si="102"/>
        <v>46</v>
      </c>
      <c r="I1290" t="str">
        <f t="shared" si="102"/>
        <v>463</v>
      </c>
      <c r="J1290" t="str">
        <f t="shared" si="102"/>
        <v>46354</v>
      </c>
      <c r="K1290" t="str">
        <f t="shared" si="101"/>
        <v/>
      </c>
    </row>
    <row r="1291" spans="3:12" x14ac:dyDescent="0.25">
      <c r="C1291" t="s">
        <v>1864</v>
      </c>
      <c r="D1291" t="s">
        <v>1864</v>
      </c>
      <c r="E1291" t="s">
        <v>3142</v>
      </c>
      <c r="F1291" s="4" t="s">
        <v>1019</v>
      </c>
      <c r="G1291" t="str">
        <f t="shared" si="102"/>
        <v>G</v>
      </c>
      <c r="H1291" t="str">
        <f t="shared" si="102"/>
        <v>46</v>
      </c>
      <c r="I1291" t="str">
        <f t="shared" si="102"/>
        <v>463</v>
      </c>
      <c r="J1291" t="str">
        <f t="shared" si="102"/>
        <v>46354</v>
      </c>
      <c r="K1291" t="str">
        <f t="shared" si="101"/>
        <v>4635401</v>
      </c>
      <c r="L1291">
        <v>0</v>
      </c>
    </row>
    <row r="1292" spans="3:12" x14ac:dyDescent="0.25">
      <c r="C1292" t="s">
        <v>1864</v>
      </c>
      <c r="D1292" t="s">
        <v>1864</v>
      </c>
      <c r="E1292" t="s">
        <v>3143</v>
      </c>
      <c r="F1292" s="4" t="s">
        <v>1020</v>
      </c>
      <c r="G1292" t="str">
        <f t="shared" si="102"/>
        <v>G</v>
      </c>
      <c r="H1292" t="str">
        <f t="shared" si="102"/>
        <v>46</v>
      </c>
      <c r="I1292" t="str">
        <f t="shared" si="102"/>
        <v>463</v>
      </c>
      <c r="J1292" t="str">
        <f t="shared" si="102"/>
        <v>46354</v>
      </c>
      <c r="K1292" t="str">
        <f t="shared" si="101"/>
        <v>4635402</v>
      </c>
      <c r="L1292">
        <v>0</v>
      </c>
    </row>
    <row r="1293" spans="3:12" x14ac:dyDescent="0.25">
      <c r="C1293" t="s">
        <v>1864</v>
      </c>
      <c r="D1293" t="s">
        <v>1864</v>
      </c>
      <c r="E1293" t="s">
        <v>3144</v>
      </c>
      <c r="F1293" s="4" t="s">
        <v>1021</v>
      </c>
      <c r="G1293" t="str">
        <f t="shared" si="102"/>
        <v>G</v>
      </c>
      <c r="H1293" t="str">
        <f t="shared" si="102"/>
        <v>46</v>
      </c>
      <c r="I1293" t="str">
        <f t="shared" si="102"/>
        <v>463</v>
      </c>
      <c r="J1293" t="str">
        <f t="shared" si="102"/>
        <v>46354</v>
      </c>
      <c r="K1293" t="str">
        <f t="shared" si="101"/>
        <v>4635403</v>
      </c>
      <c r="L1293">
        <v>0</v>
      </c>
    </row>
    <row r="1294" spans="3:12" x14ac:dyDescent="0.25">
      <c r="C1294" t="s">
        <v>1864</v>
      </c>
      <c r="D1294" t="s">
        <v>1864</v>
      </c>
      <c r="E1294" t="s">
        <v>3145</v>
      </c>
      <c r="F1294" s="4" t="s">
        <v>1022</v>
      </c>
      <c r="G1294" t="str">
        <f t="shared" si="102"/>
        <v>G</v>
      </c>
      <c r="H1294" t="str">
        <f t="shared" si="102"/>
        <v>46</v>
      </c>
      <c r="I1294" t="str">
        <f t="shared" si="102"/>
        <v>463</v>
      </c>
      <c r="J1294" t="str">
        <f t="shared" si="102"/>
        <v>46354</v>
      </c>
      <c r="K1294" t="str">
        <f t="shared" si="101"/>
        <v>4635499</v>
      </c>
      <c r="L1294">
        <v>0</v>
      </c>
    </row>
    <row r="1295" spans="3:12" x14ac:dyDescent="0.25">
      <c r="C1295" t="s">
        <v>1864</v>
      </c>
      <c r="D1295" t="s">
        <v>3146</v>
      </c>
      <c r="E1295" t="s">
        <v>1864</v>
      </c>
      <c r="F1295" s="4" t="s">
        <v>1023</v>
      </c>
      <c r="G1295" t="str">
        <f t="shared" si="102"/>
        <v>G</v>
      </c>
      <c r="H1295" t="str">
        <f t="shared" si="102"/>
        <v>46</v>
      </c>
      <c r="I1295" t="str">
        <f t="shared" si="102"/>
        <v>463</v>
      </c>
      <c r="J1295" t="str">
        <f t="shared" si="102"/>
        <v>46362</v>
      </c>
      <c r="K1295" t="str">
        <f t="shared" si="101"/>
        <v/>
      </c>
    </row>
    <row r="1296" spans="3:12" x14ac:dyDescent="0.25">
      <c r="C1296" t="s">
        <v>1864</v>
      </c>
      <c r="D1296" t="s">
        <v>1864</v>
      </c>
      <c r="E1296" t="s">
        <v>3147</v>
      </c>
      <c r="F1296" s="4" t="s">
        <v>1024</v>
      </c>
      <c r="G1296" t="str">
        <f t="shared" si="102"/>
        <v>G</v>
      </c>
      <c r="H1296" t="str">
        <f t="shared" si="102"/>
        <v>46</v>
      </c>
      <c r="I1296" t="str">
        <f t="shared" si="102"/>
        <v>463</v>
      </c>
      <c r="J1296" t="str">
        <f t="shared" si="102"/>
        <v>46362</v>
      </c>
      <c r="K1296" t="str">
        <f t="shared" si="101"/>
        <v>4636201</v>
      </c>
      <c r="L1296">
        <v>0</v>
      </c>
    </row>
    <row r="1297" spans="3:12" x14ac:dyDescent="0.25">
      <c r="C1297" t="s">
        <v>1864</v>
      </c>
      <c r="D1297" t="s">
        <v>1864</v>
      </c>
      <c r="E1297" t="s">
        <v>3148</v>
      </c>
      <c r="F1297" s="4" t="s">
        <v>1025</v>
      </c>
      <c r="G1297" t="str">
        <f t="shared" si="102"/>
        <v>G</v>
      </c>
      <c r="H1297" t="str">
        <f t="shared" si="102"/>
        <v>46</v>
      </c>
      <c r="I1297" t="str">
        <f t="shared" si="102"/>
        <v>463</v>
      </c>
      <c r="J1297" t="str">
        <f t="shared" si="102"/>
        <v>46362</v>
      </c>
      <c r="K1297" t="str">
        <f t="shared" si="101"/>
        <v>4636202</v>
      </c>
      <c r="L1297">
        <v>0</v>
      </c>
    </row>
    <row r="1298" spans="3:12" x14ac:dyDescent="0.25">
      <c r="C1298" t="s">
        <v>1864</v>
      </c>
      <c r="D1298" t="s">
        <v>3149</v>
      </c>
      <c r="E1298" t="s">
        <v>1864</v>
      </c>
      <c r="F1298" s="4" t="s">
        <v>1026</v>
      </c>
      <c r="G1298" t="str">
        <f t="shared" si="102"/>
        <v>G</v>
      </c>
      <c r="H1298" t="str">
        <f t="shared" si="102"/>
        <v>46</v>
      </c>
      <c r="I1298" t="str">
        <f t="shared" si="102"/>
        <v>463</v>
      </c>
      <c r="J1298" t="str">
        <f t="shared" si="102"/>
        <v>46371</v>
      </c>
      <c r="K1298" t="str">
        <f t="shared" si="101"/>
        <v/>
      </c>
    </row>
    <row r="1299" spans="3:12" x14ac:dyDescent="0.25">
      <c r="C1299" t="s">
        <v>1864</v>
      </c>
      <c r="D1299" t="s">
        <v>1864</v>
      </c>
      <c r="E1299" t="s">
        <v>3150</v>
      </c>
      <c r="F1299" s="1" t="s">
        <v>1027</v>
      </c>
      <c r="G1299" t="str">
        <f t="shared" si="102"/>
        <v>G</v>
      </c>
      <c r="H1299" t="str">
        <f t="shared" si="102"/>
        <v>46</v>
      </c>
      <c r="I1299" t="str">
        <f t="shared" si="102"/>
        <v>463</v>
      </c>
      <c r="J1299" t="str">
        <f t="shared" si="102"/>
        <v>46371</v>
      </c>
      <c r="K1299" t="str">
        <f t="shared" si="101"/>
        <v>4637101</v>
      </c>
      <c r="L1299">
        <v>0</v>
      </c>
    </row>
    <row r="1300" spans="3:12" x14ac:dyDescent="0.25">
      <c r="C1300" t="s">
        <v>1864</v>
      </c>
      <c r="D1300" t="s">
        <v>1864</v>
      </c>
      <c r="E1300" t="s">
        <v>3151</v>
      </c>
      <c r="F1300" s="1" t="s">
        <v>1028</v>
      </c>
      <c r="G1300" t="str">
        <f t="shared" si="102"/>
        <v>G</v>
      </c>
      <c r="H1300" t="str">
        <f t="shared" si="102"/>
        <v>46</v>
      </c>
      <c r="I1300" t="str">
        <f t="shared" si="102"/>
        <v>463</v>
      </c>
      <c r="J1300" t="str">
        <f t="shared" si="102"/>
        <v>46371</v>
      </c>
      <c r="K1300" t="str">
        <f t="shared" si="101"/>
        <v>4637102</v>
      </c>
      <c r="L1300">
        <v>0</v>
      </c>
    </row>
    <row r="1301" spans="3:12" x14ac:dyDescent="0.25">
      <c r="C1301" t="s">
        <v>1864</v>
      </c>
      <c r="D1301" t="s">
        <v>1864</v>
      </c>
      <c r="E1301" t="s">
        <v>3152</v>
      </c>
      <c r="F1301" s="1" t="s">
        <v>1029</v>
      </c>
      <c r="G1301" t="str">
        <f t="shared" si="102"/>
        <v>G</v>
      </c>
      <c r="H1301" t="str">
        <f t="shared" si="102"/>
        <v>46</v>
      </c>
      <c r="I1301" t="str">
        <f t="shared" si="102"/>
        <v>463</v>
      </c>
      <c r="J1301" t="str">
        <f t="shared" si="102"/>
        <v>46371</v>
      </c>
      <c r="K1301" t="str">
        <f t="shared" si="101"/>
        <v>4637103</v>
      </c>
      <c r="L1301">
        <v>0</v>
      </c>
    </row>
    <row r="1302" spans="3:12" x14ac:dyDescent="0.25">
      <c r="C1302" t="s">
        <v>1864</v>
      </c>
      <c r="D1302" t="s">
        <v>1864</v>
      </c>
      <c r="E1302" t="s">
        <v>3153</v>
      </c>
      <c r="F1302" s="1" t="s">
        <v>1030</v>
      </c>
      <c r="G1302" t="str">
        <f t="shared" si="102"/>
        <v>G</v>
      </c>
      <c r="H1302" t="str">
        <f t="shared" si="102"/>
        <v>46</v>
      </c>
      <c r="I1302" t="str">
        <f t="shared" si="102"/>
        <v>463</v>
      </c>
      <c r="J1302" t="str">
        <f t="shared" si="102"/>
        <v>46371</v>
      </c>
      <c r="K1302" t="str">
        <f t="shared" si="101"/>
        <v>4637104</v>
      </c>
      <c r="L1302">
        <v>0</v>
      </c>
    </row>
    <row r="1303" spans="3:12" x14ac:dyDescent="0.25">
      <c r="C1303" t="s">
        <v>1864</v>
      </c>
      <c r="D1303" t="s">
        <v>1864</v>
      </c>
      <c r="E1303" t="s">
        <v>3154</v>
      </c>
      <c r="F1303" s="1" t="s">
        <v>1031</v>
      </c>
      <c r="G1303" t="str">
        <f t="shared" si="102"/>
        <v>G</v>
      </c>
      <c r="H1303" t="str">
        <f t="shared" si="102"/>
        <v>46</v>
      </c>
      <c r="I1303" t="str">
        <f t="shared" si="102"/>
        <v>463</v>
      </c>
      <c r="J1303" t="str">
        <f t="shared" si="102"/>
        <v>46371</v>
      </c>
      <c r="K1303" t="str">
        <f t="shared" si="101"/>
        <v>4637105</v>
      </c>
      <c r="L1303">
        <v>0</v>
      </c>
    </row>
    <row r="1304" spans="3:12" x14ac:dyDescent="0.25">
      <c r="C1304" t="s">
        <v>1864</v>
      </c>
      <c r="D1304" t="s">
        <v>1864</v>
      </c>
      <c r="E1304" t="s">
        <v>3155</v>
      </c>
      <c r="F1304" s="1" t="s">
        <v>1032</v>
      </c>
      <c r="G1304" t="str">
        <f t="shared" si="102"/>
        <v>G</v>
      </c>
      <c r="H1304" t="str">
        <f t="shared" si="102"/>
        <v>46</v>
      </c>
      <c r="I1304" t="str">
        <f t="shared" si="102"/>
        <v>463</v>
      </c>
      <c r="J1304" t="str">
        <f t="shared" si="102"/>
        <v>46371</v>
      </c>
      <c r="K1304" t="str">
        <f t="shared" si="101"/>
        <v>4637106</v>
      </c>
      <c r="L1304">
        <v>0</v>
      </c>
    </row>
    <row r="1305" spans="3:12" x14ac:dyDescent="0.25">
      <c r="C1305" t="s">
        <v>1864</v>
      </c>
      <c r="D1305" t="s">
        <v>1864</v>
      </c>
      <c r="E1305" t="s">
        <v>3156</v>
      </c>
      <c r="F1305" s="1" t="s">
        <v>1033</v>
      </c>
      <c r="G1305" t="str">
        <f t="shared" ref="G1305:J1320" si="103">IF(A1305="",G1304,A1305)</f>
        <v>G</v>
      </c>
      <c r="H1305" t="str">
        <f t="shared" si="103"/>
        <v>46</v>
      </c>
      <c r="I1305" t="str">
        <f t="shared" si="103"/>
        <v>463</v>
      </c>
      <c r="J1305" t="str">
        <f t="shared" si="103"/>
        <v>46371</v>
      </c>
      <c r="K1305" t="str">
        <f t="shared" si="101"/>
        <v>4637107</v>
      </c>
      <c r="L1305">
        <v>0</v>
      </c>
    </row>
    <row r="1306" spans="3:12" x14ac:dyDescent="0.25">
      <c r="C1306" t="s">
        <v>1864</v>
      </c>
      <c r="D1306" t="s">
        <v>1864</v>
      </c>
      <c r="E1306" t="s">
        <v>3157</v>
      </c>
      <c r="F1306" s="1" t="s">
        <v>1034</v>
      </c>
      <c r="G1306" t="str">
        <f t="shared" si="103"/>
        <v>G</v>
      </c>
      <c r="H1306" t="str">
        <f t="shared" si="103"/>
        <v>46</v>
      </c>
      <c r="I1306" t="str">
        <f t="shared" si="103"/>
        <v>463</v>
      </c>
      <c r="J1306" t="str">
        <f t="shared" si="103"/>
        <v>46371</v>
      </c>
      <c r="K1306" t="str">
        <f t="shared" si="101"/>
        <v>4637199</v>
      </c>
      <c r="L1306">
        <v>0</v>
      </c>
    </row>
    <row r="1307" spans="3:12" x14ac:dyDescent="0.25">
      <c r="C1307" t="s">
        <v>1864</v>
      </c>
      <c r="D1307" t="s">
        <v>3158</v>
      </c>
      <c r="E1307" t="s">
        <v>1864</v>
      </c>
      <c r="F1307" s="1" t="s">
        <v>1035</v>
      </c>
      <c r="G1307" t="str">
        <f t="shared" si="103"/>
        <v>G</v>
      </c>
      <c r="H1307" t="str">
        <f t="shared" si="103"/>
        <v>46</v>
      </c>
      <c r="I1307" t="str">
        <f t="shared" si="103"/>
        <v>463</v>
      </c>
      <c r="J1307" t="str">
        <f t="shared" si="103"/>
        <v>46397</v>
      </c>
      <c r="K1307" t="str">
        <f t="shared" si="101"/>
        <v/>
      </c>
    </row>
    <row r="1308" spans="3:12" x14ac:dyDescent="0.25">
      <c r="C1308" t="s">
        <v>1864</v>
      </c>
      <c r="D1308" t="s">
        <v>1864</v>
      </c>
      <c r="E1308" t="s">
        <v>3159</v>
      </c>
      <c r="F1308" s="1" t="s">
        <v>1035</v>
      </c>
      <c r="G1308" t="str">
        <f t="shared" si="103"/>
        <v>G</v>
      </c>
      <c r="H1308" t="str">
        <f t="shared" si="103"/>
        <v>46</v>
      </c>
      <c r="I1308" t="str">
        <f t="shared" si="103"/>
        <v>463</v>
      </c>
      <c r="J1308" t="str">
        <f t="shared" si="103"/>
        <v>46397</v>
      </c>
      <c r="K1308" t="str">
        <f t="shared" si="101"/>
        <v>4639701</v>
      </c>
      <c r="L1308">
        <v>0</v>
      </c>
    </row>
    <row r="1309" spans="3:12" x14ac:dyDescent="0.25">
      <c r="C1309" t="s">
        <v>1864</v>
      </c>
      <c r="D1309" t="s">
        <v>1864</v>
      </c>
      <c r="E1309" t="s">
        <v>3160</v>
      </c>
      <c r="F1309" s="1" t="s">
        <v>1036</v>
      </c>
      <c r="G1309" t="str">
        <f t="shared" si="103"/>
        <v>G</v>
      </c>
      <c r="H1309" t="str">
        <f t="shared" si="103"/>
        <v>46</v>
      </c>
      <c r="I1309" t="str">
        <f t="shared" si="103"/>
        <v>463</v>
      </c>
      <c r="J1309" t="str">
        <f t="shared" si="103"/>
        <v>46397</v>
      </c>
      <c r="K1309" t="str">
        <f t="shared" si="101"/>
        <v>4639702</v>
      </c>
      <c r="L1309">
        <v>0</v>
      </c>
    </row>
    <row r="1310" spans="3:12" x14ac:dyDescent="0.25">
      <c r="C1310" t="s">
        <v>3161</v>
      </c>
      <c r="D1310" t="s">
        <v>1864</v>
      </c>
      <c r="E1310" t="s">
        <v>1864</v>
      </c>
      <c r="F1310" s="4" t="s">
        <v>1037</v>
      </c>
      <c r="G1310" t="str">
        <f t="shared" si="103"/>
        <v>G</v>
      </c>
      <c r="H1310" t="str">
        <f t="shared" si="103"/>
        <v>46</v>
      </c>
      <c r="I1310" t="str">
        <f t="shared" si="103"/>
        <v>464</v>
      </c>
      <c r="J1310" t="str">
        <f t="shared" si="103"/>
        <v>46397</v>
      </c>
      <c r="K1310" t="str">
        <f t="shared" si="101"/>
        <v/>
      </c>
    </row>
    <row r="1311" spans="3:12" x14ac:dyDescent="0.25">
      <c r="C1311" t="s">
        <v>1864</v>
      </c>
      <c r="D1311" t="s">
        <v>3162</v>
      </c>
      <c r="E1311" t="s">
        <v>1864</v>
      </c>
      <c r="F1311" s="4" t="s">
        <v>1038</v>
      </c>
      <c r="G1311" t="str">
        <f t="shared" si="103"/>
        <v>G</v>
      </c>
      <c r="H1311" t="str">
        <f t="shared" si="103"/>
        <v>46</v>
      </c>
      <c r="I1311" t="str">
        <f t="shared" si="103"/>
        <v>464</v>
      </c>
      <c r="J1311" t="str">
        <f t="shared" si="103"/>
        <v>46419</v>
      </c>
      <c r="K1311" t="str">
        <f t="shared" si="101"/>
        <v/>
      </c>
    </row>
    <row r="1312" spans="3:12" x14ac:dyDescent="0.25">
      <c r="C1312" t="s">
        <v>1864</v>
      </c>
      <c r="D1312" t="s">
        <v>1864</v>
      </c>
      <c r="E1312" t="s">
        <v>3163</v>
      </c>
      <c r="F1312" s="4" t="s">
        <v>1039</v>
      </c>
      <c r="G1312" t="str">
        <f t="shared" si="103"/>
        <v>G</v>
      </c>
      <c r="H1312" t="str">
        <f t="shared" si="103"/>
        <v>46</v>
      </c>
      <c r="I1312" t="str">
        <f t="shared" si="103"/>
        <v>464</v>
      </c>
      <c r="J1312" t="str">
        <f t="shared" si="103"/>
        <v>46419</v>
      </c>
      <c r="K1312" t="str">
        <f t="shared" si="101"/>
        <v>4641901</v>
      </c>
      <c r="L1312">
        <v>0</v>
      </c>
    </row>
    <row r="1313" spans="3:12" x14ac:dyDescent="0.25">
      <c r="C1313" t="s">
        <v>1864</v>
      </c>
      <c r="D1313" t="s">
        <v>1864</v>
      </c>
      <c r="E1313" t="s">
        <v>3164</v>
      </c>
      <c r="F1313" s="4" t="s">
        <v>1040</v>
      </c>
      <c r="G1313" t="str">
        <f t="shared" si="103"/>
        <v>G</v>
      </c>
      <c r="H1313" t="str">
        <f t="shared" si="103"/>
        <v>46</v>
      </c>
      <c r="I1313" t="str">
        <f t="shared" si="103"/>
        <v>464</v>
      </c>
      <c r="J1313" t="str">
        <f t="shared" si="103"/>
        <v>46419</v>
      </c>
      <c r="K1313" t="str">
        <f t="shared" si="101"/>
        <v>4641902</v>
      </c>
      <c r="L1313">
        <v>0</v>
      </c>
    </row>
    <row r="1314" spans="3:12" x14ac:dyDescent="0.25">
      <c r="C1314" t="s">
        <v>1864</v>
      </c>
      <c r="D1314" t="s">
        <v>1864</v>
      </c>
      <c r="E1314" t="s">
        <v>3165</v>
      </c>
      <c r="F1314" s="4" t="s">
        <v>1041</v>
      </c>
      <c r="G1314" t="str">
        <f t="shared" si="103"/>
        <v>G</v>
      </c>
      <c r="H1314" t="str">
        <f t="shared" si="103"/>
        <v>46</v>
      </c>
      <c r="I1314" t="str">
        <f t="shared" si="103"/>
        <v>464</v>
      </c>
      <c r="J1314" t="str">
        <f t="shared" si="103"/>
        <v>46419</v>
      </c>
      <c r="K1314" t="str">
        <f t="shared" si="101"/>
        <v>4641903</v>
      </c>
      <c r="L1314">
        <v>0</v>
      </c>
    </row>
    <row r="1315" spans="3:12" x14ac:dyDescent="0.25">
      <c r="C1315" t="s">
        <v>1864</v>
      </c>
      <c r="D1315" t="s">
        <v>3166</v>
      </c>
      <c r="E1315" t="s">
        <v>1864</v>
      </c>
      <c r="F1315" s="4" t="s">
        <v>1042</v>
      </c>
      <c r="G1315" t="str">
        <f t="shared" si="103"/>
        <v>G</v>
      </c>
      <c r="H1315" t="str">
        <f t="shared" si="103"/>
        <v>46</v>
      </c>
      <c r="I1315" t="str">
        <f t="shared" si="103"/>
        <v>464</v>
      </c>
      <c r="J1315" t="str">
        <f t="shared" si="103"/>
        <v>46427</v>
      </c>
      <c r="K1315" t="str">
        <f t="shared" si="101"/>
        <v/>
      </c>
    </row>
    <row r="1316" spans="3:12" x14ac:dyDescent="0.25">
      <c r="C1316" t="s">
        <v>1864</v>
      </c>
      <c r="D1316" t="s">
        <v>1864</v>
      </c>
      <c r="E1316" t="s">
        <v>3167</v>
      </c>
      <c r="F1316" s="4" t="s">
        <v>1043</v>
      </c>
      <c r="G1316" t="str">
        <f t="shared" si="103"/>
        <v>G</v>
      </c>
      <c r="H1316" t="str">
        <f t="shared" si="103"/>
        <v>46</v>
      </c>
      <c r="I1316" t="str">
        <f t="shared" si="103"/>
        <v>464</v>
      </c>
      <c r="J1316" t="str">
        <f t="shared" si="103"/>
        <v>46427</v>
      </c>
      <c r="K1316" t="str">
        <f t="shared" si="101"/>
        <v>4642701</v>
      </c>
      <c r="L1316">
        <v>0</v>
      </c>
    </row>
    <row r="1317" spans="3:12" x14ac:dyDescent="0.25">
      <c r="C1317" t="s">
        <v>1864</v>
      </c>
      <c r="D1317" t="s">
        <v>1864</v>
      </c>
      <c r="E1317" t="s">
        <v>3168</v>
      </c>
      <c r="F1317" s="4" t="s">
        <v>1044</v>
      </c>
      <c r="G1317" t="str">
        <f t="shared" si="103"/>
        <v>G</v>
      </c>
      <c r="H1317" t="str">
        <f t="shared" si="103"/>
        <v>46</v>
      </c>
      <c r="I1317" t="str">
        <f t="shared" si="103"/>
        <v>464</v>
      </c>
      <c r="J1317" t="str">
        <f t="shared" si="103"/>
        <v>46427</v>
      </c>
      <c r="K1317" t="str">
        <f t="shared" si="101"/>
        <v>4642702</v>
      </c>
      <c r="L1317">
        <v>0</v>
      </c>
    </row>
    <row r="1318" spans="3:12" x14ac:dyDescent="0.25">
      <c r="C1318" t="s">
        <v>1864</v>
      </c>
      <c r="D1318" t="s">
        <v>3169</v>
      </c>
      <c r="E1318" t="s">
        <v>1864</v>
      </c>
      <c r="F1318" s="4" t="s">
        <v>1045</v>
      </c>
      <c r="G1318" t="str">
        <f t="shared" si="103"/>
        <v>G</v>
      </c>
      <c r="H1318" t="str">
        <f t="shared" si="103"/>
        <v>46</v>
      </c>
      <c r="I1318" t="str">
        <f t="shared" si="103"/>
        <v>464</v>
      </c>
      <c r="J1318" t="str">
        <f t="shared" si="103"/>
        <v>46435</v>
      </c>
      <c r="K1318" t="str">
        <f t="shared" si="101"/>
        <v/>
      </c>
    </row>
    <row r="1319" spans="3:12" x14ac:dyDescent="0.25">
      <c r="C1319" t="s">
        <v>1864</v>
      </c>
      <c r="D1319" t="s">
        <v>1864</v>
      </c>
      <c r="E1319" t="s">
        <v>3170</v>
      </c>
      <c r="F1319" s="4" t="s">
        <v>1046</v>
      </c>
      <c r="G1319" t="str">
        <f t="shared" si="103"/>
        <v>G</v>
      </c>
      <c r="H1319" t="str">
        <f t="shared" si="103"/>
        <v>46</v>
      </c>
      <c r="I1319" t="str">
        <f t="shared" si="103"/>
        <v>464</v>
      </c>
      <c r="J1319" t="str">
        <f t="shared" si="103"/>
        <v>46435</v>
      </c>
      <c r="K1319" t="str">
        <f t="shared" si="101"/>
        <v>4643501</v>
      </c>
      <c r="L1319">
        <v>0</v>
      </c>
    </row>
    <row r="1320" spans="3:12" x14ac:dyDescent="0.25">
      <c r="C1320" t="s">
        <v>1864</v>
      </c>
      <c r="D1320" t="s">
        <v>1864</v>
      </c>
      <c r="E1320" t="s">
        <v>3171</v>
      </c>
      <c r="F1320" s="4" t="s">
        <v>1047</v>
      </c>
      <c r="G1320" t="str">
        <f t="shared" si="103"/>
        <v>G</v>
      </c>
      <c r="H1320" t="str">
        <f t="shared" si="103"/>
        <v>46</v>
      </c>
      <c r="I1320" t="str">
        <f t="shared" si="103"/>
        <v>464</v>
      </c>
      <c r="J1320" t="str">
        <f t="shared" si="103"/>
        <v>46435</v>
      </c>
      <c r="K1320" t="str">
        <f t="shared" si="101"/>
        <v>4643502</v>
      </c>
      <c r="L1320">
        <v>0</v>
      </c>
    </row>
    <row r="1321" spans="3:12" x14ac:dyDescent="0.25">
      <c r="C1321" t="s">
        <v>1864</v>
      </c>
      <c r="D1321" t="s">
        <v>3172</v>
      </c>
      <c r="E1321" t="s">
        <v>1864</v>
      </c>
      <c r="F1321" s="4" t="s">
        <v>1048</v>
      </c>
      <c r="G1321" t="str">
        <f t="shared" ref="G1321:J1336" si="104">IF(A1321="",G1320,A1321)</f>
        <v>G</v>
      </c>
      <c r="H1321" t="str">
        <f t="shared" si="104"/>
        <v>46</v>
      </c>
      <c r="I1321" t="str">
        <f t="shared" si="104"/>
        <v>464</v>
      </c>
      <c r="J1321" t="str">
        <f t="shared" si="104"/>
        <v>46443</v>
      </c>
      <c r="K1321" t="str">
        <f t="shared" si="101"/>
        <v/>
      </c>
    </row>
    <row r="1322" spans="3:12" x14ac:dyDescent="0.25">
      <c r="C1322" t="s">
        <v>1864</v>
      </c>
      <c r="D1322" t="s">
        <v>1864</v>
      </c>
      <c r="E1322" t="s">
        <v>3173</v>
      </c>
      <c r="F1322" s="4" t="s">
        <v>1049</v>
      </c>
      <c r="G1322" t="str">
        <f t="shared" si="104"/>
        <v>G</v>
      </c>
      <c r="H1322" t="str">
        <f t="shared" si="104"/>
        <v>46</v>
      </c>
      <c r="I1322" t="str">
        <f t="shared" si="104"/>
        <v>464</v>
      </c>
      <c r="J1322" t="str">
        <f t="shared" si="104"/>
        <v>46443</v>
      </c>
      <c r="K1322" t="str">
        <f t="shared" si="101"/>
        <v>4644301</v>
      </c>
      <c r="L1322">
        <v>0</v>
      </c>
    </row>
    <row r="1323" spans="3:12" x14ac:dyDescent="0.25">
      <c r="C1323" t="s">
        <v>1864</v>
      </c>
      <c r="D1323" t="s">
        <v>1864</v>
      </c>
      <c r="E1323" t="s">
        <v>3174</v>
      </c>
      <c r="F1323" s="4" t="s">
        <v>1050</v>
      </c>
      <c r="G1323" t="str">
        <f t="shared" si="104"/>
        <v>G</v>
      </c>
      <c r="H1323" t="str">
        <f t="shared" si="104"/>
        <v>46</v>
      </c>
      <c r="I1323" t="str">
        <f t="shared" si="104"/>
        <v>464</v>
      </c>
      <c r="J1323" t="str">
        <f t="shared" si="104"/>
        <v>46443</v>
      </c>
      <c r="K1323" t="str">
        <f t="shared" si="101"/>
        <v>4644302</v>
      </c>
      <c r="L1323">
        <v>0</v>
      </c>
    </row>
    <row r="1324" spans="3:12" x14ac:dyDescent="0.25">
      <c r="C1324" t="s">
        <v>1864</v>
      </c>
      <c r="D1324" t="s">
        <v>3175</v>
      </c>
      <c r="E1324" t="s">
        <v>1864</v>
      </c>
      <c r="F1324" s="4" t="s">
        <v>1051</v>
      </c>
      <c r="G1324" t="str">
        <f t="shared" si="104"/>
        <v>G</v>
      </c>
      <c r="H1324" t="str">
        <f t="shared" si="104"/>
        <v>46</v>
      </c>
      <c r="I1324" t="str">
        <f t="shared" si="104"/>
        <v>464</v>
      </c>
      <c r="J1324" t="str">
        <f t="shared" si="104"/>
        <v>46451</v>
      </c>
      <c r="K1324" t="str">
        <f t="shared" si="101"/>
        <v/>
      </c>
    </row>
    <row r="1325" spans="3:12" x14ac:dyDescent="0.25">
      <c r="C1325" t="s">
        <v>1864</v>
      </c>
      <c r="D1325" t="s">
        <v>1864</v>
      </c>
      <c r="E1325" t="s">
        <v>3176</v>
      </c>
      <c r="F1325" s="4" t="s">
        <v>1052</v>
      </c>
      <c r="G1325" t="str">
        <f t="shared" si="104"/>
        <v>G</v>
      </c>
      <c r="H1325" t="str">
        <f t="shared" si="104"/>
        <v>46</v>
      </c>
      <c r="I1325" t="str">
        <f t="shared" si="104"/>
        <v>464</v>
      </c>
      <c r="J1325" t="str">
        <f t="shared" si="104"/>
        <v>46451</v>
      </c>
      <c r="K1325" t="str">
        <f t="shared" si="101"/>
        <v>4645101</v>
      </c>
      <c r="L1325">
        <v>0</v>
      </c>
    </row>
    <row r="1326" spans="3:12" x14ac:dyDescent="0.25">
      <c r="C1326" t="s">
        <v>1864</v>
      </c>
      <c r="D1326" t="s">
        <v>1864</v>
      </c>
      <c r="E1326" t="s">
        <v>3177</v>
      </c>
      <c r="F1326" s="4" t="s">
        <v>1053</v>
      </c>
      <c r="G1326" t="str">
        <f t="shared" si="104"/>
        <v>G</v>
      </c>
      <c r="H1326" t="str">
        <f t="shared" si="104"/>
        <v>46</v>
      </c>
      <c r="I1326" t="str">
        <f t="shared" si="104"/>
        <v>464</v>
      </c>
      <c r="J1326" t="str">
        <f t="shared" si="104"/>
        <v>46451</v>
      </c>
      <c r="K1326" t="str">
        <f t="shared" si="101"/>
        <v>4645102</v>
      </c>
      <c r="L1326">
        <v>0</v>
      </c>
    </row>
    <row r="1327" spans="3:12" x14ac:dyDescent="0.25">
      <c r="C1327" t="s">
        <v>1864</v>
      </c>
      <c r="D1327" t="s">
        <v>1864</v>
      </c>
      <c r="E1327" t="s">
        <v>3178</v>
      </c>
      <c r="F1327" s="4" t="s">
        <v>1054</v>
      </c>
      <c r="G1327" t="str">
        <f t="shared" si="104"/>
        <v>G</v>
      </c>
      <c r="H1327" t="str">
        <f t="shared" si="104"/>
        <v>46</v>
      </c>
      <c r="I1327" t="str">
        <f t="shared" si="104"/>
        <v>464</v>
      </c>
      <c r="J1327" t="str">
        <f t="shared" si="104"/>
        <v>46451</v>
      </c>
      <c r="K1327" t="str">
        <f t="shared" si="101"/>
        <v>4645103</v>
      </c>
      <c r="L1327">
        <v>0</v>
      </c>
    </row>
    <row r="1328" spans="3:12" x14ac:dyDescent="0.25">
      <c r="C1328" t="s">
        <v>1864</v>
      </c>
      <c r="D1328" t="s">
        <v>3179</v>
      </c>
      <c r="E1328" t="s">
        <v>1864</v>
      </c>
      <c r="F1328" s="4" t="s">
        <v>1055</v>
      </c>
      <c r="G1328" t="str">
        <f t="shared" si="104"/>
        <v>G</v>
      </c>
      <c r="H1328" t="str">
        <f t="shared" si="104"/>
        <v>46</v>
      </c>
      <c r="I1328" t="str">
        <f t="shared" si="104"/>
        <v>464</v>
      </c>
      <c r="J1328" t="str">
        <f t="shared" si="104"/>
        <v>46460</v>
      </c>
      <c r="K1328" t="str">
        <f t="shared" si="101"/>
        <v/>
      </c>
    </row>
    <row r="1329" spans="3:12" x14ac:dyDescent="0.25">
      <c r="C1329" t="s">
        <v>1864</v>
      </c>
      <c r="D1329" t="s">
        <v>1864</v>
      </c>
      <c r="E1329" t="s">
        <v>3180</v>
      </c>
      <c r="F1329" s="4" t="s">
        <v>1056</v>
      </c>
      <c r="G1329" t="str">
        <f t="shared" si="104"/>
        <v>G</v>
      </c>
      <c r="H1329" t="str">
        <f t="shared" si="104"/>
        <v>46</v>
      </c>
      <c r="I1329" t="str">
        <f t="shared" si="104"/>
        <v>464</v>
      </c>
      <c r="J1329" t="str">
        <f t="shared" si="104"/>
        <v>46460</v>
      </c>
      <c r="K1329" t="str">
        <f t="shared" si="101"/>
        <v>4646001</v>
      </c>
      <c r="L1329">
        <v>0</v>
      </c>
    </row>
    <row r="1330" spans="3:12" x14ac:dyDescent="0.25">
      <c r="C1330" t="s">
        <v>1864</v>
      </c>
      <c r="D1330" t="s">
        <v>1864</v>
      </c>
      <c r="E1330" t="s">
        <v>3181</v>
      </c>
      <c r="F1330" s="4" t="s">
        <v>1057</v>
      </c>
      <c r="G1330" t="str">
        <f t="shared" si="104"/>
        <v>G</v>
      </c>
      <c r="H1330" t="str">
        <f t="shared" si="104"/>
        <v>46</v>
      </c>
      <c r="I1330" t="str">
        <f t="shared" si="104"/>
        <v>464</v>
      </c>
      <c r="J1330" t="str">
        <f t="shared" si="104"/>
        <v>46460</v>
      </c>
      <c r="K1330" t="str">
        <f t="shared" si="101"/>
        <v>4646002</v>
      </c>
      <c r="L1330">
        <v>0</v>
      </c>
    </row>
    <row r="1331" spans="3:12" x14ac:dyDescent="0.25">
      <c r="C1331" t="s">
        <v>1864</v>
      </c>
      <c r="D1331" t="s">
        <v>3182</v>
      </c>
      <c r="E1331" t="s">
        <v>1864</v>
      </c>
      <c r="F1331" s="4" t="s">
        <v>1058</v>
      </c>
      <c r="G1331" t="str">
        <f t="shared" si="104"/>
        <v>G</v>
      </c>
      <c r="H1331" t="str">
        <f t="shared" si="104"/>
        <v>46</v>
      </c>
      <c r="I1331" t="str">
        <f t="shared" si="104"/>
        <v>464</v>
      </c>
      <c r="J1331" t="str">
        <f t="shared" si="104"/>
        <v>46478</v>
      </c>
      <c r="K1331" t="str">
        <f t="shared" si="101"/>
        <v/>
      </c>
    </row>
    <row r="1332" spans="3:12" x14ac:dyDescent="0.25">
      <c r="C1332" t="s">
        <v>1864</v>
      </c>
      <c r="D1332" t="s">
        <v>1864</v>
      </c>
      <c r="E1332" t="s">
        <v>3183</v>
      </c>
      <c r="F1332" s="4" t="s">
        <v>1059</v>
      </c>
      <c r="G1332" t="str">
        <f t="shared" si="104"/>
        <v>G</v>
      </c>
      <c r="H1332" t="str">
        <f t="shared" si="104"/>
        <v>46</v>
      </c>
      <c r="I1332" t="str">
        <f t="shared" si="104"/>
        <v>464</v>
      </c>
      <c r="J1332" t="str">
        <f t="shared" si="104"/>
        <v>46478</v>
      </c>
      <c r="K1332" t="str">
        <f t="shared" si="101"/>
        <v>4647801</v>
      </c>
      <c r="L1332">
        <v>0</v>
      </c>
    </row>
    <row r="1333" spans="3:12" x14ac:dyDescent="0.25">
      <c r="C1333" t="s">
        <v>1864</v>
      </c>
      <c r="D1333" t="s">
        <v>1864</v>
      </c>
      <c r="E1333" t="s">
        <v>3184</v>
      </c>
      <c r="F1333" s="4" t="s">
        <v>1060</v>
      </c>
      <c r="G1333" t="str">
        <f t="shared" si="104"/>
        <v>G</v>
      </c>
      <c r="H1333" t="str">
        <f t="shared" si="104"/>
        <v>46</v>
      </c>
      <c r="I1333" t="str">
        <f t="shared" si="104"/>
        <v>464</v>
      </c>
      <c r="J1333" t="str">
        <f t="shared" si="104"/>
        <v>46478</v>
      </c>
      <c r="K1333" t="str">
        <f t="shared" si="101"/>
        <v>4647802</v>
      </c>
      <c r="L1333">
        <v>0</v>
      </c>
    </row>
    <row r="1334" spans="3:12" x14ac:dyDescent="0.25">
      <c r="C1334" t="s">
        <v>1864</v>
      </c>
      <c r="D1334" t="s">
        <v>3185</v>
      </c>
      <c r="E1334" t="s">
        <v>1864</v>
      </c>
      <c r="F1334" s="4" t="s">
        <v>1061</v>
      </c>
      <c r="G1334" t="str">
        <f t="shared" si="104"/>
        <v>G</v>
      </c>
      <c r="H1334" t="str">
        <f t="shared" si="104"/>
        <v>46</v>
      </c>
      <c r="I1334" t="str">
        <f t="shared" si="104"/>
        <v>464</v>
      </c>
      <c r="J1334" t="str">
        <f t="shared" si="104"/>
        <v>46494</v>
      </c>
      <c r="K1334" t="str">
        <f t="shared" si="101"/>
        <v/>
      </c>
    </row>
    <row r="1335" spans="3:12" x14ac:dyDescent="0.25">
      <c r="C1335" t="s">
        <v>1864</v>
      </c>
      <c r="D1335" t="s">
        <v>1864</v>
      </c>
      <c r="E1335" t="s">
        <v>3186</v>
      </c>
      <c r="F1335" s="4" t="s">
        <v>1062</v>
      </c>
      <c r="G1335" t="str">
        <f t="shared" si="104"/>
        <v>G</v>
      </c>
      <c r="H1335" t="str">
        <f t="shared" si="104"/>
        <v>46</v>
      </c>
      <c r="I1335" t="str">
        <f t="shared" si="104"/>
        <v>464</v>
      </c>
      <c r="J1335" t="str">
        <f t="shared" si="104"/>
        <v>46494</v>
      </c>
      <c r="K1335" t="str">
        <f t="shared" si="101"/>
        <v>4649401</v>
      </c>
      <c r="L1335">
        <v>0</v>
      </c>
    </row>
    <row r="1336" spans="3:12" x14ac:dyDescent="0.25">
      <c r="C1336" t="s">
        <v>1864</v>
      </c>
      <c r="D1336" t="s">
        <v>1864</v>
      </c>
      <c r="E1336" t="s">
        <v>3187</v>
      </c>
      <c r="F1336" s="4" t="s">
        <v>1063</v>
      </c>
      <c r="G1336" t="str">
        <f t="shared" si="104"/>
        <v>G</v>
      </c>
      <c r="H1336" t="str">
        <f t="shared" si="104"/>
        <v>46</v>
      </c>
      <c r="I1336" t="str">
        <f t="shared" si="104"/>
        <v>464</v>
      </c>
      <c r="J1336" t="str">
        <f t="shared" si="104"/>
        <v>46494</v>
      </c>
      <c r="K1336" t="str">
        <f t="shared" si="101"/>
        <v>4649402</v>
      </c>
      <c r="L1336">
        <v>0</v>
      </c>
    </row>
    <row r="1337" spans="3:12" x14ac:dyDescent="0.25">
      <c r="C1337" t="s">
        <v>1864</v>
      </c>
      <c r="D1337" t="s">
        <v>1864</v>
      </c>
      <c r="E1337" t="s">
        <v>3188</v>
      </c>
      <c r="F1337" s="4" t="s">
        <v>1064</v>
      </c>
      <c r="G1337" t="str">
        <f t="shared" ref="G1337:J1352" si="105">IF(A1337="",G1336,A1337)</f>
        <v>G</v>
      </c>
      <c r="H1337" t="str">
        <f t="shared" si="105"/>
        <v>46</v>
      </c>
      <c r="I1337" t="str">
        <f t="shared" si="105"/>
        <v>464</v>
      </c>
      <c r="J1337" t="str">
        <f t="shared" si="105"/>
        <v>46494</v>
      </c>
      <c r="K1337" t="str">
        <f t="shared" si="101"/>
        <v>4649403</v>
      </c>
      <c r="L1337">
        <v>0</v>
      </c>
    </row>
    <row r="1338" spans="3:12" x14ac:dyDescent="0.25">
      <c r="C1338" t="s">
        <v>1864</v>
      </c>
      <c r="D1338" t="s">
        <v>1864</v>
      </c>
      <c r="E1338" t="s">
        <v>3189</v>
      </c>
      <c r="F1338" s="4" t="s">
        <v>1065</v>
      </c>
      <c r="G1338" t="str">
        <f t="shared" si="105"/>
        <v>G</v>
      </c>
      <c r="H1338" t="str">
        <f t="shared" si="105"/>
        <v>46</v>
      </c>
      <c r="I1338" t="str">
        <f t="shared" si="105"/>
        <v>464</v>
      </c>
      <c r="J1338" t="str">
        <f t="shared" si="105"/>
        <v>46494</v>
      </c>
      <c r="K1338" t="str">
        <f t="shared" si="101"/>
        <v>4649404</v>
      </c>
      <c r="L1338">
        <v>0</v>
      </c>
    </row>
    <row r="1339" spans="3:12" x14ac:dyDescent="0.25">
      <c r="C1339" t="s">
        <v>1864</v>
      </c>
      <c r="D1339" t="s">
        <v>1864</v>
      </c>
      <c r="E1339" t="s">
        <v>3190</v>
      </c>
      <c r="F1339" s="4" t="s">
        <v>1066</v>
      </c>
      <c r="G1339" t="str">
        <f t="shared" si="105"/>
        <v>G</v>
      </c>
      <c r="H1339" t="str">
        <f t="shared" si="105"/>
        <v>46</v>
      </c>
      <c r="I1339" t="str">
        <f t="shared" si="105"/>
        <v>464</v>
      </c>
      <c r="J1339" t="str">
        <f t="shared" si="105"/>
        <v>46494</v>
      </c>
      <c r="K1339" t="str">
        <f t="shared" si="101"/>
        <v>4649405</v>
      </c>
      <c r="L1339">
        <v>0</v>
      </c>
    </row>
    <row r="1340" spans="3:12" x14ac:dyDescent="0.25">
      <c r="C1340" t="s">
        <v>1864</v>
      </c>
      <c r="D1340" t="s">
        <v>1864</v>
      </c>
      <c r="E1340" t="s">
        <v>3191</v>
      </c>
      <c r="F1340" s="4" t="s">
        <v>1067</v>
      </c>
      <c r="G1340" t="str">
        <f t="shared" si="105"/>
        <v>G</v>
      </c>
      <c r="H1340" t="str">
        <f t="shared" si="105"/>
        <v>46</v>
      </c>
      <c r="I1340" t="str">
        <f t="shared" si="105"/>
        <v>464</v>
      </c>
      <c r="J1340" t="str">
        <f t="shared" si="105"/>
        <v>46494</v>
      </c>
      <c r="K1340" t="str">
        <f t="shared" si="101"/>
        <v>4649406</v>
      </c>
      <c r="L1340">
        <v>0</v>
      </c>
    </row>
    <row r="1341" spans="3:12" x14ac:dyDescent="0.25">
      <c r="C1341" t="s">
        <v>1864</v>
      </c>
      <c r="D1341" t="s">
        <v>1864</v>
      </c>
      <c r="E1341" t="s">
        <v>3192</v>
      </c>
      <c r="F1341" s="4" t="s">
        <v>1068</v>
      </c>
      <c r="G1341" t="str">
        <f t="shared" si="105"/>
        <v>G</v>
      </c>
      <c r="H1341" t="str">
        <f t="shared" si="105"/>
        <v>46</v>
      </c>
      <c r="I1341" t="str">
        <f t="shared" si="105"/>
        <v>464</v>
      </c>
      <c r="J1341" t="str">
        <f t="shared" si="105"/>
        <v>46494</v>
      </c>
      <c r="K1341" t="str">
        <f t="shared" si="101"/>
        <v>4649407</v>
      </c>
      <c r="L1341">
        <v>0</v>
      </c>
    </row>
    <row r="1342" spans="3:12" x14ac:dyDescent="0.25">
      <c r="C1342" t="s">
        <v>1864</v>
      </c>
      <c r="D1342" t="s">
        <v>1864</v>
      </c>
      <c r="E1342" t="s">
        <v>3193</v>
      </c>
      <c r="F1342" s="4" t="s">
        <v>1069</v>
      </c>
      <c r="G1342" t="str">
        <f t="shared" si="105"/>
        <v>G</v>
      </c>
      <c r="H1342" t="str">
        <f t="shared" si="105"/>
        <v>46</v>
      </c>
      <c r="I1342" t="str">
        <f t="shared" si="105"/>
        <v>464</v>
      </c>
      <c r="J1342" t="str">
        <f t="shared" si="105"/>
        <v>46494</v>
      </c>
      <c r="K1342" t="str">
        <f t="shared" si="101"/>
        <v>4649408</v>
      </c>
      <c r="L1342">
        <v>0</v>
      </c>
    </row>
    <row r="1343" spans="3:12" x14ac:dyDescent="0.25">
      <c r="C1343" t="s">
        <v>1864</v>
      </c>
      <c r="D1343" t="s">
        <v>1864</v>
      </c>
      <c r="E1343" t="s">
        <v>3194</v>
      </c>
      <c r="F1343" s="4" t="s">
        <v>1070</v>
      </c>
      <c r="G1343" t="str">
        <f t="shared" si="105"/>
        <v>G</v>
      </c>
      <c r="H1343" t="str">
        <f t="shared" si="105"/>
        <v>46</v>
      </c>
      <c r="I1343" t="str">
        <f t="shared" si="105"/>
        <v>464</v>
      </c>
      <c r="J1343" t="str">
        <f t="shared" si="105"/>
        <v>46494</v>
      </c>
      <c r="K1343" t="str">
        <f t="shared" si="101"/>
        <v>4649409</v>
      </c>
      <c r="L1343">
        <v>0</v>
      </c>
    </row>
    <row r="1344" spans="3:12" x14ac:dyDescent="0.25">
      <c r="C1344" t="s">
        <v>1864</v>
      </c>
      <c r="D1344" t="s">
        <v>1864</v>
      </c>
      <c r="E1344" t="s">
        <v>3195</v>
      </c>
      <c r="F1344" s="4" t="s">
        <v>1071</v>
      </c>
      <c r="G1344" t="str">
        <f t="shared" si="105"/>
        <v>G</v>
      </c>
      <c r="H1344" t="str">
        <f t="shared" si="105"/>
        <v>46</v>
      </c>
      <c r="I1344" t="str">
        <f t="shared" si="105"/>
        <v>464</v>
      </c>
      <c r="J1344" t="str">
        <f t="shared" si="105"/>
        <v>46494</v>
      </c>
      <c r="K1344" t="str">
        <f t="shared" si="101"/>
        <v>4649410</v>
      </c>
      <c r="L1344">
        <v>0</v>
      </c>
    </row>
    <row r="1345" spans="3:12" x14ac:dyDescent="0.25">
      <c r="C1345" t="s">
        <v>1864</v>
      </c>
      <c r="D1345" t="s">
        <v>1864</v>
      </c>
      <c r="E1345" t="s">
        <v>3196</v>
      </c>
      <c r="F1345" s="4" t="s">
        <v>1072</v>
      </c>
      <c r="G1345" t="str">
        <f t="shared" si="105"/>
        <v>G</v>
      </c>
      <c r="H1345" t="str">
        <f t="shared" si="105"/>
        <v>46</v>
      </c>
      <c r="I1345" t="str">
        <f t="shared" si="105"/>
        <v>464</v>
      </c>
      <c r="J1345" t="str">
        <f t="shared" si="105"/>
        <v>46494</v>
      </c>
      <c r="K1345" t="str">
        <f t="shared" si="101"/>
        <v>4649499</v>
      </c>
      <c r="L1345">
        <v>0</v>
      </c>
    </row>
    <row r="1346" spans="3:12" x14ac:dyDescent="0.25">
      <c r="C1346" t="s">
        <v>3197</v>
      </c>
      <c r="D1346" t="s">
        <v>1864</v>
      </c>
      <c r="E1346" t="s">
        <v>1864</v>
      </c>
      <c r="F1346" s="4" t="s">
        <v>1073</v>
      </c>
      <c r="G1346" t="str">
        <f t="shared" si="105"/>
        <v>G</v>
      </c>
      <c r="H1346" t="str">
        <f t="shared" si="105"/>
        <v>46</v>
      </c>
      <c r="I1346" t="str">
        <f t="shared" si="105"/>
        <v>465</v>
      </c>
      <c r="J1346" t="str">
        <f t="shared" si="105"/>
        <v>46494</v>
      </c>
      <c r="K1346" t="str">
        <f t="shared" si="101"/>
        <v/>
      </c>
    </row>
    <row r="1347" spans="3:12" x14ac:dyDescent="0.25">
      <c r="C1347" t="s">
        <v>1864</v>
      </c>
      <c r="D1347" t="s">
        <v>3198</v>
      </c>
      <c r="E1347" t="s">
        <v>1864</v>
      </c>
      <c r="F1347" s="4" t="s">
        <v>1074</v>
      </c>
      <c r="G1347" t="str">
        <f t="shared" si="105"/>
        <v>G</v>
      </c>
      <c r="H1347" t="str">
        <f t="shared" si="105"/>
        <v>46</v>
      </c>
      <c r="I1347" t="str">
        <f t="shared" si="105"/>
        <v>465</v>
      </c>
      <c r="J1347" t="str">
        <f t="shared" si="105"/>
        <v>46516</v>
      </c>
      <c r="K1347" t="str">
        <f t="shared" si="101"/>
        <v/>
      </c>
    </row>
    <row r="1348" spans="3:12" x14ac:dyDescent="0.25">
      <c r="C1348" t="s">
        <v>1864</v>
      </c>
      <c r="D1348" t="s">
        <v>1864</v>
      </c>
      <c r="E1348" t="s">
        <v>3199</v>
      </c>
      <c r="F1348" s="4" t="s">
        <v>1075</v>
      </c>
      <c r="G1348" t="str">
        <f t="shared" si="105"/>
        <v>G</v>
      </c>
      <c r="H1348" t="str">
        <f t="shared" si="105"/>
        <v>46</v>
      </c>
      <c r="I1348" t="str">
        <f t="shared" si="105"/>
        <v>465</v>
      </c>
      <c r="J1348" t="str">
        <f t="shared" si="105"/>
        <v>46516</v>
      </c>
      <c r="K1348" t="str">
        <f t="shared" si="101"/>
        <v>4651601</v>
      </c>
      <c r="L1348">
        <v>0</v>
      </c>
    </row>
    <row r="1349" spans="3:12" x14ac:dyDescent="0.25">
      <c r="C1349" t="s">
        <v>1864</v>
      </c>
      <c r="D1349" t="s">
        <v>1864</v>
      </c>
      <c r="E1349" t="s">
        <v>3200</v>
      </c>
      <c r="F1349" s="4" t="s">
        <v>1076</v>
      </c>
      <c r="G1349" t="str">
        <f t="shared" si="105"/>
        <v>G</v>
      </c>
      <c r="H1349" t="str">
        <f t="shared" si="105"/>
        <v>46</v>
      </c>
      <c r="I1349" t="str">
        <f t="shared" si="105"/>
        <v>465</v>
      </c>
      <c r="J1349" t="str">
        <f t="shared" si="105"/>
        <v>46516</v>
      </c>
      <c r="K1349" t="str">
        <f t="shared" si="101"/>
        <v>4651602</v>
      </c>
      <c r="L1349">
        <v>0</v>
      </c>
    </row>
    <row r="1350" spans="3:12" x14ac:dyDescent="0.25">
      <c r="C1350" t="s">
        <v>1864</v>
      </c>
      <c r="D1350" t="s">
        <v>3201</v>
      </c>
      <c r="E1350" t="s">
        <v>1864</v>
      </c>
      <c r="F1350" s="4" t="s">
        <v>1077</v>
      </c>
      <c r="G1350" t="str">
        <f t="shared" si="105"/>
        <v>G</v>
      </c>
      <c r="H1350" t="str">
        <f t="shared" si="105"/>
        <v>46</v>
      </c>
      <c r="I1350" t="str">
        <f t="shared" si="105"/>
        <v>465</v>
      </c>
      <c r="J1350" t="str">
        <f t="shared" si="105"/>
        <v>46524</v>
      </c>
      <c r="K1350" t="str">
        <f t="shared" si="101"/>
        <v/>
      </c>
    </row>
    <row r="1351" spans="3:12" x14ac:dyDescent="0.25">
      <c r="C1351" t="s">
        <v>1864</v>
      </c>
      <c r="D1351" t="s">
        <v>1864</v>
      </c>
      <c r="E1351" t="s">
        <v>3202</v>
      </c>
      <c r="F1351" s="4" t="s">
        <v>1077</v>
      </c>
      <c r="G1351" t="str">
        <f t="shared" si="105"/>
        <v>G</v>
      </c>
      <c r="H1351" t="str">
        <f t="shared" si="105"/>
        <v>46</v>
      </c>
      <c r="I1351" t="str">
        <f t="shared" si="105"/>
        <v>465</v>
      </c>
      <c r="J1351" t="str">
        <f t="shared" si="105"/>
        <v>46524</v>
      </c>
      <c r="K1351" t="str">
        <f t="shared" si="101"/>
        <v>4652400</v>
      </c>
      <c r="L1351">
        <v>0</v>
      </c>
    </row>
    <row r="1352" spans="3:12" x14ac:dyDescent="0.25">
      <c r="C1352" t="s">
        <v>3203</v>
      </c>
      <c r="D1352" t="s">
        <v>1864</v>
      </c>
      <c r="E1352" t="s">
        <v>1864</v>
      </c>
      <c r="F1352" s="4" t="s">
        <v>1078</v>
      </c>
      <c r="G1352" t="str">
        <f t="shared" si="105"/>
        <v>G</v>
      </c>
      <c r="H1352" t="str">
        <f t="shared" si="105"/>
        <v>46</v>
      </c>
      <c r="I1352" t="str">
        <f t="shared" si="105"/>
        <v>466</v>
      </c>
      <c r="J1352" t="str">
        <f t="shared" si="105"/>
        <v>46524</v>
      </c>
      <c r="K1352" t="str">
        <f t="shared" ref="K1352:K1415" si="106">E1352</f>
        <v/>
      </c>
    </row>
    <row r="1353" spans="3:12" x14ac:dyDescent="0.25">
      <c r="C1353" t="s">
        <v>1864</v>
      </c>
      <c r="D1353" t="s">
        <v>3204</v>
      </c>
      <c r="E1353" t="s">
        <v>1864</v>
      </c>
      <c r="F1353" s="4" t="s">
        <v>1079</v>
      </c>
      <c r="G1353" t="str">
        <f t="shared" ref="G1353:J1368" si="107">IF(A1353="",G1352,A1353)</f>
        <v>G</v>
      </c>
      <c r="H1353" t="str">
        <f t="shared" si="107"/>
        <v>46</v>
      </c>
      <c r="I1353" t="str">
        <f t="shared" si="107"/>
        <v>466</v>
      </c>
      <c r="J1353" t="str">
        <f t="shared" si="107"/>
        <v>46613</v>
      </c>
      <c r="K1353" t="str">
        <f t="shared" si="106"/>
        <v/>
      </c>
    </row>
    <row r="1354" spans="3:12" x14ac:dyDescent="0.25">
      <c r="C1354" t="s">
        <v>1864</v>
      </c>
      <c r="D1354" t="s">
        <v>1864</v>
      </c>
      <c r="E1354" t="s">
        <v>3205</v>
      </c>
      <c r="F1354" s="4" t="s">
        <v>1079</v>
      </c>
      <c r="G1354" t="str">
        <f t="shared" si="107"/>
        <v>G</v>
      </c>
      <c r="H1354" t="str">
        <f t="shared" si="107"/>
        <v>46</v>
      </c>
      <c r="I1354" t="str">
        <f t="shared" si="107"/>
        <v>466</v>
      </c>
      <c r="J1354" t="str">
        <f t="shared" si="107"/>
        <v>46613</v>
      </c>
      <c r="K1354" t="str">
        <f t="shared" si="106"/>
        <v>4661300</v>
      </c>
      <c r="L1354">
        <v>0</v>
      </c>
    </row>
    <row r="1355" spans="3:12" x14ac:dyDescent="0.25">
      <c r="C1355" t="s">
        <v>1864</v>
      </c>
      <c r="D1355" t="s">
        <v>3206</v>
      </c>
      <c r="E1355" t="s">
        <v>1864</v>
      </c>
      <c r="F1355" s="4" t="s">
        <v>1080</v>
      </c>
      <c r="G1355" t="str">
        <f t="shared" si="107"/>
        <v>G</v>
      </c>
      <c r="H1355" t="str">
        <f t="shared" si="107"/>
        <v>46</v>
      </c>
      <c r="I1355" t="str">
        <f t="shared" si="107"/>
        <v>466</v>
      </c>
      <c r="J1355" t="str">
        <f t="shared" si="107"/>
        <v>46621</v>
      </c>
      <c r="K1355" t="str">
        <f t="shared" si="106"/>
        <v/>
      </c>
    </row>
    <row r="1356" spans="3:12" x14ac:dyDescent="0.25">
      <c r="C1356" t="s">
        <v>1864</v>
      </c>
      <c r="D1356" t="s">
        <v>1864</v>
      </c>
      <c r="E1356" t="s">
        <v>3207</v>
      </c>
      <c r="F1356" s="4" t="s">
        <v>1080</v>
      </c>
      <c r="G1356" t="str">
        <f t="shared" si="107"/>
        <v>G</v>
      </c>
      <c r="H1356" t="str">
        <f t="shared" si="107"/>
        <v>46</v>
      </c>
      <c r="I1356" t="str">
        <f t="shared" si="107"/>
        <v>466</v>
      </c>
      <c r="J1356" t="str">
        <f t="shared" si="107"/>
        <v>46621</v>
      </c>
      <c r="K1356" t="str">
        <f t="shared" si="106"/>
        <v>4662100</v>
      </c>
      <c r="L1356">
        <v>0</v>
      </c>
    </row>
    <row r="1357" spans="3:12" x14ac:dyDescent="0.25">
      <c r="C1357" t="s">
        <v>1864</v>
      </c>
      <c r="D1357" t="s">
        <v>3208</v>
      </c>
      <c r="E1357" t="s">
        <v>1864</v>
      </c>
      <c r="F1357" s="4" t="s">
        <v>1081</v>
      </c>
      <c r="G1357" t="str">
        <f t="shared" si="107"/>
        <v>G</v>
      </c>
      <c r="H1357" t="str">
        <f t="shared" si="107"/>
        <v>46</v>
      </c>
      <c r="I1357" t="str">
        <f t="shared" si="107"/>
        <v>466</v>
      </c>
      <c r="J1357" t="str">
        <f t="shared" si="107"/>
        <v>46630</v>
      </c>
      <c r="K1357" t="str">
        <f t="shared" si="106"/>
        <v/>
      </c>
    </row>
    <row r="1358" spans="3:12" x14ac:dyDescent="0.25">
      <c r="C1358" t="s">
        <v>1864</v>
      </c>
      <c r="D1358" t="s">
        <v>1864</v>
      </c>
      <c r="E1358" t="s">
        <v>3209</v>
      </c>
      <c r="F1358" s="4" t="s">
        <v>1081</v>
      </c>
      <c r="G1358" t="str">
        <f t="shared" si="107"/>
        <v>G</v>
      </c>
      <c r="H1358" t="str">
        <f t="shared" si="107"/>
        <v>46</v>
      </c>
      <c r="I1358" t="str">
        <f t="shared" si="107"/>
        <v>466</v>
      </c>
      <c r="J1358" t="str">
        <f t="shared" si="107"/>
        <v>46630</v>
      </c>
      <c r="K1358" t="str">
        <f t="shared" si="106"/>
        <v>4663000</v>
      </c>
      <c r="L1358">
        <v>0</v>
      </c>
    </row>
    <row r="1359" spans="3:12" x14ac:dyDescent="0.25">
      <c r="C1359" t="s">
        <v>1864</v>
      </c>
      <c r="D1359" t="s">
        <v>3210</v>
      </c>
      <c r="E1359" t="s">
        <v>1864</v>
      </c>
      <c r="F1359" s="4" t="s">
        <v>1082</v>
      </c>
      <c r="G1359" t="str">
        <f t="shared" si="107"/>
        <v>G</v>
      </c>
      <c r="H1359" t="str">
        <f t="shared" si="107"/>
        <v>46</v>
      </c>
      <c r="I1359" t="str">
        <f t="shared" si="107"/>
        <v>466</v>
      </c>
      <c r="J1359" t="str">
        <f t="shared" si="107"/>
        <v>46648</v>
      </c>
      <c r="K1359" t="str">
        <f t="shared" si="106"/>
        <v/>
      </c>
    </row>
    <row r="1360" spans="3:12" x14ac:dyDescent="0.25">
      <c r="C1360" t="s">
        <v>1864</v>
      </c>
      <c r="D1360" t="s">
        <v>1864</v>
      </c>
      <c r="E1360" t="s">
        <v>3211</v>
      </c>
      <c r="F1360" s="4" t="s">
        <v>1082</v>
      </c>
      <c r="G1360" t="str">
        <f t="shared" si="107"/>
        <v>G</v>
      </c>
      <c r="H1360" t="str">
        <f t="shared" si="107"/>
        <v>46</v>
      </c>
      <c r="I1360" t="str">
        <f t="shared" si="107"/>
        <v>466</v>
      </c>
      <c r="J1360" t="str">
        <f t="shared" si="107"/>
        <v>46648</v>
      </c>
      <c r="K1360" t="str">
        <f t="shared" si="106"/>
        <v>4664800</v>
      </c>
      <c r="L1360">
        <v>0</v>
      </c>
    </row>
    <row r="1361" spans="3:12" x14ac:dyDescent="0.25">
      <c r="C1361" t="s">
        <v>1864</v>
      </c>
      <c r="D1361" t="s">
        <v>3212</v>
      </c>
      <c r="E1361" t="s">
        <v>1864</v>
      </c>
      <c r="F1361" s="4" t="s">
        <v>1083</v>
      </c>
      <c r="G1361" t="str">
        <f t="shared" si="107"/>
        <v>G</v>
      </c>
      <c r="H1361" t="str">
        <f t="shared" si="107"/>
        <v>46</v>
      </c>
      <c r="I1361" t="str">
        <f t="shared" si="107"/>
        <v>466</v>
      </c>
      <c r="J1361" t="str">
        <f t="shared" si="107"/>
        <v>46656</v>
      </c>
      <c r="K1361" t="str">
        <f t="shared" si="106"/>
        <v/>
      </c>
    </row>
    <row r="1362" spans="3:12" x14ac:dyDescent="0.25">
      <c r="C1362" t="s">
        <v>1864</v>
      </c>
      <c r="D1362" t="s">
        <v>1864</v>
      </c>
      <c r="E1362" t="s">
        <v>3213</v>
      </c>
      <c r="F1362" s="4" t="s">
        <v>1083</v>
      </c>
      <c r="G1362" t="str">
        <f t="shared" si="107"/>
        <v>G</v>
      </c>
      <c r="H1362" t="str">
        <f t="shared" si="107"/>
        <v>46</v>
      </c>
      <c r="I1362" t="str">
        <f t="shared" si="107"/>
        <v>466</v>
      </c>
      <c r="J1362" t="str">
        <f t="shared" si="107"/>
        <v>46656</v>
      </c>
      <c r="K1362" t="str">
        <f t="shared" si="106"/>
        <v>4665600</v>
      </c>
      <c r="L1362">
        <v>0</v>
      </c>
    </row>
    <row r="1363" spans="3:12" x14ac:dyDescent="0.25">
      <c r="C1363" t="s">
        <v>1864</v>
      </c>
      <c r="D1363" t="s">
        <v>3214</v>
      </c>
      <c r="E1363" t="s">
        <v>1864</v>
      </c>
      <c r="F1363" s="4" t="s">
        <v>1084</v>
      </c>
      <c r="G1363" t="str">
        <f t="shared" si="107"/>
        <v>G</v>
      </c>
      <c r="H1363" t="str">
        <f t="shared" si="107"/>
        <v>46</v>
      </c>
      <c r="I1363" t="str">
        <f t="shared" si="107"/>
        <v>466</v>
      </c>
      <c r="J1363" t="str">
        <f t="shared" si="107"/>
        <v>46699</v>
      </c>
      <c r="K1363" t="str">
        <f t="shared" si="106"/>
        <v/>
      </c>
    </row>
    <row r="1364" spans="3:12" x14ac:dyDescent="0.25">
      <c r="C1364" t="s">
        <v>1864</v>
      </c>
      <c r="D1364" t="s">
        <v>1864</v>
      </c>
      <c r="E1364" t="s">
        <v>3215</v>
      </c>
      <c r="F1364" s="4" t="s">
        <v>1085</v>
      </c>
      <c r="G1364" t="str">
        <f t="shared" si="107"/>
        <v>G</v>
      </c>
      <c r="H1364" t="str">
        <f t="shared" si="107"/>
        <v>46</v>
      </c>
      <c r="I1364" t="str">
        <f t="shared" si="107"/>
        <v>466</v>
      </c>
      <c r="J1364" t="str">
        <f t="shared" si="107"/>
        <v>46699</v>
      </c>
      <c r="K1364" t="str">
        <f t="shared" si="106"/>
        <v>4669901</v>
      </c>
      <c r="L1364">
        <v>0</v>
      </c>
    </row>
    <row r="1365" spans="3:12" x14ac:dyDescent="0.25">
      <c r="C1365" t="s">
        <v>1864</v>
      </c>
      <c r="D1365" t="s">
        <v>1864</v>
      </c>
      <c r="E1365" t="s">
        <v>3216</v>
      </c>
      <c r="F1365" s="4" t="s">
        <v>1086</v>
      </c>
      <c r="G1365" t="str">
        <f t="shared" si="107"/>
        <v>G</v>
      </c>
      <c r="H1365" t="str">
        <f t="shared" si="107"/>
        <v>46</v>
      </c>
      <c r="I1365" t="str">
        <f t="shared" si="107"/>
        <v>466</v>
      </c>
      <c r="J1365" t="str">
        <f t="shared" si="107"/>
        <v>46699</v>
      </c>
      <c r="K1365" t="str">
        <f t="shared" si="106"/>
        <v>4669999</v>
      </c>
      <c r="L1365">
        <v>0</v>
      </c>
    </row>
    <row r="1366" spans="3:12" x14ac:dyDescent="0.25">
      <c r="C1366" t="s">
        <v>3217</v>
      </c>
      <c r="D1366" t="s">
        <v>1864</v>
      </c>
      <c r="E1366" t="s">
        <v>1864</v>
      </c>
      <c r="F1366" s="4" t="s">
        <v>1087</v>
      </c>
      <c r="G1366" t="str">
        <f t="shared" si="107"/>
        <v>G</v>
      </c>
      <c r="H1366" t="str">
        <f t="shared" si="107"/>
        <v>46</v>
      </c>
      <c r="I1366" t="str">
        <f t="shared" si="107"/>
        <v>467</v>
      </c>
      <c r="J1366" t="str">
        <f t="shared" si="107"/>
        <v>46699</v>
      </c>
      <c r="K1366" t="str">
        <f t="shared" si="106"/>
        <v/>
      </c>
    </row>
    <row r="1367" spans="3:12" x14ac:dyDescent="0.25">
      <c r="C1367" t="s">
        <v>1864</v>
      </c>
      <c r="D1367" t="s">
        <v>3218</v>
      </c>
      <c r="E1367" t="s">
        <v>1864</v>
      </c>
      <c r="F1367" s="4" t="s">
        <v>1088</v>
      </c>
      <c r="G1367" t="str">
        <f t="shared" si="107"/>
        <v>G</v>
      </c>
      <c r="H1367" t="str">
        <f t="shared" si="107"/>
        <v>46</v>
      </c>
      <c r="I1367" t="str">
        <f t="shared" si="107"/>
        <v>467</v>
      </c>
      <c r="J1367" t="str">
        <f t="shared" si="107"/>
        <v>46711</v>
      </c>
      <c r="K1367" t="str">
        <f t="shared" si="106"/>
        <v/>
      </c>
    </row>
    <row r="1368" spans="3:12" x14ac:dyDescent="0.25">
      <c r="C1368" t="s">
        <v>1864</v>
      </c>
      <c r="D1368" t="s">
        <v>1864</v>
      </c>
      <c r="E1368" t="s">
        <v>3219</v>
      </c>
      <c r="F1368" s="4" t="s">
        <v>1088</v>
      </c>
      <c r="G1368" t="str">
        <f t="shared" si="107"/>
        <v>G</v>
      </c>
      <c r="H1368" t="str">
        <f t="shared" si="107"/>
        <v>46</v>
      </c>
      <c r="I1368" t="str">
        <f t="shared" si="107"/>
        <v>467</v>
      </c>
      <c r="J1368" t="str">
        <f t="shared" si="107"/>
        <v>46711</v>
      </c>
      <c r="K1368" t="str">
        <f t="shared" si="106"/>
        <v>4671100</v>
      </c>
      <c r="L1368">
        <v>0</v>
      </c>
    </row>
    <row r="1369" spans="3:12" x14ac:dyDescent="0.25">
      <c r="C1369" t="s">
        <v>1864</v>
      </c>
      <c r="D1369" t="s">
        <v>3220</v>
      </c>
      <c r="E1369" t="s">
        <v>1864</v>
      </c>
      <c r="F1369" s="4" t="s">
        <v>1089</v>
      </c>
      <c r="G1369" t="str">
        <f t="shared" ref="G1369:J1384" si="108">IF(A1369="",G1368,A1369)</f>
        <v>G</v>
      </c>
      <c r="H1369" t="str">
        <f t="shared" si="108"/>
        <v>46</v>
      </c>
      <c r="I1369" t="str">
        <f t="shared" si="108"/>
        <v>467</v>
      </c>
      <c r="J1369" t="str">
        <f t="shared" si="108"/>
        <v>46729</v>
      </c>
      <c r="K1369" t="str">
        <f t="shared" si="106"/>
        <v/>
      </c>
    </row>
    <row r="1370" spans="3:12" x14ac:dyDescent="0.25">
      <c r="C1370" t="s">
        <v>1864</v>
      </c>
      <c r="D1370" t="s">
        <v>1864</v>
      </c>
      <c r="E1370" t="s">
        <v>3221</v>
      </c>
      <c r="F1370" s="4" t="s">
        <v>1089</v>
      </c>
      <c r="G1370" t="str">
        <f t="shared" si="108"/>
        <v>G</v>
      </c>
      <c r="H1370" t="str">
        <f t="shared" si="108"/>
        <v>46</v>
      </c>
      <c r="I1370" t="str">
        <f t="shared" si="108"/>
        <v>467</v>
      </c>
      <c r="J1370" t="str">
        <f t="shared" si="108"/>
        <v>46729</v>
      </c>
      <c r="K1370" t="str">
        <f t="shared" si="106"/>
        <v>4672900</v>
      </c>
      <c r="L1370">
        <v>0</v>
      </c>
    </row>
    <row r="1371" spans="3:12" x14ac:dyDescent="0.25">
      <c r="C1371" t="s">
        <v>1864</v>
      </c>
      <c r="D1371" t="s">
        <v>3222</v>
      </c>
      <c r="E1371" t="s">
        <v>1864</v>
      </c>
      <c r="F1371" s="4" t="s">
        <v>1090</v>
      </c>
      <c r="G1371" t="str">
        <f t="shared" si="108"/>
        <v>G</v>
      </c>
      <c r="H1371" t="str">
        <f t="shared" si="108"/>
        <v>46</v>
      </c>
      <c r="I1371" t="str">
        <f t="shared" si="108"/>
        <v>467</v>
      </c>
      <c r="J1371" t="str">
        <f t="shared" si="108"/>
        <v>46737</v>
      </c>
      <c r="K1371" t="str">
        <f t="shared" si="106"/>
        <v/>
      </c>
    </row>
    <row r="1372" spans="3:12" x14ac:dyDescent="0.25">
      <c r="C1372" t="s">
        <v>1864</v>
      </c>
      <c r="D1372" t="s">
        <v>1864</v>
      </c>
      <c r="E1372" t="s">
        <v>3223</v>
      </c>
      <c r="F1372" s="4" t="s">
        <v>1090</v>
      </c>
      <c r="G1372" t="str">
        <f t="shared" si="108"/>
        <v>G</v>
      </c>
      <c r="H1372" t="str">
        <f t="shared" si="108"/>
        <v>46</v>
      </c>
      <c r="I1372" t="str">
        <f t="shared" si="108"/>
        <v>467</v>
      </c>
      <c r="J1372" t="str">
        <f t="shared" si="108"/>
        <v>46737</v>
      </c>
      <c r="K1372" t="str">
        <f t="shared" si="106"/>
        <v>4673700</v>
      </c>
      <c r="L1372">
        <v>0</v>
      </c>
    </row>
    <row r="1373" spans="3:12" x14ac:dyDescent="0.25">
      <c r="C1373" t="s">
        <v>1864</v>
      </c>
      <c r="D1373" t="s">
        <v>3224</v>
      </c>
      <c r="E1373" t="s">
        <v>1864</v>
      </c>
      <c r="F1373" s="4" t="s">
        <v>1091</v>
      </c>
      <c r="G1373" t="str">
        <f t="shared" si="108"/>
        <v>G</v>
      </c>
      <c r="H1373" t="str">
        <f t="shared" si="108"/>
        <v>46</v>
      </c>
      <c r="I1373" t="str">
        <f t="shared" si="108"/>
        <v>467</v>
      </c>
      <c r="J1373" t="str">
        <f t="shared" si="108"/>
        <v>46745</v>
      </c>
      <c r="K1373" t="str">
        <f t="shared" si="106"/>
        <v/>
      </c>
    </row>
    <row r="1374" spans="3:12" x14ac:dyDescent="0.25">
      <c r="C1374" t="s">
        <v>1864</v>
      </c>
      <c r="D1374" t="s">
        <v>1864</v>
      </c>
      <c r="E1374" t="s">
        <v>3225</v>
      </c>
      <c r="F1374" s="4" t="s">
        <v>1091</v>
      </c>
      <c r="G1374" t="str">
        <f t="shared" si="108"/>
        <v>G</v>
      </c>
      <c r="H1374" t="str">
        <f t="shared" si="108"/>
        <v>46</v>
      </c>
      <c r="I1374" t="str">
        <f t="shared" si="108"/>
        <v>467</v>
      </c>
      <c r="J1374" t="str">
        <f t="shared" si="108"/>
        <v>46745</v>
      </c>
      <c r="K1374" t="str">
        <f t="shared" si="106"/>
        <v>4674500</v>
      </c>
      <c r="L1374">
        <v>0</v>
      </c>
    </row>
    <row r="1375" spans="3:12" x14ac:dyDescent="0.25">
      <c r="C1375" t="s">
        <v>1864</v>
      </c>
      <c r="D1375" t="s">
        <v>3226</v>
      </c>
      <c r="E1375" t="s">
        <v>1864</v>
      </c>
      <c r="F1375" s="4" t="s">
        <v>1092</v>
      </c>
      <c r="G1375" t="str">
        <f t="shared" si="108"/>
        <v>G</v>
      </c>
      <c r="H1375" t="str">
        <f t="shared" si="108"/>
        <v>46</v>
      </c>
      <c r="I1375" t="str">
        <f t="shared" si="108"/>
        <v>467</v>
      </c>
      <c r="J1375" t="str">
        <f t="shared" si="108"/>
        <v>46796</v>
      </c>
      <c r="K1375" t="str">
        <f t="shared" si="106"/>
        <v/>
      </c>
    </row>
    <row r="1376" spans="3:12" x14ac:dyDescent="0.25">
      <c r="C1376" t="s">
        <v>1864</v>
      </c>
      <c r="D1376" t="s">
        <v>1864</v>
      </c>
      <c r="E1376" t="s">
        <v>3227</v>
      </c>
      <c r="F1376" s="4" t="s">
        <v>1093</v>
      </c>
      <c r="G1376" t="str">
        <f t="shared" si="108"/>
        <v>G</v>
      </c>
      <c r="H1376" t="str">
        <f t="shared" si="108"/>
        <v>46</v>
      </c>
      <c r="I1376" t="str">
        <f t="shared" si="108"/>
        <v>467</v>
      </c>
      <c r="J1376" t="str">
        <f t="shared" si="108"/>
        <v>46796</v>
      </c>
      <c r="K1376" t="str">
        <f t="shared" si="106"/>
        <v>4679601</v>
      </c>
      <c r="L1376">
        <v>0</v>
      </c>
    </row>
    <row r="1377" spans="3:12" x14ac:dyDescent="0.25">
      <c r="C1377" t="s">
        <v>1864</v>
      </c>
      <c r="D1377" t="s">
        <v>1864</v>
      </c>
      <c r="E1377" t="s">
        <v>3228</v>
      </c>
      <c r="F1377" s="4" t="s">
        <v>1094</v>
      </c>
      <c r="G1377" t="str">
        <f t="shared" si="108"/>
        <v>G</v>
      </c>
      <c r="H1377" t="str">
        <f t="shared" si="108"/>
        <v>46</v>
      </c>
      <c r="I1377" t="str">
        <f t="shared" si="108"/>
        <v>467</v>
      </c>
      <c r="J1377" t="str">
        <f t="shared" si="108"/>
        <v>46796</v>
      </c>
      <c r="K1377" t="str">
        <f t="shared" si="106"/>
        <v>4679602</v>
      </c>
      <c r="L1377">
        <v>0</v>
      </c>
    </row>
    <row r="1378" spans="3:12" x14ac:dyDescent="0.25">
      <c r="C1378" t="s">
        <v>1864</v>
      </c>
      <c r="D1378" t="s">
        <v>1864</v>
      </c>
      <c r="E1378" t="s">
        <v>3229</v>
      </c>
      <c r="F1378" s="4" t="s">
        <v>1095</v>
      </c>
      <c r="G1378" t="str">
        <f t="shared" si="108"/>
        <v>G</v>
      </c>
      <c r="H1378" t="str">
        <f t="shared" si="108"/>
        <v>46</v>
      </c>
      <c r="I1378" t="str">
        <f t="shared" si="108"/>
        <v>467</v>
      </c>
      <c r="J1378" t="str">
        <f t="shared" si="108"/>
        <v>46796</v>
      </c>
      <c r="K1378" t="str">
        <f t="shared" si="106"/>
        <v>4679603</v>
      </c>
      <c r="L1378">
        <v>0</v>
      </c>
    </row>
    <row r="1379" spans="3:12" x14ac:dyDescent="0.25">
      <c r="C1379" t="s">
        <v>1864</v>
      </c>
      <c r="D1379" t="s">
        <v>1864</v>
      </c>
      <c r="E1379" t="s">
        <v>3230</v>
      </c>
      <c r="F1379" s="4" t="s">
        <v>1096</v>
      </c>
      <c r="G1379" t="str">
        <f t="shared" si="108"/>
        <v>G</v>
      </c>
      <c r="H1379" t="str">
        <f t="shared" si="108"/>
        <v>46</v>
      </c>
      <c r="I1379" t="str">
        <f t="shared" si="108"/>
        <v>467</v>
      </c>
      <c r="J1379" t="str">
        <f t="shared" si="108"/>
        <v>46796</v>
      </c>
      <c r="K1379" t="str">
        <f t="shared" si="106"/>
        <v>4679604</v>
      </c>
      <c r="L1379">
        <v>0</v>
      </c>
    </row>
    <row r="1380" spans="3:12" x14ac:dyDescent="0.25">
      <c r="C1380" t="s">
        <v>1864</v>
      </c>
      <c r="D1380" t="s">
        <v>1864</v>
      </c>
      <c r="E1380" t="s">
        <v>3231</v>
      </c>
      <c r="F1380" s="4" t="s">
        <v>1097</v>
      </c>
      <c r="G1380" t="str">
        <f t="shared" si="108"/>
        <v>G</v>
      </c>
      <c r="H1380" t="str">
        <f t="shared" si="108"/>
        <v>46</v>
      </c>
      <c r="I1380" t="str">
        <f t="shared" si="108"/>
        <v>467</v>
      </c>
      <c r="J1380" t="str">
        <f t="shared" si="108"/>
        <v>46796</v>
      </c>
      <c r="K1380" t="str">
        <f t="shared" si="106"/>
        <v>4679699</v>
      </c>
      <c r="L1380">
        <v>0</v>
      </c>
    </row>
    <row r="1381" spans="3:12" x14ac:dyDescent="0.25">
      <c r="C1381" t="s">
        <v>3232</v>
      </c>
      <c r="D1381" t="s">
        <v>1864</v>
      </c>
      <c r="E1381" t="s">
        <v>1864</v>
      </c>
      <c r="F1381" s="4" t="s">
        <v>1098</v>
      </c>
      <c r="G1381" t="str">
        <f t="shared" si="108"/>
        <v>G</v>
      </c>
      <c r="H1381" t="str">
        <f t="shared" si="108"/>
        <v>46</v>
      </c>
      <c r="I1381" t="str">
        <f t="shared" si="108"/>
        <v>468</v>
      </c>
      <c r="J1381" t="str">
        <f t="shared" si="108"/>
        <v>46796</v>
      </c>
      <c r="K1381" t="str">
        <f t="shared" si="106"/>
        <v/>
      </c>
    </row>
    <row r="1382" spans="3:12" x14ac:dyDescent="0.25">
      <c r="C1382" t="s">
        <v>1864</v>
      </c>
      <c r="D1382" t="s">
        <v>3233</v>
      </c>
      <c r="E1382" t="s">
        <v>1864</v>
      </c>
      <c r="F1382" s="4" t="s">
        <v>1099</v>
      </c>
      <c r="G1382" t="str">
        <f t="shared" si="108"/>
        <v>G</v>
      </c>
      <c r="H1382" t="str">
        <f t="shared" si="108"/>
        <v>46</v>
      </c>
      <c r="I1382" t="str">
        <f t="shared" si="108"/>
        <v>468</v>
      </c>
      <c r="J1382" t="str">
        <f t="shared" si="108"/>
        <v>46818</v>
      </c>
      <c r="K1382" t="str">
        <f t="shared" si="106"/>
        <v/>
      </c>
    </row>
    <row r="1383" spans="3:12" x14ac:dyDescent="0.25">
      <c r="C1383" t="s">
        <v>1864</v>
      </c>
      <c r="D1383" t="s">
        <v>1864</v>
      </c>
      <c r="E1383" t="s">
        <v>3234</v>
      </c>
      <c r="F1383" s="4" t="s">
        <v>1100</v>
      </c>
      <c r="G1383" t="str">
        <f t="shared" si="108"/>
        <v>G</v>
      </c>
      <c r="H1383" t="str">
        <f t="shared" si="108"/>
        <v>46</v>
      </c>
      <c r="I1383" t="str">
        <f t="shared" si="108"/>
        <v>468</v>
      </c>
      <c r="J1383" t="str">
        <f t="shared" si="108"/>
        <v>46818</v>
      </c>
      <c r="K1383" t="str">
        <f t="shared" si="106"/>
        <v>4681801</v>
      </c>
      <c r="L1383">
        <v>0</v>
      </c>
    </row>
    <row r="1384" spans="3:12" x14ac:dyDescent="0.25">
      <c r="C1384" t="s">
        <v>1864</v>
      </c>
      <c r="D1384" t="s">
        <v>1864</v>
      </c>
      <c r="E1384" t="s">
        <v>3235</v>
      </c>
      <c r="F1384" s="4" t="s">
        <v>1101</v>
      </c>
      <c r="G1384" t="str">
        <f t="shared" si="108"/>
        <v>G</v>
      </c>
      <c r="H1384" t="str">
        <f t="shared" si="108"/>
        <v>46</v>
      </c>
      <c r="I1384" t="str">
        <f t="shared" si="108"/>
        <v>468</v>
      </c>
      <c r="J1384" t="str">
        <f t="shared" si="108"/>
        <v>46818</v>
      </c>
      <c r="K1384" t="str">
        <f t="shared" si="106"/>
        <v>4681802</v>
      </c>
      <c r="L1384">
        <v>0</v>
      </c>
    </row>
    <row r="1385" spans="3:12" x14ac:dyDescent="0.25">
      <c r="C1385" t="s">
        <v>1864</v>
      </c>
      <c r="D1385" t="s">
        <v>1864</v>
      </c>
      <c r="E1385" t="s">
        <v>3236</v>
      </c>
      <c r="F1385" s="4" t="s">
        <v>1102</v>
      </c>
      <c r="G1385" t="str">
        <f t="shared" ref="G1385:J1400" si="109">IF(A1385="",G1384,A1385)</f>
        <v>G</v>
      </c>
      <c r="H1385" t="str">
        <f t="shared" si="109"/>
        <v>46</v>
      </c>
      <c r="I1385" t="str">
        <f t="shared" si="109"/>
        <v>468</v>
      </c>
      <c r="J1385" t="str">
        <f t="shared" si="109"/>
        <v>46818</v>
      </c>
      <c r="K1385" t="str">
        <f t="shared" si="106"/>
        <v>4681803</v>
      </c>
      <c r="L1385">
        <v>0</v>
      </c>
    </row>
    <row r="1386" spans="3:12" x14ac:dyDescent="0.25">
      <c r="C1386" t="s">
        <v>1864</v>
      </c>
      <c r="D1386" t="s">
        <v>1864</v>
      </c>
      <c r="E1386" t="s">
        <v>3237</v>
      </c>
      <c r="F1386" s="4" t="s">
        <v>1103</v>
      </c>
      <c r="G1386" t="str">
        <f t="shared" si="109"/>
        <v>G</v>
      </c>
      <c r="H1386" t="str">
        <f t="shared" si="109"/>
        <v>46</v>
      </c>
      <c r="I1386" t="str">
        <f t="shared" si="109"/>
        <v>468</v>
      </c>
      <c r="J1386" t="str">
        <f t="shared" si="109"/>
        <v>46818</v>
      </c>
      <c r="K1386" t="str">
        <f t="shared" si="106"/>
        <v>4681804</v>
      </c>
      <c r="L1386">
        <v>0</v>
      </c>
    </row>
    <row r="1387" spans="3:12" x14ac:dyDescent="0.25">
      <c r="C1387" t="s">
        <v>1864</v>
      </c>
      <c r="D1387" t="s">
        <v>1864</v>
      </c>
      <c r="E1387" t="s">
        <v>3238</v>
      </c>
      <c r="F1387" s="4" t="s">
        <v>1104</v>
      </c>
      <c r="G1387" t="str">
        <f t="shared" si="109"/>
        <v>G</v>
      </c>
      <c r="H1387" t="str">
        <f t="shared" si="109"/>
        <v>46</v>
      </c>
      <c r="I1387" t="str">
        <f t="shared" si="109"/>
        <v>468</v>
      </c>
      <c r="J1387" t="str">
        <f t="shared" si="109"/>
        <v>46818</v>
      </c>
      <c r="K1387" t="str">
        <f t="shared" si="106"/>
        <v>4681805</v>
      </c>
      <c r="L1387">
        <v>0</v>
      </c>
    </row>
    <row r="1388" spans="3:12" x14ac:dyDescent="0.25">
      <c r="C1388" t="s">
        <v>1864</v>
      </c>
      <c r="D1388" t="s">
        <v>3239</v>
      </c>
      <c r="E1388" t="s">
        <v>1864</v>
      </c>
      <c r="F1388" s="4" t="s">
        <v>1105</v>
      </c>
      <c r="G1388" t="str">
        <f t="shared" si="109"/>
        <v>G</v>
      </c>
      <c r="H1388" t="str">
        <f t="shared" si="109"/>
        <v>46</v>
      </c>
      <c r="I1388" t="str">
        <f t="shared" si="109"/>
        <v>468</v>
      </c>
      <c r="J1388" t="str">
        <f t="shared" si="109"/>
        <v>46826</v>
      </c>
      <c r="K1388" t="str">
        <f t="shared" si="106"/>
        <v/>
      </c>
    </row>
    <row r="1389" spans="3:12" x14ac:dyDescent="0.25">
      <c r="C1389" t="s">
        <v>1864</v>
      </c>
      <c r="D1389" t="s">
        <v>1864</v>
      </c>
      <c r="E1389" t="s">
        <v>3240</v>
      </c>
      <c r="F1389" s="4" t="s">
        <v>1105</v>
      </c>
      <c r="G1389" t="str">
        <f t="shared" si="109"/>
        <v>G</v>
      </c>
      <c r="H1389" t="str">
        <f t="shared" si="109"/>
        <v>46</v>
      </c>
      <c r="I1389" t="str">
        <f t="shared" si="109"/>
        <v>468</v>
      </c>
      <c r="J1389" t="str">
        <f t="shared" si="109"/>
        <v>46826</v>
      </c>
      <c r="K1389" t="str">
        <f t="shared" si="106"/>
        <v>4682600</v>
      </c>
      <c r="L1389">
        <v>0</v>
      </c>
    </row>
    <row r="1390" spans="3:12" x14ac:dyDescent="0.25">
      <c r="C1390" t="s">
        <v>1864</v>
      </c>
      <c r="D1390" t="s">
        <v>3241</v>
      </c>
      <c r="E1390" t="s">
        <v>1864</v>
      </c>
      <c r="F1390" s="4" t="s">
        <v>1106</v>
      </c>
      <c r="G1390" t="str">
        <f t="shared" si="109"/>
        <v>G</v>
      </c>
      <c r="H1390" t="str">
        <f t="shared" si="109"/>
        <v>46</v>
      </c>
      <c r="I1390" t="str">
        <f t="shared" si="109"/>
        <v>468</v>
      </c>
      <c r="J1390" t="str">
        <f t="shared" si="109"/>
        <v>46834</v>
      </c>
      <c r="K1390" t="str">
        <f t="shared" si="106"/>
        <v/>
      </c>
    </row>
    <row r="1391" spans="3:12" x14ac:dyDescent="0.25">
      <c r="C1391" t="s">
        <v>1864</v>
      </c>
      <c r="D1391" t="s">
        <v>1864</v>
      </c>
      <c r="E1391" t="s">
        <v>3242</v>
      </c>
      <c r="F1391" s="4" t="s">
        <v>1106</v>
      </c>
      <c r="G1391" t="str">
        <f t="shared" si="109"/>
        <v>G</v>
      </c>
      <c r="H1391" t="str">
        <f t="shared" si="109"/>
        <v>46</v>
      </c>
      <c r="I1391" t="str">
        <f t="shared" si="109"/>
        <v>468</v>
      </c>
      <c r="J1391" t="str">
        <f t="shared" si="109"/>
        <v>46834</v>
      </c>
      <c r="K1391" t="str">
        <f t="shared" si="106"/>
        <v>4683400</v>
      </c>
      <c r="L1391">
        <v>0</v>
      </c>
    </row>
    <row r="1392" spans="3:12" x14ac:dyDescent="0.25">
      <c r="C1392" t="s">
        <v>1864</v>
      </c>
      <c r="D1392" t="s">
        <v>3243</v>
      </c>
      <c r="E1392" t="s">
        <v>1864</v>
      </c>
      <c r="F1392" s="4" t="s">
        <v>1107</v>
      </c>
      <c r="G1392" t="str">
        <f t="shared" si="109"/>
        <v>G</v>
      </c>
      <c r="H1392" t="str">
        <f t="shared" si="109"/>
        <v>46</v>
      </c>
      <c r="I1392" t="str">
        <f t="shared" si="109"/>
        <v>468</v>
      </c>
      <c r="J1392" t="str">
        <f t="shared" si="109"/>
        <v>46842</v>
      </c>
      <c r="K1392" t="str">
        <f t="shared" si="106"/>
        <v/>
      </c>
    </row>
    <row r="1393" spans="3:12" x14ac:dyDescent="0.25">
      <c r="C1393" t="s">
        <v>1864</v>
      </c>
      <c r="D1393" t="s">
        <v>1864</v>
      </c>
      <c r="E1393" t="s">
        <v>3244</v>
      </c>
      <c r="F1393" s="4" t="s">
        <v>1108</v>
      </c>
      <c r="G1393" t="str">
        <f t="shared" si="109"/>
        <v>G</v>
      </c>
      <c r="H1393" t="str">
        <f t="shared" si="109"/>
        <v>46</v>
      </c>
      <c r="I1393" t="str">
        <f t="shared" si="109"/>
        <v>468</v>
      </c>
      <c r="J1393" t="str">
        <f t="shared" si="109"/>
        <v>46842</v>
      </c>
      <c r="K1393" t="str">
        <f t="shared" si="106"/>
        <v>4684201</v>
      </c>
      <c r="L1393">
        <v>0</v>
      </c>
    </row>
    <row r="1394" spans="3:12" x14ac:dyDescent="0.25">
      <c r="C1394" t="s">
        <v>1864</v>
      </c>
      <c r="D1394" t="s">
        <v>1864</v>
      </c>
      <c r="E1394" t="s">
        <v>3245</v>
      </c>
      <c r="F1394" s="4" t="s">
        <v>1109</v>
      </c>
      <c r="G1394" t="str">
        <f t="shared" si="109"/>
        <v>G</v>
      </c>
      <c r="H1394" t="str">
        <f t="shared" si="109"/>
        <v>46</v>
      </c>
      <c r="I1394" t="str">
        <f t="shared" si="109"/>
        <v>468</v>
      </c>
      <c r="J1394" t="str">
        <f t="shared" si="109"/>
        <v>46842</v>
      </c>
      <c r="K1394" t="str">
        <f t="shared" si="106"/>
        <v>4684202</v>
      </c>
      <c r="L1394">
        <v>0</v>
      </c>
    </row>
    <row r="1395" spans="3:12" x14ac:dyDescent="0.25">
      <c r="C1395" t="s">
        <v>1864</v>
      </c>
      <c r="D1395" t="s">
        <v>1864</v>
      </c>
      <c r="E1395" t="s">
        <v>3246</v>
      </c>
      <c r="F1395" s="4" t="s">
        <v>1110</v>
      </c>
      <c r="G1395" t="str">
        <f t="shared" si="109"/>
        <v>G</v>
      </c>
      <c r="H1395" t="str">
        <f t="shared" si="109"/>
        <v>46</v>
      </c>
      <c r="I1395" t="str">
        <f t="shared" si="109"/>
        <v>468</v>
      </c>
      <c r="J1395" t="str">
        <f t="shared" si="109"/>
        <v>46842</v>
      </c>
      <c r="K1395" t="str">
        <f t="shared" si="106"/>
        <v>4684299</v>
      </c>
      <c r="L1395">
        <v>0</v>
      </c>
    </row>
    <row r="1396" spans="3:12" x14ac:dyDescent="0.25">
      <c r="C1396" t="s">
        <v>1864</v>
      </c>
      <c r="D1396" t="s">
        <v>3247</v>
      </c>
      <c r="E1396" t="s">
        <v>1864</v>
      </c>
      <c r="F1396" s="4" t="s">
        <v>1111</v>
      </c>
      <c r="G1396" t="str">
        <f t="shared" si="109"/>
        <v>G</v>
      </c>
      <c r="H1396" t="str">
        <f t="shared" si="109"/>
        <v>46</v>
      </c>
      <c r="I1396" t="str">
        <f t="shared" si="109"/>
        <v>468</v>
      </c>
      <c r="J1396" t="str">
        <f t="shared" si="109"/>
        <v>46851</v>
      </c>
      <c r="K1396" t="str">
        <f t="shared" si="106"/>
        <v/>
      </c>
    </row>
    <row r="1397" spans="3:12" x14ac:dyDescent="0.25">
      <c r="C1397" t="s">
        <v>1864</v>
      </c>
      <c r="D1397" t="s">
        <v>1864</v>
      </c>
      <c r="E1397" t="s">
        <v>3248</v>
      </c>
      <c r="F1397" s="4" t="s">
        <v>1111</v>
      </c>
      <c r="G1397" t="str">
        <f t="shared" si="109"/>
        <v>G</v>
      </c>
      <c r="H1397" t="str">
        <f t="shared" si="109"/>
        <v>46</v>
      </c>
      <c r="I1397" t="str">
        <f t="shared" si="109"/>
        <v>468</v>
      </c>
      <c r="J1397" t="str">
        <f t="shared" si="109"/>
        <v>46851</v>
      </c>
      <c r="K1397" t="str">
        <f t="shared" si="106"/>
        <v>4685100</v>
      </c>
      <c r="L1397">
        <v>0</v>
      </c>
    </row>
    <row r="1398" spans="3:12" x14ac:dyDescent="0.25">
      <c r="C1398" t="s">
        <v>1864</v>
      </c>
      <c r="D1398" t="s">
        <v>3249</v>
      </c>
      <c r="E1398" t="s">
        <v>1864</v>
      </c>
      <c r="F1398" s="4" t="s">
        <v>1112</v>
      </c>
      <c r="G1398" t="str">
        <f t="shared" si="109"/>
        <v>G</v>
      </c>
      <c r="H1398" t="str">
        <f t="shared" si="109"/>
        <v>46</v>
      </c>
      <c r="I1398" t="str">
        <f t="shared" si="109"/>
        <v>468</v>
      </c>
      <c r="J1398" t="str">
        <f t="shared" si="109"/>
        <v>46869</v>
      </c>
      <c r="K1398" t="str">
        <f t="shared" si="106"/>
        <v/>
      </c>
    </row>
    <row r="1399" spans="3:12" x14ac:dyDescent="0.25">
      <c r="C1399" t="s">
        <v>1864</v>
      </c>
      <c r="D1399" t="s">
        <v>1864</v>
      </c>
      <c r="E1399" t="s">
        <v>3250</v>
      </c>
      <c r="F1399" s="4" t="s">
        <v>1113</v>
      </c>
      <c r="G1399" t="str">
        <f t="shared" si="109"/>
        <v>G</v>
      </c>
      <c r="H1399" t="str">
        <f t="shared" si="109"/>
        <v>46</v>
      </c>
      <c r="I1399" t="str">
        <f t="shared" si="109"/>
        <v>468</v>
      </c>
      <c r="J1399" t="str">
        <f t="shared" si="109"/>
        <v>46869</v>
      </c>
      <c r="K1399" t="str">
        <f t="shared" si="106"/>
        <v>4686901</v>
      </c>
      <c r="L1399">
        <v>0</v>
      </c>
    </row>
    <row r="1400" spans="3:12" x14ac:dyDescent="0.25">
      <c r="C1400" t="s">
        <v>1864</v>
      </c>
      <c r="D1400" t="s">
        <v>1864</v>
      </c>
      <c r="E1400" t="s">
        <v>3251</v>
      </c>
      <c r="F1400" s="4" t="s">
        <v>1114</v>
      </c>
      <c r="G1400" t="str">
        <f t="shared" si="109"/>
        <v>G</v>
      </c>
      <c r="H1400" t="str">
        <f t="shared" si="109"/>
        <v>46</v>
      </c>
      <c r="I1400" t="str">
        <f t="shared" si="109"/>
        <v>468</v>
      </c>
      <c r="J1400" t="str">
        <f t="shared" si="109"/>
        <v>46869</v>
      </c>
      <c r="K1400" t="str">
        <f t="shared" si="106"/>
        <v>4686902</v>
      </c>
      <c r="L1400">
        <v>0</v>
      </c>
    </row>
    <row r="1401" spans="3:12" x14ac:dyDescent="0.25">
      <c r="C1401" t="s">
        <v>1864</v>
      </c>
      <c r="D1401" t="s">
        <v>3252</v>
      </c>
      <c r="E1401" t="s">
        <v>1864</v>
      </c>
      <c r="F1401" s="4" t="s">
        <v>1115</v>
      </c>
      <c r="G1401" t="str">
        <f t="shared" ref="G1401:J1416" si="110">IF(A1401="",G1400,A1401)</f>
        <v>G</v>
      </c>
      <c r="H1401" t="str">
        <f t="shared" si="110"/>
        <v>46</v>
      </c>
      <c r="I1401" t="str">
        <f t="shared" si="110"/>
        <v>468</v>
      </c>
      <c r="J1401" t="str">
        <f t="shared" si="110"/>
        <v>46877</v>
      </c>
      <c r="K1401" t="str">
        <f t="shared" si="106"/>
        <v/>
      </c>
    </row>
    <row r="1402" spans="3:12" x14ac:dyDescent="0.25">
      <c r="C1402" t="s">
        <v>1864</v>
      </c>
      <c r="D1402" t="s">
        <v>1864</v>
      </c>
      <c r="E1402" t="s">
        <v>3253</v>
      </c>
      <c r="F1402" s="4" t="s">
        <v>1116</v>
      </c>
      <c r="G1402" t="str">
        <f t="shared" si="110"/>
        <v>G</v>
      </c>
      <c r="H1402" t="str">
        <f t="shared" si="110"/>
        <v>46</v>
      </c>
      <c r="I1402" t="str">
        <f t="shared" si="110"/>
        <v>468</v>
      </c>
      <c r="J1402" t="str">
        <f t="shared" si="110"/>
        <v>46877</v>
      </c>
      <c r="K1402" t="str">
        <f t="shared" si="106"/>
        <v>4687701</v>
      </c>
      <c r="L1402">
        <v>0</v>
      </c>
    </row>
    <row r="1403" spans="3:12" x14ac:dyDescent="0.25">
      <c r="C1403" t="s">
        <v>1864</v>
      </c>
      <c r="D1403" t="s">
        <v>1864</v>
      </c>
      <c r="E1403" t="s">
        <v>3254</v>
      </c>
      <c r="F1403" s="4" t="s">
        <v>1117</v>
      </c>
      <c r="G1403" t="str">
        <f t="shared" si="110"/>
        <v>G</v>
      </c>
      <c r="H1403" t="str">
        <f t="shared" si="110"/>
        <v>46</v>
      </c>
      <c r="I1403" t="str">
        <f t="shared" si="110"/>
        <v>468</v>
      </c>
      <c r="J1403" t="str">
        <f t="shared" si="110"/>
        <v>46877</v>
      </c>
      <c r="K1403" t="str">
        <f t="shared" si="106"/>
        <v>4687702</v>
      </c>
      <c r="L1403">
        <v>0</v>
      </c>
    </row>
    <row r="1404" spans="3:12" x14ac:dyDescent="0.25">
      <c r="C1404" t="s">
        <v>1864</v>
      </c>
      <c r="D1404" t="s">
        <v>1864</v>
      </c>
      <c r="E1404" t="s">
        <v>3255</v>
      </c>
      <c r="F1404" s="4" t="s">
        <v>1118</v>
      </c>
      <c r="G1404" t="str">
        <f t="shared" si="110"/>
        <v>G</v>
      </c>
      <c r="H1404" t="str">
        <f t="shared" si="110"/>
        <v>46</v>
      </c>
      <c r="I1404" t="str">
        <f t="shared" si="110"/>
        <v>468</v>
      </c>
      <c r="J1404" t="str">
        <f t="shared" si="110"/>
        <v>46877</v>
      </c>
      <c r="K1404" t="str">
        <f t="shared" si="106"/>
        <v>4687703</v>
      </c>
      <c r="L1404">
        <v>0</v>
      </c>
    </row>
    <row r="1405" spans="3:12" x14ac:dyDescent="0.25">
      <c r="C1405" t="s">
        <v>1864</v>
      </c>
      <c r="D1405" t="s">
        <v>3256</v>
      </c>
      <c r="E1405" t="s">
        <v>1864</v>
      </c>
      <c r="F1405" s="4" t="s">
        <v>1119</v>
      </c>
      <c r="G1405" t="str">
        <f t="shared" si="110"/>
        <v>G</v>
      </c>
      <c r="H1405" t="str">
        <f t="shared" si="110"/>
        <v>46</v>
      </c>
      <c r="I1405" t="str">
        <f t="shared" si="110"/>
        <v>468</v>
      </c>
      <c r="J1405" t="str">
        <f t="shared" si="110"/>
        <v>46893</v>
      </c>
      <c r="K1405" t="str">
        <f t="shared" si="106"/>
        <v/>
      </c>
    </row>
    <row r="1406" spans="3:12" x14ac:dyDescent="0.25">
      <c r="C1406" t="s">
        <v>1864</v>
      </c>
      <c r="D1406" t="s">
        <v>1864</v>
      </c>
      <c r="E1406" t="s">
        <v>3257</v>
      </c>
      <c r="F1406" s="4" t="s">
        <v>1120</v>
      </c>
      <c r="G1406" t="str">
        <f t="shared" si="110"/>
        <v>G</v>
      </c>
      <c r="H1406" t="str">
        <f t="shared" si="110"/>
        <v>46</v>
      </c>
      <c r="I1406" t="str">
        <f t="shared" si="110"/>
        <v>468</v>
      </c>
      <c r="J1406" t="str">
        <f t="shared" si="110"/>
        <v>46893</v>
      </c>
      <c r="K1406" t="str">
        <f t="shared" si="106"/>
        <v>4689301</v>
      </c>
      <c r="L1406">
        <v>0</v>
      </c>
    </row>
    <row r="1407" spans="3:12" x14ac:dyDescent="0.25">
      <c r="C1407" t="s">
        <v>1864</v>
      </c>
      <c r="D1407" t="s">
        <v>1864</v>
      </c>
      <c r="E1407" t="s">
        <v>3258</v>
      </c>
      <c r="F1407" s="4" t="s">
        <v>1121</v>
      </c>
      <c r="G1407" t="str">
        <f t="shared" si="110"/>
        <v>G</v>
      </c>
      <c r="H1407" t="str">
        <f t="shared" si="110"/>
        <v>46</v>
      </c>
      <c r="I1407" t="str">
        <f t="shared" si="110"/>
        <v>468</v>
      </c>
      <c r="J1407" t="str">
        <f t="shared" si="110"/>
        <v>46893</v>
      </c>
      <c r="K1407" t="str">
        <f t="shared" si="106"/>
        <v>4689302</v>
      </c>
      <c r="L1407">
        <v>0</v>
      </c>
    </row>
    <row r="1408" spans="3:12" x14ac:dyDescent="0.25">
      <c r="C1408" t="s">
        <v>1864</v>
      </c>
      <c r="D1408" t="s">
        <v>1864</v>
      </c>
      <c r="E1408" t="s">
        <v>3259</v>
      </c>
      <c r="F1408" s="4" t="s">
        <v>1122</v>
      </c>
      <c r="G1408" t="str">
        <f t="shared" si="110"/>
        <v>G</v>
      </c>
      <c r="H1408" t="str">
        <f t="shared" si="110"/>
        <v>46</v>
      </c>
      <c r="I1408" t="str">
        <f t="shared" si="110"/>
        <v>468</v>
      </c>
      <c r="J1408" t="str">
        <f t="shared" si="110"/>
        <v>46893</v>
      </c>
      <c r="K1408" t="str">
        <f t="shared" si="106"/>
        <v>4689399</v>
      </c>
      <c r="L1408">
        <v>0</v>
      </c>
    </row>
    <row r="1409" spans="2:12" x14ac:dyDescent="0.25">
      <c r="C1409" t="s">
        <v>3260</v>
      </c>
      <c r="D1409" t="s">
        <v>1864</v>
      </c>
      <c r="E1409" t="s">
        <v>1864</v>
      </c>
      <c r="F1409" s="4" t="s">
        <v>1123</v>
      </c>
      <c r="G1409" t="str">
        <f t="shared" si="110"/>
        <v>G</v>
      </c>
      <c r="H1409" t="str">
        <f t="shared" si="110"/>
        <v>46</v>
      </c>
      <c r="I1409" t="str">
        <f t="shared" si="110"/>
        <v>469</v>
      </c>
      <c r="J1409" t="str">
        <f t="shared" si="110"/>
        <v>46893</v>
      </c>
      <c r="K1409" t="str">
        <f t="shared" si="106"/>
        <v/>
      </c>
    </row>
    <row r="1410" spans="2:12" x14ac:dyDescent="0.25">
      <c r="C1410" t="s">
        <v>1864</v>
      </c>
      <c r="D1410" t="s">
        <v>3261</v>
      </c>
      <c r="E1410" t="s">
        <v>1864</v>
      </c>
      <c r="F1410" s="4" t="s">
        <v>1124</v>
      </c>
      <c r="G1410" t="str">
        <f t="shared" si="110"/>
        <v>G</v>
      </c>
      <c r="H1410" t="str">
        <f t="shared" si="110"/>
        <v>46</v>
      </c>
      <c r="I1410" t="str">
        <f t="shared" si="110"/>
        <v>469</v>
      </c>
      <c r="J1410" t="str">
        <f t="shared" si="110"/>
        <v>46915</v>
      </c>
      <c r="K1410" t="str">
        <f t="shared" si="106"/>
        <v/>
      </c>
    </row>
    <row r="1411" spans="2:12" x14ac:dyDescent="0.25">
      <c r="C1411" t="s">
        <v>1864</v>
      </c>
      <c r="D1411" t="s">
        <v>1864</v>
      </c>
      <c r="E1411" t="s">
        <v>3262</v>
      </c>
      <c r="F1411" s="4" t="s">
        <v>1124</v>
      </c>
      <c r="G1411" t="str">
        <f t="shared" si="110"/>
        <v>G</v>
      </c>
      <c r="H1411" t="str">
        <f t="shared" si="110"/>
        <v>46</v>
      </c>
      <c r="I1411" t="str">
        <f t="shared" si="110"/>
        <v>469</v>
      </c>
      <c r="J1411" t="str">
        <f t="shared" si="110"/>
        <v>46915</v>
      </c>
      <c r="K1411" t="str">
        <f t="shared" si="106"/>
        <v>4691500</v>
      </c>
      <c r="L1411">
        <v>0</v>
      </c>
    </row>
    <row r="1412" spans="2:12" x14ac:dyDescent="0.25">
      <c r="C1412" t="s">
        <v>1864</v>
      </c>
      <c r="D1412" t="s">
        <v>3263</v>
      </c>
      <c r="E1412" t="s">
        <v>1864</v>
      </c>
      <c r="F1412" s="4" t="s">
        <v>1125</v>
      </c>
      <c r="G1412" t="str">
        <f t="shared" si="110"/>
        <v>G</v>
      </c>
      <c r="H1412" t="str">
        <f t="shared" si="110"/>
        <v>46</v>
      </c>
      <c r="I1412" t="str">
        <f t="shared" si="110"/>
        <v>469</v>
      </c>
      <c r="J1412" t="str">
        <f t="shared" si="110"/>
        <v>46923</v>
      </c>
      <c r="K1412" t="str">
        <f t="shared" si="106"/>
        <v/>
      </c>
    </row>
    <row r="1413" spans="2:12" x14ac:dyDescent="0.25">
      <c r="C1413" t="s">
        <v>1864</v>
      </c>
      <c r="D1413" t="s">
        <v>1864</v>
      </c>
      <c r="E1413" t="s">
        <v>3264</v>
      </c>
      <c r="F1413" s="4" t="s">
        <v>1125</v>
      </c>
      <c r="G1413" t="str">
        <f t="shared" si="110"/>
        <v>G</v>
      </c>
      <c r="H1413" t="str">
        <f t="shared" si="110"/>
        <v>46</v>
      </c>
      <c r="I1413" t="str">
        <f t="shared" si="110"/>
        <v>469</v>
      </c>
      <c r="J1413" t="str">
        <f t="shared" si="110"/>
        <v>46923</v>
      </c>
      <c r="K1413" t="str">
        <f t="shared" si="106"/>
        <v>4692300</v>
      </c>
      <c r="L1413">
        <v>0</v>
      </c>
    </row>
    <row r="1414" spans="2:12" x14ac:dyDescent="0.25">
      <c r="C1414" t="s">
        <v>1864</v>
      </c>
      <c r="D1414" t="s">
        <v>3265</v>
      </c>
      <c r="E1414" t="s">
        <v>1864</v>
      </c>
      <c r="F1414" s="4" t="s">
        <v>1126</v>
      </c>
      <c r="G1414" t="str">
        <f t="shared" si="110"/>
        <v>G</v>
      </c>
      <c r="H1414" t="str">
        <f t="shared" si="110"/>
        <v>46</v>
      </c>
      <c r="I1414" t="str">
        <f t="shared" si="110"/>
        <v>469</v>
      </c>
      <c r="J1414" t="str">
        <f t="shared" si="110"/>
        <v>46931</v>
      </c>
      <c r="K1414" t="str">
        <f t="shared" si="106"/>
        <v/>
      </c>
    </row>
    <row r="1415" spans="2:12" x14ac:dyDescent="0.25">
      <c r="C1415" t="s">
        <v>1864</v>
      </c>
      <c r="D1415" t="s">
        <v>1864</v>
      </c>
      <c r="E1415" t="s">
        <v>3266</v>
      </c>
      <c r="F1415" s="4" t="s">
        <v>1126</v>
      </c>
      <c r="G1415" t="str">
        <f t="shared" si="110"/>
        <v>G</v>
      </c>
      <c r="H1415" t="str">
        <f t="shared" si="110"/>
        <v>46</v>
      </c>
      <c r="I1415" t="str">
        <f t="shared" si="110"/>
        <v>469</v>
      </c>
      <c r="J1415" t="str">
        <f t="shared" si="110"/>
        <v>46931</v>
      </c>
      <c r="K1415" t="str">
        <f t="shared" si="106"/>
        <v>4693100</v>
      </c>
      <c r="L1415">
        <v>0</v>
      </c>
    </row>
    <row r="1416" spans="2:12" x14ac:dyDescent="0.25">
      <c r="B1416" t="s">
        <v>3267</v>
      </c>
      <c r="C1416" t="s">
        <v>1864</v>
      </c>
      <c r="D1416" t="s">
        <v>1864</v>
      </c>
      <c r="E1416" t="s">
        <v>1864</v>
      </c>
      <c r="F1416" s="4" t="s">
        <v>1127</v>
      </c>
      <c r="G1416" t="str">
        <f t="shared" si="110"/>
        <v>G</v>
      </c>
      <c r="H1416" t="str">
        <f t="shared" si="110"/>
        <v>47</v>
      </c>
      <c r="I1416" t="str">
        <f t="shared" si="110"/>
        <v>469</v>
      </c>
      <c r="J1416" t="str">
        <f t="shared" si="110"/>
        <v>46931</v>
      </c>
      <c r="K1416" t="str">
        <f t="shared" ref="K1416:K1479" si="111">E1416</f>
        <v/>
      </c>
    </row>
    <row r="1417" spans="2:12" x14ac:dyDescent="0.25">
      <c r="C1417" t="s">
        <v>3268</v>
      </c>
      <c r="D1417" t="s">
        <v>1864</v>
      </c>
      <c r="E1417" t="s">
        <v>1864</v>
      </c>
      <c r="F1417" s="4" t="s">
        <v>1128</v>
      </c>
      <c r="G1417" t="str">
        <f t="shared" ref="G1417:J1432" si="112">IF(A1417="",G1416,A1417)</f>
        <v>G</v>
      </c>
      <c r="H1417" t="str">
        <f t="shared" si="112"/>
        <v>47</v>
      </c>
      <c r="I1417" t="str">
        <f t="shared" si="112"/>
        <v>471</v>
      </c>
      <c r="J1417" t="str">
        <f t="shared" si="112"/>
        <v>46931</v>
      </c>
      <c r="K1417" t="str">
        <f t="shared" si="111"/>
        <v/>
      </c>
    </row>
    <row r="1418" spans="2:12" x14ac:dyDescent="0.25">
      <c r="C1418" t="s">
        <v>1864</v>
      </c>
      <c r="D1418" t="s">
        <v>3269</v>
      </c>
      <c r="E1418" t="s">
        <v>1864</v>
      </c>
      <c r="F1418" s="4" t="s">
        <v>1129</v>
      </c>
      <c r="G1418" t="str">
        <f t="shared" si="112"/>
        <v>G</v>
      </c>
      <c r="H1418" t="str">
        <f t="shared" si="112"/>
        <v>47</v>
      </c>
      <c r="I1418" t="str">
        <f t="shared" si="112"/>
        <v>471</v>
      </c>
      <c r="J1418" t="str">
        <f t="shared" si="112"/>
        <v>47113</v>
      </c>
      <c r="K1418" t="str">
        <f t="shared" si="111"/>
        <v/>
      </c>
    </row>
    <row r="1419" spans="2:12" x14ac:dyDescent="0.25">
      <c r="C1419" t="s">
        <v>1864</v>
      </c>
      <c r="D1419" t="s">
        <v>1864</v>
      </c>
      <c r="E1419" t="s">
        <v>3270</v>
      </c>
      <c r="F1419" s="4" t="s">
        <v>1130</v>
      </c>
      <c r="G1419" t="str">
        <f t="shared" si="112"/>
        <v>G</v>
      </c>
      <c r="H1419" t="str">
        <f t="shared" si="112"/>
        <v>47</v>
      </c>
      <c r="I1419" t="str">
        <f t="shared" si="112"/>
        <v>471</v>
      </c>
      <c r="J1419" t="str">
        <f t="shared" si="112"/>
        <v>47113</v>
      </c>
      <c r="K1419" t="str">
        <f t="shared" si="111"/>
        <v>4711301</v>
      </c>
      <c r="L1419">
        <v>0</v>
      </c>
    </row>
    <row r="1420" spans="2:12" x14ac:dyDescent="0.25">
      <c r="C1420" t="s">
        <v>1864</v>
      </c>
      <c r="D1420" t="s">
        <v>1864</v>
      </c>
      <c r="E1420" t="s">
        <v>3271</v>
      </c>
      <c r="F1420" s="4" t="s">
        <v>1131</v>
      </c>
      <c r="G1420" t="str">
        <f t="shared" si="112"/>
        <v>G</v>
      </c>
      <c r="H1420" t="str">
        <f t="shared" si="112"/>
        <v>47</v>
      </c>
      <c r="I1420" t="str">
        <f t="shared" si="112"/>
        <v>471</v>
      </c>
      <c r="J1420" t="str">
        <f t="shared" si="112"/>
        <v>47113</v>
      </c>
      <c r="K1420" t="str">
        <f t="shared" si="111"/>
        <v>4711302</v>
      </c>
      <c r="L1420">
        <v>0</v>
      </c>
    </row>
    <row r="1421" spans="2:12" x14ac:dyDescent="0.25">
      <c r="C1421" t="s">
        <v>1864</v>
      </c>
      <c r="D1421" t="s">
        <v>3272</v>
      </c>
      <c r="E1421" t="s">
        <v>1864</v>
      </c>
      <c r="F1421" s="4" t="s">
        <v>1132</v>
      </c>
      <c r="G1421" t="str">
        <f t="shared" si="112"/>
        <v>G</v>
      </c>
      <c r="H1421" t="str">
        <f t="shared" si="112"/>
        <v>47</v>
      </c>
      <c r="I1421" t="str">
        <f t="shared" si="112"/>
        <v>471</v>
      </c>
      <c r="J1421" t="str">
        <f t="shared" si="112"/>
        <v>47121</v>
      </c>
      <c r="K1421" t="str">
        <f t="shared" si="111"/>
        <v/>
      </c>
    </row>
    <row r="1422" spans="2:12" x14ac:dyDescent="0.25">
      <c r="C1422" t="s">
        <v>1864</v>
      </c>
      <c r="D1422" t="s">
        <v>1864</v>
      </c>
      <c r="E1422" t="s">
        <v>3273</v>
      </c>
      <c r="F1422" s="1" t="s">
        <v>1133</v>
      </c>
      <c r="G1422" t="str">
        <f t="shared" si="112"/>
        <v>G</v>
      </c>
      <c r="H1422" t="str">
        <f t="shared" si="112"/>
        <v>47</v>
      </c>
      <c r="I1422" t="str">
        <f t="shared" si="112"/>
        <v>471</v>
      </c>
      <c r="J1422" t="str">
        <f t="shared" si="112"/>
        <v>47121</v>
      </c>
      <c r="K1422" t="str">
        <f t="shared" si="111"/>
        <v>4712100</v>
      </c>
      <c r="L1422">
        <v>0</v>
      </c>
    </row>
    <row r="1423" spans="2:12" x14ac:dyDescent="0.25">
      <c r="C1423" t="s">
        <v>1864</v>
      </c>
      <c r="D1423" t="s">
        <v>3274</v>
      </c>
      <c r="E1423" t="s">
        <v>1864</v>
      </c>
      <c r="F1423" s="1" t="s">
        <v>1134</v>
      </c>
      <c r="G1423" t="str">
        <f t="shared" si="112"/>
        <v>G</v>
      </c>
      <c r="H1423" t="str">
        <f t="shared" si="112"/>
        <v>47</v>
      </c>
      <c r="I1423" t="str">
        <f t="shared" si="112"/>
        <v>471</v>
      </c>
      <c r="J1423" t="str">
        <f t="shared" si="112"/>
        <v>47130</v>
      </c>
      <c r="K1423" t="str">
        <f t="shared" si="111"/>
        <v/>
      </c>
    </row>
    <row r="1424" spans="2:12" x14ac:dyDescent="0.25">
      <c r="C1424" t="s">
        <v>1864</v>
      </c>
      <c r="D1424" t="s">
        <v>1864</v>
      </c>
      <c r="E1424" t="s">
        <v>3275</v>
      </c>
      <c r="F1424" s="1" t="s">
        <v>1135</v>
      </c>
      <c r="G1424" t="str">
        <f t="shared" si="112"/>
        <v>G</v>
      </c>
      <c r="H1424" t="str">
        <f t="shared" si="112"/>
        <v>47</v>
      </c>
      <c r="I1424" t="str">
        <f t="shared" si="112"/>
        <v>471</v>
      </c>
      <c r="J1424" t="str">
        <f t="shared" si="112"/>
        <v>47130</v>
      </c>
      <c r="K1424" t="str">
        <f t="shared" si="111"/>
        <v>4713002</v>
      </c>
      <c r="L1424">
        <v>0</v>
      </c>
    </row>
    <row r="1425" spans="3:12" x14ac:dyDescent="0.25">
      <c r="C1425" t="s">
        <v>1864</v>
      </c>
      <c r="D1425" t="s">
        <v>1864</v>
      </c>
      <c r="E1425" t="s">
        <v>3276</v>
      </c>
      <c r="F1425" s="1" t="s">
        <v>3277</v>
      </c>
      <c r="G1425" t="str">
        <f t="shared" si="112"/>
        <v>G</v>
      </c>
      <c r="H1425" t="str">
        <f t="shared" si="112"/>
        <v>47</v>
      </c>
      <c r="I1425" t="str">
        <f t="shared" si="112"/>
        <v>471</v>
      </c>
      <c r="J1425" t="str">
        <f t="shared" si="112"/>
        <v>47130</v>
      </c>
      <c r="K1425" t="str">
        <f t="shared" si="111"/>
        <v>4713004</v>
      </c>
      <c r="L1425">
        <v>0</v>
      </c>
    </row>
    <row r="1426" spans="3:12" x14ac:dyDescent="0.25">
      <c r="C1426" t="s">
        <v>1864</v>
      </c>
      <c r="D1426" t="s">
        <v>1864</v>
      </c>
      <c r="E1426" t="s">
        <v>3278</v>
      </c>
      <c r="F1426" s="1" t="s">
        <v>3279</v>
      </c>
      <c r="G1426" t="str">
        <f t="shared" si="112"/>
        <v>G</v>
      </c>
      <c r="H1426" t="str">
        <f t="shared" si="112"/>
        <v>47</v>
      </c>
      <c r="I1426" t="str">
        <f t="shared" si="112"/>
        <v>471</v>
      </c>
      <c r="J1426" t="str">
        <f t="shared" si="112"/>
        <v>47130</v>
      </c>
      <c r="K1426" t="str">
        <f t="shared" si="111"/>
        <v>4713005</v>
      </c>
      <c r="L1426">
        <v>0</v>
      </c>
    </row>
    <row r="1427" spans="3:12" x14ac:dyDescent="0.25">
      <c r="C1427" t="s">
        <v>3280</v>
      </c>
      <c r="D1427" t="s">
        <v>1864</v>
      </c>
      <c r="E1427" t="s">
        <v>1864</v>
      </c>
      <c r="F1427" s="1" t="s">
        <v>1136</v>
      </c>
      <c r="G1427" t="str">
        <f t="shared" si="112"/>
        <v>G</v>
      </c>
      <c r="H1427" t="str">
        <f t="shared" si="112"/>
        <v>47</v>
      </c>
      <c r="I1427" t="str">
        <f t="shared" si="112"/>
        <v>472</v>
      </c>
      <c r="J1427" t="str">
        <f t="shared" si="112"/>
        <v>47130</v>
      </c>
      <c r="K1427" t="str">
        <f t="shared" si="111"/>
        <v/>
      </c>
    </row>
    <row r="1428" spans="3:12" x14ac:dyDescent="0.25">
      <c r="C1428" t="s">
        <v>1864</v>
      </c>
      <c r="D1428" t="s">
        <v>3281</v>
      </c>
      <c r="E1428" t="s">
        <v>1864</v>
      </c>
      <c r="F1428" s="1" t="s">
        <v>1137</v>
      </c>
      <c r="G1428" t="str">
        <f t="shared" si="112"/>
        <v>G</v>
      </c>
      <c r="H1428" t="str">
        <f t="shared" si="112"/>
        <v>47</v>
      </c>
      <c r="I1428" t="str">
        <f t="shared" si="112"/>
        <v>472</v>
      </c>
      <c r="J1428" t="str">
        <f t="shared" si="112"/>
        <v>47211</v>
      </c>
      <c r="K1428" t="str">
        <f t="shared" si="111"/>
        <v/>
      </c>
    </row>
    <row r="1429" spans="3:12" x14ac:dyDescent="0.25">
      <c r="C1429" t="s">
        <v>1864</v>
      </c>
      <c r="D1429" t="s">
        <v>1864</v>
      </c>
      <c r="E1429" t="s">
        <v>3282</v>
      </c>
      <c r="F1429" s="1" t="s">
        <v>1138</v>
      </c>
      <c r="G1429" t="str">
        <f t="shared" si="112"/>
        <v>G</v>
      </c>
      <c r="H1429" t="str">
        <f t="shared" si="112"/>
        <v>47</v>
      </c>
      <c r="I1429" t="str">
        <f t="shared" si="112"/>
        <v>472</v>
      </c>
      <c r="J1429" t="str">
        <f t="shared" si="112"/>
        <v>47211</v>
      </c>
      <c r="K1429" t="str">
        <f t="shared" si="111"/>
        <v>4721102</v>
      </c>
      <c r="L1429">
        <v>0</v>
      </c>
    </row>
    <row r="1430" spans="3:12" x14ac:dyDescent="0.25">
      <c r="C1430" t="s">
        <v>1864</v>
      </c>
      <c r="D1430" t="s">
        <v>1864</v>
      </c>
      <c r="E1430" t="s">
        <v>3283</v>
      </c>
      <c r="F1430" s="1" t="s">
        <v>1139</v>
      </c>
      <c r="G1430" t="str">
        <f t="shared" si="112"/>
        <v>G</v>
      </c>
      <c r="H1430" t="str">
        <f t="shared" si="112"/>
        <v>47</v>
      </c>
      <c r="I1430" t="str">
        <f t="shared" si="112"/>
        <v>472</v>
      </c>
      <c r="J1430" t="str">
        <f t="shared" si="112"/>
        <v>47211</v>
      </c>
      <c r="K1430" t="str">
        <f t="shared" si="111"/>
        <v>4721103</v>
      </c>
      <c r="L1430">
        <v>0</v>
      </c>
    </row>
    <row r="1431" spans="3:12" x14ac:dyDescent="0.25">
      <c r="C1431" t="s">
        <v>1864</v>
      </c>
      <c r="D1431" t="s">
        <v>1864</v>
      </c>
      <c r="E1431" t="s">
        <v>3284</v>
      </c>
      <c r="F1431" s="1" t="s">
        <v>1140</v>
      </c>
      <c r="G1431" t="str">
        <f t="shared" si="112"/>
        <v>G</v>
      </c>
      <c r="H1431" t="str">
        <f t="shared" si="112"/>
        <v>47</v>
      </c>
      <c r="I1431" t="str">
        <f t="shared" si="112"/>
        <v>472</v>
      </c>
      <c r="J1431" t="str">
        <f t="shared" si="112"/>
        <v>47211</v>
      </c>
      <c r="K1431" t="str">
        <f t="shared" si="111"/>
        <v>4721104</v>
      </c>
      <c r="L1431">
        <v>0</v>
      </c>
    </row>
    <row r="1432" spans="3:12" x14ac:dyDescent="0.25">
      <c r="C1432" t="s">
        <v>1864</v>
      </c>
      <c r="D1432" t="s">
        <v>3285</v>
      </c>
      <c r="E1432" t="s">
        <v>1864</v>
      </c>
      <c r="F1432" s="1" t="s">
        <v>1141</v>
      </c>
      <c r="G1432" t="str">
        <f t="shared" si="112"/>
        <v>G</v>
      </c>
      <c r="H1432" t="str">
        <f t="shared" si="112"/>
        <v>47</v>
      </c>
      <c r="I1432" t="str">
        <f t="shared" si="112"/>
        <v>472</v>
      </c>
      <c r="J1432" t="str">
        <f t="shared" si="112"/>
        <v>47229</v>
      </c>
      <c r="K1432" t="str">
        <f t="shared" si="111"/>
        <v/>
      </c>
    </row>
    <row r="1433" spans="3:12" x14ac:dyDescent="0.25">
      <c r="C1433" t="s">
        <v>1864</v>
      </c>
      <c r="D1433" t="s">
        <v>1864</v>
      </c>
      <c r="E1433" t="s">
        <v>3286</v>
      </c>
      <c r="F1433" s="1" t="s">
        <v>1142</v>
      </c>
      <c r="G1433" t="str">
        <f t="shared" ref="G1433:J1448" si="113">IF(A1433="",G1432,A1433)</f>
        <v>G</v>
      </c>
      <c r="H1433" t="str">
        <f t="shared" si="113"/>
        <v>47</v>
      </c>
      <c r="I1433" t="str">
        <f t="shared" si="113"/>
        <v>472</v>
      </c>
      <c r="J1433" t="str">
        <f t="shared" si="113"/>
        <v>47229</v>
      </c>
      <c r="K1433" t="str">
        <f t="shared" si="111"/>
        <v>4722901</v>
      </c>
      <c r="L1433">
        <v>0</v>
      </c>
    </row>
    <row r="1434" spans="3:12" x14ac:dyDescent="0.25">
      <c r="C1434" t="s">
        <v>1864</v>
      </c>
      <c r="D1434" t="s">
        <v>1864</v>
      </c>
      <c r="E1434" t="s">
        <v>3287</v>
      </c>
      <c r="F1434" s="1" t="s">
        <v>1143</v>
      </c>
      <c r="G1434" t="str">
        <f t="shared" si="113"/>
        <v>G</v>
      </c>
      <c r="H1434" t="str">
        <f t="shared" si="113"/>
        <v>47</v>
      </c>
      <c r="I1434" t="str">
        <f t="shared" si="113"/>
        <v>472</v>
      </c>
      <c r="J1434" t="str">
        <f t="shared" si="113"/>
        <v>47229</v>
      </c>
      <c r="K1434" t="str">
        <f t="shared" si="111"/>
        <v>4722902</v>
      </c>
      <c r="L1434">
        <v>0</v>
      </c>
    </row>
    <row r="1435" spans="3:12" x14ac:dyDescent="0.25">
      <c r="C1435" t="s">
        <v>1864</v>
      </c>
      <c r="D1435" t="s">
        <v>3288</v>
      </c>
      <c r="E1435" t="s">
        <v>1864</v>
      </c>
      <c r="F1435" s="4" t="s">
        <v>1144</v>
      </c>
      <c r="G1435" t="str">
        <f t="shared" si="113"/>
        <v>G</v>
      </c>
      <c r="H1435" t="str">
        <f t="shared" si="113"/>
        <v>47</v>
      </c>
      <c r="I1435" t="str">
        <f t="shared" si="113"/>
        <v>472</v>
      </c>
      <c r="J1435" t="str">
        <f t="shared" si="113"/>
        <v>47237</v>
      </c>
      <c r="K1435" t="str">
        <f t="shared" si="111"/>
        <v/>
      </c>
    </row>
    <row r="1436" spans="3:12" x14ac:dyDescent="0.25">
      <c r="C1436" t="s">
        <v>1864</v>
      </c>
      <c r="D1436" t="s">
        <v>1864</v>
      </c>
      <c r="E1436" t="s">
        <v>3289</v>
      </c>
      <c r="F1436" s="4" t="s">
        <v>1144</v>
      </c>
      <c r="G1436" t="str">
        <f t="shared" si="113"/>
        <v>G</v>
      </c>
      <c r="H1436" t="str">
        <f t="shared" si="113"/>
        <v>47</v>
      </c>
      <c r="I1436" t="str">
        <f t="shared" si="113"/>
        <v>472</v>
      </c>
      <c r="J1436" t="str">
        <f t="shared" si="113"/>
        <v>47237</v>
      </c>
      <c r="K1436" t="str">
        <f t="shared" si="111"/>
        <v>4723700</v>
      </c>
      <c r="L1436">
        <v>0</v>
      </c>
    </row>
    <row r="1437" spans="3:12" x14ac:dyDescent="0.25">
      <c r="C1437" t="s">
        <v>1864</v>
      </c>
      <c r="D1437" t="s">
        <v>3290</v>
      </c>
      <c r="E1437" t="s">
        <v>1864</v>
      </c>
      <c r="F1437" s="4" t="s">
        <v>1145</v>
      </c>
      <c r="G1437" t="str">
        <f t="shared" si="113"/>
        <v>G</v>
      </c>
      <c r="H1437" t="str">
        <f t="shared" si="113"/>
        <v>47</v>
      </c>
      <c r="I1437" t="str">
        <f t="shared" si="113"/>
        <v>472</v>
      </c>
      <c r="J1437" t="str">
        <f t="shared" si="113"/>
        <v>47245</v>
      </c>
      <c r="K1437" t="str">
        <f t="shared" si="111"/>
        <v/>
      </c>
    </row>
    <row r="1438" spans="3:12" x14ac:dyDescent="0.25">
      <c r="C1438" t="s">
        <v>1864</v>
      </c>
      <c r="D1438" t="s">
        <v>1864</v>
      </c>
      <c r="E1438" t="s">
        <v>3291</v>
      </c>
      <c r="F1438" s="1" t="s">
        <v>1145</v>
      </c>
      <c r="G1438" t="str">
        <f t="shared" si="113"/>
        <v>G</v>
      </c>
      <c r="H1438" t="str">
        <f t="shared" si="113"/>
        <v>47</v>
      </c>
      <c r="I1438" t="str">
        <f t="shared" si="113"/>
        <v>472</v>
      </c>
      <c r="J1438" t="str">
        <f t="shared" si="113"/>
        <v>47245</v>
      </c>
      <c r="K1438" t="str">
        <f t="shared" si="111"/>
        <v>4724500</v>
      </c>
      <c r="L1438">
        <v>0</v>
      </c>
    </row>
    <row r="1439" spans="3:12" x14ac:dyDescent="0.25">
      <c r="C1439" t="s">
        <v>1864</v>
      </c>
      <c r="D1439" t="s">
        <v>3292</v>
      </c>
      <c r="E1439" t="s">
        <v>1864</v>
      </c>
      <c r="F1439" s="1" t="s">
        <v>1146</v>
      </c>
      <c r="G1439" t="str">
        <f t="shared" si="113"/>
        <v>G</v>
      </c>
      <c r="H1439" t="str">
        <f t="shared" si="113"/>
        <v>47</v>
      </c>
      <c r="I1439" t="str">
        <f t="shared" si="113"/>
        <v>472</v>
      </c>
      <c r="J1439" t="str">
        <f t="shared" si="113"/>
        <v>47296</v>
      </c>
      <c r="K1439" t="str">
        <f t="shared" si="111"/>
        <v/>
      </c>
    </row>
    <row r="1440" spans="3:12" x14ac:dyDescent="0.25">
      <c r="C1440" t="s">
        <v>1864</v>
      </c>
      <c r="D1440" t="s">
        <v>1864</v>
      </c>
      <c r="E1440" t="s">
        <v>3293</v>
      </c>
      <c r="F1440" s="1" t="s">
        <v>1147</v>
      </c>
      <c r="G1440" t="str">
        <f t="shared" si="113"/>
        <v>G</v>
      </c>
      <c r="H1440" t="str">
        <f t="shared" si="113"/>
        <v>47</v>
      </c>
      <c r="I1440" t="str">
        <f t="shared" si="113"/>
        <v>472</v>
      </c>
      <c r="J1440" t="str">
        <f t="shared" si="113"/>
        <v>47296</v>
      </c>
      <c r="K1440" t="str">
        <f t="shared" si="111"/>
        <v>4729601</v>
      </c>
      <c r="L1440">
        <v>0</v>
      </c>
    </row>
    <row r="1441" spans="3:12" x14ac:dyDescent="0.25">
      <c r="C1441" t="s">
        <v>1864</v>
      </c>
      <c r="D1441" t="s">
        <v>1864</v>
      </c>
      <c r="E1441" t="s">
        <v>3294</v>
      </c>
      <c r="F1441" s="1" t="s">
        <v>1148</v>
      </c>
      <c r="G1441" t="str">
        <f t="shared" si="113"/>
        <v>G</v>
      </c>
      <c r="H1441" t="str">
        <f t="shared" si="113"/>
        <v>47</v>
      </c>
      <c r="I1441" t="str">
        <f t="shared" si="113"/>
        <v>472</v>
      </c>
      <c r="J1441" t="str">
        <f t="shared" si="113"/>
        <v>47296</v>
      </c>
      <c r="K1441" t="str">
        <f t="shared" si="111"/>
        <v>4729602</v>
      </c>
      <c r="L1441">
        <v>0</v>
      </c>
    </row>
    <row r="1442" spans="3:12" x14ac:dyDescent="0.25">
      <c r="C1442" t="s">
        <v>1864</v>
      </c>
      <c r="D1442" t="s">
        <v>1864</v>
      </c>
      <c r="E1442" t="s">
        <v>3295</v>
      </c>
      <c r="F1442" s="1" t="s">
        <v>1149</v>
      </c>
      <c r="G1442" t="str">
        <f t="shared" si="113"/>
        <v>G</v>
      </c>
      <c r="H1442" t="str">
        <f t="shared" si="113"/>
        <v>47</v>
      </c>
      <c r="I1442" t="str">
        <f t="shared" si="113"/>
        <v>472</v>
      </c>
      <c r="J1442" t="str">
        <f t="shared" si="113"/>
        <v>47296</v>
      </c>
      <c r="K1442" t="str">
        <f t="shared" si="111"/>
        <v>4729699</v>
      </c>
      <c r="L1442">
        <v>0</v>
      </c>
    </row>
    <row r="1443" spans="3:12" x14ac:dyDescent="0.25">
      <c r="C1443" t="s">
        <v>3296</v>
      </c>
      <c r="D1443" t="s">
        <v>1864</v>
      </c>
      <c r="E1443" t="s">
        <v>1864</v>
      </c>
      <c r="F1443" s="4" t="s">
        <v>1150</v>
      </c>
      <c r="G1443" t="str">
        <f t="shared" si="113"/>
        <v>G</v>
      </c>
      <c r="H1443" t="str">
        <f t="shared" si="113"/>
        <v>47</v>
      </c>
      <c r="I1443" t="str">
        <f t="shared" si="113"/>
        <v>473</v>
      </c>
      <c r="J1443" t="str">
        <f t="shared" si="113"/>
        <v>47296</v>
      </c>
      <c r="K1443" t="str">
        <f t="shared" si="111"/>
        <v/>
      </c>
    </row>
    <row r="1444" spans="3:12" x14ac:dyDescent="0.25">
      <c r="C1444" t="s">
        <v>1864</v>
      </c>
      <c r="D1444" t="s">
        <v>3297</v>
      </c>
      <c r="E1444" t="s">
        <v>1864</v>
      </c>
      <c r="F1444" s="4" t="s">
        <v>1150</v>
      </c>
      <c r="G1444" t="str">
        <f t="shared" si="113"/>
        <v>G</v>
      </c>
      <c r="H1444" t="str">
        <f t="shared" si="113"/>
        <v>47</v>
      </c>
      <c r="I1444" t="str">
        <f t="shared" si="113"/>
        <v>473</v>
      </c>
      <c r="J1444" t="str">
        <f t="shared" si="113"/>
        <v>47318</v>
      </c>
      <c r="K1444" t="str">
        <f t="shared" si="111"/>
        <v/>
      </c>
    </row>
    <row r="1445" spans="3:12" x14ac:dyDescent="0.25">
      <c r="C1445" t="s">
        <v>1864</v>
      </c>
      <c r="D1445" t="s">
        <v>1864</v>
      </c>
      <c r="E1445" t="s">
        <v>3298</v>
      </c>
      <c r="F1445" s="4" t="s">
        <v>1150</v>
      </c>
      <c r="G1445" t="str">
        <f t="shared" si="113"/>
        <v>G</v>
      </c>
      <c r="H1445" t="str">
        <f t="shared" si="113"/>
        <v>47</v>
      </c>
      <c r="I1445" t="str">
        <f t="shared" si="113"/>
        <v>473</v>
      </c>
      <c r="J1445" t="str">
        <f t="shared" si="113"/>
        <v>47318</v>
      </c>
      <c r="K1445" t="str">
        <f t="shared" si="111"/>
        <v>4731800</v>
      </c>
      <c r="L1445">
        <v>0</v>
      </c>
    </row>
    <row r="1446" spans="3:12" x14ac:dyDescent="0.25">
      <c r="C1446" t="s">
        <v>1864</v>
      </c>
      <c r="D1446" t="s">
        <v>3299</v>
      </c>
      <c r="E1446" t="s">
        <v>1864</v>
      </c>
      <c r="F1446" s="4" t="s">
        <v>1151</v>
      </c>
      <c r="G1446" t="str">
        <f t="shared" si="113"/>
        <v>G</v>
      </c>
      <c r="H1446" t="str">
        <f t="shared" si="113"/>
        <v>47</v>
      </c>
      <c r="I1446" t="str">
        <f t="shared" si="113"/>
        <v>473</v>
      </c>
      <c r="J1446" t="str">
        <f t="shared" si="113"/>
        <v>47326</v>
      </c>
      <c r="K1446" t="str">
        <f t="shared" si="111"/>
        <v/>
      </c>
    </row>
    <row r="1447" spans="3:12" x14ac:dyDescent="0.25">
      <c r="C1447" t="s">
        <v>1864</v>
      </c>
      <c r="D1447" t="s">
        <v>1864</v>
      </c>
      <c r="E1447" t="s">
        <v>3300</v>
      </c>
      <c r="F1447" s="4" t="s">
        <v>1151</v>
      </c>
      <c r="G1447" t="str">
        <f t="shared" si="113"/>
        <v>G</v>
      </c>
      <c r="H1447" t="str">
        <f t="shared" si="113"/>
        <v>47</v>
      </c>
      <c r="I1447" t="str">
        <f t="shared" si="113"/>
        <v>473</v>
      </c>
      <c r="J1447" t="str">
        <f t="shared" si="113"/>
        <v>47326</v>
      </c>
      <c r="K1447" t="str">
        <f t="shared" si="111"/>
        <v>4732600</v>
      </c>
      <c r="L1447">
        <v>0</v>
      </c>
    </row>
    <row r="1448" spans="3:12" x14ac:dyDescent="0.25">
      <c r="C1448" t="s">
        <v>3301</v>
      </c>
      <c r="D1448" t="s">
        <v>1864</v>
      </c>
      <c r="E1448" t="s">
        <v>1864</v>
      </c>
      <c r="F1448" s="4" t="s">
        <v>1152</v>
      </c>
      <c r="G1448" t="str">
        <f t="shared" si="113"/>
        <v>G</v>
      </c>
      <c r="H1448" t="str">
        <f t="shared" si="113"/>
        <v>47</v>
      </c>
      <c r="I1448" t="str">
        <f t="shared" si="113"/>
        <v>474</v>
      </c>
      <c r="J1448" t="str">
        <f t="shared" si="113"/>
        <v>47326</v>
      </c>
      <c r="K1448" t="str">
        <f t="shared" si="111"/>
        <v/>
      </c>
    </row>
    <row r="1449" spans="3:12" x14ac:dyDescent="0.25">
      <c r="C1449" t="s">
        <v>1864</v>
      </c>
      <c r="D1449" t="s">
        <v>3302</v>
      </c>
      <c r="E1449" t="s">
        <v>1864</v>
      </c>
      <c r="F1449" s="4" t="s">
        <v>1153</v>
      </c>
      <c r="G1449" t="str">
        <f t="shared" ref="G1449:J1464" si="114">IF(A1449="",G1448,A1449)</f>
        <v>G</v>
      </c>
      <c r="H1449" t="str">
        <f t="shared" si="114"/>
        <v>47</v>
      </c>
      <c r="I1449" t="str">
        <f t="shared" si="114"/>
        <v>474</v>
      </c>
      <c r="J1449" t="str">
        <f t="shared" si="114"/>
        <v>47415</v>
      </c>
      <c r="K1449" t="str">
        <f t="shared" si="111"/>
        <v/>
      </c>
    </row>
    <row r="1450" spans="3:12" x14ac:dyDescent="0.25">
      <c r="C1450" t="s">
        <v>1864</v>
      </c>
      <c r="D1450" t="s">
        <v>1864</v>
      </c>
      <c r="E1450" t="s">
        <v>3303</v>
      </c>
      <c r="F1450" s="4" t="s">
        <v>1153</v>
      </c>
      <c r="G1450" t="str">
        <f t="shared" si="114"/>
        <v>G</v>
      </c>
      <c r="H1450" t="str">
        <f t="shared" si="114"/>
        <v>47</v>
      </c>
      <c r="I1450" t="str">
        <f t="shared" si="114"/>
        <v>474</v>
      </c>
      <c r="J1450" t="str">
        <f t="shared" si="114"/>
        <v>47415</v>
      </c>
      <c r="K1450" t="str">
        <f t="shared" si="111"/>
        <v>4741500</v>
      </c>
      <c r="L1450">
        <v>0</v>
      </c>
    </row>
    <row r="1451" spans="3:12" x14ac:dyDescent="0.25">
      <c r="C1451" t="s">
        <v>1864</v>
      </c>
      <c r="D1451" t="s">
        <v>3304</v>
      </c>
      <c r="E1451" t="s">
        <v>1864</v>
      </c>
      <c r="F1451" s="4" t="s">
        <v>1154</v>
      </c>
      <c r="G1451" t="str">
        <f t="shared" si="114"/>
        <v>G</v>
      </c>
      <c r="H1451" t="str">
        <f t="shared" si="114"/>
        <v>47</v>
      </c>
      <c r="I1451" t="str">
        <f t="shared" si="114"/>
        <v>474</v>
      </c>
      <c r="J1451" t="str">
        <f t="shared" si="114"/>
        <v>47423</v>
      </c>
      <c r="K1451" t="str">
        <f t="shared" si="111"/>
        <v/>
      </c>
    </row>
    <row r="1452" spans="3:12" x14ac:dyDescent="0.25">
      <c r="C1452" t="s">
        <v>1864</v>
      </c>
      <c r="D1452" t="s">
        <v>1864</v>
      </c>
      <c r="E1452" t="s">
        <v>3305</v>
      </c>
      <c r="F1452" s="4" t="s">
        <v>1154</v>
      </c>
      <c r="G1452" t="str">
        <f t="shared" si="114"/>
        <v>G</v>
      </c>
      <c r="H1452" t="str">
        <f t="shared" si="114"/>
        <v>47</v>
      </c>
      <c r="I1452" t="str">
        <f t="shared" si="114"/>
        <v>474</v>
      </c>
      <c r="J1452" t="str">
        <f t="shared" si="114"/>
        <v>47423</v>
      </c>
      <c r="K1452" t="str">
        <f t="shared" si="111"/>
        <v>4742300</v>
      </c>
      <c r="L1452">
        <v>0</v>
      </c>
    </row>
    <row r="1453" spans="3:12" x14ac:dyDescent="0.25">
      <c r="C1453" t="s">
        <v>1864</v>
      </c>
      <c r="D1453" t="s">
        <v>3306</v>
      </c>
      <c r="E1453" t="s">
        <v>1864</v>
      </c>
      <c r="F1453" s="4" t="s">
        <v>1155</v>
      </c>
      <c r="G1453" t="str">
        <f t="shared" si="114"/>
        <v>G</v>
      </c>
      <c r="H1453" t="str">
        <f t="shared" si="114"/>
        <v>47</v>
      </c>
      <c r="I1453" t="str">
        <f t="shared" si="114"/>
        <v>474</v>
      </c>
      <c r="J1453" t="str">
        <f t="shared" si="114"/>
        <v>47431</v>
      </c>
      <c r="K1453" t="str">
        <f t="shared" si="111"/>
        <v/>
      </c>
    </row>
    <row r="1454" spans="3:12" x14ac:dyDescent="0.25">
      <c r="C1454" t="s">
        <v>1864</v>
      </c>
      <c r="D1454" t="s">
        <v>1864</v>
      </c>
      <c r="E1454" t="s">
        <v>3307</v>
      </c>
      <c r="F1454" s="4" t="s">
        <v>1155</v>
      </c>
      <c r="G1454" t="str">
        <f t="shared" si="114"/>
        <v>G</v>
      </c>
      <c r="H1454" t="str">
        <f t="shared" si="114"/>
        <v>47</v>
      </c>
      <c r="I1454" t="str">
        <f t="shared" si="114"/>
        <v>474</v>
      </c>
      <c r="J1454" t="str">
        <f t="shared" si="114"/>
        <v>47431</v>
      </c>
      <c r="K1454" t="str">
        <f t="shared" si="111"/>
        <v>4743100</v>
      </c>
      <c r="L1454">
        <v>0</v>
      </c>
    </row>
    <row r="1455" spans="3:12" x14ac:dyDescent="0.25">
      <c r="C1455" t="s">
        <v>1864</v>
      </c>
      <c r="D1455" t="s">
        <v>3308</v>
      </c>
      <c r="E1455" t="s">
        <v>1864</v>
      </c>
      <c r="F1455" s="4" t="s">
        <v>1156</v>
      </c>
      <c r="G1455" t="str">
        <f t="shared" si="114"/>
        <v>G</v>
      </c>
      <c r="H1455" t="str">
        <f t="shared" si="114"/>
        <v>47</v>
      </c>
      <c r="I1455" t="str">
        <f t="shared" si="114"/>
        <v>474</v>
      </c>
      <c r="J1455" t="str">
        <f t="shared" si="114"/>
        <v>47440</v>
      </c>
      <c r="K1455" t="str">
        <f t="shared" si="111"/>
        <v/>
      </c>
    </row>
    <row r="1456" spans="3:12" x14ac:dyDescent="0.25">
      <c r="C1456" t="s">
        <v>1864</v>
      </c>
      <c r="D1456" t="s">
        <v>1864</v>
      </c>
      <c r="E1456" t="s">
        <v>3309</v>
      </c>
      <c r="F1456" s="4" t="s">
        <v>1157</v>
      </c>
      <c r="G1456" t="str">
        <f t="shared" si="114"/>
        <v>G</v>
      </c>
      <c r="H1456" t="str">
        <f t="shared" si="114"/>
        <v>47</v>
      </c>
      <c r="I1456" t="str">
        <f t="shared" si="114"/>
        <v>474</v>
      </c>
      <c r="J1456" t="str">
        <f t="shared" si="114"/>
        <v>47440</v>
      </c>
      <c r="K1456" t="str">
        <f t="shared" si="111"/>
        <v>4744001</v>
      </c>
      <c r="L1456">
        <v>0</v>
      </c>
    </row>
    <row r="1457" spans="3:12" x14ac:dyDescent="0.25">
      <c r="C1457" t="s">
        <v>1864</v>
      </c>
      <c r="D1457" t="s">
        <v>1864</v>
      </c>
      <c r="E1457" t="s">
        <v>3310</v>
      </c>
      <c r="F1457" s="4" t="s">
        <v>1158</v>
      </c>
      <c r="G1457" t="str">
        <f t="shared" si="114"/>
        <v>G</v>
      </c>
      <c r="H1457" t="str">
        <f t="shared" si="114"/>
        <v>47</v>
      </c>
      <c r="I1457" t="str">
        <f t="shared" si="114"/>
        <v>474</v>
      </c>
      <c r="J1457" t="str">
        <f t="shared" si="114"/>
        <v>47440</v>
      </c>
      <c r="K1457" t="str">
        <f t="shared" si="111"/>
        <v>4744002</v>
      </c>
      <c r="L1457">
        <v>0</v>
      </c>
    </row>
    <row r="1458" spans="3:12" x14ac:dyDescent="0.25">
      <c r="C1458" t="s">
        <v>1864</v>
      </c>
      <c r="D1458" t="s">
        <v>1864</v>
      </c>
      <c r="E1458" t="s">
        <v>3311</v>
      </c>
      <c r="F1458" s="4" t="s">
        <v>1159</v>
      </c>
      <c r="G1458" t="str">
        <f t="shared" si="114"/>
        <v>G</v>
      </c>
      <c r="H1458" t="str">
        <f t="shared" si="114"/>
        <v>47</v>
      </c>
      <c r="I1458" t="str">
        <f t="shared" si="114"/>
        <v>474</v>
      </c>
      <c r="J1458" t="str">
        <f t="shared" si="114"/>
        <v>47440</v>
      </c>
      <c r="K1458" t="str">
        <f t="shared" si="111"/>
        <v>4744003</v>
      </c>
      <c r="L1458">
        <v>0</v>
      </c>
    </row>
    <row r="1459" spans="3:12" x14ac:dyDescent="0.25">
      <c r="C1459" t="s">
        <v>1864</v>
      </c>
      <c r="D1459" t="s">
        <v>1864</v>
      </c>
      <c r="E1459" t="s">
        <v>3312</v>
      </c>
      <c r="F1459" s="4" t="s">
        <v>1160</v>
      </c>
      <c r="G1459" t="str">
        <f t="shared" si="114"/>
        <v>G</v>
      </c>
      <c r="H1459" t="str">
        <f t="shared" si="114"/>
        <v>47</v>
      </c>
      <c r="I1459" t="str">
        <f t="shared" si="114"/>
        <v>474</v>
      </c>
      <c r="J1459" t="str">
        <f t="shared" si="114"/>
        <v>47440</v>
      </c>
      <c r="K1459" t="str">
        <f t="shared" si="111"/>
        <v>4744004</v>
      </c>
      <c r="L1459">
        <v>0</v>
      </c>
    </row>
    <row r="1460" spans="3:12" x14ac:dyDescent="0.25">
      <c r="C1460" t="s">
        <v>1864</v>
      </c>
      <c r="D1460" t="s">
        <v>1864</v>
      </c>
      <c r="E1460" t="s">
        <v>3313</v>
      </c>
      <c r="F1460" s="4" t="s">
        <v>1161</v>
      </c>
      <c r="G1460" t="str">
        <f t="shared" si="114"/>
        <v>G</v>
      </c>
      <c r="H1460" t="str">
        <f t="shared" si="114"/>
        <v>47</v>
      </c>
      <c r="I1460" t="str">
        <f t="shared" si="114"/>
        <v>474</v>
      </c>
      <c r="J1460" t="str">
        <f t="shared" si="114"/>
        <v>47440</v>
      </c>
      <c r="K1460" t="str">
        <f t="shared" si="111"/>
        <v>4744005</v>
      </c>
      <c r="L1460">
        <v>0</v>
      </c>
    </row>
    <row r="1461" spans="3:12" x14ac:dyDescent="0.25">
      <c r="C1461" t="s">
        <v>1864</v>
      </c>
      <c r="D1461" t="s">
        <v>1864</v>
      </c>
      <c r="E1461" t="s">
        <v>3314</v>
      </c>
      <c r="F1461" s="4" t="s">
        <v>1162</v>
      </c>
      <c r="G1461" t="str">
        <f t="shared" si="114"/>
        <v>G</v>
      </c>
      <c r="H1461" t="str">
        <f t="shared" si="114"/>
        <v>47</v>
      </c>
      <c r="I1461" t="str">
        <f t="shared" si="114"/>
        <v>474</v>
      </c>
      <c r="J1461" t="str">
        <f t="shared" si="114"/>
        <v>47440</v>
      </c>
      <c r="K1461" t="str">
        <f t="shared" si="111"/>
        <v>4744006</v>
      </c>
      <c r="L1461">
        <v>0</v>
      </c>
    </row>
    <row r="1462" spans="3:12" x14ac:dyDescent="0.25">
      <c r="C1462" t="s">
        <v>1864</v>
      </c>
      <c r="D1462" t="s">
        <v>1864</v>
      </c>
      <c r="E1462" t="s">
        <v>3315</v>
      </c>
      <c r="F1462" s="4" t="s">
        <v>1163</v>
      </c>
      <c r="G1462" t="str">
        <f t="shared" si="114"/>
        <v>G</v>
      </c>
      <c r="H1462" t="str">
        <f t="shared" si="114"/>
        <v>47</v>
      </c>
      <c r="I1462" t="str">
        <f t="shared" si="114"/>
        <v>474</v>
      </c>
      <c r="J1462" t="str">
        <f t="shared" si="114"/>
        <v>47440</v>
      </c>
      <c r="K1462" t="str">
        <f t="shared" si="111"/>
        <v>4744099</v>
      </c>
      <c r="L1462">
        <v>0</v>
      </c>
    </row>
    <row r="1463" spans="3:12" x14ac:dyDescent="0.25">
      <c r="C1463" t="s">
        <v>3316</v>
      </c>
      <c r="D1463" t="s">
        <v>1864</v>
      </c>
      <c r="E1463" t="s">
        <v>1864</v>
      </c>
      <c r="F1463" s="4" t="s">
        <v>1164</v>
      </c>
      <c r="G1463" t="str">
        <f t="shared" si="114"/>
        <v>G</v>
      </c>
      <c r="H1463" t="str">
        <f t="shared" si="114"/>
        <v>47</v>
      </c>
      <c r="I1463" t="str">
        <f t="shared" si="114"/>
        <v>475</v>
      </c>
      <c r="J1463" t="str">
        <f t="shared" si="114"/>
        <v>47440</v>
      </c>
      <c r="K1463" t="str">
        <f t="shared" si="111"/>
        <v/>
      </c>
    </row>
    <row r="1464" spans="3:12" x14ac:dyDescent="0.25">
      <c r="C1464" t="s">
        <v>1864</v>
      </c>
      <c r="D1464" t="s">
        <v>3317</v>
      </c>
      <c r="E1464" t="s">
        <v>1864</v>
      </c>
      <c r="F1464" s="4" t="s">
        <v>1165</v>
      </c>
      <c r="G1464" t="str">
        <f t="shared" si="114"/>
        <v>G</v>
      </c>
      <c r="H1464" t="str">
        <f t="shared" si="114"/>
        <v>47</v>
      </c>
      <c r="I1464" t="str">
        <f t="shared" si="114"/>
        <v>475</v>
      </c>
      <c r="J1464" t="str">
        <f t="shared" si="114"/>
        <v>47512</v>
      </c>
      <c r="K1464" t="str">
        <f t="shared" si="111"/>
        <v/>
      </c>
    </row>
    <row r="1465" spans="3:12" x14ac:dyDescent="0.25">
      <c r="C1465" t="s">
        <v>1864</v>
      </c>
      <c r="D1465" t="s">
        <v>1864</v>
      </c>
      <c r="E1465" t="s">
        <v>3318</v>
      </c>
      <c r="F1465" s="4" t="s">
        <v>1165</v>
      </c>
      <c r="G1465" t="str">
        <f t="shared" ref="G1465:J1480" si="115">IF(A1465="",G1464,A1465)</f>
        <v>G</v>
      </c>
      <c r="H1465" t="str">
        <f t="shared" si="115"/>
        <v>47</v>
      </c>
      <c r="I1465" t="str">
        <f t="shared" si="115"/>
        <v>475</v>
      </c>
      <c r="J1465" t="str">
        <f t="shared" si="115"/>
        <v>47512</v>
      </c>
      <c r="K1465" t="str">
        <f t="shared" si="111"/>
        <v>4751201</v>
      </c>
      <c r="L1465">
        <v>0</v>
      </c>
    </row>
    <row r="1466" spans="3:12" x14ac:dyDescent="0.25">
      <c r="C1466" t="s">
        <v>1864</v>
      </c>
      <c r="D1466" t="s">
        <v>1864</v>
      </c>
      <c r="E1466" t="s">
        <v>3319</v>
      </c>
      <c r="F1466" s="4" t="s">
        <v>1166</v>
      </c>
      <c r="G1466" t="str">
        <f t="shared" si="115"/>
        <v>G</v>
      </c>
      <c r="H1466" t="str">
        <f t="shared" si="115"/>
        <v>47</v>
      </c>
      <c r="I1466" t="str">
        <f t="shared" si="115"/>
        <v>475</v>
      </c>
      <c r="J1466" t="str">
        <f t="shared" si="115"/>
        <v>47512</v>
      </c>
      <c r="K1466" t="str">
        <f t="shared" si="111"/>
        <v>4751202</v>
      </c>
      <c r="L1466">
        <v>0</v>
      </c>
    </row>
    <row r="1467" spans="3:12" x14ac:dyDescent="0.25">
      <c r="C1467" t="s">
        <v>1864</v>
      </c>
      <c r="D1467" t="s">
        <v>3320</v>
      </c>
      <c r="E1467" t="s">
        <v>1864</v>
      </c>
      <c r="F1467" s="4" t="s">
        <v>1167</v>
      </c>
      <c r="G1467" t="str">
        <f t="shared" si="115"/>
        <v>G</v>
      </c>
      <c r="H1467" t="str">
        <f t="shared" si="115"/>
        <v>47</v>
      </c>
      <c r="I1467" t="str">
        <f t="shared" si="115"/>
        <v>475</v>
      </c>
      <c r="J1467" t="str">
        <f t="shared" si="115"/>
        <v>47521</v>
      </c>
      <c r="K1467" t="str">
        <f t="shared" si="111"/>
        <v/>
      </c>
    </row>
    <row r="1468" spans="3:12" x14ac:dyDescent="0.25">
      <c r="C1468" t="s">
        <v>1864</v>
      </c>
      <c r="D1468" t="s">
        <v>1864</v>
      </c>
      <c r="E1468" t="s">
        <v>3321</v>
      </c>
      <c r="F1468" s="4" t="s">
        <v>1167</v>
      </c>
      <c r="G1468" t="str">
        <f t="shared" si="115"/>
        <v>G</v>
      </c>
      <c r="H1468" t="str">
        <f t="shared" si="115"/>
        <v>47</v>
      </c>
      <c r="I1468" t="str">
        <f t="shared" si="115"/>
        <v>475</v>
      </c>
      <c r="J1468" t="str">
        <f t="shared" si="115"/>
        <v>47521</v>
      </c>
      <c r="K1468" t="str">
        <f t="shared" si="111"/>
        <v>4752100</v>
      </c>
      <c r="L1468">
        <v>0</v>
      </c>
    </row>
    <row r="1469" spans="3:12" x14ac:dyDescent="0.25">
      <c r="C1469" t="s">
        <v>1864</v>
      </c>
      <c r="D1469" t="s">
        <v>3322</v>
      </c>
      <c r="E1469" t="s">
        <v>1864</v>
      </c>
      <c r="F1469" s="4" t="s">
        <v>1168</v>
      </c>
      <c r="G1469" t="str">
        <f t="shared" si="115"/>
        <v>G</v>
      </c>
      <c r="H1469" t="str">
        <f t="shared" si="115"/>
        <v>47</v>
      </c>
      <c r="I1469" t="str">
        <f t="shared" si="115"/>
        <v>475</v>
      </c>
      <c r="J1469" t="str">
        <f t="shared" si="115"/>
        <v>47539</v>
      </c>
      <c r="K1469" t="str">
        <f t="shared" si="111"/>
        <v/>
      </c>
    </row>
    <row r="1470" spans="3:12" x14ac:dyDescent="0.25">
      <c r="C1470" t="s">
        <v>1864</v>
      </c>
      <c r="D1470" t="s">
        <v>1864</v>
      </c>
      <c r="E1470" t="s">
        <v>3323</v>
      </c>
      <c r="F1470" s="4" t="s">
        <v>1168</v>
      </c>
      <c r="G1470" t="str">
        <f t="shared" si="115"/>
        <v>G</v>
      </c>
      <c r="H1470" t="str">
        <f t="shared" si="115"/>
        <v>47</v>
      </c>
      <c r="I1470" t="str">
        <f t="shared" si="115"/>
        <v>475</v>
      </c>
      <c r="J1470" t="str">
        <f t="shared" si="115"/>
        <v>47539</v>
      </c>
      <c r="K1470" t="str">
        <f t="shared" si="111"/>
        <v>4753900</v>
      </c>
      <c r="L1470">
        <v>0</v>
      </c>
    </row>
    <row r="1471" spans="3:12" x14ac:dyDescent="0.25">
      <c r="C1471" t="s">
        <v>1864</v>
      </c>
      <c r="D1471" t="s">
        <v>3324</v>
      </c>
      <c r="E1471" t="s">
        <v>1864</v>
      </c>
      <c r="F1471" s="4" t="s">
        <v>1169</v>
      </c>
      <c r="G1471" t="str">
        <f t="shared" si="115"/>
        <v>G</v>
      </c>
      <c r="H1471" t="str">
        <f t="shared" si="115"/>
        <v>47</v>
      </c>
      <c r="I1471" t="str">
        <f t="shared" si="115"/>
        <v>475</v>
      </c>
      <c r="J1471" t="str">
        <f t="shared" si="115"/>
        <v>47547</v>
      </c>
      <c r="K1471" t="str">
        <f t="shared" si="111"/>
        <v/>
      </c>
    </row>
    <row r="1472" spans="3:12" x14ac:dyDescent="0.25">
      <c r="C1472" t="s">
        <v>1864</v>
      </c>
      <c r="D1472" t="s">
        <v>1864</v>
      </c>
      <c r="E1472" t="s">
        <v>3325</v>
      </c>
      <c r="F1472" s="4" t="s">
        <v>1170</v>
      </c>
      <c r="G1472" t="str">
        <f t="shared" si="115"/>
        <v>G</v>
      </c>
      <c r="H1472" t="str">
        <f t="shared" si="115"/>
        <v>47</v>
      </c>
      <c r="I1472" t="str">
        <f t="shared" si="115"/>
        <v>475</v>
      </c>
      <c r="J1472" t="str">
        <f t="shared" si="115"/>
        <v>47547</v>
      </c>
      <c r="K1472" t="str">
        <f t="shared" si="111"/>
        <v>4754701</v>
      </c>
      <c r="L1472">
        <v>0</v>
      </c>
    </row>
    <row r="1473" spans="3:12" x14ac:dyDescent="0.25">
      <c r="C1473" t="s">
        <v>1864</v>
      </c>
      <c r="D1473" t="s">
        <v>1864</v>
      </c>
      <c r="E1473" t="s">
        <v>3326</v>
      </c>
      <c r="F1473" s="4" t="s">
        <v>1171</v>
      </c>
      <c r="G1473" t="str">
        <f t="shared" si="115"/>
        <v>G</v>
      </c>
      <c r="H1473" t="str">
        <f t="shared" si="115"/>
        <v>47</v>
      </c>
      <c r="I1473" t="str">
        <f t="shared" si="115"/>
        <v>475</v>
      </c>
      <c r="J1473" t="str">
        <f t="shared" si="115"/>
        <v>47547</v>
      </c>
      <c r="K1473" t="str">
        <f t="shared" si="111"/>
        <v>4754702</v>
      </c>
      <c r="L1473">
        <v>0</v>
      </c>
    </row>
    <row r="1474" spans="3:12" x14ac:dyDescent="0.25">
      <c r="C1474" t="s">
        <v>1864</v>
      </c>
      <c r="D1474" t="s">
        <v>1864</v>
      </c>
      <c r="E1474" t="s">
        <v>3327</v>
      </c>
      <c r="F1474" s="4" t="s">
        <v>1172</v>
      </c>
      <c r="G1474" t="str">
        <f t="shared" si="115"/>
        <v>G</v>
      </c>
      <c r="H1474" t="str">
        <f t="shared" si="115"/>
        <v>47</v>
      </c>
      <c r="I1474" t="str">
        <f t="shared" si="115"/>
        <v>475</v>
      </c>
      <c r="J1474" t="str">
        <f t="shared" si="115"/>
        <v>47547</v>
      </c>
      <c r="K1474" t="str">
        <f t="shared" si="111"/>
        <v>4754703</v>
      </c>
      <c r="L1474">
        <v>0</v>
      </c>
    </row>
    <row r="1475" spans="3:12" x14ac:dyDescent="0.25">
      <c r="C1475" t="s">
        <v>1864</v>
      </c>
      <c r="D1475" t="s">
        <v>3328</v>
      </c>
      <c r="E1475" t="s">
        <v>1864</v>
      </c>
      <c r="F1475" s="4" t="s">
        <v>1173</v>
      </c>
      <c r="G1475" t="str">
        <f t="shared" si="115"/>
        <v>G</v>
      </c>
      <c r="H1475" t="str">
        <f t="shared" si="115"/>
        <v>47</v>
      </c>
      <c r="I1475" t="str">
        <f t="shared" si="115"/>
        <v>475</v>
      </c>
      <c r="J1475" t="str">
        <f t="shared" si="115"/>
        <v>47555</v>
      </c>
      <c r="K1475" t="str">
        <f t="shared" si="111"/>
        <v/>
      </c>
    </row>
    <row r="1476" spans="3:12" x14ac:dyDescent="0.25">
      <c r="C1476" t="s">
        <v>1864</v>
      </c>
      <c r="D1476" t="s">
        <v>1864</v>
      </c>
      <c r="E1476" t="s">
        <v>3329</v>
      </c>
      <c r="F1476" s="4" t="s">
        <v>1174</v>
      </c>
      <c r="G1476" t="str">
        <f t="shared" si="115"/>
        <v>G</v>
      </c>
      <c r="H1476" t="str">
        <f t="shared" si="115"/>
        <v>47</v>
      </c>
      <c r="I1476" t="str">
        <f t="shared" si="115"/>
        <v>475</v>
      </c>
      <c r="J1476" t="str">
        <f t="shared" si="115"/>
        <v>47555</v>
      </c>
      <c r="K1476" t="str">
        <f t="shared" si="111"/>
        <v>4755501</v>
      </c>
      <c r="L1476">
        <v>0</v>
      </c>
    </row>
    <row r="1477" spans="3:12" x14ac:dyDescent="0.25">
      <c r="C1477" t="s">
        <v>1864</v>
      </c>
      <c r="D1477" t="s">
        <v>1864</v>
      </c>
      <c r="E1477" t="s">
        <v>3330</v>
      </c>
      <c r="F1477" s="4" t="s">
        <v>1175</v>
      </c>
      <c r="G1477" t="str">
        <f t="shared" si="115"/>
        <v>G</v>
      </c>
      <c r="H1477" t="str">
        <f t="shared" si="115"/>
        <v>47</v>
      </c>
      <c r="I1477" t="str">
        <f t="shared" si="115"/>
        <v>475</v>
      </c>
      <c r="J1477" t="str">
        <f t="shared" si="115"/>
        <v>47555</v>
      </c>
      <c r="K1477" t="str">
        <f t="shared" si="111"/>
        <v>4755502</v>
      </c>
      <c r="L1477">
        <v>0</v>
      </c>
    </row>
    <row r="1478" spans="3:12" x14ac:dyDescent="0.25">
      <c r="C1478" t="s">
        <v>1864</v>
      </c>
      <c r="D1478" t="s">
        <v>1864</v>
      </c>
      <c r="E1478" t="s">
        <v>3331</v>
      </c>
      <c r="F1478" s="4" t="s">
        <v>1176</v>
      </c>
      <c r="G1478" t="str">
        <f t="shared" si="115"/>
        <v>G</v>
      </c>
      <c r="H1478" t="str">
        <f t="shared" si="115"/>
        <v>47</v>
      </c>
      <c r="I1478" t="str">
        <f t="shared" si="115"/>
        <v>475</v>
      </c>
      <c r="J1478" t="str">
        <f t="shared" si="115"/>
        <v>47555</v>
      </c>
      <c r="K1478" t="str">
        <f t="shared" si="111"/>
        <v>4755503</v>
      </c>
      <c r="L1478">
        <v>0</v>
      </c>
    </row>
    <row r="1479" spans="3:12" x14ac:dyDescent="0.25">
      <c r="C1479" t="s">
        <v>1864</v>
      </c>
      <c r="D1479" t="s">
        <v>3332</v>
      </c>
      <c r="E1479" t="s">
        <v>1864</v>
      </c>
      <c r="F1479" s="4" t="s">
        <v>1177</v>
      </c>
      <c r="G1479" t="str">
        <f t="shared" si="115"/>
        <v>G</v>
      </c>
      <c r="H1479" t="str">
        <f t="shared" si="115"/>
        <v>47</v>
      </c>
      <c r="I1479" t="str">
        <f t="shared" si="115"/>
        <v>475</v>
      </c>
      <c r="J1479" t="str">
        <f t="shared" si="115"/>
        <v>47563</v>
      </c>
      <c r="K1479" t="str">
        <f t="shared" si="111"/>
        <v/>
      </c>
    </row>
    <row r="1480" spans="3:12" x14ac:dyDescent="0.25">
      <c r="C1480" t="s">
        <v>1864</v>
      </c>
      <c r="D1480" t="s">
        <v>1864</v>
      </c>
      <c r="E1480" t="s">
        <v>3333</v>
      </c>
      <c r="F1480" s="4" t="s">
        <v>1177</v>
      </c>
      <c r="G1480" t="str">
        <f t="shared" si="115"/>
        <v>G</v>
      </c>
      <c r="H1480" t="str">
        <f t="shared" si="115"/>
        <v>47</v>
      </c>
      <c r="I1480" t="str">
        <f t="shared" si="115"/>
        <v>475</v>
      </c>
      <c r="J1480" t="str">
        <f t="shared" si="115"/>
        <v>47563</v>
      </c>
      <c r="K1480" t="str">
        <f t="shared" ref="K1480:K1543" si="116">E1480</f>
        <v>4756300</v>
      </c>
      <c r="L1480">
        <v>0</v>
      </c>
    </row>
    <row r="1481" spans="3:12" x14ac:dyDescent="0.25">
      <c r="C1481" t="s">
        <v>1864</v>
      </c>
      <c r="D1481" t="s">
        <v>3334</v>
      </c>
      <c r="E1481" t="s">
        <v>1864</v>
      </c>
      <c r="F1481" s="4" t="s">
        <v>1178</v>
      </c>
      <c r="G1481" t="str">
        <f t="shared" ref="G1481:J1496" si="117">IF(A1481="",G1480,A1481)</f>
        <v>G</v>
      </c>
      <c r="H1481" t="str">
        <f t="shared" si="117"/>
        <v>47</v>
      </c>
      <c r="I1481" t="str">
        <f t="shared" si="117"/>
        <v>475</v>
      </c>
      <c r="J1481" t="str">
        <f t="shared" si="117"/>
        <v>47571</v>
      </c>
      <c r="K1481" t="str">
        <f t="shared" si="116"/>
        <v/>
      </c>
    </row>
    <row r="1482" spans="3:12" x14ac:dyDescent="0.25">
      <c r="C1482" t="s">
        <v>1864</v>
      </c>
      <c r="D1482" t="s">
        <v>1864</v>
      </c>
      <c r="E1482" t="s">
        <v>3335</v>
      </c>
      <c r="F1482" s="4" t="s">
        <v>1178</v>
      </c>
      <c r="G1482" t="str">
        <f t="shared" si="117"/>
        <v>G</v>
      </c>
      <c r="H1482" t="str">
        <f t="shared" si="117"/>
        <v>47</v>
      </c>
      <c r="I1482" t="str">
        <f t="shared" si="117"/>
        <v>475</v>
      </c>
      <c r="J1482" t="str">
        <f t="shared" si="117"/>
        <v>47571</v>
      </c>
      <c r="K1482" t="str">
        <f t="shared" si="116"/>
        <v>4757100</v>
      </c>
      <c r="L1482">
        <v>0</v>
      </c>
    </row>
    <row r="1483" spans="3:12" x14ac:dyDescent="0.25">
      <c r="C1483" t="s">
        <v>1864</v>
      </c>
      <c r="D1483" t="s">
        <v>3336</v>
      </c>
      <c r="E1483" t="s">
        <v>1864</v>
      </c>
      <c r="F1483" s="4" t="s">
        <v>1179</v>
      </c>
      <c r="G1483" t="str">
        <f t="shared" si="117"/>
        <v>G</v>
      </c>
      <c r="H1483" t="str">
        <f t="shared" si="117"/>
        <v>47</v>
      </c>
      <c r="I1483" t="str">
        <f t="shared" si="117"/>
        <v>475</v>
      </c>
      <c r="J1483" t="str">
        <f t="shared" si="117"/>
        <v>47598</v>
      </c>
      <c r="K1483" t="str">
        <f t="shared" si="116"/>
        <v/>
      </c>
    </row>
    <row r="1484" spans="3:12" x14ac:dyDescent="0.25">
      <c r="C1484" t="s">
        <v>1864</v>
      </c>
      <c r="D1484" t="s">
        <v>1864</v>
      </c>
      <c r="E1484" t="s">
        <v>3337</v>
      </c>
      <c r="F1484" s="4" t="s">
        <v>1180</v>
      </c>
      <c r="G1484" t="str">
        <f t="shared" si="117"/>
        <v>G</v>
      </c>
      <c r="H1484" t="str">
        <f t="shared" si="117"/>
        <v>47</v>
      </c>
      <c r="I1484" t="str">
        <f t="shared" si="117"/>
        <v>475</v>
      </c>
      <c r="J1484" t="str">
        <f t="shared" si="117"/>
        <v>47598</v>
      </c>
      <c r="K1484" t="str">
        <f t="shared" si="116"/>
        <v>4759801</v>
      </c>
      <c r="L1484">
        <v>0</v>
      </c>
    </row>
    <row r="1485" spans="3:12" x14ac:dyDescent="0.25">
      <c r="C1485" t="s">
        <v>1864</v>
      </c>
      <c r="D1485" t="s">
        <v>1864</v>
      </c>
      <c r="E1485" t="s">
        <v>3338</v>
      </c>
      <c r="F1485" s="4" t="s">
        <v>1181</v>
      </c>
      <c r="G1485" t="str">
        <f t="shared" si="117"/>
        <v>G</v>
      </c>
      <c r="H1485" t="str">
        <f t="shared" si="117"/>
        <v>47</v>
      </c>
      <c r="I1485" t="str">
        <f t="shared" si="117"/>
        <v>475</v>
      </c>
      <c r="J1485" t="str">
        <f t="shared" si="117"/>
        <v>47598</v>
      </c>
      <c r="K1485" t="str">
        <f t="shared" si="116"/>
        <v>4759899</v>
      </c>
      <c r="L1485">
        <v>0</v>
      </c>
    </row>
    <row r="1486" spans="3:12" x14ac:dyDescent="0.25">
      <c r="C1486" t="s">
        <v>3339</v>
      </c>
      <c r="D1486" t="s">
        <v>1864</v>
      </c>
      <c r="E1486" t="s">
        <v>1864</v>
      </c>
      <c r="F1486" s="4" t="s">
        <v>1182</v>
      </c>
      <c r="G1486" t="str">
        <f t="shared" si="117"/>
        <v>G</v>
      </c>
      <c r="H1486" t="str">
        <f t="shared" si="117"/>
        <v>47</v>
      </c>
      <c r="I1486" t="str">
        <f t="shared" si="117"/>
        <v>476</v>
      </c>
      <c r="J1486" t="str">
        <f t="shared" si="117"/>
        <v>47598</v>
      </c>
      <c r="K1486" t="str">
        <f t="shared" si="116"/>
        <v/>
      </c>
    </row>
    <row r="1487" spans="3:12" x14ac:dyDescent="0.25">
      <c r="C1487" t="s">
        <v>1864</v>
      </c>
      <c r="D1487" t="s">
        <v>3340</v>
      </c>
      <c r="E1487" t="s">
        <v>1864</v>
      </c>
      <c r="F1487" s="4" t="s">
        <v>1183</v>
      </c>
      <c r="G1487" t="str">
        <f t="shared" si="117"/>
        <v>G</v>
      </c>
      <c r="H1487" t="str">
        <f t="shared" si="117"/>
        <v>47</v>
      </c>
      <c r="I1487" t="str">
        <f t="shared" si="117"/>
        <v>476</v>
      </c>
      <c r="J1487" t="str">
        <f t="shared" si="117"/>
        <v>47610</v>
      </c>
      <c r="K1487" t="str">
        <f t="shared" si="116"/>
        <v/>
      </c>
    </row>
    <row r="1488" spans="3:12" x14ac:dyDescent="0.25">
      <c r="C1488" t="s">
        <v>1864</v>
      </c>
      <c r="D1488" t="s">
        <v>1864</v>
      </c>
      <c r="E1488" t="s">
        <v>3341</v>
      </c>
      <c r="F1488" s="4" t="s">
        <v>1184</v>
      </c>
      <c r="G1488" t="str">
        <f t="shared" si="117"/>
        <v>G</v>
      </c>
      <c r="H1488" t="str">
        <f t="shared" si="117"/>
        <v>47</v>
      </c>
      <c r="I1488" t="str">
        <f t="shared" si="117"/>
        <v>476</v>
      </c>
      <c r="J1488" t="str">
        <f t="shared" si="117"/>
        <v>47610</v>
      </c>
      <c r="K1488" t="str">
        <f t="shared" si="116"/>
        <v>4761001</v>
      </c>
      <c r="L1488">
        <v>0</v>
      </c>
    </row>
    <row r="1489" spans="3:12" x14ac:dyDescent="0.25">
      <c r="C1489" t="s">
        <v>1864</v>
      </c>
      <c r="D1489" t="s">
        <v>1864</v>
      </c>
      <c r="E1489" t="s">
        <v>3342</v>
      </c>
      <c r="F1489" s="4" t="s">
        <v>1185</v>
      </c>
      <c r="G1489" t="str">
        <f t="shared" si="117"/>
        <v>G</v>
      </c>
      <c r="H1489" t="str">
        <f t="shared" si="117"/>
        <v>47</v>
      </c>
      <c r="I1489" t="str">
        <f t="shared" si="117"/>
        <v>476</v>
      </c>
      <c r="J1489" t="str">
        <f t="shared" si="117"/>
        <v>47610</v>
      </c>
      <c r="K1489" t="str">
        <f t="shared" si="116"/>
        <v>4761002</v>
      </c>
      <c r="L1489">
        <v>0</v>
      </c>
    </row>
    <row r="1490" spans="3:12" x14ac:dyDescent="0.25">
      <c r="C1490" t="s">
        <v>1864</v>
      </c>
      <c r="D1490" t="s">
        <v>1864</v>
      </c>
      <c r="E1490" t="s">
        <v>3343</v>
      </c>
      <c r="F1490" s="4" t="s">
        <v>1186</v>
      </c>
      <c r="G1490" t="str">
        <f t="shared" si="117"/>
        <v>G</v>
      </c>
      <c r="H1490" t="str">
        <f t="shared" si="117"/>
        <v>47</v>
      </c>
      <c r="I1490" t="str">
        <f t="shared" si="117"/>
        <v>476</v>
      </c>
      <c r="J1490" t="str">
        <f t="shared" si="117"/>
        <v>47610</v>
      </c>
      <c r="K1490" t="str">
        <f t="shared" si="116"/>
        <v>4761003</v>
      </c>
      <c r="L1490">
        <v>0</v>
      </c>
    </row>
    <row r="1491" spans="3:12" x14ac:dyDescent="0.25">
      <c r="C1491" t="s">
        <v>1864</v>
      </c>
      <c r="D1491" t="s">
        <v>3344</v>
      </c>
      <c r="E1491" t="s">
        <v>1864</v>
      </c>
      <c r="F1491" s="4" t="s">
        <v>1187</v>
      </c>
      <c r="G1491" t="str">
        <f t="shared" si="117"/>
        <v>G</v>
      </c>
      <c r="H1491" t="str">
        <f t="shared" si="117"/>
        <v>47</v>
      </c>
      <c r="I1491" t="str">
        <f t="shared" si="117"/>
        <v>476</v>
      </c>
      <c r="J1491" t="str">
        <f t="shared" si="117"/>
        <v>47628</v>
      </c>
      <c r="K1491" t="str">
        <f t="shared" si="116"/>
        <v/>
      </c>
    </row>
    <row r="1492" spans="3:12" x14ac:dyDescent="0.25">
      <c r="C1492" t="s">
        <v>1864</v>
      </c>
      <c r="D1492" t="s">
        <v>1864</v>
      </c>
      <c r="E1492" t="s">
        <v>3345</v>
      </c>
      <c r="F1492" s="4" t="s">
        <v>1187</v>
      </c>
      <c r="G1492" t="str">
        <f t="shared" si="117"/>
        <v>G</v>
      </c>
      <c r="H1492" t="str">
        <f t="shared" si="117"/>
        <v>47</v>
      </c>
      <c r="I1492" t="str">
        <f t="shared" si="117"/>
        <v>476</v>
      </c>
      <c r="J1492" t="str">
        <f t="shared" si="117"/>
        <v>47628</v>
      </c>
      <c r="K1492" t="str">
        <f t="shared" si="116"/>
        <v>4762800</v>
      </c>
      <c r="L1492">
        <v>0</v>
      </c>
    </row>
    <row r="1493" spans="3:12" x14ac:dyDescent="0.25">
      <c r="C1493" t="s">
        <v>1864</v>
      </c>
      <c r="D1493" t="s">
        <v>3346</v>
      </c>
      <c r="E1493" t="s">
        <v>1864</v>
      </c>
      <c r="F1493" s="4" t="s">
        <v>1188</v>
      </c>
      <c r="G1493" t="str">
        <f t="shared" si="117"/>
        <v>G</v>
      </c>
      <c r="H1493" t="str">
        <f t="shared" si="117"/>
        <v>47</v>
      </c>
      <c r="I1493" t="str">
        <f t="shared" si="117"/>
        <v>476</v>
      </c>
      <c r="J1493" t="str">
        <f t="shared" si="117"/>
        <v>47636</v>
      </c>
      <c r="K1493" t="str">
        <f t="shared" si="116"/>
        <v/>
      </c>
    </row>
    <row r="1494" spans="3:12" x14ac:dyDescent="0.25">
      <c r="C1494" t="s">
        <v>1864</v>
      </c>
      <c r="D1494" t="s">
        <v>1864</v>
      </c>
      <c r="E1494" t="s">
        <v>3347</v>
      </c>
      <c r="F1494" s="4" t="s">
        <v>1189</v>
      </c>
      <c r="G1494" t="str">
        <f t="shared" si="117"/>
        <v>G</v>
      </c>
      <c r="H1494" t="str">
        <f t="shared" si="117"/>
        <v>47</v>
      </c>
      <c r="I1494" t="str">
        <f t="shared" si="117"/>
        <v>476</v>
      </c>
      <c r="J1494" t="str">
        <f t="shared" si="117"/>
        <v>47636</v>
      </c>
      <c r="K1494" t="str">
        <f t="shared" si="116"/>
        <v>4763601</v>
      </c>
      <c r="L1494">
        <v>0</v>
      </c>
    </row>
    <row r="1495" spans="3:12" x14ac:dyDescent="0.25">
      <c r="C1495" t="s">
        <v>1864</v>
      </c>
      <c r="D1495" t="s">
        <v>1864</v>
      </c>
      <c r="E1495" t="s">
        <v>3348</v>
      </c>
      <c r="F1495" s="4" t="s">
        <v>1190</v>
      </c>
      <c r="G1495" t="str">
        <f t="shared" si="117"/>
        <v>G</v>
      </c>
      <c r="H1495" t="str">
        <f t="shared" si="117"/>
        <v>47</v>
      </c>
      <c r="I1495" t="str">
        <f t="shared" si="117"/>
        <v>476</v>
      </c>
      <c r="J1495" t="str">
        <f t="shared" si="117"/>
        <v>47636</v>
      </c>
      <c r="K1495" t="str">
        <f t="shared" si="116"/>
        <v>4763602</v>
      </c>
      <c r="L1495">
        <v>0</v>
      </c>
    </row>
    <row r="1496" spans="3:12" x14ac:dyDescent="0.25">
      <c r="C1496" t="s">
        <v>1864</v>
      </c>
      <c r="D1496" t="s">
        <v>1864</v>
      </c>
      <c r="E1496" t="s">
        <v>3349</v>
      </c>
      <c r="F1496" s="4" t="s">
        <v>1191</v>
      </c>
      <c r="G1496" t="str">
        <f t="shared" si="117"/>
        <v>G</v>
      </c>
      <c r="H1496" t="str">
        <f t="shared" si="117"/>
        <v>47</v>
      </c>
      <c r="I1496" t="str">
        <f t="shared" si="117"/>
        <v>476</v>
      </c>
      <c r="J1496" t="str">
        <f t="shared" si="117"/>
        <v>47636</v>
      </c>
      <c r="K1496" t="str">
        <f t="shared" si="116"/>
        <v>4763603</v>
      </c>
      <c r="L1496">
        <v>0</v>
      </c>
    </row>
    <row r="1497" spans="3:12" x14ac:dyDescent="0.25">
      <c r="C1497" t="s">
        <v>1864</v>
      </c>
      <c r="D1497" t="s">
        <v>1864</v>
      </c>
      <c r="E1497" t="s">
        <v>3350</v>
      </c>
      <c r="F1497" s="4" t="s">
        <v>3351</v>
      </c>
      <c r="G1497" t="str">
        <f t="shared" ref="G1497:J1512" si="118">IF(A1497="",G1496,A1497)</f>
        <v>G</v>
      </c>
      <c r="H1497" t="str">
        <f t="shared" si="118"/>
        <v>47</v>
      </c>
      <c r="I1497" t="str">
        <f t="shared" si="118"/>
        <v>476</v>
      </c>
      <c r="J1497" t="str">
        <f t="shared" si="118"/>
        <v>47636</v>
      </c>
      <c r="K1497" t="str">
        <f t="shared" si="116"/>
        <v>4763604</v>
      </c>
      <c r="L1497">
        <v>0</v>
      </c>
    </row>
    <row r="1498" spans="3:12" x14ac:dyDescent="0.25">
      <c r="C1498" t="s">
        <v>1864</v>
      </c>
      <c r="D1498" t="s">
        <v>1864</v>
      </c>
      <c r="E1498" t="s">
        <v>3352</v>
      </c>
      <c r="F1498" s="4" t="s">
        <v>1192</v>
      </c>
      <c r="G1498" t="str">
        <f t="shared" si="118"/>
        <v>G</v>
      </c>
      <c r="H1498" t="str">
        <f t="shared" si="118"/>
        <v>47</v>
      </c>
      <c r="I1498" t="str">
        <f t="shared" si="118"/>
        <v>476</v>
      </c>
      <c r="J1498" t="str">
        <f t="shared" si="118"/>
        <v>47636</v>
      </c>
      <c r="K1498" t="str">
        <f t="shared" si="116"/>
        <v>4763605</v>
      </c>
      <c r="L1498">
        <v>0</v>
      </c>
    </row>
    <row r="1499" spans="3:12" x14ac:dyDescent="0.25">
      <c r="C1499" t="s">
        <v>3353</v>
      </c>
      <c r="D1499" t="s">
        <v>1864</v>
      </c>
      <c r="E1499" t="s">
        <v>1864</v>
      </c>
      <c r="F1499" s="4" t="s">
        <v>1193</v>
      </c>
      <c r="G1499" t="str">
        <f t="shared" si="118"/>
        <v>G</v>
      </c>
      <c r="H1499" t="str">
        <f t="shared" si="118"/>
        <v>47</v>
      </c>
      <c r="I1499" t="str">
        <f t="shared" si="118"/>
        <v>477</v>
      </c>
      <c r="J1499" t="str">
        <f t="shared" si="118"/>
        <v>47636</v>
      </c>
      <c r="K1499" t="str">
        <f t="shared" si="116"/>
        <v/>
      </c>
    </row>
    <row r="1500" spans="3:12" x14ac:dyDescent="0.25">
      <c r="C1500" t="s">
        <v>1864</v>
      </c>
      <c r="D1500" t="s">
        <v>3354</v>
      </c>
      <c r="E1500" t="s">
        <v>1864</v>
      </c>
      <c r="F1500" s="4" t="s">
        <v>1194</v>
      </c>
      <c r="G1500" t="str">
        <f t="shared" si="118"/>
        <v>G</v>
      </c>
      <c r="H1500" t="str">
        <f t="shared" si="118"/>
        <v>47</v>
      </c>
      <c r="I1500" t="str">
        <f t="shared" si="118"/>
        <v>477</v>
      </c>
      <c r="J1500" t="str">
        <f t="shared" si="118"/>
        <v>47717</v>
      </c>
      <c r="K1500" t="str">
        <f t="shared" si="116"/>
        <v/>
      </c>
    </row>
    <row r="1501" spans="3:12" x14ac:dyDescent="0.25">
      <c r="C1501" t="s">
        <v>1864</v>
      </c>
      <c r="D1501" t="s">
        <v>1864</v>
      </c>
      <c r="E1501" t="s">
        <v>3355</v>
      </c>
      <c r="F1501" s="4" t="s">
        <v>1195</v>
      </c>
      <c r="G1501" t="str">
        <f t="shared" si="118"/>
        <v>G</v>
      </c>
      <c r="H1501" t="str">
        <f t="shared" si="118"/>
        <v>47</v>
      </c>
      <c r="I1501" t="str">
        <f t="shared" si="118"/>
        <v>477</v>
      </c>
      <c r="J1501" t="str">
        <f t="shared" si="118"/>
        <v>47717</v>
      </c>
      <c r="K1501" t="str">
        <f t="shared" si="116"/>
        <v>4771701</v>
      </c>
      <c r="L1501">
        <v>0</v>
      </c>
    </row>
    <row r="1502" spans="3:12" x14ac:dyDescent="0.25">
      <c r="C1502" t="s">
        <v>1864</v>
      </c>
      <c r="D1502" t="s">
        <v>1864</v>
      </c>
      <c r="E1502" t="s">
        <v>3356</v>
      </c>
      <c r="F1502" s="4" t="s">
        <v>1196</v>
      </c>
      <c r="G1502" t="str">
        <f t="shared" si="118"/>
        <v>G</v>
      </c>
      <c r="H1502" t="str">
        <f t="shared" si="118"/>
        <v>47</v>
      </c>
      <c r="I1502" t="str">
        <f t="shared" si="118"/>
        <v>477</v>
      </c>
      <c r="J1502" t="str">
        <f t="shared" si="118"/>
        <v>47717</v>
      </c>
      <c r="K1502" t="str">
        <f t="shared" si="116"/>
        <v>4771702</v>
      </c>
      <c r="L1502">
        <v>0</v>
      </c>
    </row>
    <row r="1503" spans="3:12" x14ac:dyDescent="0.25">
      <c r="C1503" t="s">
        <v>1864</v>
      </c>
      <c r="D1503" t="s">
        <v>1864</v>
      </c>
      <c r="E1503" t="s">
        <v>3357</v>
      </c>
      <c r="F1503" s="4" t="s">
        <v>1197</v>
      </c>
      <c r="G1503" t="str">
        <f t="shared" si="118"/>
        <v>G</v>
      </c>
      <c r="H1503" t="str">
        <f t="shared" si="118"/>
        <v>47</v>
      </c>
      <c r="I1503" t="str">
        <f t="shared" si="118"/>
        <v>477</v>
      </c>
      <c r="J1503" t="str">
        <f t="shared" si="118"/>
        <v>47717</v>
      </c>
      <c r="K1503" t="str">
        <f t="shared" si="116"/>
        <v>4771703</v>
      </c>
      <c r="L1503">
        <v>0</v>
      </c>
    </row>
    <row r="1504" spans="3:12" x14ac:dyDescent="0.25">
      <c r="C1504" t="s">
        <v>1864</v>
      </c>
      <c r="D1504" t="s">
        <v>1864</v>
      </c>
      <c r="E1504" t="s">
        <v>3358</v>
      </c>
      <c r="F1504" s="4" t="s">
        <v>1198</v>
      </c>
      <c r="G1504" t="str">
        <f t="shared" si="118"/>
        <v>G</v>
      </c>
      <c r="H1504" t="str">
        <f t="shared" si="118"/>
        <v>47</v>
      </c>
      <c r="I1504" t="str">
        <f t="shared" si="118"/>
        <v>477</v>
      </c>
      <c r="J1504" t="str">
        <f t="shared" si="118"/>
        <v>47717</v>
      </c>
      <c r="K1504" t="str">
        <f t="shared" si="116"/>
        <v>4771704</v>
      </c>
      <c r="L1504">
        <v>0</v>
      </c>
    </row>
    <row r="1505" spans="3:12" x14ac:dyDescent="0.25">
      <c r="C1505" t="s">
        <v>1864</v>
      </c>
      <c r="D1505" t="s">
        <v>3359</v>
      </c>
      <c r="E1505" t="s">
        <v>1864</v>
      </c>
      <c r="F1505" s="4" t="s">
        <v>1199</v>
      </c>
      <c r="G1505" t="str">
        <f t="shared" si="118"/>
        <v>G</v>
      </c>
      <c r="H1505" t="str">
        <f t="shared" si="118"/>
        <v>47</v>
      </c>
      <c r="I1505" t="str">
        <f t="shared" si="118"/>
        <v>477</v>
      </c>
      <c r="J1505" t="str">
        <f t="shared" si="118"/>
        <v>47725</v>
      </c>
      <c r="K1505" t="str">
        <f t="shared" si="116"/>
        <v/>
      </c>
    </row>
    <row r="1506" spans="3:12" x14ac:dyDescent="0.25">
      <c r="C1506" t="s">
        <v>1864</v>
      </c>
      <c r="D1506" t="s">
        <v>1864</v>
      </c>
      <c r="E1506" t="s">
        <v>3360</v>
      </c>
      <c r="F1506" s="4" t="s">
        <v>1199</v>
      </c>
      <c r="G1506" t="str">
        <f t="shared" si="118"/>
        <v>G</v>
      </c>
      <c r="H1506" t="str">
        <f t="shared" si="118"/>
        <v>47</v>
      </c>
      <c r="I1506" t="str">
        <f t="shared" si="118"/>
        <v>477</v>
      </c>
      <c r="J1506" t="str">
        <f t="shared" si="118"/>
        <v>47725</v>
      </c>
      <c r="K1506" t="str">
        <f t="shared" si="116"/>
        <v>4772500</v>
      </c>
      <c r="L1506">
        <v>0</v>
      </c>
    </row>
    <row r="1507" spans="3:12" x14ac:dyDescent="0.25">
      <c r="C1507" t="s">
        <v>1864</v>
      </c>
      <c r="D1507" t="s">
        <v>3361</v>
      </c>
      <c r="E1507" t="s">
        <v>1864</v>
      </c>
      <c r="F1507" s="4" t="s">
        <v>1200</v>
      </c>
      <c r="G1507" t="str">
        <f t="shared" si="118"/>
        <v>G</v>
      </c>
      <c r="H1507" t="str">
        <f t="shared" si="118"/>
        <v>47</v>
      </c>
      <c r="I1507" t="str">
        <f t="shared" si="118"/>
        <v>477</v>
      </c>
      <c r="J1507" t="str">
        <f t="shared" si="118"/>
        <v>47733</v>
      </c>
      <c r="K1507" t="str">
        <f t="shared" si="116"/>
        <v/>
      </c>
    </row>
    <row r="1508" spans="3:12" x14ac:dyDescent="0.25">
      <c r="C1508" t="s">
        <v>1864</v>
      </c>
      <c r="D1508" t="s">
        <v>1864</v>
      </c>
      <c r="E1508" t="s">
        <v>3362</v>
      </c>
      <c r="F1508" s="4" t="s">
        <v>1200</v>
      </c>
      <c r="G1508" t="str">
        <f t="shared" si="118"/>
        <v>G</v>
      </c>
      <c r="H1508" t="str">
        <f t="shared" si="118"/>
        <v>47</v>
      </c>
      <c r="I1508" t="str">
        <f t="shared" si="118"/>
        <v>477</v>
      </c>
      <c r="J1508" t="str">
        <f t="shared" si="118"/>
        <v>47733</v>
      </c>
      <c r="K1508" t="str">
        <f t="shared" si="116"/>
        <v>4773300</v>
      </c>
      <c r="L1508">
        <v>0</v>
      </c>
    </row>
    <row r="1509" spans="3:12" x14ac:dyDescent="0.25">
      <c r="C1509" t="s">
        <v>1864</v>
      </c>
      <c r="D1509" t="s">
        <v>3363</v>
      </c>
      <c r="E1509" t="s">
        <v>1864</v>
      </c>
      <c r="F1509" s="4" t="s">
        <v>1201</v>
      </c>
      <c r="G1509" t="str">
        <f t="shared" si="118"/>
        <v>G</v>
      </c>
      <c r="H1509" t="str">
        <f t="shared" si="118"/>
        <v>47</v>
      </c>
      <c r="I1509" t="str">
        <f t="shared" si="118"/>
        <v>477</v>
      </c>
      <c r="J1509" t="str">
        <f t="shared" si="118"/>
        <v>47741</v>
      </c>
      <c r="K1509" t="str">
        <f t="shared" si="116"/>
        <v/>
      </c>
    </row>
    <row r="1510" spans="3:12" x14ac:dyDescent="0.25">
      <c r="C1510" t="s">
        <v>1864</v>
      </c>
      <c r="D1510" t="s">
        <v>1864</v>
      </c>
      <c r="E1510" t="s">
        <v>3364</v>
      </c>
      <c r="F1510" s="4" t="s">
        <v>1201</v>
      </c>
      <c r="G1510" t="str">
        <f t="shared" si="118"/>
        <v>G</v>
      </c>
      <c r="H1510" t="str">
        <f t="shared" si="118"/>
        <v>47</v>
      </c>
      <c r="I1510" t="str">
        <f t="shared" si="118"/>
        <v>477</v>
      </c>
      <c r="J1510" t="str">
        <f t="shared" si="118"/>
        <v>47741</v>
      </c>
      <c r="K1510" t="str">
        <f t="shared" si="116"/>
        <v>4774100</v>
      </c>
      <c r="L1510">
        <v>0</v>
      </c>
    </row>
    <row r="1511" spans="3:12" x14ac:dyDescent="0.25">
      <c r="C1511" t="s">
        <v>3365</v>
      </c>
      <c r="D1511" t="s">
        <v>1864</v>
      </c>
      <c r="E1511" t="s">
        <v>1864</v>
      </c>
      <c r="F1511" s="4" t="s">
        <v>1202</v>
      </c>
      <c r="G1511" t="str">
        <f t="shared" si="118"/>
        <v>G</v>
      </c>
      <c r="H1511" t="str">
        <f t="shared" si="118"/>
        <v>47</v>
      </c>
      <c r="I1511" t="str">
        <f t="shared" si="118"/>
        <v>478</v>
      </c>
      <c r="J1511" t="str">
        <f t="shared" si="118"/>
        <v>47741</v>
      </c>
      <c r="K1511" t="str">
        <f t="shared" si="116"/>
        <v/>
      </c>
    </row>
    <row r="1512" spans="3:12" x14ac:dyDescent="0.25">
      <c r="C1512" t="s">
        <v>1864</v>
      </c>
      <c r="D1512" t="s">
        <v>3366</v>
      </c>
      <c r="E1512" t="s">
        <v>1864</v>
      </c>
      <c r="F1512" s="4" t="s">
        <v>1203</v>
      </c>
      <c r="G1512" t="str">
        <f t="shared" si="118"/>
        <v>G</v>
      </c>
      <c r="H1512" t="str">
        <f t="shared" si="118"/>
        <v>47</v>
      </c>
      <c r="I1512" t="str">
        <f t="shared" si="118"/>
        <v>478</v>
      </c>
      <c r="J1512" t="str">
        <f t="shared" si="118"/>
        <v>47814</v>
      </c>
      <c r="K1512" t="str">
        <f t="shared" si="116"/>
        <v/>
      </c>
    </row>
    <row r="1513" spans="3:12" x14ac:dyDescent="0.25">
      <c r="C1513" t="s">
        <v>1864</v>
      </c>
      <c r="D1513" t="s">
        <v>1864</v>
      </c>
      <c r="E1513" t="s">
        <v>3367</v>
      </c>
      <c r="F1513" s="4" t="s">
        <v>1203</v>
      </c>
      <c r="G1513" t="str">
        <f t="shared" ref="G1513:J1528" si="119">IF(A1513="",G1512,A1513)</f>
        <v>G</v>
      </c>
      <c r="H1513" t="str">
        <f t="shared" si="119"/>
        <v>47</v>
      </c>
      <c r="I1513" t="str">
        <f t="shared" si="119"/>
        <v>478</v>
      </c>
      <c r="J1513" t="str">
        <f t="shared" si="119"/>
        <v>47814</v>
      </c>
      <c r="K1513" t="str">
        <f t="shared" si="116"/>
        <v>4781400</v>
      </c>
      <c r="L1513">
        <v>0</v>
      </c>
    </row>
    <row r="1514" spans="3:12" x14ac:dyDescent="0.25">
      <c r="C1514" t="s">
        <v>1864</v>
      </c>
      <c r="D1514" t="s">
        <v>3368</v>
      </c>
      <c r="E1514" t="s">
        <v>1864</v>
      </c>
      <c r="F1514" s="4" t="s">
        <v>1204</v>
      </c>
      <c r="G1514" t="str">
        <f t="shared" si="119"/>
        <v>G</v>
      </c>
      <c r="H1514" t="str">
        <f t="shared" si="119"/>
        <v>47</v>
      </c>
      <c r="I1514" t="str">
        <f t="shared" si="119"/>
        <v>478</v>
      </c>
      <c r="J1514" t="str">
        <f t="shared" si="119"/>
        <v>47822</v>
      </c>
      <c r="K1514" t="str">
        <f t="shared" si="116"/>
        <v/>
      </c>
    </row>
    <row r="1515" spans="3:12" x14ac:dyDescent="0.25">
      <c r="C1515" t="s">
        <v>1864</v>
      </c>
      <c r="D1515" t="s">
        <v>1864</v>
      </c>
      <c r="E1515" t="s">
        <v>3369</v>
      </c>
      <c r="F1515" s="4" t="s">
        <v>1205</v>
      </c>
      <c r="G1515" t="str">
        <f t="shared" si="119"/>
        <v>G</v>
      </c>
      <c r="H1515" t="str">
        <f t="shared" si="119"/>
        <v>47</v>
      </c>
      <c r="I1515" t="str">
        <f t="shared" si="119"/>
        <v>478</v>
      </c>
      <c r="J1515" t="str">
        <f t="shared" si="119"/>
        <v>47822</v>
      </c>
      <c r="K1515" t="str">
        <f t="shared" si="116"/>
        <v>4782201</v>
      </c>
      <c r="L1515">
        <v>0</v>
      </c>
    </row>
    <row r="1516" spans="3:12" x14ac:dyDescent="0.25">
      <c r="C1516" t="s">
        <v>1864</v>
      </c>
      <c r="D1516" t="s">
        <v>1864</v>
      </c>
      <c r="E1516" t="s">
        <v>3370</v>
      </c>
      <c r="F1516" s="4" t="s">
        <v>1206</v>
      </c>
      <c r="G1516" t="str">
        <f t="shared" si="119"/>
        <v>G</v>
      </c>
      <c r="H1516" t="str">
        <f t="shared" si="119"/>
        <v>47</v>
      </c>
      <c r="I1516" t="str">
        <f t="shared" si="119"/>
        <v>478</v>
      </c>
      <c r="J1516" t="str">
        <f t="shared" si="119"/>
        <v>47822</v>
      </c>
      <c r="K1516" t="str">
        <f t="shared" si="116"/>
        <v>4782202</v>
      </c>
      <c r="L1516">
        <v>0</v>
      </c>
    </row>
    <row r="1517" spans="3:12" x14ac:dyDescent="0.25">
      <c r="C1517" t="s">
        <v>1864</v>
      </c>
      <c r="D1517" t="s">
        <v>3371</v>
      </c>
      <c r="E1517" t="s">
        <v>1864</v>
      </c>
      <c r="F1517" s="4" t="s">
        <v>1207</v>
      </c>
      <c r="G1517" t="str">
        <f t="shared" si="119"/>
        <v>G</v>
      </c>
      <c r="H1517" t="str">
        <f t="shared" si="119"/>
        <v>47</v>
      </c>
      <c r="I1517" t="str">
        <f t="shared" si="119"/>
        <v>478</v>
      </c>
      <c r="J1517" t="str">
        <f t="shared" si="119"/>
        <v>47831</v>
      </c>
      <c r="K1517" t="str">
        <f t="shared" si="116"/>
        <v/>
      </c>
    </row>
    <row r="1518" spans="3:12" x14ac:dyDescent="0.25">
      <c r="C1518" t="s">
        <v>1864</v>
      </c>
      <c r="D1518" t="s">
        <v>1864</v>
      </c>
      <c r="E1518" t="s">
        <v>3372</v>
      </c>
      <c r="F1518" s="4" t="s">
        <v>1208</v>
      </c>
      <c r="G1518" t="str">
        <f t="shared" si="119"/>
        <v>G</v>
      </c>
      <c r="H1518" t="str">
        <f t="shared" si="119"/>
        <v>47</v>
      </c>
      <c r="I1518" t="str">
        <f t="shared" si="119"/>
        <v>478</v>
      </c>
      <c r="J1518" t="str">
        <f t="shared" si="119"/>
        <v>47831</v>
      </c>
      <c r="K1518" t="str">
        <f t="shared" si="116"/>
        <v>4783101</v>
      </c>
      <c r="L1518">
        <v>0</v>
      </c>
    </row>
    <row r="1519" spans="3:12" x14ac:dyDescent="0.25">
      <c r="C1519" t="s">
        <v>1864</v>
      </c>
      <c r="D1519" t="s">
        <v>1864</v>
      </c>
      <c r="E1519" t="s">
        <v>3373</v>
      </c>
      <c r="F1519" s="4" t="s">
        <v>1209</v>
      </c>
      <c r="G1519" t="str">
        <f t="shared" si="119"/>
        <v>G</v>
      </c>
      <c r="H1519" t="str">
        <f t="shared" si="119"/>
        <v>47</v>
      </c>
      <c r="I1519" t="str">
        <f t="shared" si="119"/>
        <v>478</v>
      </c>
      <c r="J1519" t="str">
        <f t="shared" si="119"/>
        <v>47831</v>
      </c>
      <c r="K1519" t="str">
        <f t="shared" si="116"/>
        <v>4783102</v>
      </c>
      <c r="L1519">
        <v>0</v>
      </c>
    </row>
    <row r="1520" spans="3:12" x14ac:dyDescent="0.25">
      <c r="C1520" t="s">
        <v>1864</v>
      </c>
      <c r="D1520" t="s">
        <v>3374</v>
      </c>
      <c r="E1520" t="s">
        <v>1864</v>
      </c>
      <c r="F1520" s="4" t="s">
        <v>1210</v>
      </c>
      <c r="G1520" t="str">
        <f t="shared" si="119"/>
        <v>G</v>
      </c>
      <c r="H1520" t="str">
        <f t="shared" si="119"/>
        <v>47</v>
      </c>
      <c r="I1520" t="str">
        <f t="shared" si="119"/>
        <v>478</v>
      </c>
      <c r="J1520" t="str">
        <f t="shared" si="119"/>
        <v>47849</v>
      </c>
      <c r="K1520" t="str">
        <f t="shared" si="116"/>
        <v/>
      </c>
    </row>
    <row r="1521" spans="3:12" x14ac:dyDescent="0.25">
      <c r="C1521" t="s">
        <v>1864</v>
      </c>
      <c r="D1521" t="s">
        <v>1864</v>
      </c>
      <c r="E1521" t="s">
        <v>3375</v>
      </c>
      <c r="F1521" s="4" t="s">
        <v>1210</v>
      </c>
      <c r="G1521" t="str">
        <f t="shared" si="119"/>
        <v>G</v>
      </c>
      <c r="H1521" t="str">
        <f t="shared" si="119"/>
        <v>47</v>
      </c>
      <c r="I1521" t="str">
        <f t="shared" si="119"/>
        <v>478</v>
      </c>
      <c r="J1521" t="str">
        <f t="shared" si="119"/>
        <v>47849</v>
      </c>
      <c r="K1521" t="str">
        <f t="shared" si="116"/>
        <v>4784900</v>
      </c>
      <c r="L1521">
        <v>0</v>
      </c>
    </row>
    <row r="1522" spans="3:12" x14ac:dyDescent="0.25">
      <c r="C1522" t="s">
        <v>1864</v>
      </c>
      <c r="D1522" t="s">
        <v>3376</v>
      </c>
      <c r="E1522" t="s">
        <v>1864</v>
      </c>
      <c r="F1522" s="4" t="s">
        <v>1211</v>
      </c>
      <c r="G1522" t="str">
        <f t="shared" si="119"/>
        <v>G</v>
      </c>
      <c r="H1522" t="str">
        <f t="shared" si="119"/>
        <v>47</v>
      </c>
      <c r="I1522" t="str">
        <f t="shared" si="119"/>
        <v>478</v>
      </c>
      <c r="J1522" t="str">
        <f t="shared" si="119"/>
        <v>47857</v>
      </c>
      <c r="K1522" t="str">
        <f t="shared" si="116"/>
        <v/>
      </c>
    </row>
    <row r="1523" spans="3:12" x14ac:dyDescent="0.25">
      <c r="C1523" t="s">
        <v>1864</v>
      </c>
      <c r="D1523" t="s">
        <v>1864</v>
      </c>
      <c r="E1523" t="s">
        <v>3377</v>
      </c>
      <c r="F1523" s="4" t="s">
        <v>1212</v>
      </c>
      <c r="G1523" t="str">
        <f t="shared" si="119"/>
        <v>G</v>
      </c>
      <c r="H1523" t="str">
        <f t="shared" si="119"/>
        <v>47</v>
      </c>
      <c r="I1523" t="str">
        <f t="shared" si="119"/>
        <v>478</v>
      </c>
      <c r="J1523" t="str">
        <f t="shared" si="119"/>
        <v>47857</v>
      </c>
      <c r="K1523" t="str">
        <f t="shared" si="116"/>
        <v>4785701</v>
      </c>
      <c r="L1523">
        <v>0</v>
      </c>
    </row>
    <row r="1524" spans="3:12" x14ac:dyDescent="0.25">
      <c r="C1524" t="s">
        <v>1864</v>
      </c>
      <c r="D1524" t="s">
        <v>1864</v>
      </c>
      <c r="E1524" t="s">
        <v>3378</v>
      </c>
      <c r="F1524" s="4" t="s">
        <v>1213</v>
      </c>
      <c r="G1524" t="str">
        <f t="shared" si="119"/>
        <v>G</v>
      </c>
      <c r="H1524" t="str">
        <f t="shared" si="119"/>
        <v>47</v>
      </c>
      <c r="I1524" t="str">
        <f t="shared" si="119"/>
        <v>478</v>
      </c>
      <c r="J1524" t="str">
        <f t="shared" si="119"/>
        <v>47857</v>
      </c>
      <c r="K1524" t="str">
        <f t="shared" si="116"/>
        <v>4785799</v>
      </c>
      <c r="L1524">
        <v>0</v>
      </c>
    </row>
    <row r="1525" spans="3:12" x14ac:dyDescent="0.25">
      <c r="C1525" t="s">
        <v>1864</v>
      </c>
      <c r="D1525" t="s">
        <v>3379</v>
      </c>
      <c r="E1525" t="s">
        <v>1864</v>
      </c>
      <c r="F1525" s="4" t="s">
        <v>1214</v>
      </c>
      <c r="G1525" t="str">
        <f t="shared" si="119"/>
        <v>G</v>
      </c>
      <c r="H1525" t="str">
        <f t="shared" si="119"/>
        <v>47</v>
      </c>
      <c r="I1525" t="str">
        <f t="shared" si="119"/>
        <v>478</v>
      </c>
      <c r="J1525" t="str">
        <f t="shared" si="119"/>
        <v>47890</v>
      </c>
      <c r="K1525" t="str">
        <f t="shared" si="116"/>
        <v/>
      </c>
    </row>
    <row r="1526" spans="3:12" x14ac:dyDescent="0.25">
      <c r="C1526" t="s">
        <v>1864</v>
      </c>
      <c r="D1526" t="s">
        <v>1864</v>
      </c>
      <c r="E1526" t="s">
        <v>3380</v>
      </c>
      <c r="F1526" s="4" t="s">
        <v>1215</v>
      </c>
      <c r="G1526" t="str">
        <f t="shared" si="119"/>
        <v>G</v>
      </c>
      <c r="H1526" t="str">
        <f t="shared" si="119"/>
        <v>47</v>
      </c>
      <c r="I1526" t="str">
        <f t="shared" si="119"/>
        <v>478</v>
      </c>
      <c r="J1526" t="str">
        <f t="shared" si="119"/>
        <v>47890</v>
      </c>
      <c r="K1526" t="str">
        <f t="shared" si="116"/>
        <v>4789001</v>
      </c>
      <c r="L1526">
        <v>0</v>
      </c>
    </row>
    <row r="1527" spans="3:12" x14ac:dyDescent="0.25">
      <c r="C1527" t="s">
        <v>1864</v>
      </c>
      <c r="D1527" t="s">
        <v>1864</v>
      </c>
      <c r="E1527" t="s">
        <v>3381</v>
      </c>
      <c r="F1527" s="4" t="s">
        <v>1216</v>
      </c>
      <c r="G1527" t="str">
        <f t="shared" si="119"/>
        <v>G</v>
      </c>
      <c r="H1527" t="str">
        <f t="shared" si="119"/>
        <v>47</v>
      </c>
      <c r="I1527" t="str">
        <f t="shared" si="119"/>
        <v>478</v>
      </c>
      <c r="J1527" t="str">
        <f t="shared" si="119"/>
        <v>47890</v>
      </c>
      <c r="K1527" t="str">
        <f t="shared" si="116"/>
        <v>4789002</v>
      </c>
      <c r="L1527">
        <v>0</v>
      </c>
    </row>
    <row r="1528" spans="3:12" x14ac:dyDescent="0.25">
      <c r="C1528" t="s">
        <v>1864</v>
      </c>
      <c r="D1528" t="s">
        <v>1864</v>
      </c>
      <c r="E1528" t="s">
        <v>3382</v>
      </c>
      <c r="F1528" s="4" t="s">
        <v>1217</v>
      </c>
      <c r="G1528" t="str">
        <f t="shared" si="119"/>
        <v>G</v>
      </c>
      <c r="H1528" t="str">
        <f t="shared" si="119"/>
        <v>47</v>
      </c>
      <c r="I1528" t="str">
        <f t="shared" si="119"/>
        <v>478</v>
      </c>
      <c r="J1528" t="str">
        <f t="shared" si="119"/>
        <v>47890</v>
      </c>
      <c r="K1528" t="str">
        <f t="shared" si="116"/>
        <v>4789003</v>
      </c>
      <c r="L1528">
        <v>0</v>
      </c>
    </row>
    <row r="1529" spans="3:12" x14ac:dyDescent="0.25">
      <c r="C1529" t="s">
        <v>1864</v>
      </c>
      <c r="D1529" t="s">
        <v>1864</v>
      </c>
      <c r="E1529" t="s">
        <v>3383</v>
      </c>
      <c r="F1529" s="4" t="s">
        <v>1218</v>
      </c>
      <c r="G1529" t="str">
        <f t="shared" ref="G1529:J1544" si="120">IF(A1529="",G1528,A1529)</f>
        <v>G</v>
      </c>
      <c r="H1529" t="str">
        <f t="shared" si="120"/>
        <v>47</v>
      </c>
      <c r="I1529" t="str">
        <f t="shared" si="120"/>
        <v>478</v>
      </c>
      <c r="J1529" t="str">
        <f t="shared" si="120"/>
        <v>47890</v>
      </c>
      <c r="K1529" t="str">
        <f t="shared" si="116"/>
        <v>4789004</v>
      </c>
      <c r="L1529">
        <v>0</v>
      </c>
    </row>
    <row r="1530" spans="3:12" x14ac:dyDescent="0.25">
      <c r="C1530" t="s">
        <v>1864</v>
      </c>
      <c r="D1530" t="s">
        <v>1864</v>
      </c>
      <c r="E1530" t="s">
        <v>3384</v>
      </c>
      <c r="F1530" s="4" t="s">
        <v>1219</v>
      </c>
      <c r="G1530" t="str">
        <f t="shared" si="120"/>
        <v>G</v>
      </c>
      <c r="H1530" t="str">
        <f t="shared" si="120"/>
        <v>47</v>
      </c>
      <c r="I1530" t="str">
        <f t="shared" si="120"/>
        <v>478</v>
      </c>
      <c r="J1530" t="str">
        <f t="shared" si="120"/>
        <v>47890</v>
      </c>
      <c r="K1530" t="str">
        <f t="shared" si="116"/>
        <v>4789005</v>
      </c>
      <c r="L1530">
        <v>0</v>
      </c>
    </row>
    <row r="1531" spans="3:12" x14ac:dyDescent="0.25">
      <c r="C1531" t="s">
        <v>1864</v>
      </c>
      <c r="D1531" t="s">
        <v>1864</v>
      </c>
      <c r="E1531" t="s">
        <v>3385</v>
      </c>
      <c r="F1531" s="4" t="s">
        <v>1220</v>
      </c>
      <c r="G1531" t="str">
        <f t="shared" si="120"/>
        <v>G</v>
      </c>
      <c r="H1531" t="str">
        <f t="shared" si="120"/>
        <v>47</v>
      </c>
      <c r="I1531" t="str">
        <f t="shared" si="120"/>
        <v>478</v>
      </c>
      <c r="J1531" t="str">
        <f t="shared" si="120"/>
        <v>47890</v>
      </c>
      <c r="K1531" t="str">
        <f t="shared" si="116"/>
        <v>4789006</v>
      </c>
      <c r="L1531">
        <v>0</v>
      </c>
    </row>
    <row r="1532" spans="3:12" x14ac:dyDescent="0.25">
      <c r="C1532" t="s">
        <v>1864</v>
      </c>
      <c r="D1532" t="s">
        <v>1864</v>
      </c>
      <c r="E1532" t="s">
        <v>3386</v>
      </c>
      <c r="F1532" s="4" t="s">
        <v>1221</v>
      </c>
      <c r="G1532" t="str">
        <f t="shared" si="120"/>
        <v>G</v>
      </c>
      <c r="H1532" t="str">
        <f t="shared" si="120"/>
        <v>47</v>
      </c>
      <c r="I1532" t="str">
        <f t="shared" si="120"/>
        <v>478</v>
      </c>
      <c r="J1532" t="str">
        <f t="shared" si="120"/>
        <v>47890</v>
      </c>
      <c r="K1532" t="str">
        <f t="shared" si="116"/>
        <v>4789007</v>
      </c>
      <c r="L1532">
        <v>0</v>
      </c>
    </row>
    <row r="1533" spans="3:12" x14ac:dyDescent="0.25">
      <c r="C1533" t="s">
        <v>1864</v>
      </c>
      <c r="D1533" t="s">
        <v>1864</v>
      </c>
      <c r="E1533" t="s">
        <v>3387</v>
      </c>
      <c r="F1533" s="4" t="s">
        <v>1222</v>
      </c>
      <c r="G1533" t="str">
        <f t="shared" si="120"/>
        <v>G</v>
      </c>
      <c r="H1533" t="str">
        <f t="shared" si="120"/>
        <v>47</v>
      </c>
      <c r="I1533" t="str">
        <f t="shared" si="120"/>
        <v>478</v>
      </c>
      <c r="J1533" t="str">
        <f t="shared" si="120"/>
        <v>47890</v>
      </c>
      <c r="K1533" t="str">
        <f t="shared" si="116"/>
        <v>4789008</v>
      </c>
      <c r="L1533">
        <v>0</v>
      </c>
    </row>
    <row r="1534" spans="3:12" x14ac:dyDescent="0.25">
      <c r="C1534" t="s">
        <v>1864</v>
      </c>
      <c r="D1534" t="s">
        <v>1864</v>
      </c>
      <c r="E1534" t="s">
        <v>3388</v>
      </c>
      <c r="F1534" s="4" t="s">
        <v>1223</v>
      </c>
      <c r="G1534" t="str">
        <f t="shared" si="120"/>
        <v>G</v>
      </c>
      <c r="H1534" t="str">
        <f t="shared" si="120"/>
        <v>47</v>
      </c>
      <c r="I1534" t="str">
        <f t="shared" si="120"/>
        <v>478</v>
      </c>
      <c r="J1534" t="str">
        <f t="shared" si="120"/>
        <v>47890</v>
      </c>
      <c r="K1534" t="str">
        <f t="shared" si="116"/>
        <v>4789009</v>
      </c>
      <c r="L1534">
        <v>0</v>
      </c>
    </row>
    <row r="1535" spans="3:12" x14ac:dyDescent="0.25">
      <c r="C1535" t="s">
        <v>1864</v>
      </c>
      <c r="D1535" t="s">
        <v>1864</v>
      </c>
      <c r="E1535" t="s">
        <v>3389</v>
      </c>
      <c r="F1535" s="4" t="s">
        <v>1224</v>
      </c>
      <c r="G1535" t="str">
        <f t="shared" si="120"/>
        <v>G</v>
      </c>
      <c r="H1535" t="str">
        <f t="shared" si="120"/>
        <v>47</v>
      </c>
      <c r="I1535" t="str">
        <f t="shared" si="120"/>
        <v>478</v>
      </c>
      <c r="J1535" t="str">
        <f t="shared" si="120"/>
        <v>47890</v>
      </c>
      <c r="K1535" t="str">
        <f t="shared" si="116"/>
        <v>4789099</v>
      </c>
      <c r="L1535">
        <v>0</v>
      </c>
    </row>
    <row r="1536" spans="3:12" x14ac:dyDescent="0.25">
      <c r="C1536" t="s">
        <v>3390</v>
      </c>
      <c r="D1536" t="s">
        <v>1864</v>
      </c>
      <c r="E1536" t="s">
        <v>1864</v>
      </c>
      <c r="F1536" s="4" t="s">
        <v>1225</v>
      </c>
      <c r="G1536" t="str">
        <f t="shared" si="120"/>
        <v>G</v>
      </c>
      <c r="H1536" t="str">
        <f t="shared" si="120"/>
        <v>47</v>
      </c>
      <c r="I1536" t="str">
        <f t="shared" si="120"/>
        <v>479</v>
      </c>
      <c r="J1536" t="str">
        <f t="shared" si="120"/>
        <v>47890</v>
      </c>
      <c r="K1536" t="str">
        <f t="shared" si="116"/>
        <v/>
      </c>
    </row>
    <row r="1537" spans="1:12" x14ac:dyDescent="0.25">
      <c r="C1537" t="s">
        <v>1864</v>
      </c>
      <c r="D1537" t="s">
        <v>3391</v>
      </c>
      <c r="E1537" t="s">
        <v>1864</v>
      </c>
      <c r="F1537" s="4" t="s">
        <v>1225</v>
      </c>
      <c r="G1537" t="str">
        <f t="shared" si="120"/>
        <v>G</v>
      </c>
      <c r="H1537" t="str">
        <f t="shared" si="120"/>
        <v>47</v>
      </c>
      <c r="I1537" t="str">
        <f t="shared" si="120"/>
        <v>479</v>
      </c>
      <c r="J1537" t="str">
        <f t="shared" si="120"/>
        <v>47903</v>
      </c>
      <c r="K1537" t="str">
        <f t="shared" si="116"/>
        <v/>
      </c>
    </row>
    <row r="1538" spans="1:12" x14ac:dyDescent="0.25">
      <c r="A1538" t="s">
        <v>3392</v>
      </c>
      <c r="C1538" t="s">
        <v>1864</v>
      </c>
      <c r="D1538" t="s">
        <v>1864</v>
      </c>
      <c r="E1538" t="s">
        <v>1864</v>
      </c>
      <c r="F1538" t="s">
        <v>1226</v>
      </c>
      <c r="G1538" t="str">
        <f t="shared" si="120"/>
        <v>H</v>
      </c>
      <c r="H1538" t="str">
        <f t="shared" si="120"/>
        <v>47</v>
      </c>
      <c r="I1538" t="str">
        <f t="shared" si="120"/>
        <v>479</v>
      </c>
      <c r="J1538" t="str">
        <f t="shared" si="120"/>
        <v>47903</v>
      </c>
      <c r="K1538" t="str">
        <f t="shared" si="116"/>
        <v/>
      </c>
    </row>
    <row r="1539" spans="1:12" x14ac:dyDescent="0.25">
      <c r="B1539" t="s">
        <v>3393</v>
      </c>
      <c r="C1539" t="s">
        <v>1864</v>
      </c>
      <c r="D1539" t="s">
        <v>1864</v>
      </c>
      <c r="E1539" t="s">
        <v>1864</v>
      </c>
      <c r="F1539" t="s">
        <v>1227</v>
      </c>
      <c r="G1539" t="str">
        <f t="shared" si="120"/>
        <v>H</v>
      </c>
      <c r="H1539" t="str">
        <f t="shared" si="120"/>
        <v>49</v>
      </c>
      <c r="I1539" t="str">
        <f t="shared" si="120"/>
        <v>479</v>
      </c>
      <c r="J1539" t="str">
        <f t="shared" si="120"/>
        <v>47903</v>
      </c>
      <c r="K1539" t="str">
        <f t="shared" si="116"/>
        <v/>
      </c>
    </row>
    <row r="1540" spans="1:12" x14ac:dyDescent="0.25">
      <c r="C1540" t="s">
        <v>3394</v>
      </c>
      <c r="D1540" t="s">
        <v>1864</v>
      </c>
      <c r="E1540" t="s">
        <v>1864</v>
      </c>
      <c r="F1540" t="s">
        <v>1228</v>
      </c>
      <c r="G1540" t="str">
        <f t="shared" si="120"/>
        <v>H</v>
      </c>
      <c r="H1540" t="str">
        <f t="shared" si="120"/>
        <v>49</v>
      </c>
      <c r="I1540" t="str">
        <f t="shared" si="120"/>
        <v>491</v>
      </c>
      <c r="J1540" t="str">
        <f t="shared" si="120"/>
        <v>47903</v>
      </c>
      <c r="K1540" t="str">
        <f t="shared" si="116"/>
        <v/>
      </c>
    </row>
    <row r="1541" spans="1:12" x14ac:dyDescent="0.25">
      <c r="C1541" t="s">
        <v>1864</v>
      </c>
      <c r="D1541" t="s">
        <v>3395</v>
      </c>
      <c r="E1541" t="s">
        <v>1864</v>
      </c>
      <c r="F1541" t="s">
        <v>1229</v>
      </c>
      <c r="G1541" t="str">
        <f t="shared" si="120"/>
        <v>H</v>
      </c>
      <c r="H1541" t="str">
        <f t="shared" si="120"/>
        <v>49</v>
      </c>
      <c r="I1541" t="str">
        <f t="shared" si="120"/>
        <v>491</v>
      </c>
      <c r="J1541" t="str">
        <f t="shared" si="120"/>
        <v>49116</v>
      </c>
      <c r="K1541" t="str">
        <f t="shared" si="116"/>
        <v/>
      </c>
    </row>
    <row r="1542" spans="1:12" x14ac:dyDescent="0.25">
      <c r="C1542" t="s">
        <v>1864</v>
      </c>
      <c r="D1542" t="s">
        <v>1864</v>
      </c>
      <c r="E1542" t="s">
        <v>3396</v>
      </c>
      <c r="F1542" t="s">
        <v>1229</v>
      </c>
      <c r="G1542" t="str">
        <f t="shared" si="120"/>
        <v>H</v>
      </c>
      <c r="H1542" t="str">
        <f t="shared" si="120"/>
        <v>49</v>
      </c>
      <c r="I1542" t="str">
        <f t="shared" si="120"/>
        <v>491</v>
      </c>
      <c r="J1542" t="str">
        <f t="shared" si="120"/>
        <v>49116</v>
      </c>
      <c r="K1542" t="str">
        <f t="shared" si="116"/>
        <v>4911600</v>
      </c>
      <c r="L1542">
        <v>0</v>
      </c>
    </row>
    <row r="1543" spans="1:12" x14ac:dyDescent="0.25">
      <c r="C1543" t="s">
        <v>1864</v>
      </c>
      <c r="D1543" t="s">
        <v>3397</v>
      </c>
      <c r="E1543" t="s">
        <v>1864</v>
      </c>
      <c r="F1543" t="s">
        <v>1230</v>
      </c>
      <c r="G1543" t="str">
        <f t="shared" si="120"/>
        <v>H</v>
      </c>
      <c r="H1543" t="str">
        <f t="shared" si="120"/>
        <v>49</v>
      </c>
      <c r="I1543" t="str">
        <f t="shared" si="120"/>
        <v>491</v>
      </c>
      <c r="J1543" t="str">
        <f t="shared" si="120"/>
        <v>49124</v>
      </c>
      <c r="K1543" t="str">
        <f t="shared" si="116"/>
        <v/>
      </c>
    </row>
    <row r="1544" spans="1:12" x14ac:dyDescent="0.25">
      <c r="C1544" t="s">
        <v>1864</v>
      </c>
      <c r="D1544" t="s">
        <v>1864</v>
      </c>
      <c r="E1544" t="s">
        <v>3398</v>
      </c>
      <c r="F1544" t="s">
        <v>1231</v>
      </c>
      <c r="G1544" t="str">
        <f t="shared" si="120"/>
        <v>H</v>
      </c>
      <c r="H1544" t="str">
        <f t="shared" si="120"/>
        <v>49</v>
      </c>
      <c r="I1544" t="str">
        <f t="shared" si="120"/>
        <v>491</v>
      </c>
      <c r="J1544" t="str">
        <f t="shared" si="120"/>
        <v>49124</v>
      </c>
      <c r="K1544" t="str">
        <f t="shared" ref="K1544:K1607" si="121">E1544</f>
        <v>4912401</v>
      </c>
      <c r="L1544">
        <v>0</v>
      </c>
    </row>
    <row r="1545" spans="1:12" x14ac:dyDescent="0.25">
      <c r="C1545" t="s">
        <v>1864</v>
      </c>
      <c r="D1545" t="s">
        <v>1864</v>
      </c>
      <c r="E1545" t="s">
        <v>3399</v>
      </c>
      <c r="F1545" t="s">
        <v>1232</v>
      </c>
      <c r="G1545" t="str">
        <f t="shared" ref="G1545:J1560" si="122">IF(A1545="",G1544,A1545)</f>
        <v>H</v>
      </c>
      <c r="H1545" t="str">
        <f t="shared" si="122"/>
        <v>49</v>
      </c>
      <c r="I1545" t="str">
        <f t="shared" si="122"/>
        <v>491</v>
      </c>
      <c r="J1545" t="str">
        <f t="shared" si="122"/>
        <v>49124</v>
      </c>
      <c r="K1545" t="str">
        <f t="shared" si="121"/>
        <v>4912402</v>
      </c>
      <c r="L1545">
        <v>0</v>
      </c>
    </row>
    <row r="1546" spans="1:12" x14ac:dyDescent="0.25">
      <c r="C1546" t="s">
        <v>1864</v>
      </c>
      <c r="D1546" t="s">
        <v>1864</v>
      </c>
      <c r="E1546" t="s">
        <v>3400</v>
      </c>
      <c r="F1546" t="s">
        <v>1233</v>
      </c>
      <c r="G1546" t="str">
        <f t="shared" si="122"/>
        <v>H</v>
      </c>
      <c r="H1546" t="str">
        <f t="shared" si="122"/>
        <v>49</v>
      </c>
      <c r="I1546" t="str">
        <f t="shared" si="122"/>
        <v>491</v>
      </c>
      <c r="J1546" t="str">
        <f t="shared" si="122"/>
        <v>49124</v>
      </c>
      <c r="K1546" t="str">
        <f t="shared" si="121"/>
        <v>4912403</v>
      </c>
      <c r="L1546">
        <v>0</v>
      </c>
    </row>
    <row r="1547" spans="1:12" x14ac:dyDescent="0.25">
      <c r="C1547" t="s">
        <v>3401</v>
      </c>
      <c r="D1547" t="s">
        <v>1864</v>
      </c>
      <c r="E1547" t="s">
        <v>1864</v>
      </c>
      <c r="F1547" t="s">
        <v>1234</v>
      </c>
      <c r="G1547" t="str">
        <f t="shared" si="122"/>
        <v>H</v>
      </c>
      <c r="H1547" t="str">
        <f t="shared" si="122"/>
        <v>49</v>
      </c>
      <c r="I1547" t="str">
        <f t="shared" si="122"/>
        <v>492</v>
      </c>
      <c r="J1547" t="str">
        <f t="shared" si="122"/>
        <v>49124</v>
      </c>
      <c r="K1547" t="str">
        <f t="shared" si="121"/>
        <v/>
      </c>
    </row>
    <row r="1548" spans="1:12" x14ac:dyDescent="0.25">
      <c r="C1548" t="s">
        <v>1864</v>
      </c>
      <c r="D1548" t="s">
        <v>3402</v>
      </c>
      <c r="E1548" t="s">
        <v>1864</v>
      </c>
      <c r="F1548" t="s">
        <v>1235</v>
      </c>
      <c r="G1548" t="str">
        <f t="shared" si="122"/>
        <v>H</v>
      </c>
      <c r="H1548" t="str">
        <f t="shared" si="122"/>
        <v>49</v>
      </c>
      <c r="I1548" t="str">
        <f t="shared" si="122"/>
        <v>492</v>
      </c>
      <c r="J1548" t="str">
        <f t="shared" si="122"/>
        <v>49213</v>
      </c>
      <c r="K1548" t="str">
        <f t="shared" si="121"/>
        <v/>
      </c>
    </row>
    <row r="1549" spans="1:12" x14ac:dyDescent="0.25">
      <c r="C1549" t="s">
        <v>1864</v>
      </c>
      <c r="D1549" t="s">
        <v>1864</v>
      </c>
      <c r="E1549" t="s">
        <v>3403</v>
      </c>
      <c r="F1549" t="s">
        <v>1236</v>
      </c>
      <c r="G1549" t="str">
        <f t="shared" si="122"/>
        <v>H</v>
      </c>
      <c r="H1549" t="str">
        <f t="shared" si="122"/>
        <v>49</v>
      </c>
      <c r="I1549" t="str">
        <f t="shared" si="122"/>
        <v>492</v>
      </c>
      <c r="J1549" t="str">
        <f t="shared" si="122"/>
        <v>49213</v>
      </c>
      <c r="K1549" t="str">
        <f t="shared" si="121"/>
        <v>4921301</v>
      </c>
      <c r="L1549">
        <v>0</v>
      </c>
    </row>
    <row r="1550" spans="1:12" x14ac:dyDescent="0.25">
      <c r="C1550" t="s">
        <v>1864</v>
      </c>
      <c r="D1550" t="s">
        <v>1864</v>
      </c>
      <c r="E1550" t="s">
        <v>3404</v>
      </c>
      <c r="F1550" t="s">
        <v>1237</v>
      </c>
      <c r="G1550" t="str">
        <f t="shared" si="122"/>
        <v>H</v>
      </c>
      <c r="H1550" t="str">
        <f t="shared" si="122"/>
        <v>49</v>
      </c>
      <c r="I1550" t="str">
        <f t="shared" si="122"/>
        <v>492</v>
      </c>
      <c r="J1550" t="str">
        <f t="shared" si="122"/>
        <v>49213</v>
      </c>
      <c r="K1550" t="str">
        <f t="shared" si="121"/>
        <v>4921302</v>
      </c>
      <c r="L1550">
        <v>0</v>
      </c>
    </row>
    <row r="1551" spans="1:12" x14ac:dyDescent="0.25">
      <c r="C1551" t="s">
        <v>1864</v>
      </c>
      <c r="D1551" t="s">
        <v>3405</v>
      </c>
      <c r="E1551" t="s">
        <v>1864</v>
      </c>
      <c r="F1551" t="s">
        <v>1238</v>
      </c>
      <c r="G1551" t="str">
        <f t="shared" si="122"/>
        <v>H</v>
      </c>
      <c r="H1551" t="str">
        <f t="shared" si="122"/>
        <v>49</v>
      </c>
      <c r="I1551" t="str">
        <f t="shared" si="122"/>
        <v>492</v>
      </c>
      <c r="J1551" t="str">
        <f t="shared" si="122"/>
        <v>49221</v>
      </c>
      <c r="K1551" t="str">
        <f t="shared" si="121"/>
        <v/>
      </c>
    </row>
    <row r="1552" spans="1:12" x14ac:dyDescent="0.25">
      <c r="C1552" t="s">
        <v>1864</v>
      </c>
      <c r="D1552" t="s">
        <v>1864</v>
      </c>
      <c r="E1552" t="s">
        <v>3406</v>
      </c>
      <c r="F1552" t="s">
        <v>1239</v>
      </c>
      <c r="G1552" t="str">
        <f t="shared" si="122"/>
        <v>H</v>
      </c>
      <c r="H1552" t="str">
        <f t="shared" si="122"/>
        <v>49</v>
      </c>
      <c r="I1552" t="str">
        <f t="shared" si="122"/>
        <v>492</v>
      </c>
      <c r="J1552" t="str">
        <f t="shared" si="122"/>
        <v>49221</v>
      </c>
      <c r="K1552" t="str">
        <f t="shared" si="121"/>
        <v>4922101</v>
      </c>
      <c r="L1552">
        <v>0</v>
      </c>
    </row>
    <row r="1553" spans="3:12" x14ac:dyDescent="0.25">
      <c r="C1553" t="s">
        <v>1864</v>
      </c>
      <c r="D1553" t="s">
        <v>1864</v>
      </c>
      <c r="E1553" t="s">
        <v>3407</v>
      </c>
      <c r="F1553" t="s">
        <v>1240</v>
      </c>
      <c r="G1553" t="str">
        <f t="shared" si="122"/>
        <v>H</v>
      </c>
      <c r="H1553" t="str">
        <f t="shared" si="122"/>
        <v>49</v>
      </c>
      <c r="I1553" t="str">
        <f t="shared" si="122"/>
        <v>492</v>
      </c>
      <c r="J1553" t="str">
        <f t="shared" si="122"/>
        <v>49221</v>
      </c>
      <c r="K1553" t="str">
        <f t="shared" si="121"/>
        <v>4922102</v>
      </c>
      <c r="L1553">
        <v>0</v>
      </c>
    </row>
    <row r="1554" spans="3:12" x14ac:dyDescent="0.25">
      <c r="C1554" t="s">
        <v>1864</v>
      </c>
      <c r="D1554" t="s">
        <v>1864</v>
      </c>
      <c r="E1554" t="s">
        <v>3408</v>
      </c>
      <c r="F1554" t="s">
        <v>1241</v>
      </c>
      <c r="G1554" t="str">
        <f t="shared" si="122"/>
        <v>H</v>
      </c>
      <c r="H1554" t="str">
        <f t="shared" si="122"/>
        <v>49</v>
      </c>
      <c r="I1554" t="str">
        <f t="shared" si="122"/>
        <v>492</v>
      </c>
      <c r="J1554" t="str">
        <f t="shared" si="122"/>
        <v>49221</v>
      </c>
      <c r="K1554" t="str">
        <f t="shared" si="121"/>
        <v>4922103</v>
      </c>
      <c r="L1554">
        <v>0</v>
      </c>
    </row>
    <row r="1555" spans="3:12" x14ac:dyDescent="0.25">
      <c r="C1555" t="s">
        <v>1864</v>
      </c>
      <c r="D1555" t="s">
        <v>3409</v>
      </c>
      <c r="E1555" t="s">
        <v>1864</v>
      </c>
      <c r="F1555" t="s">
        <v>1242</v>
      </c>
      <c r="G1555" t="str">
        <f t="shared" si="122"/>
        <v>H</v>
      </c>
      <c r="H1555" t="str">
        <f t="shared" si="122"/>
        <v>49</v>
      </c>
      <c r="I1555" t="str">
        <f t="shared" si="122"/>
        <v>492</v>
      </c>
      <c r="J1555" t="str">
        <f t="shared" si="122"/>
        <v>49230</v>
      </c>
      <c r="K1555" t="str">
        <f t="shared" si="121"/>
        <v/>
      </c>
    </row>
    <row r="1556" spans="3:12" x14ac:dyDescent="0.25">
      <c r="C1556" t="s">
        <v>1864</v>
      </c>
      <c r="D1556" t="s">
        <v>1864</v>
      </c>
      <c r="E1556" t="s">
        <v>3410</v>
      </c>
      <c r="F1556" t="s">
        <v>1243</v>
      </c>
      <c r="G1556" t="str">
        <f t="shared" si="122"/>
        <v>H</v>
      </c>
      <c r="H1556" t="str">
        <f t="shared" si="122"/>
        <v>49</v>
      </c>
      <c r="I1556" t="str">
        <f t="shared" si="122"/>
        <v>492</v>
      </c>
      <c r="J1556" t="str">
        <f t="shared" si="122"/>
        <v>49230</v>
      </c>
      <c r="K1556" t="str">
        <f t="shared" si="121"/>
        <v>4923001</v>
      </c>
      <c r="L1556">
        <v>0</v>
      </c>
    </row>
    <row r="1557" spans="3:12" x14ac:dyDescent="0.25">
      <c r="C1557" t="s">
        <v>1864</v>
      </c>
      <c r="D1557" t="s">
        <v>1864</v>
      </c>
      <c r="E1557" t="s">
        <v>3411</v>
      </c>
      <c r="F1557" t="s">
        <v>1244</v>
      </c>
      <c r="G1557" t="str">
        <f t="shared" si="122"/>
        <v>H</v>
      </c>
      <c r="H1557" t="str">
        <f t="shared" si="122"/>
        <v>49</v>
      </c>
      <c r="I1557" t="str">
        <f t="shared" si="122"/>
        <v>492</v>
      </c>
      <c r="J1557" t="str">
        <f t="shared" si="122"/>
        <v>49230</v>
      </c>
      <c r="K1557" t="str">
        <f t="shared" si="121"/>
        <v>4923002</v>
      </c>
      <c r="L1557">
        <v>0</v>
      </c>
    </row>
    <row r="1558" spans="3:12" x14ac:dyDescent="0.25">
      <c r="C1558" t="s">
        <v>1864</v>
      </c>
      <c r="D1558" t="s">
        <v>3412</v>
      </c>
      <c r="E1558" t="s">
        <v>1864</v>
      </c>
      <c r="F1558" t="s">
        <v>1245</v>
      </c>
      <c r="G1558" t="str">
        <f t="shared" si="122"/>
        <v>H</v>
      </c>
      <c r="H1558" t="str">
        <f t="shared" si="122"/>
        <v>49</v>
      </c>
      <c r="I1558" t="str">
        <f t="shared" si="122"/>
        <v>492</v>
      </c>
      <c r="J1558" t="str">
        <f t="shared" si="122"/>
        <v>49248</v>
      </c>
      <c r="K1558" t="str">
        <f t="shared" si="121"/>
        <v/>
      </c>
    </row>
    <row r="1559" spans="3:12" x14ac:dyDescent="0.25">
      <c r="C1559" t="s">
        <v>1864</v>
      </c>
      <c r="D1559" t="s">
        <v>1864</v>
      </c>
      <c r="E1559" t="s">
        <v>3413</v>
      </c>
      <c r="F1559" t="s">
        <v>1245</v>
      </c>
      <c r="G1559" t="str">
        <f t="shared" si="122"/>
        <v>H</v>
      </c>
      <c r="H1559" t="str">
        <f t="shared" si="122"/>
        <v>49</v>
      </c>
      <c r="I1559" t="str">
        <f t="shared" si="122"/>
        <v>492</v>
      </c>
      <c r="J1559" t="str">
        <f t="shared" si="122"/>
        <v>49248</v>
      </c>
      <c r="K1559" t="str">
        <f t="shared" si="121"/>
        <v>4924800</v>
      </c>
      <c r="L1559">
        <v>0</v>
      </c>
    </row>
    <row r="1560" spans="3:12" x14ac:dyDescent="0.25">
      <c r="C1560" t="s">
        <v>1864</v>
      </c>
      <c r="D1560" t="s">
        <v>3414</v>
      </c>
      <c r="E1560" t="s">
        <v>1864</v>
      </c>
      <c r="F1560" t="s">
        <v>1246</v>
      </c>
      <c r="G1560" t="str">
        <f t="shared" si="122"/>
        <v>H</v>
      </c>
      <c r="H1560" t="str">
        <f t="shared" si="122"/>
        <v>49</v>
      </c>
      <c r="I1560" t="str">
        <f t="shared" si="122"/>
        <v>492</v>
      </c>
      <c r="J1560" t="str">
        <f t="shared" si="122"/>
        <v>49299</v>
      </c>
      <c r="K1560" t="str">
        <f t="shared" si="121"/>
        <v/>
      </c>
    </row>
    <row r="1561" spans="3:12" x14ac:dyDescent="0.25">
      <c r="C1561" t="s">
        <v>1864</v>
      </c>
      <c r="D1561" t="s">
        <v>1864</v>
      </c>
      <c r="E1561" t="s">
        <v>3415</v>
      </c>
      <c r="F1561" t="s">
        <v>1247</v>
      </c>
      <c r="G1561" t="str">
        <f t="shared" ref="G1561:J1576" si="123">IF(A1561="",G1560,A1561)</f>
        <v>H</v>
      </c>
      <c r="H1561" t="str">
        <f t="shared" si="123"/>
        <v>49</v>
      </c>
      <c r="I1561" t="str">
        <f t="shared" si="123"/>
        <v>492</v>
      </c>
      <c r="J1561" t="str">
        <f t="shared" si="123"/>
        <v>49299</v>
      </c>
      <c r="K1561" t="str">
        <f t="shared" si="121"/>
        <v>4929901</v>
      </c>
      <c r="L1561">
        <v>0</v>
      </c>
    </row>
    <row r="1562" spans="3:12" x14ac:dyDescent="0.25">
      <c r="C1562" t="s">
        <v>1864</v>
      </c>
      <c r="D1562" t="s">
        <v>1864</v>
      </c>
      <c r="E1562" t="s">
        <v>3416</v>
      </c>
      <c r="F1562" t="s">
        <v>1248</v>
      </c>
      <c r="G1562" t="str">
        <f t="shared" si="123"/>
        <v>H</v>
      </c>
      <c r="H1562" t="str">
        <f t="shared" si="123"/>
        <v>49</v>
      </c>
      <c r="I1562" t="str">
        <f t="shared" si="123"/>
        <v>492</v>
      </c>
      <c r="J1562" t="str">
        <f t="shared" si="123"/>
        <v>49299</v>
      </c>
      <c r="K1562" t="str">
        <f t="shared" si="121"/>
        <v>4929902</v>
      </c>
      <c r="L1562">
        <v>0</v>
      </c>
    </row>
    <row r="1563" spans="3:12" x14ac:dyDescent="0.25">
      <c r="C1563" t="s">
        <v>1864</v>
      </c>
      <c r="D1563" t="s">
        <v>1864</v>
      </c>
      <c r="E1563" t="s">
        <v>3417</v>
      </c>
      <c r="F1563" t="s">
        <v>1249</v>
      </c>
      <c r="G1563" t="str">
        <f t="shared" si="123"/>
        <v>H</v>
      </c>
      <c r="H1563" t="str">
        <f t="shared" si="123"/>
        <v>49</v>
      </c>
      <c r="I1563" t="str">
        <f t="shared" si="123"/>
        <v>492</v>
      </c>
      <c r="J1563" t="str">
        <f t="shared" si="123"/>
        <v>49299</v>
      </c>
      <c r="K1563" t="str">
        <f t="shared" si="121"/>
        <v>4929903</v>
      </c>
      <c r="L1563">
        <v>0</v>
      </c>
    </row>
    <row r="1564" spans="3:12" x14ac:dyDescent="0.25">
      <c r="C1564" t="s">
        <v>1864</v>
      </c>
      <c r="D1564" t="s">
        <v>1864</v>
      </c>
      <c r="E1564" t="s">
        <v>3418</v>
      </c>
      <c r="F1564" t="s">
        <v>1250</v>
      </c>
      <c r="G1564" t="str">
        <f t="shared" si="123"/>
        <v>H</v>
      </c>
      <c r="H1564" t="str">
        <f t="shared" si="123"/>
        <v>49</v>
      </c>
      <c r="I1564" t="str">
        <f t="shared" si="123"/>
        <v>492</v>
      </c>
      <c r="J1564" t="str">
        <f t="shared" si="123"/>
        <v>49299</v>
      </c>
      <c r="K1564" t="str">
        <f t="shared" si="121"/>
        <v>4929904</v>
      </c>
      <c r="L1564">
        <v>0</v>
      </c>
    </row>
    <row r="1565" spans="3:12" x14ac:dyDescent="0.25">
      <c r="C1565" t="s">
        <v>1864</v>
      </c>
      <c r="D1565" t="s">
        <v>1864</v>
      </c>
      <c r="E1565" t="s">
        <v>3419</v>
      </c>
      <c r="F1565" t="s">
        <v>1251</v>
      </c>
      <c r="G1565" t="str">
        <f t="shared" si="123"/>
        <v>H</v>
      </c>
      <c r="H1565" t="str">
        <f t="shared" si="123"/>
        <v>49</v>
      </c>
      <c r="I1565" t="str">
        <f t="shared" si="123"/>
        <v>492</v>
      </c>
      <c r="J1565" t="str">
        <f t="shared" si="123"/>
        <v>49299</v>
      </c>
      <c r="K1565" t="str">
        <f t="shared" si="121"/>
        <v>4929999</v>
      </c>
      <c r="L1565">
        <v>0</v>
      </c>
    </row>
    <row r="1566" spans="3:12" x14ac:dyDescent="0.25">
      <c r="C1566" t="s">
        <v>3420</v>
      </c>
      <c r="D1566" t="s">
        <v>1864</v>
      </c>
      <c r="E1566" t="s">
        <v>1864</v>
      </c>
      <c r="F1566" t="s">
        <v>1252</v>
      </c>
      <c r="G1566" t="str">
        <f t="shared" si="123"/>
        <v>H</v>
      </c>
      <c r="H1566" t="str">
        <f t="shared" si="123"/>
        <v>49</v>
      </c>
      <c r="I1566" t="str">
        <f t="shared" si="123"/>
        <v>493</v>
      </c>
      <c r="J1566" t="str">
        <f t="shared" si="123"/>
        <v>49299</v>
      </c>
      <c r="K1566" t="str">
        <f t="shared" si="121"/>
        <v/>
      </c>
    </row>
    <row r="1567" spans="3:12" x14ac:dyDescent="0.25">
      <c r="C1567" t="s">
        <v>1864</v>
      </c>
      <c r="D1567" t="s">
        <v>3421</v>
      </c>
      <c r="E1567" t="s">
        <v>1864</v>
      </c>
      <c r="F1567" t="s">
        <v>1252</v>
      </c>
      <c r="G1567" t="str">
        <f t="shared" si="123"/>
        <v>H</v>
      </c>
      <c r="H1567" t="str">
        <f t="shared" si="123"/>
        <v>49</v>
      </c>
      <c r="I1567" t="str">
        <f t="shared" si="123"/>
        <v>493</v>
      </c>
      <c r="J1567" t="str">
        <f t="shared" si="123"/>
        <v>49302</v>
      </c>
      <c r="K1567" t="str">
        <f t="shared" si="121"/>
        <v/>
      </c>
    </row>
    <row r="1568" spans="3:12" x14ac:dyDescent="0.25">
      <c r="C1568" t="s">
        <v>1864</v>
      </c>
      <c r="D1568" t="s">
        <v>1864</v>
      </c>
      <c r="E1568" t="s">
        <v>3422</v>
      </c>
      <c r="F1568" t="s">
        <v>1253</v>
      </c>
      <c r="G1568" t="str">
        <f t="shared" si="123"/>
        <v>H</v>
      </c>
      <c r="H1568" t="str">
        <f t="shared" si="123"/>
        <v>49</v>
      </c>
      <c r="I1568" t="str">
        <f t="shared" si="123"/>
        <v>493</v>
      </c>
      <c r="J1568" t="str">
        <f t="shared" si="123"/>
        <v>49302</v>
      </c>
      <c r="K1568" t="str">
        <f t="shared" si="121"/>
        <v>4930201</v>
      </c>
      <c r="L1568">
        <v>0</v>
      </c>
    </row>
    <row r="1569" spans="2:12" x14ac:dyDescent="0.25">
      <c r="C1569" t="s">
        <v>1864</v>
      </c>
      <c r="D1569" t="s">
        <v>1864</v>
      </c>
      <c r="E1569" t="s">
        <v>3423</v>
      </c>
      <c r="F1569" t="s">
        <v>1254</v>
      </c>
      <c r="G1569" t="str">
        <f t="shared" si="123"/>
        <v>H</v>
      </c>
      <c r="H1569" t="str">
        <f t="shared" si="123"/>
        <v>49</v>
      </c>
      <c r="I1569" t="str">
        <f t="shared" si="123"/>
        <v>493</v>
      </c>
      <c r="J1569" t="str">
        <f t="shared" si="123"/>
        <v>49302</v>
      </c>
      <c r="K1569" t="str">
        <f t="shared" si="121"/>
        <v>4930202</v>
      </c>
      <c r="L1569">
        <v>0</v>
      </c>
    </row>
    <row r="1570" spans="2:12" x14ac:dyDescent="0.25">
      <c r="C1570" t="s">
        <v>1864</v>
      </c>
      <c r="D1570" t="s">
        <v>1864</v>
      </c>
      <c r="E1570" t="s">
        <v>3424</v>
      </c>
      <c r="F1570" t="s">
        <v>1255</v>
      </c>
      <c r="G1570" t="str">
        <f t="shared" si="123"/>
        <v>H</v>
      </c>
      <c r="H1570" t="str">
        <f t="shared" si="123"/>
        <v>49</v>
      </c>
      <c r="I1570" t="str">
        <f t="shared" si="123"/>
        <v>493</v>
      </c>
      <c r="J1570" t="str">
        <f t="shared" si="123"/>
        <v>49302</v>
      </c>
      <c r="K1570" t="str">
        <f t="shared" si="121"/>
        <v>4930203</v>
      </c>
      <c r="L1570">
        <v>0</v>
      </c>
    </row>
    <row r="1571" spans="2:12" x14ac:dyDescent="0.25">
      <c r="C1571" t="s">
        <v>1864</v>
      </c>
      <c r="D1571" t="s">
        <v>1864</v>
      </c>
      <c r="E1571" t="s">
        <v>3425</v>
      </c>
      <c r="F1571" t="s">
        <v>1256</v>
      </c>
      <c r="G1571" t="str">
        <f t="shared" si="123"/>
        <v>H</v>
      </c>
      <c r="H1571" t="str">
        <f t="shared" si="123"/>
        <v>49</v>
      </c>
      <c r="I1571" t="str">
        <f t="shared" si="123"/>
        <v>493</v>
      </c>
      <c r="J1571" t="str">
        <f t="shared" si="123"/>
        <v>49302</v>
      </c>
      <c r="K1571" t="str">
        <f t="shared" si="121"/>
        <v>4930204</v>
      </c>
      <c r="L1571">
        <v>0</v>
      </c>
    </row>
    <row r="1572" spans="2:12" x14ac:dyDescent="0.25">
      <c r="C1572" t="s">
        <v>3426</v>
      </c>
      <c r="D1572" t="s">
        <v>1864</v>
      </c>
      <c r="E1572" t="s">
        <v>1864</v>
      </c>
      <c r="F1572" t="s">
        <v>1257</v>
      </c>
      <c r="G1572" t="str">
        <f t="shared" si="123"/>
        <v>H</v>
      </c>
      <c r="H1572" t="str">
        <f t="shared" si="123"/>
        <v>49</v>
      </c>
      <c r="I1572" t="str">
        <f t="shared" si="123"/>
        <v>494</v>
      </c>
      <c r="J1572" t="str">
        <f t="shared" si="123"/>
        <v>49302</v>
      </c>
      <c r="K1572" t="str">
        <f t="shared" si="121"/>
        <v/>
      </c>
    </row>
    <row r="1573" spans="2:12" x14ac:dyDescent="0.25">
      <c r="C1573" t="s">
        <v>1864</v>
      </c>
      <c r="D1573" t="s">
        <v>3427</v>
      </c>
      <c r="E1573" t="s">
        <v>1864</v>
      </c>
      <c r="F1573" t="s">
        <v>1257</v>
      </c>
      <c r="G1573" t="str">
        <f t="shared" si="123"/>
        <v>H</v>
      </c>
      <c r="H1573" t="str">
        <f t="shared" si="123"/>
        <v>49</v>
      </c>
      <c r="I1573" t="str">
        <f t="shared" si="123"/>
        <v>494</v>
      </c>
      <c r="J1573" t="str">
        <f t="shared" si="123"/>
        <v>49400</v>
      </c>
      <c r="K1573" t="str">
        <f t="shared" si="121"/>
        <v/>
      </c>
    </row>
    <row r="1574" spans="2:12" x14ac:dyDescent="0.25">
      <c r="C1574" t="s">
        <v>1864</v>
      </c>
      <c r="D1574" t="s">
        <v>1864</v>
      </c>
      <c r="E1574" t="s">
        <v>3428</v>
      </c>
      <c r="F1574" t="s">
        <v>1257</v>
      </c>
      <c r="G1574" t="str">
        <f t="shared" si="123"/>
        <v>H</v>
      </c>
      <c r="H1574" t="str">
        <f t="shared" si="123"/>
        <v>49</v>
      </c>
      <c r="I1574" t="str">
        <f t="shared" si="123"/>
        <v>494</v>
      </c>
      <c r="J1574" t="str">
        <f t="shared" si="123"/>
        <v>49400</v>
      </c>
      <c r="K1574" t="str">
        <f t="shared" si="121"/>
        <v>4940000</v>
      </c>
      <c r="L1574">
        <v>0</v>
      </c>
    </row>
    <row r="1575" spans="2:12" x14ac:dyDescent="0.25">
      <c r="C1575" t="s">
        <v>3429</v>
      </c>
      <c r="D1575" t="s">
        <v>1864</v>
      </c>
      <c r="E1575" t="s">
        <v>1864</v>
      </c>
      <c r="F1575" t="s">
        <v>1258</v>
      </c>
      <c r="G1575" t="str">
        <f t="shared" si="123"/>
        <v>H</v>
      </c>
      <c r="H1575" t="str">
        <f t="shared" si="123"/>
        <v>49</v>
      </c>
      <c r="I1575" t="str">
        <f t="shared" si="123"/>
        <v>495</v>
      </c>
      <c r="J1575" t="str">
        <f t="shared" si="123"/>
        <v>49400</v>
      </c>
      <c r="K1575" t="str">
        <f t="shared" si="121"/>
        <v/>
      </c>
    </row>
    <row r="1576" spans="2:12" x14ac:dyDescent="0.25">
      <c r="C1576" t="s">
        <v>1864</v>
      </c>
      <c r="D1576" t="s">
        <v>3430</v>
      </c>
      <c r="E1576" t="s">
        <v>1864</v>
      </c>
      <c r="F1576" t="s">
        <v>1258</v>
      </c>
      <c r="G1576" t="str">
        <f t="shared" si="123"/>
        <v>H</v>
      </c>
      <c r="H1576" t="str">
        <f t="shared" si="123"/>
        <v>49</v>
      </c>
      <c r="I1576" t="str">
        <f t="shared" si="123"/>
        <v>495</v>
      </c>
      <c r="J1576" t="str">
        <f t="shared" si="123"/>
        <v>49507</v>
      </c>
      <c r="K1576" t="str">
        <f t="shared" si="121"/>
        <v/>
      </c>
    </row>
    <row r="1577" spans="2:12" x14ac:dyDescent="0.25">
      <c r="C1577" t="s">
        <v>1864</v>
      </c>
      <c r="D1577" t="s">
        <v>1864</v>
      </c>
      <c r="E1577" t="s">
        <v>3431</v>
      </c>
      <c r="F1577" t="s">
        <v>1258</v>
      </c>
      <c r="G1577" t="str">
        <f t="shared" ref="G1577:J1592" si="124">IF(A1577="",G1576,A1577)</f>
        <v>H</v>
      </c>
      <c r="H1577" t="str">
        <f t="shared" si="124"/>
        <v>49</v>
      </c>
      <c r="I1577" t="str">
        <f t="shared" si="124"/>
        <v>495</v>
      </c>
      <c r="J1577" t="str">
        <f t="shared" si="124"/>
        <v>49507</v>
      </c>
      <c r="K1577" t="str">
        <f t="shared" si="121"/>
        <v>4950700</v>
      </c>
      <c r="L1577">
        <v>0</v>
      </c>
    </row>
    <row r="1578" spans="2:12" x14ac:dyDescent="0.25">
      <c r="B1578" t="s">
        <v>3432</v>
      </c>
      <c r="C1578" t="s">
        <v>1864</v>
      </c>
      <c r="D1578" t="s">
        <v>1864</v>
      </c>
      <c r="E1578" t="s">
        <v>1864</v>
      </c>
      <c r="F1578" t="s">
        <v>1259</v>
      </c>
      <c r="G1578" t="str">
        <f t="shared" si="124"/>
        <v>H</v>
      </c>
      <c r="H1578" t="str">
        <f t="shared" si="124"/>
        <v>50</v>
      </c>
      <c r="I1578" t="str">
        <f t="shared" si="124"/>
        <v>495</v>
      </c>
      <c r="J1578" t="str">
        <f t="shared" si="124"/>
        <v>49507</v>
      </c>
      <c r="K1578" t="str">
        <f t="shared" si="121"/>
        <v/>
      </c>
    </row>
    <row r="1579" spans="2:12" x14ac:dyDescent="0.25">
      <c r="C1579" t="s">
        <v>3433</v>
      </c>
      <c r="D1579" t="s">
        <v>1864</v>
      </c>
      <c r="E1579" t="s">
        <v>1864</v>
      </c>
      <c r="F1579" t="s">
        <v>1260</v>
      </c>
      <c r="G1579" t="str">
        <f t="shared" si="124"/>
        <v>H</v>
      </c>
      <c r="H1579" t="str">
        <f t="shared" si="124"/>
        <v>50</v>
      </c>
      <c r="I1579" t="str">
        <f t="shared" si="124"/>
        <v>501</v>
      </c>
      <c r="J1579" t="str">
        <f t="shared" si="124"/>
        <v>49507</v>
      </c>
      <c r="K1579" t="str">
        <f t="shared" si="121"/>
        <v/>
      </c>
    </row>
    <row r="1580" spans="2:12" x14ac:dyDescent="0.25">
      <c r="C1580" t="s">
        <v>1864</v>
      </c>
      <c r="D1580" t="s">
        <v>3434</v>
      </c>
      <c r="E1580" t="s">
        <v>1864</v>
      </c>
      <c r="F1580" t="s">
        <v>1261</v>
      </c>
      <c r="G1580" t="str">
        <f t="shared" si="124"/>
        <v>H</v>
      </c>
      <c r="H1580" t="str">
        <f t="shared" si="124"/>
        <v>50</v>
      </c>
      <c r="I1580" t="str">
        <f t="shared" si="124"/>
        <v>501</v>
      </c>
      <c r="J1580" t="str">
        <f t="shared" si="124"/>
        <v>50114</v>
      </c>
      <c r="K1580" t="str">
        <f t="shared" si="121"/>
        <v/>
      </c>
    </row>
    <row r="1581" spans="2:12" x14ac:dyDescent="0.25">
      <c r="C1581" t="s">
        <v>1864</v>
      </c>
      <c r="D1581" t="s">
        <v>1864</v>
      </c>
      <c r="E1581" t="s">
        <v>3435</v>
      </c>
      <c r="F1581" t="s">
        <v>1262</v>
      </c>
      <c r="G1581" t="str">
        <f t="shared" si="124"/>
        <v>H</v>
      </c>
      <c r="H1581" t="str">
        <f t="shared" si="124"/>
        <v>50</v>
      </c>
      <c r="I1581" t="str">
        <f t="shared" si="124"/>
        <v>501</v>
      </c>
      <c r="J1581" t="str">
        <f t="shared" si="124"/>
        <v>50114</v>
      </c>
      <c r="K1581" t="str">
        <f t="shared" si="121"/>
        <v>5011401</v>
      </c>
      <c r="L1581">
        <v>0</v>
      </c>
    </row>
    <row r="1582" spans="2:12" x14ac:dyDescent="0.25">
      <c r="C1582" t="s">
        <v>1864</v>
      </c>
      <c r="D1582" t="s">
        <v>1864</v>
      </c>
      <c r="E1582" t="s">
        <v>3436</v>
      </c>
      <c r="F1582" t="s">
        <v>1263</v>
      </c>
      <c r="G1582" t="str">
        <f t="shared" si="124"/>
        <v>H</v>
      </c>
      <c r="H1582" t="str">
        <f t="shared" si="124"/>
        <v>50</v>
      </c>
      <c r="I1582" t="str">
        <f t="shared" si="124"/>
        <v>501</v>
      </c>
      <c r="J1582" t="str">
        <f t="shared" si="124"/>
        <v>50114</v>
      </c>
      <c r="K1582" t="str">
        <f t="shared" si="121"/>
        <v>5011402</v>
      </c>
      <c r="L1582">
        <v>0</v>
      </c>
    </row>
    <row r="1583" spans="2:12" x14ac:dyDescent="0.25">
      <c r="C1583" t="s">
        <v>1864</v>
      </c>
      <c r="D1583" t="s">
        <v>3437</v>
      </c>
      <c r="E1583" t="s">
        <v>1864</v>
      </c>
      <c r="F1583" t="s">
        <v>1264</v>
      </c>
      <c r="G1583" t="str">
        <f t="shared" si="124"/>
        <v>H</v>
      </c>
      <c r="H1583" t="str">
        <f t="shared" si="124"/>
        <v>50</v>
      </c>
      <c r="I1583" t="str">
        <f t="shared" si="124"/>
        <v>501</v>
      </c>
      <c r="J1583" t="str">
        <f t="shared" si="124"/>
        <v>50122</v>
      </c>
      <c r="K1583" t="str">
        <f t="shared" si="121"/>
        <v/>
      </c>
    </row>
    <row r="1584" spans="2:12" x14ac:dyDescent="0.25">
      <c r="C1584" t="s">
        <v>1864</v>
      </c>
      <c r="D1584" t="s">
        <v>1864</v>
      </c>
      <c r="E1584" t="s">
        <v>3438</v>
      </c>
      <c r="F1584" t="s">
        <v>1265</v>
      </c>
      <c r="G1584" t="str">
        <f t="shared" si="124"/>
        <v>H</v>
      </c>
      <c r="H1584" t="str">
        <f t="shared" si="124"/>
        <v>50</v>
      </c>
      <c r="I1584" t="str">
        <f t="shared" si="124"/>
        <v>501</v>
      </c>
      <c r="J1584" t="str">
        <f t="shared" si="124"/>
        <v>50122</v>
      </c>
      <c r="K1584" t="str">
        <f t="shared" si="121"/>
        <v>5012201</v>
      </c>
      <c r="L1584">
        <v>0</v>
      </c>
    </row>
    <row r="1585" spans="3:12" x14ac:dyDescent="0.25">
      <c r="C1585" t="s">
        <v>1864</v>
      </c>
      <c r="D1585" t="s">
        <v>1864</v>
      </c>
      <c r="E1585" t="s">
        <v>3439</v>
      </c>
      <c r="F1585" t="s">
        <v>1266</v>
      </c>
      <c r="G1585" t="str">
        <f t="shared" si="124"/>
        <v>H</v>
      </c>
      <c r="H1585" t="str">
        <f t="shared" si="124"/>
        <v>50</v>
      </c>
      <c r="I1585" t="str">
        <f t="shared" si="124"/>
        <v>501</v>
      </c>
      <c r="J1585" t="str">
        <f t="shared" si="124"/>
        <v>50122</v>
      </c>
      <c r="K1585" t="str">
        <f t="shared" si="121"/>
        <v>5012202</v>
      </c>
      <c r="L1585">
        <v>0</v>
      </c>
    </row>
    <row r="1586" spans="3:12" x14ac:dyDescent="0.25">
      <c r="C1586" t="s">
        <v>3440</v>
      </c>
      <c r="D1586" t="s">
        <v>1864</v>
      </c>
      <c r="E1586" t="s">
        <v>1864</v>
      </c>
      <c r="F1586" t="s">
        <v>1267</v>
      </c>
      <c r="G1586" t="str">
        <f t="shared" si="124"/>
        <v>H</v>
      </c>
      <c r="H1586" t="str">
        <f t="shared" si="124"/>
        <v>50</v>
      </c>
      <c r="I1586" t="str">
        <f t="shared" si="124"/>
        <v>502</v>
      </c>
      <c r="J1586" t="str">
        <f t="shared" si="124"/>
        <v>50122</v>
      </c>
      <c r="K1586" t="str">
        <f t="shared" si="121"/>
        <v/>
      </c>
    </row>
    <row r="1587" spans="3:12" x14ac:dyDescent="0.25">
      <c r="C1587" t="s">
        <v>1864</v>
      </c>
      <c r="D1587" t="s">
        <v>3441</v>
      </c>
      <c r="E1587" t="s">
        <v>1864</v>
      </c>
      <c r="F1587" t="s">
        <v>1268</v>
      </c>
      <c r="G1587" t="str">
        <f t="shared" si="124"/>
        <v>H</v>
      </c>
      <c r="H1587" t="str">
        <f t="shared" si="124"/>
        <v>50</v>
      </c>
      <c r="I1587" t="str">
        <f t="shared" si="124"/>
        <v>502</v>
      </c>
      <c r="J1587" t="str">
        <f t="shared" si="124"/>
        <v>50211</v>
      </c>
      <c r="K1587" t="str">
        <f t="shared" si="121"/>
        <v/>
      </c>
    </row>
    <row r="1588" spans="3:12" x14ac:dyDescent="0.25">
      <c r="C1588" t="s">
        <v>1864</v>
      </c>
      <c r="D1588" t="s">
        <v>1864</v>
      </c>
      <c r="E1588" t="s">
        <v>3442</v>
      </c>
      <c r="F1588" t="s">
        <v>1269</v>
      </c>
      <c r="G1588" t="str">
        <f t="shared" si="124"/>
        <v>H</v>
      </c>
      <c r="H1588" t="str">
        <f t="shared" si="124"/>
        <v>50</v>
      </c>
      <c r="I1588" t="str">
        <f t="shared" si="124"/>
        <v>502</v>
      </c>
      <c r="J1588" t="str">
        <f t="shared" si="124"/>
        <v>50211</v>
      </c>
      <c r="K1588" t="str">
        <f t="shared" si="121"/>
        <v>5021101</v>
      </c>
      <c r="L1588">
        <v>0</v>
      </c>
    </row>
    <row r="1589" spans="3:12" x14ac:dyDescent="0.25">
      <c r="C1589" t="s">
        <v>1864</v>
      </c>
      <c r="D1589" t="s">
        <v>1864</v>
      </c>
      <c r="E1589" t="s">
        <v>3443</v>
      </c>
      <c r="F1589" t="s">
        <v>1270</v>
      </c>
      <c r="G1589" t="str">
        <f t="shared" si="124"/>
        <v>H</v>
      </c>
      <c r="H1589" t="str">
        <f t="shared" si="124"/>
        <v>50</v>
      </c>
      <c r="I1589" t="str">
        <f t="shared" si="124"/>
        <v>502</v>
      </c>
      <c r="J1589" t="str">
        <f t="shared" si="124"/>
        <v>50211</v>
      </c>
      <c r="K1589" t="str">
        <f t="shared" si="121"/>
        <v>5021102</v>
      </c>
      <c r="L1589">
        <v>0</v>
      </c>
    </row>
    <row r="1590" spans="3:12" x14ac:dyDescent="0.25">
      <c r="C1590" t="s">
        <v>1864</v>
      </c>
      <c r="D1590" t="s">
        <v>3444</v>
      </c>
      <c r="E1590" t="s">
        <v>1864</v>
      </c>
      <c r="F1590" t="s">
        <v>1271</v>
      </c>
      <c r="G1590" t="str">
        <f t="shared" si="124"/>
        <v>H</v>
      </c>
      <c r="H1590" t="str">
        <f t="shared" si="124"/>
        <v>50</v>
      </c>
      <c r="I1590" t="str">
        <f t="shared" si="124"/>
        <v>502</v>
      </c>
      <c r="J1590" t="str">
        <f t="shared" si="124"/>
        <v>50220</v>
      </c>
      <c r="K1590" t="str">
        <f t="shared" si="121"/>
        <v/>
      </c>
    </row>
    <row r="1591" spans="3:12" x14ac:dyDescent="0.25">
      <c r="C1591" t="s">
        <v>1864</v>
      </c>
      <c r="D1591" t="s">
        <v>1864</v>
      </c>
      <c r="E1591" t="s">
        <v>3445</v>
      </c>
      <c r="F1591" t="s">
        <v>1272</v>
      </c>
      <c r="G1591" t="str">
        <f t="shared" si="124"/>
        <v>H</v>
      </c>
      <c r="H1591" t="str">
        <f t="shared" si="124"/>
        <v>50</v>
      </c>
      <c r="I1591" t="str">
        <f t="shared" si="124"/>
        <v>502</v>
      </c>
      <c r="J1591" t="str">
        <f t="shared" si="124"/>
        <v>50220</v>
      </c>
      <c r="K1591" t="str">
        <f t="shared" si="121"/>
        <v>5022001</v>
      </c>
      <c r="L1591">
        <v>0</v>
      </c>
    </row>
    <row r="1592" spans="3:12" x14ac:dyDescent="0.25">
      <c r="C1592" t="s">
        <v>1864</v>
      </c>
      <c r="D1592" t="s">
        <v>1864</v>
      </c>
      <c r="E1592" t="s">
        <v>3446</v>
      </c>
      <c r="F1592" t="s">
        <v>1273</v>
      </c>
      <c r="G1592" t="str">
        <f t="shared" si="124"/>
        <v>H</v>
      </c>
      <c r="H1592" t="str">
        <f t="shared" si="124"/>
        <v>50</v>
      </c>
      <c r="I1592" t="str">
        <f t="shared" si="124"/>
        <v>502</v>
      </c>
      <c r="J1592" t="str">
        <f t="shared" si="124"/>
        <v>50220</v>
      </c>
      <c r="K1592" t="str">
        <f t="shared" si="121"/>
        <v>5022002</v>
      </c>
      <c r="L1592">
        <v>0</v>
      </c>
    </row>
    <row r="1593" spans="3:12" x14ac:dyDescent="0.25">
      <c r="C1593" t="s">
        <v>3447</v>
      </c>
      <c r="D1593" t="s">
        <v>1864</v>
      </c>
      <c r="E1593" t="s">
        <v>1864</v>
      </c>
      <c r="F1593" t="s">
        <v>1274</v>
      </c>
      <c r="G1593" t="str">
        <f t="shared" ref="G1593:J1608" si="125">IF(A1593="",G1592,A1593)</f>
        <v>H</v>
      </c>
      <c r="H1593" t="str">
        <f t="shared" si="125"/>
        <v>50</v>
      </c>
      <c r="I1593" t="str">
        <f t="shared" si="125"/>
        <v>503</v>
      </c>
      <c r="J1593" t="str">
        <f t="shared" si="125"/>
        <v>50220</v>
      </c>
      <c r="K1593" t="str">
        <f t="shared" si="121"/>
        <v/>
      </c>
    </row>
    <row r="1594" spans="3:12" x14ac:dyDescent="0.25">
      <c r="C1594" t="s">
        <v>1864</v>
      </c>
      <c r="D1594" t="s">
        <v>3448</v>
      </c>
      <c r="E1594" t="s">
        <v>1864</v>
      </c>
      <c r="F1594" t="s">
        <v>1274</v>
      </c>
      <c r="G1594" t="str">
        <f t="shared" si="125"/>
        <v>H</v>
      </c>
      <c r="H1594" t="str">
        <f t="shared" si="125"/>
        <v>50</v>
      </c>
      <c r="I1594" t="str">
        <f t="shared" si="125"/>
        <v>503</v>
      </c>
      <c r="J1594" t="str">
        <f t="shared" si="125"/>
        <v>50301</v>
      </c>
      <c r="K1594" t="str">
        <f t="shared" si="121"/>
        <v/>
      </c>
    </row>
    <row r="1595" spans="3:12" x14ac:dyDescent="0.25">
      <c r="C1595" t="s">
        <v>1864</v>
      </c>
      <c r="D1595" t="s">
        <v>1864</v>
      </c>
      <c r="E1595" t="s">
        <v>3449</v>
      </c>
      <c r="F1595" t="s">
        <v>1275</v>
      </c>
      <c r="G1595" t="str">
        <f t="shared" si="125"/>
        <v>H</v>
      </c>
      <c r="H1595" t="str">
        <f t="shared" si="125"/>
        <v>50</v>
      </c>
      <c r="I1595" t="str">
        <f t="shared" si="125"/>
        <v>503</v>
      </c>
      <c r="J1595" t="str">
        <f t="shared" si="125"/>
        <v>50301</v>
      </c>
      <c r="K1595" t="str">
        <f t="shared" si="121"/>
        <v>5030101</v>
      </c>
      <c r="L1595">
        <v>0</v>
      </c>
    </row>
    <row r="1596" spans="3:12" x14ac:dyDescent="0.25">
      <c r="C1596" t="s">
        <v>1864</v>
      </c>
      <c r="D1596" t="s">
        <v>1864</v>
      </c>
      <c r="E1596" t="s">
        <v>3450</v>
      </c>
      <c r="F1596" t="s">
        <v>1276</v>
      </c>
      <c r="G1596" t="str">
        <f t="shared" si="125"/>
        <v>H</v>
      </c>
      <c r="H1596" t="str">
        <f t="shared" si="125"/>
        <v>50</v>
      </c>
      <c r="I1596" t="str">
        <f t="shared" si="125"/>
        <v>503</v>
      </c>
      <c r="J1596" t="str">
        <f t="shared" si="125"/>
        <v>50301</v>
      </c>
      <c r="K1596" t="str">
        <f t="shared" si="121"/>
        <v>5030102</v>
      </c>
      <c r="L1596">
        <v>0</v>
      </c>
    </row>
    <row r="1597" spans="3:12" x14ac:dyDescent="0.25">
      <c r="C1597" t="s">
        <v>1864</v>
      </c>
      <c r="D1597" t="s">
        <v>1864</v>
      </c>
      <c r="E1597" t="s">
        <v>3451</v>
      </c>
      <c r="F1597" t="s">
        <v>1277</v>
      </c>
      <c r="G1597" t="str">
        <f t="shared" si="125"/>
        <v>H</v>
      </c>
      <c r="H1597" t="str">
        <f t="shared" si="125"/>
        <v>50</v>
      </c>
      <c r="I1597" t="str">
        <f t="shared" si="125"/>
        <v>503</v>
      </c>
      <c r="J1597" t="str">
        <f t="shared" si="125"/>
        <v>50301</v>
      </c>
      <c r="K1597" t="str">
        <f t="shared" si="121"/>
        <v>5030103</v>
      </c>
      <c r="L1597">
        <v>0</v>
      </c>
    </row>
    <row r="1598" spans="3:12" x14ac:dyDescent="0.25">
      <c r="C1598" t="s">
        <v>3452</v>
      </c>
      <c r="D1598" t="s">
        <v>1864</v>
      </c>
      <c r="E1598" t="s">
        <v>1864</v>
      </c>
      <c r="F1598" t="s">
        <v>1278</v>
      </c>
      <c r="G1598" t="str">
        <f t="shared" si="125"/>
        <v>H</v>
      </c>
      <c r="H1598" t="str">
        <f t="shared" si="125"/>
        <v>50</v>
      </c>
      <c r="I1598" t="str">
        <f t="shared" si="125"/>
        <v>509</v>
      </c>
      <c r="J1598" t="str">
        <f t="shared" si="125"/>
        <v>50301</v>
      </c>
      <c r="K1598" t="str">
        <f t="shared" si="121"/>
        <v/>
      </c>
    </row>
    <row r="1599" spans="3:12" x14ac:dyDescent="0.25">
      <c r="C1599" t="s">
        <v>1864</v>
      </c>
      <c r="D1599" t="s">
        <v>3453</v>
      </c>
      <c r="E1599" t="s">
        <v>1864</v>
      </c>
      <c r="F1599" t="s">
        <v>1279</v>
      </c>
      <c r="G1599" t="str">
        <f t="shared" si="125"/>
        <v>H</v>
      </c>
      <c r="H1599" t="str">
        <f t="shared" si="125"/>
        <v>50</v>
      </c>
      <c r="I1599" t="str">
        <f t="shared" si="125"/>
        <v>509</v>
      </c>
      <c r="J1599" t="str">
        <f t="shared" si="125"/>
        <v>50912</v>
      </c>
      <c r="K1599" t="str">
        <f t="shared" si="121"/>
        <v/>
      </c>
    </row>
    <row r="1600" spans="3:12" x14ac:dyDescent="0.25">
      <c r="C1600" t="s">
        <v>1864</v>
      </c>
      <c r="D1600" t="s">
        <v>1864</v>
      </c>
      <c r="E1600" t="s">
        <v>3454</v>
      </c>
      <c r="F1600" t="s">
        <v>1280</v>
      </c>
      <c r="G1600" t="str">
        <f t="shared" si="125"/>
        <v>H</v>
      </c>
      <c r="H1600" t="str">
        <f t="shared" si="125"/>
        <v>50</v>
      </c>
      <c r="I1600" t="str">
        <f t="shared" si="125"/>
        <v>509</v>
      </c>
      <c r="J1600" t="str">
        <f t="shared" si="125"/>
        <v>50912</v>
      </c>
      <c r="K1600" t="str">
        <f t="shared" si="121"/>
        <v>5091201</v>
      </c>
      <c r="L1600">
        <v>0</v>
      </c>
    </row>
    <row r="1601" spans="2:12" x14ac:dyDescent="0.25">
      <c r="C1601" t="s">
        <v>1864</v>
      </c>
      <c r="D1601" t="s">
        <v>1864</v>
      </c>
      <c r="E1601" t="s">
        <v>3455</v>
      </c>
      <c r="F1601" t="s">
        <v>1281</v>
      </c>
      <c r="G1601" t="str">
        <f t="shared" si="125"/>
        <v>H</v>
      </c>
      <c r="H1601" t="str">
        <f t="shared" si="125"/>
        <v>50</v>
      </c>
      <c r="I1601" t="str">
        <f t="shared" si="125"/>
        <v>509</v>
      </c>
      <c r="J1601" t="str">
        <f t="shared" si="125"/>
        <v>50912</v>
      </c>
      <c r="K1601" t="str">
        <f t="shared" si="121"/>
        <v>5091202</v>
      </c>
      <c r="L1601">
        <v>0</v>
      </c>
    </row>
    <row r="1602" spans="2:12" x14ac:dyDescent="0.25">
      <c r="C1602" t="s">
        <v>1864</v>
      </c>
      <c r="D1602" t="s">
        <v>3456</v>
      </c>
      <c r="E1602" t="s">
        <v>1864</v>
      </c>
      <c r="F1602" t="s">
        <v>1282</v>
      </c>
      <c r="G1602" t="str">
        <f t="shared" si="125"/>
        <v>H</v>
      </c>
      <c r="H1602" t="str">
        <f t="shared" si="125"/>
        <v>50</v>
      </c>
      <c r="I1602" t="str">
        <f t="shared" si="125"/>
        <v>509</v>
      </c>
      <c r="J1602" t="str">
        <f t="shared" si="125"/>
        <v>50998</v>
      </c>
      <c r="K1602" t="str">
        <f t="shared" si="121"/>
        <v/>
      </c>
    </row>
    <row r="1603" spans="2:12" x14ac:dyDescent="0.25">
      <c r="C1603" t="s">
        <v>1864</v>
      </c>
      <c r="D1603" t="s">
        <v>1864</v>
      </c>
      <c r="E1603" t="s">
        <v>3457</v>
      </c>
      <c r="F1603" t="s">
        <v>1283</v>
      </c>
      <c r="G1603" t="str">
        <f t="shared" si="125"/>
        <v>H</v>
      </c>
      <c r="H1603" t="str">
        <f t="shared" si="125"/>
        <v>50</v>
      </c>
      <c r="I1603" t="str">
        <f t="shared" si="125"/>
        <v>509</v>
      </c>
      <c r="J1603" t="str">
        <f t="shared" si="125"/>
        <v>50998</v>
      </c>
      <c r="K1603" t="str">
        <f t="shared" si="121"/>
        <v>5099801</v>
      </c>
      <c r="L1603">
        <v>0</v>
      </c>
    </row>
    <row r="1604" spans="2:12" x14ac:dyDescent="0.25">
      <c r="C1604" t="s">
        <v>1864</v>
      </c>
      <c r="D1604" t="s">
        <v>1864</v>
      </c>
      <c r="E1604" t="s">
        <v>3458</v>
      </c>
      <c r="F1604" t="s">
        <v>1284</v>
      </c>
      <c r="G1604" t="str">
        <f t="shared" si="125"/>
        <v>H</v>
      </c>
      <c r="H1604" t="str">
        <f t="shared" si="125"/>
        <v>50</v>
      </c>
      <c r="I1604" t="str">
        <f t="shared" si="125"/>
        <v>509</v>
      </c>
      <c r="J1604" t="str">
        <f t="shared" si="125"/>
        <v>50998</v>
      </c>
      <c r="K1604" t="str">
        <f t="shared" si="121"/>
        <v>5099899</v>
      </c>
      <c r="L1604">
        <v>0</v>
      </c>
    </row>
    <row r="1605" spans="2:12" x14ac:dyDescent="0.25">
      <c r="B1605" t="s">
        <v>3459</v>
      </c>
      <c r="C1605" t="s">
        <v>1864</v>
      </c>
      <c r="D1605" t="s">
        <v>1864</v>
      </c>
      <c r="E1605" t="s">
        <v>1864</v>
      </c>
      <c r="F1605" t="s">
        <v>1285</v>
      </c>
      <c r="G1605" t="str">
        <f t="shared" si="125"/>
        <v>H</v>
      </c>
      <c r="H1605" t="str">
        <f t="shared" si="125"/>
        <v>51</v>
      </c>
      <c r="I1605" t="str">
        <f t="shared" si="125"/>
        <v>509</v>
      </c>
      <c r="J1605" t="str">
        <f t="shared" si="125"/>
        <v>50998</v>
      </c>
      <c r="K1605" t="str">
        <f t="shared" si="121"/>
        <v/>
      </c>
    </row>
    <row r="1606" spans="2:12" x14ac:dyDescent="0.25">
      <c r="C1606" t="s">
        <v>3460</v>
      </c>
      <c r="D1606" t="s">
        <v>1864</v>
      </c>
      <c r="E1606" t="s">
        <v>1864</v>
      </c>
      <c r="F1606" t="s">
        <v>1286</v>
      </c>
      <c r="G1606" t="str">
        <f t="shared" si="125"/>
        <v>H</v>
      </c>
      <c r="H1606" t="str">
        <f t="shared" si="125"/>
        <v>51</v>
      </c>
      <c r="I1606" t="str">
        <f t="shared" si="125"/>
        <v>511</v>
      </c>
      <c r="J1606" t="str">
        <f t="shared" si="125"/>
        <v>50998</v>
      </c>
      <c r="K1606" t="str">
        <f t="shared" si="121"/>
        <v/>
      </c>
    </row>
    <row r="1607" spans="2:12" x14ac:dyDescent="0.25">
      <c r="C1607" t="s">
        <v>1864</v>
      </c>
      <c r="D1607" t="s">
        <v>3461</v>
      </c>
      <c r="E1607" t="s">
        <v>1864</v>
      </c>
      <c r="F1607" t="s">
        <v>1287</v>
      </c>
      <c r="G1607" t="str">
        <f t="shared" si="125"/>
        <v>H</v>
      </c>
      <c r="H1607" t="str">
        <f t="shared" si="125"/>
        <v>51</v>
      </c>
      <c r="I1607" t="str">
        <f t="shared" si="125"/>
        <v>511</v>
      </c>
      <c r="J1607" t="str">
        <f t="shared" si="125"/>
        <v>51111</v>
      </c>
      <c r="K1607" t="str">
        <f t="shared" si="121"/>
        <v/>
      </c>
    </row>
    <row r="1608" spans="2:12" x14ac:dyDescent="0.25">
      <c r="C1608" t="s">
        <v>1864</v>
      </c>
      <c r="D1608" t="s">
        <v>1864</v>
      </c>
      <c r="E1608" t="s">
        <v>3462</v>
      </c>
      <c r="F1608" t="s">
        <v>1287</v>
      </c>
      <c r="G1608" t="str">
        <f t="shared" si="125"/>
        <v>H</v>
      </c>
      <c r="H1608" t="str">
        <f t="shared" si="125"/>
        <v>51</v>
      </c>
      <c r="I1608" t="str">
        <f t="shared" si="125"/>
        <v>511</v>
      </c>
      <c r="J1608" t="str">
        <f t="shared" si="125"/>
        <v>51111</v>
      </c>
      <c r="K1608" t="str">
        <f t="shared" ref="K1608:K1671" si="126">E1608</f>
        <v>5111100</v>
      </c>
      <c r="L1608">
        <v>0</v>
      </c>
    </row>
    <row r="1609" spans="2:12" x14ac:dyDescent="0.25">
      <c r="C1609" t="s">
        <v>1864</v>
      </c>
      <c r="D1609" t="s">
        <v>3463</v>
      </c>
      <c r="E1609" t="s">
        <v>1864</v>
      </c>
      <c r="F1609" t="s">
        <v>1288</v>
      </c>
      <c r="G1609" t="str">
        <f t="shared" ref="G1609:J1624" si="127">IF(A1609="",G1608,A1609)</f>
        <v>H</v>
      </c>
      <c r="H1609" t="str">
        <f t="shared" si="127"/>
        <v>51</v>
      </c>
      <c r="I1609" t="str">
        <f t="shared" si="127"/>
        <v>511</v>
      </c>
      <c r="J1609" t="str">
        <f t="shared" si="127"/>
        <v>51129</v>
      </c>
      <c r="K1609" t="str">
        <f t="shared" si="126"/>
        <v/>
      </c>
    </row>
    <row r="1610" spans="2:12" x14ac:dyDescent="0.25">
      <c r="C1610" t="s">
        <v>1864</v>
      </c>
      <c r="D1610" t="s">
        <v>1864</v>
      </c>
      <c r="E1610" t="s">
        <v>3464</v>
      </c>
      <c r="F1610" t="s">
        <v>1289</v>
      </c>
      <c r="G1610" t="str">
        <f t="shared" si="127"/>
        <v>H</v>
      </c>
      <c r="H1610" t="str">
        <f t="shared" si="127"/>
        <v>51</v>
      </c>
      <c r="I1610" t="str">
        <f t="shared" si="127"/>
        <v>511</v>
      </c>
      <c r="J1610" t="str">
        <f t="shared" si="127"/>
        <v>51129</v>
      </c>
      <c r="K1610" t="str">
        <f t="shared" si="126"/>
        <v>5112901</v>
      </c>
      <c r="L1610">
        <v>0</v>
      </c>
    </row>
    <row r="1611" spans="2:12" x14ac:dyDescent="0.25">
      <c r="C1611" t="s">
        <v>1864</v>
      </c>
      <c r="D1611" t="s">
        <v>1864</v>
      </c>
      <c r="E1611" t="s">
        <v>3465</v>
      </c>
      <c r="F1611" t="s">
        <v>1290</v>
      </c>
      <c r="G1611" t="str">
        <f t="shared" si="127"/>
        <v>H</v>
      </c>
      <c r="H1611" t="str">
        <f t="shared" si="127"/>
        <v>51</v>
      </c>
      <c r="I1611" t="str">
        <f t="shared" si="127"/>
        <v>511</v>
      </c>
      <c r="J1611" t="str">
        <f t="shared" si="127"/>
        <v>51129</v>
      </c>
      <c r="K1611" t="str">
        <f t="shared" si="126"/>
        <v>5112999</v>
      </c>
      <c r="L1611">
        <v>0</v>
      </c>
    </row>
    <row r="1612" spans="2:12" x14ac:dyDescent="0.25">
      <c r="C1612" t="s">
        <v>3466</v>
      </c>
      <c r="D1612" t="s">
        <v>1864</v>
      </c>
      <c r="E1612" t="s">
        <v>1864</v>
      </c>
      <c r="F1612" t="s">
        <v>1291</v>
      </c>
      <c r="G1612" t="str">
        <f t="shared" si="127"/>
        <v>H</v>
      </c>
      <c r="H1612" t="str">
        <f t="shared" si="127"/>
        <v>51</v>
      </c>
      <c r="I1612" t="str">
        <f t="shared" si="127"/>
        <v>512</v>
      </c>
      <c r="J1612" t="str">
        <f t="shared" si="127"/>
        <v>51129</v>
      </c>
      <c r="K1612" t="str">
        <f t="shared" si="126"/>
        <v/>
      </c>
    </row>
    <row r="1613" spans="2:12" x14ac:dyDescent="0.25">
      <c r="C1613" t="s">
        <v>1864</v>
      </c>
      <c r="D1613" t="s">
        <v>3467</v>
      </c>
      <c r="E1613" t="s">
        <v>1864</v>
      </c>
      <c r="F1613" t="s">
        <v>1291</v>
      </c>
      <c r="G1613" t="str">
        <f t="shared" si="127"/>
        <v>H</v>
      </c>
      <c r="H1613" t="str">
        <f t="shared" si="127"/>
        <v>51</v>
      </c>
      <c r="I1613" t="str">
        <f t="shared" si="127"/>
        <v>512</v>
      </c>
      <c r="J1613" t="str">
        <f t="shared" si="127"/>
        <v>51200</v>
      </c>
      <c r="K1613" t="str">
        <f t="shared" si="126"/>
        <v/>
      </c>
    </row>
    <row r="1614" spans="2:12" x14ac:dyDescent="0.25">
      <c r="C1614" t="s">
        <v>1864</v>
      </c>
      <c r="D1614" t="s">
        <v>1864</v>
      </c>
      <c r="E1614" t="s">
        <v>3468</v>
      </c>
      <c r="F1614" t="s">
        <v>1291</v>
      </c>
      <c r="G1614" t="str">
        <f t="shared" si="127"/>
        <v>H</v>
      </c>
      <c r="H1614" t="str">
        <f t="shared" si="127"/>
        <v>51</v>
      </c>
      <c r="I1614" t="str">
        <f t="shared" si="127"/>
        <v>512</v>
      </c>
      <c r="J1614" t="str">
        <f t="shared" si="127"/>
        <v>51200</v>
      </c>
      <c r="K1614" t="str">
        <f t="shared" si="126"/>
        <v>5120000</v>
      </c>
      <c r="L1614">
        <v>0</v>
      </c>
    </row>
    <row r="1615" spans="2:12" x14ac:dyDescent="0.25">
      <c r="C1615" t="s">
        <v>3469</v>
      </c>
      <c r="D1615" t="s">
        <v>1864</v>
      </c>
      <c r="E1615" t="s">
        <v>1864</v>
      </c>
      <c r="F1615" t="s">
        <v>1292</v>
      </c>
      <c r="G1615" t="str">
        <f t="shared" si="127"/>
        <v>H</v>
      </c>
      <c r="H1615" t="str">
        <f t="shared" si="127"/>
        <v>51</v>
      </c>
      <c r="I1615" t="str">
        <f t="shared" si="127"/>
        <v>513</v>
      </c>
      <c r="J1615" t="str">
        <f t="shared" si="127"/>
        <v>51200</v>
      </c>
      <c r="K1615" t="str">
        <f t="shared" si="126"/>
        <v/>
      </c>
    </row>
    <row r="1616" spans="2:12" x14ac:dyDescent="0.25">
      <c r="C1616" t="s">
        <v>1864</v>
      </c>
      <c r="D1616" t="s">
        <v>3470</v>
      </c>
      <c r="E1616" t="s">
        <v>1864</v>
      </c>
      <c r="F1616" t="s">
        <v>1292</v>
      </c>
      <c r="G1616" t="str">
        <f t="shared" si="127"/>
        <v>H</v>
      </c>
      <c r="H1616" t="str">
        <f t="shared" si="127"/>
        <v>51</v>
      </c>
      <c r="I1616" t="str">
        <f t="shared" si="127"/>
        <v>513</v>
      </c>
      <c r="J1616" t="str">
        <f t="shared" si="127"/>
        <v>51307</v>
      </c>
      <c r="K1616" t="str">
        <f t="shared" si="126"/>
        <v/>
      </c>
    </row>
    <row r="1617" spans="2:12" x14ac:dyDescent="0.25">
      <c r="C1617" t="s">
        <v>1864</v>
      </c>
      <c r="D1617" t="s">
        <v>1864</v>
      </c>
      <c r="E1617" t="s">
        <v>3471</v>
      </c>
      <c r="F1617" t="s">
        <v>1292</v>
      </c>
      <c r="G1617" t="str">
        <f t="shared" si="127"/>
        <v>H</v>
      </c>
      <c r="H1617" t="str">
        <f t="shared" si="127"/>
        <v>51</v>
      </c>
      <c r="I1617" t="str">
        <f t="shared" si="127"/>
        <v>513</v>
      </c>
      <c r="J1617" t="str">
        <f t="shared" si="127"/>
        <v>51307</v>
      </c>
      <c r="K1617" t="str">
        <f t="shared" si="126"/>
        <v>5130700</v>
      </c>
      <c r="L1617">
        <v>0</v>
      </c>
    </row>
    <row r="1618" spans="2:12" x14ac:dyDescent="0.25">
      <c r="B1618" t="s">
        <v>3472</v>
      </c>
      <c r="C1618" t="s">
        <v>1864</v>
      </c>
      <c r="D1618" t="s">
        <v>1864</v>
      </c>
      <c r="E1618" t="s">
        <v>1864</v>
      </c>
      <c r="F1618" t="s">
        <v>1293</v>
      </c>
      <c r="G1618" t="str">
        <f t="shared" si="127"/>
        <v>H</v>
      </c>
      <c r="H1618" t="str">
        <f t="shared" si="127"/>
        <v>52</v>
      </c>
      <c r="I1618" t="str">
        <f t="shared" si="127"/>
        <v>513</v>
      </c>
      <c r="J1618" t="str">
        <f t="shared" si="127"/>
        <v>51307</v>
      </c>
      <c r="K1618" t="str">
        <f t="shared" si="126"/>
        <v/>
      </c>
    </row>
    <row r="1619" spans="2:12" x14ac:dyDescent="0.25">
      <c r="C1619" t="s">
        <v>3473</v>
      </c>
      <c r="D1619" t="s">
        <v>1864</v>
      </c>
      <c r="E1619" t="s">
        <v>1864</v>
      </c>
      <c r="F1619" t="s">
        <v>1294</v>
      </c>
      <c r="G1619" t="str">
        <f t="shared" si="127"/>
        <v>H</v>
      </c>
      <c r="H1619" t="str">
        <f t="shared" si="127"/>
        <v>52</v>
      </c>
      <c r="I1619" t="str">
        <f t="shared" si="127"/>
        <v>521</v>
      </c>
      <c r="J1619" t="str">
        <f t="shared" si="127"/>
        <v>51307</v>
      </c>
      <c r="K1619" t="str">
        <f t="shared" si="126"/>
        <v/>
      </c>
    </row>
    <row r="1620" spans="2:12" x14ac:dyDescent="0.25">
      <c r="C1620" t="s">
        <v>1864</v>
      </c>
      <c r="D1620" t="s">
        <v>3474</v>
      </c>
      <c r="E1620" t="s">
        <v>1864</v>
      </c>
      <c r="F1620" t="s">
        <v>1295</v>
      </c>
      <c r="G1620" t="str">
        <f t="shared" si="127"/>
        <v>H</v>
      </c>
      <c r="H1620" t="str">
        <f t="shared" si="127"/>
        <v>52</v>
      </c>
      <c r="I1620" t="str">
        <f t="shared" si="127"/>
        <v>521</v>
      </c>
      <c r="J1620" t="str">
        <f t="shared" si="127"/>
        <v>52117</v>
      </c>
      <c r="K1620" t="str">
        <f t="shared" si="126"/>
        <v/>
      </c>
    </row>
    <row r="1621" spans="2:12" x14ac:dyDescent="0.25">
      <c r="C1621" t="s">
        <v>1864</v>
      </c>
      <c r="D1621" t="s">
        <v>1864</v>
      </c>
      <c r="E1621" t="s">
        <v>3475</v>
      </c>
      <c r="F1621" t="s">
        <v>3476</v>
      </c>
      <c r="G1621" t="str">
        <f t="shared" si="127"/>
        <v>H</v>
      </c>
      <c r="H1621" t="str">
        <f t="shared" si="127"/>
        <v>52</v>
      </c>
      <c r="I1621" t="str">
        <f t="shared" si="127"/>
        <v>521</v>
      </c>
      <c r="J1621" t="str">
        <f t="shared" si="127"/>
        <v>52117</v>
      </c>
      <c r="K1621" t="str">
        <f t="shared" si="126"/>
        <v>5211701</v>
      </c>
      <c r="L1621">
        <v>0</v>
      </c>
    </row>
    <row r="1622" spans="2:12" x14ac:dyDescent="0.25">
      <c r="C1622" t="s">
        <v>1864</v>
      </c>
      <c r="D1622" t="s">
        <v>1864</v>
      </c>
      <c r="E1622" t="s">
        <v>3477</v>
      </c>
      <c r="F1622" t="s">
        <v>1296</v>
      </c>
      <c r="G1622" t="str">
        <f t="shared" si="127"/>
        <v>H</v>
      </c>
      <c r="H1622" t="str">
        <f t="shared" si="127"/>
        <v>52</v>
      </c>
      <c r="I1622" t="str">
        <f t="shared" si="127"/>
        <v>521</v>
      </c>
      <c r="J1622" t="str">
        <f t="shared" si="127"/>
        <v>52117</v>
      </c>
      <c r="K1622" t="str">
        <f t="shared" si="126"/>
        <v>5211702</v>
      </c>
      <c r="L1622">
        <v>0</v>
      </c>
    </row>
    <row r="1623" spans="2:12" x14ac:dyDescent="0.25">
      <c r="C1623" t="s">
        <v>1864</v>
      </c>
      <c r="D1623" t="s">
        <v>1864</v>
      </c>
      <c r="E1623" t="s">
        <v>3478</v>
      </c>
      <c r="F1623" t="s">
        <v>1297</v>
      </c>
      <c r="G1623" t="str">
        <f t="shared" si="127"/>
        <v>H</v>
      </c>
      <c r="H1623" t="str">
        <f t="shared" si="127"/>
        <v>52</v>
      </c>
      <c r="I1623" t="str">
        <f t="shared" si="127"/>
        <v>521</v>
      </c>
      <c r="J1623" t="str">
        <f t="shared" si="127"/>
        <v>52117</v>
      </c>
      <c r="K1623" t="str">
        <f t="shared" si="126"/>
        <v>5211799</v>
      </c>
      <c r="L1623">
        <v>0</v>
      </c>
    </row>
    <row r="1624" spans="2:12" x14ac:dyDescent="0.25">
      <c r="C1624" t="s">
        <v>1864</v>
      </c>
      <c r="D1624" t="s">
        <v>3479</v>
      </c>
      <c r="E1624" t="s">
        <v>1864</v>
      </c>
      <c r="F1624" t="s">
        <v>1298</v>
      </c>
      <c r="G1624" t="str">
        <f t="shared" si="127"/>
        <v>H</v>
      </c>
      <c r="H1624" t="str">
        <f t="shared" si="127"/>
        <v>52</v>
      </c>
      <c r="I1624" t="str">
        <f t="shared" si="127"/>
        <v>521</v>
      </c>
      <c r="J1624" t="str">
        <f t="shared" si="127"/>
        <v>52125</v>
      </c>
      <c r="K1624" t="str">
        <f t="shared" si="126"/>
        <v/>
      </c>
    </row>
    <row r="1625" spans="2:12" x14ac:dyDescent="0.25">
      <c r="C1625" t="s">
        <v>1864</v>
      </c>
      <c r="D1625" t="s">
        <v>1864</v>
      </c>
      <c r="E1625" t="s">
        <v>3480</v>
      </c>
      <c r="F1625" t="s">
        <v>1298</v>
      </c>
      <c r="G1625" t="str">
        <f t="shared" ref="G1625:J1640" si="128">IF(A1625="",G1624,A1625)</f>
        <v>H</v>
      </c>
      <c r="H1625" t="str">
        <f t="shared" si="128"/>
        <v>52</v>
      </c>
      <c r="I1625" t="str">
        <f t="shared" si="128"/>
        <v>521</v>
      </c>
      <c r="J1625" t="str">
        <f t="shared" si="128"/>
        <v>52125</v>
      </c>
      <c r="K1625" t="str">
        <f t="shared" si="126"/>
        <v>5212500</v>
      </c>
      <c r="L1625">
        <v>0</v>
      </c>
    </row>
    <row r="1626" spans="2:12" x14ac:dyDescent="0.25">
      <c r="C1626" t="s">
        <v>3481</v>
      </c>
      <c r="D1626" t="s">
        <v>1864</v>
      </c>
      <c r="E1626" t="s">
        <v>1864</v>
      </c>
      <c r="F1626" t="s">
        <v>1299</v>
      </c>
      <c r="G1626" t="str">
        <f t="shared" si="128"/>
        <v>H</v>
      </c>
      <c r="H1626" t="str">
        <f t="shared" si="128"/>
        <v>52</v>
      </c>
      <c r="I1626" t="str">
        <f t="shared" si="128"/>
        <v>522</v>
      </c>
      <c r="J1626" t="str">
        <f t="shared" si="128"/>
        <v>52125</v>
      </c>
      <c r="K1626" t="str">
        <f t="shared" si="126"/>
        <v/>
      </c>
    </row>
    <row r="1627" spans="2:12" x14ac:dyDescent="0.25">
      <c r="C1627" t="s">
        <v>1864</v>
      </c>
      <c r="D1627" t="s">
        <v>3482</v>
      </c>
      <c r="E1627" t="s">
        <v>1864</v>
      </c>
      <c r="F1627" t="s">
        <v>1300</v>
      </c>
      <c r="G1627" t="str">
        <f t="shared" si="128"/>
        <v>H</v>
      </c>
      <c r="H1627" t="str">
        <f t="shared" si="128"/>
        <v>52</v>
      </c>
      <c r="I1627" t="str">
        <f t="shared" si="128"/>
        <v>522</v>
      </c>
      <c r="J1627" t="str">
        <f t="shared" si="128"/>
        <v>52214</v>
      </c>
      <c r="K1627" t="str">
        <f t="shared" si="126"/>
        <v/>
      </c>
    </row>
    <row r="1628" spans="2:12" x14ac:dyDescent="0.25">
      <c r="C1628" t="s">
        <v>1864</v>
      </c>
      <c r="D1628" t="s">
        <v>1864</v>
      </c>
      <c r="E1628" t="s">
        <v>3483</v>
      </c>
      <c r="F1628" t="s">
        <v>1300</v>
      </c>
      <c r="G1628" t="str">
        <f t="shared" si="128"/>
        <v>H</v>
      </c>
      <c r="H1628" t="str">
        <f t="shared" si="128"/>
        <v>52</v>
      </c>
      <c r="I1628" t="str">
        <f t="shared" si="128"/>
        <v>522</v>
      </c>
      <c r="J1628" t="str">
        <f t="shared" si="128"/>
        <v>52214</v>
      </c>
      <c r="K1628" t="str">
        <f t="shared" si="126"/>
        <v>5221400</v>
      </c>
      <c r="L1628">
        <v>0</v>
      </c>
    </row>
    <row r="1629" spans="2:12" x14ac:dyDescent="0.25">
      <c r="C1629" t="s">
        <v>1864</v>
      </c>
      <c r="D1629" t="s">
        <v>3484</v>
      </c>
      <c r="E1629" t="s">
        <v>1864</v>
      </c>
      <c r="F1629" t="s">
        <v>1301</v>
      </c>
      <c r="G1629" t="str">
        <f t="shared" si="128"/>
        <v>H</v>
      </c>
      <c r="H1629" t="str">
        <f t="shared" si="128"/>
        <v>52</v>
      </c>
      <c r="I1629" t="str">
        <f t="shared" si="128"/>
        <v>522</v>
      </c>
      <c r="J1629" t="str">
        <f t="shared" si="128"/>
        <v>52222</v>
      </c>
      <c r="K1629" t="str">
        <f t="shared" si="126"/>
        <v/>
      </c>
    </row>
    <row r="1630" spans="2:12" x14ac:dyDescent="0.25">
      <c r="C1630" t="s">
        <v>1864</v>
      </c>
      <c r="D1630" t="s">
        <v>1864</v>
      </c>
      <c r="E1630" t="s">
        <v>3485</v>
      </c>
      <c r="F1630" t="s">
        <v>1301</v>
      </c>
      <c r="G1630" t="str">
        <f t="shared" si="128"/>
        <v>H</v>
      </c>
      <c r="H1630" t="str">
        <f t="shared" si="128"/>
        <v>52</v>
      </c>
      <c r="I1630" t="str">
        <f t="shared" si="128"/>
        <v>522</v>
      </c>
      <c r="J1630" t="str">
        <f t="shared" si="128"/>
        <v>52222</v>
      </c>
      <c r="K1630" t="str">
        <f t="shared" si="126"/>
        <v>5222200</v>
      </c>
      <c r="L1630">
        <v>0</v>
      </c>
    </row>
    <row r="1631" spans="2:12" x14ac:dyDescent="0.25">
      <c r="C1631" t="s">
        <v>1864</v>
      </c>
      <c r="D1631" t="s">
        <v>3486</v>
      </c>
      <c r="E1631" t="s">
        <v>1864</v>
      </c>
      <c r="F1631" t="s">
        <v>1302</v>
      </c>
      <c r="G1631" t="str">
        <f t="shared" si="128"/>
        <v>H</v>
      </c>
      <c r="H1631" t="str">
        <f t="shared" si="128"/>
        <v>52</v>
      </c>
      <c r="I1631" t="str">
        <f t="shared" si="128"/>
        <v>522</v>
      </c>
      <c r="J1631" t="str">
        <f t="shared" si="128"/>
        <v>52231</v>
      </c>
      <c r="K1631" t="str">
        <f t="shared" si="126"/>
        <v/>
      </c>
    </row>
    <row r="1632" spans="2:12" x14ac:dyDescent="0.25">
      <c r="C1632" t="s">
        <v>1864</v>
      </c>
      <c r="D1632" t="s">
        <v>1864</v>
      </c>
      <c r="E1632" t="s">
        <v>3487</v>
      </c>
      <c r="F1632" t="s">
        <v>1302</v>
      </c>
      <c r="G1632" t="str">
        <f t="shared" si="128"/>
        <v>H</v>
      </c>
      <c r="H1632" t="str">
        <f t="shared" si="128"/>
        <v>52</v>
      </c>
      <c r="I1632" t="str">
        <f t="shared" si="128"/>
        <v>522</v>
      </c>
      <c r="J1632" t="str">
        <f t="shared" si="128"/>
        <v>52231</v>
      </c>
      <c r="K1632" t="str">
        <f t="shared" si="126"/>
        <v>5223100</v>
      </c>
      <c r="L1632">
        <v>0</v>
      </c>
    </row>
    <row r="1633" spans="3:12" x14ac:dyDescent="0.25">
      <c r="C1633" t="s">
        <v>1864</v>
      </c>
      <c r="D1633" t="s">
        <v>3488</v>
      </c>
      <c r="E1633" t="s">
        <v>1864</v>
      </c>
      <c r="F1633" t="s">
        <v>1303</v>
      </c>
      <c r="G1633" t="str">
        <f t="shared" si="128"/>
        <v>H</v>
      </c>
      <c r="H1633" t="str">
        <f t="shared" si="128"/>
        <v>52</v>
      </c>
      <c r="I1633" t="str">
        <f t="shared" si="128"/>
        <v>522</v>
      </c>
      <c r="J1633" t="str">
        <f t="shared" si="128"/>
        <v>52290</v>
      </c>
      <c r="K1633" t="str">
        <f t="shared" si="126"/>
        <v/>
      </c>
    </row>
    <row r="1634" spans="3:12" x14ac:dyDescent="0.25">
      <c r="C1634" t="s">
        <v>1864</v>
      </c>
      <c r="D1634" t="s">
        <v>1864</v>
      </c>
      <c r="E1634" t="s">
        <v>3489</v>
      </c>
      <c r="F1634" t="s">
        <v>1304</v>
      </c>
      <c r="G1634" t="str">
        <f t="shared" si="128"/>
        <v>H</v>
      </c>
      <c r="H1634" t="str">
        <f t="shared" si="128"/>
        <v>52</v>
      </c>
      <c r="I1634" t="str">
        <f t="shared" si="128"/>
        <v>522</v>
      </c>
      <c r="J1634" t="str">
        <f t="shared" si="128"/>
        <v>52290</v>
      </c>
      <c r="K1634" t="str">
        <f t="shared" si="126"/>
        <v>5229001</v>
      </c>
      <c r="L1634">
        <v>0</v>
      </c>
    </row>
    <row r="1635" spans="3:12" x14ac:dyDescent="0.25">
      <c r="C1635" t="s">
        <v>1864</v>
      </c>
      <c r="D1635" t="s">
        <v>1864</v>
      </c>
      <c r="E1635" t="s">
        <v>3490</v>
      </c>
      <c r="F1635" t="s">
        <v>1305</v>
      </c>
      <c r="G1635" t="str">
        <f t="shared" si="128"/>
        <v>H</v>
      </c>
      <c r="H1635" t="str">
        <f t="shared" si="128"/>
        <v>52</v>
      </c>
      <c r="I1635" t="str">
        <f t="shared" si="128"/>
        <v>522</v>
      </c>
      <c r="J1635" t="str">
        <f t="shared" si="128"/>
        <v>52290</v>
      </c>
      <c r="K1635" t="str">
        <f t="shared" si="126"/>
        <v>5229002</v>
      </c>
      <c r="L1635">
        <v>0</v>
      </c>
    </row>
    <row r="1636" spans="3:12" x14ac:dyDescent="0.25">
      <c r="C1636" t="s">
        <v>1864</v>
      </c>
      <c r="D1636" t="s">
        <v>1864</v>
      </c>
      <c r="E1636" t="s">
        <v>3491</v>
      </c>
      <c r="F1636" t="s">
        <v>1306</v>
      </c>
      <c r="G1636" t="str">
        <f t="shared" si="128"/>
        <v>H</v>
      </c>
      <c r="H1636" t="str">
        <f t="shared" si="128"/>
        <v>52</v>
      </c>
      <c r="I1636" t="str">
        <f t="shared" si="128"/>
        <v>522</v>
      </c>
      <c r="J1636" t="str">
        <f t="shared" si="128"/>
        <v>52290</v>
      </c>
      <c r="K1636" t="str">
        <f t="shared" si="126"/>
        <v>5229099</v>
      </c>
      <c r="L1636">
        <v>0</v>
      </c>
    </row>
    <row r="1637" spans="3:12" x14ac:dyDescent="0.25">
      <c r="C1637" t="s">
        <v>3492</v>
      </c>
      <c r="D1637" t="s">
        <v>1864</v>
      </c>
      <c r="E1637" t="s">
        <v>1864</v>
      </c>
      <c r="F1637" t="s">
        <v>1307</v>
      </c>
      <c r="G1637" t="str">
        <f t="shared" si="128"/>
        <v>H</v>
      </c>
      <c r="H1637" t="str">
        <f t="shared" si="128"/>
        <v>52</v>
      </c>
      <c r="I1637" t="str">
        <f t="shared" si="128"/>
        <v>523</v>
      </c>
      <c r="J1637" t="str">
        <f t="shared" si="128"/>
        <v>52290</v>
      </c>
      <c r="K1637" t="str">
        <f t="shared" si="126"/>
        <v/>
      </c>
    </row>
    <row r="1638" spans="3:12" x14ac:dyDescent="0.25">
      <c r="C1638" t="s">
        <v>1864</v>
      </c>
      <c r="D1638" t="s">
        <v>3493</v>
      </c>
      <c r="E1638" t="s">
        <v>1864</v>
      </c>
      <c r="F1638" t="s">
        <v>1308</v>
      </c>
      <c r="G1638" t="str">
        <f t="shared" si="128"/>
        <v>H</v>
      </c>
      <c r="H1638" t="str">
        <f t="shared" si="128"/>
        <v>52</v>
      </c>
      <c r="I1638" t="str">
        <f t="shared" si="128"/>
        <v>523</v>
      </c>
      <c r="J1638" t="str">
        <f t="shared" si="128"/>
        <v>52311</v>
      </c>
      <c r="K1638" t="str">
        <f t="shared" si="126"/>
        <v/>
      </c>
    </row>
    <row r="1639" spans="3:12" x14ac:dyDescent="0.25">
      <c r="C1639" t="s">
        <v>1864</v>
      </c>
      <c r="D1639" t="s">
        <v>1864</v>
      </c>
      <c r="E1639" t="s">
        <v>3494</v>
      </c>
      <c r="F1639" t="s">
        <v>1309</v>
      </c>
      <c r="G1639" t="str">
        <f t="shared" si="128"/>
        <v>H</v>
      </c>
      <c r="H1639" t="str">
        <f t="shared" si="128"/>
        <v>52</v>
      </c>
      <c r="I1639" t="str">
        <f t="shared" si="128"/>
        <v>523</v>
      </c>
      <c r="J1639" t="str">
        <f t="shared" si="128"/>
        <v>52311</v>
      </c>
      <c r="K1639" t="str">
        <f t="shared" si="126"/>
        <v>5231101</v>
      </c>
      <c r="L1639">
        <v>0</v>
      </c>
    </row>
    <row r="1640" spans="3:12" x14ac:dyDescent="0.25">
      <c r="C1640" t="s">
        <v>1864</v>
      </c>
      <c r="D1640" t="s">
        <v>1864</v>
      </c>
      <c r="E1640" t="s">
        <v>3495</v>
      </c>
      <c r="F1640" t="s">
        <v>1310</v>
      </c>
      <c r="G1640" t="str">
        <f t="shared" si="128"/>
        <v>H</v>
      </c>
      <c r="H1640" t="str">
        <f t="shared" si="128"/>
        <v>52</v>
      </c>
      <c r="I1640" t="str">
        <f t="shared" si="128"/>
        <v>523</v>
      </c>
      <c r="J1640" t="str">
        <f t="shared" si="128"/>
        <v>52311</v>
      </c>
      <c r="K1640" t="str">
        <f t="shared" si="126"/>
        <v>5231102</v>
      </c>
      <c r="L1640">
        <v>0</v>
      </c>
    </row>
    <row r="1641" spans="3:12" x14ac:dyDescent="0.25">
      <c r="C1641" t="s">
        <v>1864</v>
      </c>
      <c r="D1641" t="s">
        <v>1864</v>
      </c>
      <c r="E1641" t="s">
        <v>3496</v>
      </c>
      <c r="F1641" t="s">
        <v>1311</v>
      </c>
      <c r="G1641" t="str">
        <f t="shared" ref="G1641:J1656" si="129">IF(A1641="",G1640,A1641)</f>
        <v>H</v>
      </c>
      <c r="H1641" t="str">
        <f t="shared" si="129"/>
        <v>52</v>
      </c>
      <c r="I1641" t="str">
        <f t="shared" si="129"/>
        <v>523</v>
      </c>
      <c r="J1641" t="str">
        <f t="shared" si="129"/>
        <v>52311</v>
      </c>
      <c r="K1641" t="str">
        <f t="shared" si="126"/>
        <v>5231103</v>
      </c>
      <c r="L1641">
        <v>0</v>
      </c>
    </row>
    <row r="1642" spans="3:12" x14ac:dyDescent="0.25">
      <c r="C1642" t="s">
        <v>1864</v>
      </c>
      <c r="D1642" t="s">
        <v>3497</v>
      </c>
      <c r="E1642" t="s">
        <v>1864</v>
      </c>
      <c r="F1642" t="s">
        <v>1312</v>
      </c>
      <c r="G1642" t="str">
        <f t="shared" si="129"/>
        <v>H</v>
      </c>
      <c r="H1642" t="str">
        <f t="shared" si="129"/>
        <v>52</v>
      </c>
      <c r="I1642" t="str">
        <f t="shared" si="129"/>
        <v>523</v>
      </c>
      <c r="J1642" t="str">
        <f t="shared" si="129"/>
        <v>52320</v>
      </c>
      <c r="K1642" t="str">
        <f t="shared" si="126"/>
        <v/>
      </c>
    </row>
    <row r="1643" spans="3:12" x14ac:dyDescent="0.25">
      <c r="C1643" t="s">
        <v>1864</v>
      </c>
      <c r="D1643" t="s">
        <v>1864</v>
      </c>
      <c r="E1643" t="s">
        <v>3498</v>
      </c>
      <c r="F1643" t="s">
        <v>1312</v>
      </c>
      <c r="G1643" t="str">
        <f t="shared" si="129"/>
        <v>H</v>
      </c>
      <c r="H1643" t="str">
        <f t="shared" si="129"/>
        <v>52</v>
      </c>
      <c r="I1643" t="str">
        <f t="shared" si="129"/>
        <v>523</v>
      </c>
      <c r="J1643" t="str">
        <f t="shared" si="129"/>
        <v>52320</v>
      </c>
      <c r="K1643" t="str">
        <f t="shared" si="126"/>
        <v>5232000</v>
      </c>
      <c r="L1643">
        <v>0</v>
      </c>
    </row>
    <row r="1644" spans="3:12" x14ac:dyDescent="0.25">
      <c r="C1644" t="s">
        <v>1864</v>
      </c>
      <c r="D1644" t="s">
        <v>3499</v>
      </c>
      <c r="E1644" t="s">
        <v>1864</v>
      </c>
      <c r="F1644" t="s">
        <v>1313</v>
      </c>
      <c r="G1644" t="str">
        <f t="shared" si="129"/>
        <v>H</v>
      </c>
      <c r="H1644" t="str">
        <f t="shared" si="129"/>
        <v>52</v>
      </c>
      <c r="I1644" t="str">
        <f t="shared" si="129"/>
        <v>523</v>
      </c>
      <c r="J1644" t="str">
        <f t="shared" si="129"/>
        <v>52397</v>
      </c>
      <c r="K1644" t="str">
        <f t="shared" si="126"/>
        <v/>
      </c>
    </row>
    <row r="1645" spans="3:12" x14ac:dyDescent="0.25">
      <c r="C1645" t="s">
        <v>1864</v>
      </c>
      <c r="D1645" t="s">
        <v>1864</v>
      </c>
      <c r="E1645" t="s">
        <v>3500</v>
      </c>
      <c r="F1645" t="s">
        <v>1314</v>
      </c>
      <c r="G1645" t="str">
        <f t="shared" si="129"/>
        <v>H</v>
      </c>
      <c r="H1645" t="str">
        <f t="shared" si="129"/>
        <v>52</v>
      </c>
      <c r="I1645" t="str">
        <f t="shared" si="129"/>
        <v>523</v>
      </c>
      <c r="J1645" t="str">
        <f t="shared" si="129"/>
        <v>52397</v>
      </c>
      <c r="K1645" t="str">
        <f t="shared" si="126"/>
        <v>5239701</v>
      </c>
      <c r="L1645">
        <v>0</v>
      </c>
    </row>
    <row r="1646" spans="3:12" x14ac:dyDescent="0.25">
      <c r="C1646" t="s">
        <v>1864</v>
      </c>
      <c r="D1646" t="s">
        <v>1864</v>
      </c>
      <c r="E1646" t="s">
        <v>3501</v>
      </c>
      <c r="F1646" t="s">
        <v>1313</v>
      </c>
      <c r="G1646" t="str">
        <f t="shared" si="129"/>
        <v>H</v>
      </c>
      <c r="H1646" t="str">
        <f t="shared" si="129"/>
        <v>52</v>
      </c>
      <c r="I1646" t="str">
        <f t="shared" si="129"/>
        <v>523</v>
      </c>
      <c r="J1646" t="str">
        <f t="shared" si="129"/>
        <v>52397</v>
      </c>
      <c r="K1646" t="str">
        <f t="shared" si="126"/>
        <v>5239799</v>
      </c>
      <c r="L1646">
        <v>0</v>
      </c>
    </row>
    <row r="1647" spans="3:12" x14ac:dyDescent="0.25">
      <c r="C1647" t="s">
        <v>3502</v>
      </c>
      <c r="D1647" t="s">
        <v>1864</v>
      </c>
      <c r="E1647" t="s">
        <v>1864</v>
      </c>
      <c r="F1647" t="s">
        <v>1315</v>
      </c>
      <c r="G1647" t="str">
        <f t="shared" si="129"/>
        <v>H</v>
      </c>
      <c r="H1647" t="str">
        <f t="shared" si="129"/>
        <v>52</v>
      </c>
      <c r="I1647" t="str">
        <f t="shared" si="129"/>
        <v>524</v>
      </c>
      <c r="J1647" t="str">
        <f t="shared" si="129"/>
        <v>52397</v>
      </c>
      <c r="K1647" t="str">
        <f t="shared" si="126"/>
        <v/>
      </c>
    </row>
    <row r="1648" spans="3:12" x14ac:dyDescent="0.25">
      <c r="C1648" t="s">
        <v>1864</v>
      </c>
      <c r="D1648" t="s">
        <v>3503</v>
      </c>
      <c r="E1648" t="s">
        <v>1864</v>
      </c>
      <c r="F1648" t="s">
        <v>1315</v>
      </c>
      <c r="G1648" t="str">
        <f t="shared" si="129"/>
        <v>H</v>
      </c>
      <c r="H1648" t="str">
        <f t="shared" si="129"/>
        <v>52</v>
      </c>
      <c r="I1648" t="str">
        <f t="shared" si="129"/>
        <v>524</v>
      </c>
      <c r="J1648" t="str">
        <f t="shared" si="129"/>
        <v>52401</v>
      </c>
      <c r="K1648" t="str">
        <f t="shared" si="126"/>
        <v/>
      </c>
    </row>
    <row r="1649" spans="2:12" x14ac:dyDescent="0.25">
      <c r="C1649" t="s">
        <v>1864</v>
      </c>
      <c r="D1649" t="s">
        <v>1864</v>
      </c>
      <c r="E1649" t="s">
        <v>3504</v>
      </c>
      <c r="F1649" t="s">
        <v>1316</v>
      </c>
      <c r="G1649" t="str">
        <f t="shared" si="129"/>
        <v>H</v>
      </c>
      <c r="H1649" t="str">
        <f t="shared" si="129"/>
        <v>52</v>
      </c>
      <c r="I1649" t="str">
        <f t="shared" si="129"/>
        <v>524</v>
      </c>
      <c r="J1649" t="str">
        <f t="shared" si="129"/>
        <v>52401</v>
      </c>
      <c r="K1649" t="str">
        <f t="shared" si="126"/>
        <v>5240101</v>
      </c>
      <c r="L1649">
        <v>0</v>
      </c>
    </row>
    <row r="1650" spans="2:12" x14ac:dyDescent="0.25">
      <c r="C1650" t="s">
        <v>1864</v>
      </c>
      <c r="D1650" t="s">
        <v>1864</v>
      </c>
      <c r="E1650" t="s">
        <v>3505</v>
      </c>
      <c r="F1650" t="s">
        <v>1317</v>
      </c>
      <c r="G1650" t="str">
        <f t="shared" si="129"/>
        <v>H</v>
      </c>
      <c r="H1650" t="str">
        <f t="shared" si="129"/>
        <v>52</v>
      </c>
      <c r="I1650" t="str">
        <f t="shared" si="129"/>
        <v>524</v>
      </c>
      <c r="J1650" t="str">
        <f t="shared" si="129"/>
        <v>52401</v>
      </c>
      <c r="K1650" t="str">
        <f t="shared" si="126"/>
        <v>5240199</v>
      </c>
      <c r="L1650">
        <v>0</v>
      </c>
    </row>
    <row r="1651" spans="2:12" x14ac:dyDescent="0.25">
      <c r="C1651" t="s">
        <v>3506</v>
      </c>
      <c r="D1651" t="s">
        <v>1864</v>
      </c>
      <c r="E1651" t="s">
        <v>1864</v>
      </c>
      <c r="F1651" t="s">
        <v>1318</v>
      </c>
      <c r="G1651" t="str">
        <f t="shared" si="129"/>
        <v>H</v>
      </c>
      <c r="H1651" t="str">
        <f t="shared" si="129"/>
        <v>52</v>
      </c>
      <c r="I1651" t="str">
        <f t="shared" si="129"/>
        <v>525</v>
      </c>
      <c r="J1651" t="str">
        <f t="shared" si="129"/>
        <v>52401</v>
      </c>
      <c r="K1651" t="str">
        <f t="shared" si="126"/>
        <v/>
      </c>
    </row>
    <row r="1652" spans="2:12" x14ac:dyDescent="0.25">
      <c r="C1652" t="s">
        <v>1864</v>
      </c>
      <c r="D1652" t="s">
        <v>3507</v>
      </c>
      <c r="E1652" t="s">
        <v>1864</v>
      </c>
      <c r="F1652" t="s">
        <v>1318</v>
      </c>
      <c r="G1652" t="str">
        <f t="shared" si="129"/>
        <v>H</v>
      </c>
      <c r="H1652" t="str">
        <f t="shared" si="129"/>
        <v>52</v>
      </c>
      <c r="I1652" t="str">
        <f t="shared" si="129"/>
        <v>525</v>
      </c>
      <c r="J1652" t="str">
        <f t="shared" si="129"/>
        <v>52508</v>
      </c>
      <c r="K1652" t="str">
        <f t="shared" si="126"/>
        <v/>
      </c>
    </row>
    <row r="1653" spans="2:12" x14ac:dyDescent="0.25">
      <c r="C1653" t="s">
        <v>1864</v>
      </c>
      <c r="D1653" t="s">
        <v>1864</v>
      </c>
      <c r="E1653" t="s">
        <v>3508</v>
      </c>
      <c r="F1653" t="s">
        <v>1319</v>
      </c>
      <c r="G1653" t="str">
        <f t="shared" si="129"/>
        <v>H</v>
      </c>
      <c r="H1653" t="str">
        <f t="shared" si="129"/>
        <v>52</v>
      </c>
      <c r="I1653" t="str">
        <f t="shared" si="129"/>
        <v>525</v>
      </c>
      <c r="J1653" t="str">
        <f t="shared" si="129"/>
        <v>52508</v>
      </c>
      <c r="K1653" t="str">
        <f t="shared" si="126"/>
        <v>5250801</v>
      </c>
      <c r="L1653">
        <v>0</v>
      </c>
    </row>
    <row r="1654" spans="2:12" x14ac:dyDescent="0.25">
      <c r="C1654" t="s">
        <v>1864</v>
      </c>
      <c r="D1654" t="s">
        <v>1864</v>
      </c>
      <c r="E1654" t="s">
        <v>3509</v>
      </c>
      <c r="F1654" t="s">
        <v>1320</v>
      </c>
      <c r="G1654" t="str">
        <f t="shared" si="129"/>
        <v>H</v>
      </c>
      <c r="H1654" t="str">
        <f t="shared" si="129"/>
        <v>52</v>
      </c>
      <c r="I1654" t="str">
        <f t="shared" si="129"/>
        <v>525</v>
      </c>
      <c r="J1654" t="str">
        <f t="shared" si="129"/>
        <v>52508</v>
      </c>
      <c r="K1654" t="str">
        <f t="shared" si="126"/>
        <v>5250802</v>
      </c>
      <c r="L1654">
        <v>0</v>
      </c>
    </row>
    <row r="1655" spans="2:12" x14ac:dyDescent="0.25">
      <c r="C1655" t="s">
        <v>1864</v>
      </c>
      <c r="D1655" t="s">
        <v>1864</v>
      </c>
      <c r="E1655" t="s">
        <v>3510</v>
      </c>
      <c r="F1655" t="s">
        <v>1321</v>
      </c>
      <c r="G1655" t="str">
        <f t="shared" si="129"/>
        <v>H</v>
      </c>
      <c r="H1655" t="str">
        <f t="shared" si="129"/>
        <v>52</v>
      </c>
      <c r="I1655" t="str">
        <f t="shared" si="129"/>
        <v>525</v>
      </c>
      <c r="J1655" t="str">
        <f t="shared" si="129"/>
        <v>52508</v>
      </c>
      <c r="K1655" t="str">
        <f t="shared" si="126"/>
        <v>5250803</v>
      </c>
      <c r="L1655">
        <v>0</v>
      </c>
    </row>
    <row r="1656" spans="2:12" x14ac:dyDescent="0.25">
      <c r="C1656" t="s">
        <v>1864</v>
      </c>
      <c r="D1656" t="s">
        <v>1864</v>
      </c>
      <c r="E1656" t="s">
        <v>3511</v>
      </c>
      <c r="F1656" t="s">
        <v>1322</v>
      </c>
      <c r="G1656" t="str">
        <f t="shared" si="129"/>
        <v>H</v>
      </c>
      <c r="H1656" t="str">
        <f t="shared" si="129"/>
        <v>52</v>
      </c>
      <c r="I1656" t="str">
        <f t="shared" si="129"/>
        <v>525</v>
      </c>
      <c r="J1656" t="str">
        <f t="shared" si="129"/>
        <v>52508</v>
      </c>
      <c r="K1656" t="str">
        <f t="shared" si="126"/>
        <v>5250804</v>
      </c>
      <c r="L1656">
        <v>0</v>
      </c>
    </row>
    <row r="1657" spans="2:12" x14ac:dyDescent="0.25">
      <c r="C1657" t="s">
        <v>1864</v>
      </c>
      <c r="D1657" t="s">
        <v>1864</v>
      </c>
      <c r="E1657" t="s">
        <v>3512</v>
      </c>
      <c r="F1657" t="s">
        <v>1323</v>
      </c>
      <c r="G1657" t="str">
        <f t="shared" ref="G1657:J1672" si="130">IF(A1657="",G1656,A1657)</f>
        <v>H</v>
      </c>
      <c r="H1657" t="str">
        <f t="shared" si="130"/>
        <v>52</v>
      </c>
      <c r="I1657" t="str">
        <f t="shared" si="130"/>
        <v>525</v>
      </c>
      <c r="J1657" t="str">
        <f t="shared" si="130"/>
        <v>52508</v>
      </c>
      <c r="K1657" t="str">
        <f t="shared" si="126"/>
        <v>5250805</v>
      </c>
      <c r="L1657">
        <v>0</v>
      </c>
    </row>
    <row r="1658" spans="2:12" x14ac:dyDescent="0.25">
      <c r="B1658" t="s">
        <v>3513</v>
      </c>
      <c r="C1658" t="s">
        <v>1864</v>
      </c>
      <c r="D1658" t="s">
        <v>1864</v>
      </c>
      <c r="E1658" t="s">
        <v>1864</v>
      </c>
      <c r="F1658" t="s">
        <v>1324</v>
      </c>
      <c r="G1658" t="str">
        <f t="shared" si="130"/>
        <v>H</v>
      </c>
      <c r="H1658" t="str">
        <f t="shared" si="130"/>
        <v>53</v>
      </c>
      <c r="I1658" t="str">
        <f t="shared" si="130"/>
        <v>525</v>
      </c>
      <c r="J1658" t="str">
        <f t="shared" si="130"/>
        <v>52508</v>
      </c>
      <c r="K1658" t="str">
        <f t="shared" si="126"/>
        <v/>
      </c>
    </row>
    <row r="1659" spans="2:12" x14ac:dyDescent="0.25">
      <c r="C1659" t="s">
        <v>3514</v>
      </c>
      <c r="D1659" t="s">
        <v>1864</v>
      </c>
      <c r="E1659" t="s">
        <v>1864</v>
      </c>
      <c r="F1659" t="s">
        <v>1325</v>
      </c>
      <c r="G1659" t="str">
        <f t="shared" si="130"/>
        <v>H</v>
      </c>
      <c r="H1659" t="str">
        <f t="shared" si="130"/>
        <v>53</v>
      </c>
      <c r="I1659" t="str">
        <f t="shared" si="130"/>
        <v>531</v>
      </c>
      <c r="J1659" t="str">
        <f t="shared" si="130"/>
        <v>52508</v>
      </c>
      <c r="K1659" t="str">
        <f t="shared" si="126"/>
        <v/>
      </c>
    </row>
    <row r="1660" spans="2:12" x14ac:dyDescent="0.25">
      <c r="C1660" t="s">
        <v>1864</v>
      </c>
      <c r="D1660" t="s">
        <v>3515</v>
      </c>
      <c r="E1660" t="s">
        <v>1864</v>
      </c>
      <c r="F1660" t="s">
        <v>1325</v>
      </c>
      <c r="G1660" t="str">
        <f t="shared" si="130"/>
        <v>H</v>
      </c>
      <c r="H1660" t="str">
        <f t="shared" si="130"/>
        <v>53</v>
      </c>
      <c r="I1660" t="str">
        <f t="shared" si="130"/>
        <v>531</v>
      </c>
      <c r="J1660" t="str">
        <f t="shared" si="130"/>
        <v>53105</v>
      </c>
      <c r="K1660" t="str">
        <f t="shared" si="126"/>
        <v/>
      </c>
    </row>
    <row r="1661" spans="2:12" x14ac:dyDescent="0.25">
      <c r="C1661" t="s">
        <v>1864</v>
      </c>
      <c r="D1661" t="s">
        <v>1864</v>
      </c>
      <c r="E1661" t="s">
        <v>3516</v>
      </c>
      <c r="F1661" t="s">
        <v>1326</v>
      </c>
      <c r="G1661" t="str">
        <f t="shared" si="130"/>
        <v>H</v>
      </c>
      <c r="H1661" t="str">
        <f t="shared" si="130"/>
        <v>53</v>
      </c>
      <c r="I1661" t="str">
        <f t="shared" si="130"/>
        <v>531</v>
      </c>
      <c r="J1661" t="str">
        <f t="shared" si="130"/>
        <v>53105</v>
      </c>
      <c r="K1661" t="str">
        <f t="shared" si="126"/>
        <v>5310501</v>
      </c>
      <c r="L1661">
        <v>0</v>
      </c>
    </row>
    <row r="1662" spans="2:12" x14ac:dyDescent="0.25">
      <c r="C1662" t="s">
        <v>1864</v>
      </c>
      <c r="D1662" t="s">
        <v>1864</v>
      </c>
      <c r="E1662" t="s">
        <v>3517</v>
      </c>
      <c r="F1662" t="s">
        <v>1327</v>
      </c>
      <c r="G1662" t="str">
        <f t="shared" si="130"/>
        <v>H</v>
      </c>
      <c r="H1662" t="str">
        <f t="shared" si="130"/>
        <v>53</v>
      </c>
      <c r="I1662" t="str">
        <f t="shared" si="130"/>
        <v>531</v>
      </c>
      <c r="J1662" t="str">
        <f t="shared" si="130"/>
        <v>53105</v>
      </c>
      <c r="K1662" t="str">
        <f t="shared" si="126"/>
        <v>5310502</v>
      </c>
      <c r="L1662">
        <v>0</v>
      </c>
    </row>
    <row r="1663" spans="2:12" x14ac:dyDescent="0.25">
      <c r="C1663" t="s">
        <v>3518</v>
      </c>
      <c r="D1663" t="s">
        <v>1864</v>
      </c>
      <c r="E1663" t="s">
        <v>1864</v>
      </c>
      <c r="F1663" t="s">
        <v>1328</v>
      </c>
      <c r="G1663" t="str">
        <f t="shared" si="130"/>
        <v>H</v>
      </c>
      <c r="H1663" t="str">
        <f t="shared" si="130"/>
        <v>53</v>
      </c>
      <c r="I1663" t="str">
        <f t="shared" si="130"/>
        <v>532</v>
      </c>
      <c r="J1663" t="str">
        <f t="shared" si="130"/>
        <v>53105</v>
      </c>
      <c r="K1663" t="str">
        <f t="shared" si="126"/>
        <v/>
      </c>
    </row>
    <row r="1664" spans="2:12" x14ac:dyDescent="0.25">
      <c r="C1664" t="s">
        <v>1864</v>
      </c>
      <c r="D1664" t="s">
        <v>3519</v>
      </c>
      <c r="E1664" t="s">
        <v>1864</v>
      </c>
      <c r="F1664" t="s">
        <v>1328</v>
      </c>
      <c r="G1664" t="str">
        <f t="shared" si="130"/>
        <v>H</v>
      </c>
      <c r="H1664" t="str">
        <f t="shared" si="130"/>
        <v>53</v>
      </c>
      <c r="I1664" t="str">
        <f t="shared" si="130"/>
        <v>532</v>
      </c>
      <c r="J1664" t="str">
        <f t="shared" si="130"/>
        <v>53202</v>
      </c>
      <c r="K1664" t="str">
        <f t="shared" si="126"/>
        <v/>
      </c>
    </row>
    <row r="1665" spans="1:12" x14ac:dyDescent="0.25">
      <c r="C1665" t="s">
        <v>1864</v>
      </c>
      <c r="D1665" t="s">
        <v>1864</v>
      </c>
      <c r="E1665" t="s">
        <v>3520</v>
      </c>
      <c r="F1665" t="s">
        <v>1329</v>
      </c>
      <c r="G1665" t="str">
        <f t="shared" si="130"/>
        <v>H</v>
      </c>
      <c r="H1665" t="str">
        <f t="shared" si="130"/>
        <v>53</v>
      </c>
      <c r="I1665" t="str">
        <f t="shared" si="130"/>
        <v>532</v>
      </c>
      <c r="J1665" t="str">
        <f t="shared" si="130"/>
        <v>53202</v>
      </c>
      <c r="K1665" t="str">
        <f t="shared" si="126"/>
        <v>5320201</v>
      </c>
      <c r="L1665">
        <v>0</v>
      </c>
    </row>
    <row r="1666" spans="1:12" x14ac:dyDescent="0.25">
      <c r="C1666" t="s">
        <v>1864</v>
      </c>
      <c r="D1666" t="s">
        <v>1864</v>
      </c>
      <c r="E1666" t="s">
        <v>3521</v>
      </c>
      <c r="F1666" t="s">
        <v>1330</v>
      </c>
      <c r="G1666" t="str">
        <f t="shared" si="130"/>
        <v>H</v>
      </c>
      <c r="H1666" t="str">
        <f t="shared" si="130"/>
        <v>53</v>
      </c>
      <c r="I1666" t="str">
        <f t="shared" si="130"/>
        <v>532</v>
      </c>
      <c r="J1666" t="str">
        <f t="shared" si="130"/>
        <v>53202</v>
      </c>
      <c r="K1666" t="str">
        <f t="shared" si="126"/>
        <v>5320202</v>
      </c>
      <c r="L1666">
        <v>0</v>
      </c>
    </row>
    <row r="1667" spans="1:12" x14ac:dyDescent="0.25">
      <c r="A1667" t="s">
        <v>3522</v>
      </c>
      <c r="C1667" t="s">
        <v>1864</v>
      </c>
      <c r="D1667" t="s">
        <v>1864</v>
      </c>
      <c r="E1667" t="s">
        <v>1864</v>
      </c>
      <c r="F1667" t="s">
        <v>1331</v>
      </c>
      <c r="G1667" t="str">
        <f t="shared" si="130"/>
        <v>I</v>
      </c>
      <c r="H1667" t="str">
        <f t="shared" si="130"/>
        <v>53</v>
      </c>
      <c r="I1667" t="str">
        <f t="shared" si="130"/>
        <v>532</v>
      </c>
      <c r="J1667" t="str">
        <f t="shared" si="130"/>
        <v>53202</v>
      </c>
      <c r="K1667" t="str">
        <f t="shared" si="126"/>
        <v/>
      </c>
    </row>
    <row r="1668" spans="1:12" x14ac:dyDescent="0.25">
      <c r="B1668" t="s">
        <v>3523</v>
      </c>
      <c r="C1668" t="s">
        <v>1864</v>
      </c>
      <c r="D1668" t="s">
        <v>1864</v>
      </c>
      <c r="E1668" t="s">
        <v>1864</v>
      </c>
      <c r="F1668" t="s">
        <v>1332</v>
      </c>
      <c r="G1668" t="str">
        <f t="shared" si="130"/>
        <v>I</v>
      </c>
      <c r="H1668" t="str">
        <f t="shared" si="130"/>
        <v>55</v>
      </c>
      <c r="I1668" t="str">
        <f t="shared" si="130"/>
        <v>532</v>
      </c>
      <c r="J1668" t="str">
        <f t="shared" si="130"/>
        <v>53202</v>
      </c>
      <c r="K1668" t="str">
        <f t="shared" si="126"/>
        <v/>
      </c>
    </row>
    <row r="1669" spans="1:12" x14ac:dyDescent="0.25">
      <c r="C1669" t="s">
        <v>3524</v>
      </c>
      <c r="D1669" t="s">
        <v>1864</v>
      </c>
      <c r="E1669" t="s">
        <v>1864</v>
      </c>
      <c r="F1669" t="s">
        <v>1333</v>
      </c>
      <c r="G1669" t="str">
        <f t="shared" si="130"/>
        <v>I</v>
      </c>
      <c r="H1669" t="str">
        <f t="shared" si="130"/>
        <v>55</v>
      </c>
      <c r="I1669" t="str">
        <f t="shared" si="130"/>
        <v>551</v>
      </c>
      <c r="J1669" t="str">
        <f t="shared" si="130"/>
        <v>53202</v>
      </c>
      <c r="K1669" t="str">
        <f t="shared" si="126"/>
        <v/>
      </c>
    </row>
    <row r="1670" spans="1:12" x14ac:dyDescent="0.25">
      <c r="C1670" t="s">
        <v>1864</v>
      </c>
      <c r="D1670" t="s">
        <v>3525</v>
      </c>
      <c r="E1670" t="s">
        <v>1864</v>
      </c>
      <c r="F1670" t="s">
        <v>1333</v>
      </c>
      <c r="G1670" t="str">
        <f t="shared" si="130"/>
        <v>I</v>
      </c>
      <c r="H1670" t="str">
        <f t="shared" si="130"/>
        <v>55</v>
      </c>
      <c r="I1670" t="str">
        <f t="shared" si="130"/>
        <v>551</v>
      </c>
      <c r="J1670" t="str">
        <f t="shared" si="130"/>
        <v>55108</v>
      </c>
      <c r="K1670" t="str">
        <f t="shared" si="126"/>
        <v/>
      </c>
    </row>
    <row r="1671" spans="1:12" x14ac:dyDescent="0.25">
      <c r="C1671" t="s">
        <v>1864</v>
      </c>
      <c r="D1671" t="s">
        <v>1864</v>
      </c>
      <c r="E1671" t="s">
        <v>3526</v>
      </c>
      <c r="F1671" s="1" t="s">
        <v>1334</v>
      </c>
      <c r="G1671" t="str">
        <f t="shared" si="130"/>
        <v>I</v>
      </c>
      <c r="H1671" t="str">
        <f t="shared" si="130"/>
        <v>55</v>
      </c>
      <c r="I1671" t="str">
        <f t="shared" si="130"/>
        <v>551</v>
      </c>
      <c r="J1671" t="str">
        <f t="shared" si="130"/>
        <v>55108</v>
      </c>
      <c r="K1671" t="str">
        <f t="shared" si="126"/>
        <v>5510801</v>
      </c>
      <c r="L1671">
        <v>1</v>
      </c>
    </row>
    <row r="1672" spans="1:12" x14ac:dyDescent="0.25">
      <c r="C1672" t="s">
        <v>1864</v>
      </c>
      <c r="D1672" t="s">
        <v>1864</v>
      </c>
      <c r="E1672" t="s">
        <v>3527</v>
      </c>
      <c r="F1672" s="1" t="s">
        <v>1335</v>
      </c>
      <c r="G1672" t="str">
        <f t="shared" si="130"/>
        <v>I</v>
      </c>
      <c r="H1672" t="str">
        <f t="shared" si="130"/>
        <v>55</v>
      </c>
      <c r="I1672" t="str">
        <f t="shared" si="130"/>
        <v>551</v>
      </c>
      <c r="J1672" t="str">
        <f t="shared" si="130"/>
        <v>55108</v>
      </c>
      <c r="K1672" t="str">
        <f t="shared" ref="K1672:K1735" si="131">E1672</f>
        <v>5510802</v>
      </c>
      <c r="L1672">
        <v>1</v>
      </c>
    </row>
    <row r="1673" spans="1:12" x14ac:dyDescent="0.25">
      <c r="C1673" t="s">
        <v>1864</v>
      </c>
      <c r="D1673" t="s">
        <v>1864</v>
      </c>
      <c r="E1673" t="s">
        <v>3528</v>
      </c>
      <c r="F1673" s="1" t="s">
        <v>1336</v>
      </c>
      <c r="G1673" t="str">
        <f t="shared" ref="G1673:J1688" si="132">IF(A1673="",G1672,A1673)</f>
        <v>I</v>
      </c>
      <c r="H1673" t="str">
        <f t="shared" si="132"/>
        <v>55</v>
      </c>
      <c r="I1673" t="str">
        <f t="shared" si="132"/>
        <v>551</v>
      </c>
      <c r="J1673" t="str">
        <f t="shared" si="132"/>
        <v>55108</v>
      </c>
      <c r="K1673" t="str">
        <f t="shared" si="131"/>
        <v>5510803</v>
      </c>
      <c r="L1673">
        <v>1</v>
      </c>
    </row>
    <row r="1674" spans="1:12" x14ac:dyDescent="0.25">
      <c r="C1674" t="s">
        <v>3529</v>
      </c>
      <c r="D1674" t="s">
        <v>1864</v>
      </c>
      <c r="E1674" t="s">
        <v>1864</v>
      </c>
      <c r="F1674" s="1" t="s">
        <v>1337</v>
      </c>
      <c r="G1674" t="str">
        <f t="shared" si="132"/>
        <v>I</v>
      </c>
      <c r="H1674" t="str">
        <f t="shared" si="132"/>
        <v>55</v>
      </c>
      <c r="I1674" t="str">
        <f t="shared" si="132"/>
        <v>559</v>
      </c>
      <c r="J1674" t="str">
        <f t="shared" si="132"/>
        <v>55108</v>
      </c>
      <c r="K1674" t="str">
        <f t="shared" si="131"/>
        <v/>
      </c>
    </row>
    <row r="1675" spans="1:12" x14ac:dyDescent="0.25">
      <c r="C1675" t="s">
        <v>1864</v>
      </c>
      <c r="D1675" t="s">
        <v>3530</v>
      </c>
      <c r="E1675" t="s">
        <v>1864</v>
      </c>
      <c r="F1675" s="1" t="s">
        <v>1337</v>
      </c>
      <c r="G1675" t="str">
        <f t="shared" si="132"/>
        <v>I</v>
      </c>
      <c r="H1675" t="str">
        <f t="shared" si="132"/>
        <v>55</v>
      </c>
      <c r="I1675" t="str">
        <f t="shared" si="132"/>
        <v>559</v>
      </c>
      <c r="J1675" t="str">
        <f t="shared" si="132"/>
        <v>55906</v>
      </c>
      <c r="K1675" t="str">
        <f t="shared" si="131"/>
        <v/>
      </c>
    </row>
    <row r="1676" spans="1:12" x14ac:dyDescent="0.25">
      <c r="C1676" t="s">
        <v>1864</v>
      </c>
      <c r="D1676" t="s">
        <v>1864</v>
      </c>
      <c r="E1676" t="s">
        <v>3531</v>
      </c>
      <c r="F1676" s="1" t="s">
        <v>1338</v>
      </c>
      <c r="G1676" t="str">
        <f t="shared" si="132"/>
        <v>I</v>
      </c>
      <c r="H1676" t="str">
        <f t="shared" si="132"/>
        <v>55</v>
      </c>
      <c r="I1676" t="str">
        <f t="shared" si="132"/>
        <v>559</v>
      </c>
      <c r="J1676" t="str">
        <f t="shared" si="132"/>
        <v>55906</v>
      </c>
      <c r="K1676" t="str">
        <f t="shared" si="131"/>
        <v>5590601</v>
      </c>
      <c r="L1676">
        <v>1</v>
      </c>
    </row>
    <row r="1677" spans="1:12" x14ac:dyDescent="0.25">
      <c r="C1677" t="s">
        <v>1864</v>
      </c>
      <c r="D1677" t="s">
        <v>1864</v>
      </c>
      <c r="E1677" t="s">
        <v>3532</v>
      </c>
      <c r="F1677" s="1" t="s">
        <v>1339</v>
      </c>
      <c r="G1677" t="str">
        <f t="shared" si="132"/>
        <v>I</v>
      </c>
      <c r="H1677" t="str">
        <f t="shared" si="132"/>
        <v>55</v>
      </c>
      <c r="I1677" t="str">
        <f t="shared" si="132"/>
        <v>559</v>
      </c>
      <c r="J1677" t="str">
        <f t="shared" si="132"/>
        <v>55906</v>
      </c>
      <c r="K1677" t="str">
        <f t="shared" si="131"/>
        <v>5590602</v>
      </c>
      <c r="L1677">
        <v>1</v>
      </c>
    </row>
    <row r="1678" spans="1:12" x14ac:dyDescent="0.25">
      <c r="C1678" t="s">
        <v>1864</v>
      </c>
      <c r="D1678" t="s">
        <v>1864</v>
      </c>
      <c r="E1678" t="s">
        <v>3533</v>
      </c>
      <c r="F1678" s="1" t="s">
        <v>1340</v>
      </c>
      <c r="G1678" t="str">
        <f t="shared" si="132"/>
        <v>I</v>
      </c>
      <c r="H1678" t="str">
        <f t="shared" si="132"/>
        <v>55</v>
      </c>
      <c r="I1678" t="str">
        <f t="shared" si="132"/>
        <v>559</v>
      </c>
      <c r="J1678" t="str">
        <f t="shared" si="132"/>
        <v>55906</v>
      </c>
      <c r="K1678" t="str">
        <f t="shared" si="131"/>
        <v>5590603</v>
      </c>
      <c r="L1678">
        <v>1</v>
      </c>
    </row>
    <row r="1679" spans="1:12" x14ac:dyDescent="0.25">
      <c r="C1679" t="s">
        <v>1864</v>
      </c>
      <c r="D1679" t="s">
        <v>1864</v>
      </c>
      <c r="E1679" t="s">
        <v>3534</v>
      </c>
      <c r="F1679" s="1" t="s">
        <v>1341</v>
      </c>
      <c r="G1679" t="str">
        <f t="shared" si="132"/>
        <v>I</v>
      </c>
      <c r="H1679" t="str">
        <f t="shared" si="132"/>
        <v>55</v>
      </c>
      <c r="I1679" t="str">
        <f t="shared" si="132"/>
        <v>559</v>
      </c>
      <c r="J1679" t="str">
        <f t="shared" si="132"/>
        <v>55906</v>
      </c>
      <c r="K1679" t="str">
        <f t="shared" si="131"/>
        <v>5590699</v>
      </c>
      <c r="L1679">
        <v>1</v>
      </c>
    </row>
    <row r="1680" spans="1:12" x14ac:dyDescent="0.25">
      <c r="B1680" t="s">
        <v>3535</v>
      </c>
      <c r="C1680" t="s">
        <v>1864</v>
      </c>
      <c r="D1680" t="s">
        <v>1864</v>
      </c>
      <c r="E1680" t="s">
        <v>1864</v>
      </c>
      <c r="F1680" s="1" t="s">
        <v>1342</v>
      </c>
      <c r="G1680" t="str">
        <f t="shared" si="132"/>
        <v>I</v>
      </c>
      <c r="H1680" t="str">
        <f t="shared" si="132"/>
        <v>56</v>
      </c>
      <c r="I1680" t="str">
        <f t="shared" si="132"/>
        <v>559</v>
      </c>
      <c r="J1680" t="str">
        <f t="shared" si="132"/>
        <v>55906</v>
      </c>
      <c r="K1680" t="str">
        <f t="shared" si="131"/>
        <v/>
      </c>
    </row>
    <row r="1681" spans="1:12" x14ac:dyDescent="0.25">
      <c r="C1681" t="s">
        <v>3536</v>
      </c>
      <c r="D1681" t="s">
        <v>1864</v>
      </c>
      <c r="E1681" t="s">
        <v>1864</v>
      </c>
      <c r="F1681" s="1" t="s">
        <v>1343</v>
      </c>
      <c r="G1681" t="str">
        <f t="shared" si="132"/>
        <v>I</v>
      </c>
      <c r="H1681" t="str">
        <f t="shared" si="132"/>
        <v>56</v>
      </c>
      <c r="I1681" t="str">
        <f t="shared" si="132"/>
        <v>561</v>
      </c>
      <c r="J1681" t="str">
        <f t="shared" si="132"/>
        <v>55906</v>
      </c>
      <c r="K1681" t="str">
        <f t="shared" si="131"/>
        <v/>
      </c>
    </row>
    <row r="1682" spans="1:12" x14ac:dyDescent="0.25">
      <c r="C1682" t="s">
        <v>1864</v>
      </c>
      <c r="D1682" t="s">
        <v>3537</v>
      </c>
      <c r="E1682" t="s">
        <v>1864</v>
      </c>
      <c r="F1682" s="1" t="s">
        <v>1344</v>
      </c>
      <c r="G1682" t="str">
        <f t="shared" si="132"/>
        <v>I</v>
      </c>
      <c r="H1682" t="str">
        <f t="shared" si="132"/>
        <v>56</v>
      </c>
      <c r="I1682" t="str">
        <f t="shared" si="132"/>
        <v>561</v>
      </c>
      <c r="J1682" t="str">
        <f t="shared" si="132"/>
        <v>56112</v>
      </c>
      <c r="K1682" t="str">
        <f t="shared" si="131"/>
        <v/>
      </c>
    </row>
    <row r="1683" spans="1:12" x14ac:dyDescent="0.25">
      <c r="C1683" t="s">
        <v>1864</v>
      </c>
      <c r="D1683" t="s">
        <v>1864</v>
      </c>
      <c r="E1683" t="s">
        <v>3538</v>
      </c>
      <c r="F1683" s="1" t="s">
        <v>1345</v>
      </c>
      <c r="G1683" t="str">
        <f t="shared" si="132"/>
        <v>I</v>
      </c>
      <c r="H1683" t="str">
        <f t="shared" si="132"/>
        <v>56</v>
      </c>
      <c r="I1683" t="str">
        <f t="shared" si="132"/>
        <v>561</v>
      </c>
      <c r="J1683" t="str">
        <f t="shared" si="132"/>
        <v>56112</v>
      </c>
      <c r="K1683" t="str">
        <f t="shared" si="131"/>
        <v>5611201</v>
      </c>
      <c r="L1683">
        <v>1</v>
      </c>
    </row>
    <row r="1684" spans="1:12" x14ac:dyDescent="0.25">
      <c r="C1684" t="s">
        <v>1864</v>
      </c>
      <c r="D1684" t="s">
        <v>1864</v>
      </c>
      <c r="E1684" t="s">
        <v>3539</v>
      </c>
      <c r="F1684" s="1" t="s">
        <v>1346</v>
      </c>
      <c r="G1684" t="str">
        <f t="shared" si="132"/>
        <v>I</v>
      </c>
      <c r="H1684" t="str">
        <f t="shared" si="132"/>
        <v>56</v>
      </c>
      <c r="I1684" t="str">
        <f t="shared" si="132"/>
        <v>561</v>
      </c>
      <c r="J1684" t="str">
        <f t="shared" si="132"/>
        <v>56112</v>
      </c>
      <c r="K1684" t="str">
        <f t="shared" si="131"/>
        <v>5611203</v>
      </c>
      <c r="L1684">
        <v>1</v>
      </c>
    </row>
    <row r="1685" spans="1:12" x14ac:dyDescent="0.25">
      <c r="C1685" t="s">
        <v>1864</v>
      </c>
      <c r="D1685" t="s">
        <v>1864</v>
      </c>
      <c r="E1685" t="s">
        <v>3540</v>
      </c>
      <c r="F1685" t="s">
        <v>1347</v>
      </c>
      <c r="G1685" t="str">
        <f t="shared" si="132"/>
        <v>I</v>
      </c>
      <c r="H1685" t="str">
        <f t="shared" si="132"/>
        <v>56</v>
      </c>
      <c r="I1685" t="str">
        <f t="shared" si="132"/>
        <v>561</v>
      </c>
      <c r="J1685" t="str">
        <f t="shared" si="132"/>
        <v>56112</v>
      </c>
      <c r="K1685" t="str">
        <f t="shared" si="131"/>
        <v>5611204</v>
      </c>
      <c r="L1685">
        <v>0</v>
      </c>
    </row>
    <row r="1686" spans="1:12" x14ac:dyDescent="0.25">
      <c r="C1686" t="s">
        <v>1864</v>
      </c>
      <c r="D1686" t="s">
        <v>1864</v>
      </c>
      <c r="E1686" t="s">
        <v>3541</v>
      </c>
      <c r="F1686" t="s">
        <v>1348</v>
      </c>
      <c r="G1686" t="str">
        <f t="shared" si="132"/>
        <v>I</v>
      </c>
      <c r="H1686" t="str">
        <f t="shared" si="132"/>
        <v>56</v>
      </c>
      <c r="I1686" t="str">
        <f t="shared" si="132"/>
        <v>561</v>
      </c>
      <c r="J1686" t="str">
        <f t="shared" si="132"/>
        <v>56112</v>
      </c>
      <c r="K1686" t="str">
        <f t="shared" si="131"/>
        <v>5611205</v>
      </c>
      <c r="L1686">
        <v>0</v>
      </c>
    </row>
    <row r="1687" spans="1:12" x14ac:dyDescent="0.25">
      <c r="C1687" t="s">
        <v>1864</v>
      </c>
      <c r="D1687" t="s">
        <v>3542</v>
      </c>
      <c r="E1687" t="s">
        <v>1864</v>
      </c>
      <c r="F1687" t="s">
        <v>1349</v>
      </c>
      <c r="G1687" t="str">
        <f t="shared" si="132"/>
        <v>I</v>
      </c>
      <c r="H1687" t="str">
        <f t="shared" si="132"/>
        <v>56</v>
      </c>
      <c r="I1687" t="str">
        <f t="shared" si="132"/>
        <v>561</v>
      </c>
      <c r="J1687" t="str">
        <f t="shared" si="132"/>
        <v>56121</v>
      </c>
      <c r="K1687" t="str">
        <f t="shared" si="131"/>
        <v/>
      </c>
    </row>
    <row r="1688" spans="1:12" x14ac:dyDescent="0.25">
      <c r="C1688" t="s">
        <v>1864</v>
      </c>
      <c r="D1688" t="s">
        <v>1864</v>
      </c>
      <c r="E1688" t="s">
        <v>3543</v>
      </c>
      <c r="F1688" s="1" t="s">
        <v>1349</v>
      </c>
      <c r="G1688" t="str">
        <f t="shared" si="132"/>
        <v>I</v>
      </c>
      <c r="H1688" t="str">
        <f t="shared" si="132"/>
        <v>56</v>
      </c>
      <c r="I1688" t="str">
        <f t="shared" si="132"/>
        <v>561</v>
      </c>
      <c r="J1688" t="str">
        <f t="shared" si="132"/>
        <v>56121</v>
      </c>
      <c r="K1688" t="str">
        <f t="shared" si="131"/>
        <v>5612100</v>
      </c>
      <c r="L1688">
        <v>1</v>
      </c>
    </row>
    <row r="1689" spans="1:12" x14ac:dyDescent="0.25">
      <c r="C1689" t="s">
        <v>3544</v>
      </c>
      <c r="D1689" t="s">
        <v>1864</v>
      </c>
      <c r="E1689" t="s">
        <v>1864</v>
      </c>
      <c r="F1689" s="1" t="s">
        <v>3545</v>
      </c>
      <c r="G1689" t="str">
        <f t="shared" ref="G1689:J1704" si="133">IF(A1689="",G1688,A1689)</f>
        <v>I</v>
      </c>
      <c r="H1689" t="str">
        <f t="shared" si="133"/>
        <v>56</v>
      </c>
      <c r="I1689" t="str">
        <f t="shared" si="133"/>
        <v>562</v>
      </c>
      <c r="J1689" t="str">
        <f t="shared" si="133"/>
        <v>56121</v>
      </c>
      <c r="K1689" t="str">
        <f t="shared" si="131"/>
        <v/>
      </c>
    </row>
    <row r="1690" spans="1:12" x14ac:dyDescent="0.25">
      <c r="C1690" t="s">
        <v>1864</v>
      </c>
      <c r="D1690" t="s">
        <v>3546</v>
      </c>
      <c r="E1690" t="s">
        <v>1864</v>
      </c>
      <c r="F1690" s="1" t="s">
        <v>3545</v>
      </c>
      <c r="G1690" t="str">
        <f t="shared" si="133"/>
        <v>I</v>
      </c>
      <c r="H1690" t="str">
        <f t="shared" si="133"/>
        <v>56</v>
      </c>
      <c r="I1690" t="str">
        <f t="shared" si="133"/>
        <v>562</v>
      </c>
      <c r="J1690" t="str">
        <f t="shared" si="133"/>
        <v>56201</v>
      </c>
      <c r="K1690" t="str">
        <f t="shared" si="131"/>
        <v/>
      </c>
    </row>
    <row r="1691" spans="1:12" x14ac:dyDescent="0.25">
      <c r="C1691" t="s">
        <v>1864</v>
      </c>
      <c r="D1691" t="s">
        <v>1864</v>
      </c>
      <c r="E1691" t="s">
        <v>3547</v>
      </c>
      <c r="F1691" s="1" t="s">
        <v>1350</v>
      </c>
      <c r="G1691" t="str">
        <f t="shared" si="133"/>
        <v>I</v>
      </c>
      <c r="H1691" t="str">
        <f t="shared" si="133"/>
        <v>56</v>
      </c>
      <c r="I1691" t="str">
        <f t="shared" si="133"/>
        <v>562</v>
      </c>
      <c r="J1691" t="str">
        <f t="shared" si="133"/>
        <v>56201</v>
      </c>
      <c r="K1691" t="str">
        <f t="shared" si="131"/>
        <v>5620101</v>
      </c>
      <c r="L1691">
        <v>1</v>
      </c>
    </row>
    <row r="1692" spans="1:12" x14ac:dyDescent="0.25">
      <c r="C1692" t="s">
        <v>1864</v>
      </c>
      <c r="D1692" t="s">
        <v>1864</v>
      </c>
      <c r="E1692" t="s">
        <v>3548</v>
      </c>
      <c r="F1692" s="1" t="s">
        <v>1351</v>
      </c>
      <c r="G1692" t="str">
        <f t="shared" si="133"/>
        <v>I</v>
      </c>
      <c r="H1692" t="str">
        <f t="shared" si="133"/>
        <v>56</v>
      </c>
      <c r="I1692" t="str">
        <f t="shared" si="133"/>
        <v>562</v>
      </c>
      <c r="J1692" t="str">
        <f t="shared" si="133"/>
        <v>56201</v>
      </c>
      <c r="K1692" t="str">
        <f t="shared" si="131"/>
        <v>5620102</v>
      </c>
      <c r="L1692">
        <v>1</v>
      </c>
    </row>
    <row r="1693" spans="1:12" x14ac:dyDescent="0.25">
      <c r="C1693" t="s">
        <v>1864</v>
      </c>
      <c r="D1693" t="s">
        <v>1864</v>
      </c>
      <c r="E1693" t="s">
        <v>3549</v>
      </c>
      <c r="F1693" s="1" t="s">
        <v>1352</v>
      </c>
      <c r="G1693" t="str">
        <f t="shared" si="133"/>
        <v>I</v>
      </c>
      <c r="H1693" t="str">
        <f t="shared" si="133"/>
        <v>56</v>
      </c>
      <c r="I1693" t="str">
        <f t="shared" si="133"/>
        <v>562</v>
      </c>
      <c r="J1693" t="str">
        <f t="shared" si="133"/>
        <v>56201</v>
      </c>
      <c r="K1693" t="str">
        <f t="shared" si="131"/>
        <v>5620103</v>
      </c>
      <c r="L1693">
        <v>1</v>
      </c>
    </row>
    <row r="1694" spans="1:12" x14ac:dyDescent="0.25">
      <c r="C1694" t="s">
        <v>1864</v>
      </c>
      <c r="D1694" t="s">
        <v>1864</v>
      </c>
      <c r="E1694" t="s">
        <v>3550</v>
      </c>
      <c r="F1694" s="1" t="s">
        <v>1353</v>
      </c>
      <c r="G1694" t="str">
        <f t="shared" si="133"/>
        <v>I</v>
      </c>
      <c r="H1694" t="str">
        <f t="shared" si="133"/>
        <v>56</v>
      </c>
      <c r="I1694" t="str">
        <f t="shared" si="133"/>
        <v>562</v>
      </c>
      <c r="J1694" t="str">
        <f t="shared" si="133"/>
        <v>56201</v>
      </c>
      <c r="K1694" t="str">
        <f t="shared" si="131"/>
        <v>5620104</v>
      </c>
      <c r="L1694">
        <v>1</v>
      </c>
    </row>
    <row r="1695" spans="1:12" x14ac:dyDescent="0.25">
      <c r="A1695" t="s">
        <v>3551</v>
      </c>
      <c r="C1695" t="s">
        <v>1864</v>
      </c>
      <c r="D1695" t="s">
        <v>1864</v>
      </c>
      <c r="E1695" t="s">
        <v>1864</v>
      </c>
      <c r="F1695" t="s">
        <v>1354</v>
      </c>
      <c r="G1695" t="str">
        <f t="shared" si="133"/>
        <v>J</v>
      </c>
      <c r="H1695" t="str">
        <f t="shared" si="133"/>
        <v>56</v>
      </c>
      <c r="I1695" t="str">
        <f t="shared" si="133"/>
        <v>562</v>
      </c>
      <c r="J1695" t="str">
        <f t="shared" si="133"/>
        <v>56201</v>
      </c>
      <c r="K1695" t="str">
        <f t="shared" si="131"/>
        <v/>
      </c>
    </row>
    <row r="1696" spans="1:12" x14ac:dyDescent="0.25">
      <c r="B1696" t="s">
        <v>3552</v>
      </c>
      <c r="C1696" t="s">
        <v>1864</v>
      </c>
      <c r="D1696" t="s">
        <v>1864</v>
      </c>
      <c r="E1696" t="s">
        <v>1864</v>
      </c>
      <c r="F1696" s="1" t="s">
        <v>1355</v>
      </c>
      <c r="G1696" t="str">
        <f t="shared" si="133"/>
        <v>J</v>
      </c>
      <c r="H1696" t="str">
        <f t="shared" si="133"/>
        <v>58</v>
      </c>
      <c r="I1696" t="str">
        <f t="shared" si="133"/>
        <v>562</v>
      </c>
      <c r="J1696" t="str">
        <f t="shared" si="133"/>
        <v>56201</v>
      </c>
      <c r="K1696" t="str">
        <f t="shared" si="131"/>
        <v/>
      </c>
    </row>
    <row r="1697" spans="3:12" x14ac:dyDescent="0.25">
      <c r="C1697" t="s">
        <v>3553</v>
      </c>
      <c r="D1697" t="s">
        <v>1864</v>
      </c>
      <c r="E1697" t="s">
        <v>1864</v>
      </c>
      <c r="F1697" s="1" t="s">
        <v>1356</v>
      </c>
      <c r="G1697" t="str">
        <f t="shared" si="133"/>
        <v>J</v>
      </c>
      <c r="H1697" t="str">
        <f t="shared" si="133"/>
        <v>58</v>
      </c>
      <c r="I1697" t="str">
        <f t="shared" si="133"/>
        <v>581</v>
      </c>
      <c r="J1697" t="str">
        <f t="shared" si="133"/>
        <v>56201</v>
      </c>
      <c r="K1697" t="str">
        <f t="shared" si="131"/>
        <v/>
      </c>
    </row>
    <row r="1698" spans="3:12" x14ac:dyDescent="0.25">
      <c r="C1698" t="s">
        <v>1864</v>
      </c>
      <c r="D1698" t="s">
        <v>3554</v>
      </c>
      <c r="E1698" t="s">
        <v>1864</v>
      </c>
      <c r="F1698" s="1" t="s">
        <v>1357</v>
      </c>
      <c r="G1698" t="str">
        <f t="shared" si="133"/>
        <v>J</v>
      </c>
      <c r="H1698" t="str">
        <f t="shared" si="133"/>
        <v>58</v>
      </c>
      <c r="I1698" t="str">
        <f t="shared" si="133"/>
        <v>581</v>
      </c>
      <c r="J1698" t="str">
        <f t="shared" si="133"/>
        <v>58115</v>
      </c>
      <c r="K1698" t="str">
        <f t="shared" si="131"/>
        <v/>
      </c>
    </row>
    <row r="1699" spans="3:12" x14ac:dyDescent="0.25">
      <c r="C1699" t="s">
        <v>1864</v>
      </c>
      <c r="D1699" t="s">
        <v>1864</v>
      </c>
      <c r="E1699" t="s">
        <v>3555</v>
      </c>
      <c r="F1699" s="1" t="s">
        <v>1357</v>
      </c>
      <c r="G1699" t="str">
        <f t="shared" si="133"/>
        <v>J</v>
      </c>
      <c r="H1699" t="str">
        <f t="shared" si="133"/>
        <v>58</v>
      </c>
      <c r="I1699" t="str">
        <f t="shared" si="133"/>
        <v>581</v>
      </c>
      <c r="J1699" t="str">
        <f t="shared" si="133"/>
        <v>58115</v>
      </c>
      <c r="K1699" t="str">
        <f t="shared" si="131"/>
        <v>5811500</v>
      </c>
      <c r="L1699">
        <v>1</v>
      </c>
    </row>
    <row r="1700" spans="3:12" x14ac:dyDescent="0.25">
      <c r="C1700" t="s">
        <v>1864</v>
      </c>
      <c r="D1700" t="s">
        <v>3556</v>
      </c>
      <c r="E1700" t="s">
        <v>1864</v>
      </c>
      <c r="F1700" s="1" t="s">
        <v>1358</v>
      </c>
      <c r="G1700" t="str">
        <f t="shared" si="133"/>
        <v>J</v>
      </c>
      <c r="H1700" t="str">
        <f t="shared" si="133"/>
        <v>58</v>
      </c>
      <c r="I1700" t="str">
        <f t="shared" si="133"/>
        <v>581</v>
      </c>
      <c r="J1700" t="str">
        <f t="shared" si="133"/>
        <v>58123</v>
      </c>
      <c r="K1700" t="str">
        <f t="shared" si="131"/>
        <v/>
      </c>
    </row>
    <row r="1701" spans="3:12" x14ac:dyDescent="0.25">
      <c r="C1701" t="s">
        <v>1864</v>
      </c>
      <c r="D1701" t="s">
        <v>1864</v>
      </c>
      <c r="E1701" t="s">
        <v>3557</v>
      </c>
      <c r="F1701" s="1" t="s">
        <v>1359</v>
      </c>
      <c r="G1701" t="str">
        <f t="shared" si="133"/>
        <v>J</v>
      </c>
      <c r="H1701" t="str">
        <f t="shared" si="133"/>
        <v>58</v>
      </c>
      <c r="I1701" t="str">
        <f t="shared" si="133"/>
        <v>581</v>
      </c>
      <c r="J1701" t="str">
        <f t="shared" si="133"/>
        <v>58123</v>
      </c>
      <c r="K1701" t="str">
        <f t="shared" si="131"/>
        <v>5812301</v>
      </c>
      <c r="L1701">
        <v>1</v>
      </c>
    </row>
    <row r="1702" spans="3:12" x14ac:dyDescent="0.25">
      <c r="C1702" t="s">
        <v>1864</v>
      </c>
      <c r="D1702" t="s">
        <v>1864</v>
      </c>
      <c r="E1702" t="s">
        <v>3558</v>
      </c>
      <c r="F1702" s="1" t="s">
        <v>1360</v>
      </c>
      <c r="G1702" t="str">
        <f t="shared" si="133"/>
        <v>J</v>
      </c>
      <c r="H1702" t="str">
        <f t="shared" si="133"/>
        <v>58</v>
      </c>
      <c r="I1702" t="str">
        <f t="shared" si="133"/>
        <v>581</v>
      </c>
      <c r="J1702" t="str">
        <f t="shared" si="133"/>
        <v>58123</v>
      </c>
      <c r="K1702" t="str">
        <f t="shared" si="131"/>
        <v>5812302</v>
      </c>
      <c r="L1702">
        <v>1</v>
      </c>
    </row>
    <row r="1703" spans="3:12" x14ac:dyDescent="0.25">
      <c r="C1703" t="s">
        <v>1864</v>
      </c>
      <c r="D1703" t="s">
        <v>3559</v>
      </c>
      <c r="E1703" t="s">
        <v>1864</v>
      </c>
      <c r="F1703" s="1" t="s">
        <v>1361</v>
      </c>
      <c r="G1703" t="str">
        <f t="shared" si="133"/>
        <v>J</v>
      </c>
      <c r="H1703" t="str">
        <f t="shared" si="133"/>
        <v>58</v>
      </c>
      <c r="I1703" t="str">
        <f t="shared" si="133"/>
        <v>581</v>
      </c>
      <c r="J1703" t="str">
        <f t="shared" si="133"/>
        <v>58131</v>
      </c>
      <c r="K1703" t="str">
        <f t="shared" si="131"/>
        <v/>
      </c>
    </row>
    <row r="1704" spans="3:12" x14ac:dyDescent="0.25">
      <c r="C1704" t="s">
        <v>1864</v>
      </c>
      <c r="D1704" t="s">
        <v>1864</v>
      </c>
      <c r="E1704" t="s">
        <v>3560</v>
      </c>
      <c r="F1704" s="1" t="s">
        <v>1361</v>
      </c>
      <c r="G1704" t="str">
        <f t="shared" si="133"/>
        <v>J</v>
      </c>
      <c r="H1704" t="str">
        <f t="shared" si="133"/>
        <v>58</v>
      </c>
      <c r="I1704" t="str">
        <f t="shared" si="133"/>
        <v>581</v>
      </c>
      <c r="J1704" t="str">
        <f t="shared" si="133"/>
        <v>58131</v>
      </c>
      <c r="K1704" t="str">
        <f t="shared" si="131"/>
        <v>5813100</v>
      </c>
      <c r="L1704">
        <v>1</v>
      </c>
    </row>
    <row r="1705" spans="3:12" x14ac:dyDescent="0.25">
      <c r="C1705" t="s">
        <v>1864</v>
      </c>
      <c r="D1705" t="s">
        <v>3561</v>
      </c>
      <c r="E1705" t="s">
        <v>1864</v>
      </c>
      <c r="F1705" s="1" t="s">
        <v>1362</v>
      </c>
      <c r="G1705" t="str">
        <f t="shared" ref="G1705:J1720" si="134">IF(A1705="",G1704,A1705)</f>
        <v>J</v>
      </c>
      <c r="H1705" t="str">
        <f t="shared" si="134"/>
        <v>58</v>
      </c>
      <c r="I1705" t="str">
        <f t="shared" si="134"/>
        <v>581</v>
      </c>
      <c r="J1705" t="str">
        <f t="shared" si="134"/>
        <v>58191</v>
      </c>
      <c r="K1705" t="str">
        <f t="shared" si="131"/>
        <v/>
      </c>
    </row>
    <row r="1706" spans="3:12" x14ac:dyDescent="0.25">
      <c r="C1706" t="s">
        <v>1864</v>
      </c>
      <c r="D1706" t="s">
        <v>1864</v>
      </c>
      <c r="E1706" t="s">
        <v>3562</v>
      </c>
      <c r="F1706" s="1" t="s">
        <v>1362</v>
      </c>
      <c r="G1706" t="str">
        <f t="shared" si="134"/>
        <v>J</v>
      </c>
      <c r="H1706" t="str">
        <f t="shared" si="134"/>
        <v>58</v>
      </c>
      <c r="I1706" t="str">
        <f t="shared" si="134"/>
        <v>581</v>
      </c>
      <c r="J1706" t="str">
        <f t="shared" si="134"/>
        <v>58191</v>
      </c>
      <c r="K1706" t="str">
        <f t="shared" si="131"/>
        <v>5819100</v>
      </c>
      <c r="L1706">
        <v>1</v>
      </c>
    </row>
    <row r="1707" spans="3:12" x14ac:dyDescent="0.25">
      <c r="C1707" t="s">
        <v>3563</v>
      </c>
      <c r="D1707" t="s">
        <v>1864</v>
      </c>
      <c r="E1707" t="s">
        <v>1864</v>
      </c>
      <c r="F1707" s="1" t="s">
        <v>1363</v>
      </c>
      <c r="G1707" t="str">
        <f t="shared" si="134"/>
        <v>J</v>
      </c>
      <c r="H1707" t="str">
        <f t="shared" si="134"/>
        <v>58</v>
      </c>
      <c r="I1707" t="str">
        <f t="shared" si="134"/>
        <v>582</v>
      </c>
      <c r="J1707" t="str">
        <f t="shared" si="134"/>
        <v>58191</v>
      </c>
      <c r="K1707" t="str">
        <f t="shared" si="131"/>
        <v/>
      </c>
    </row>
    <row r="1708" spans="3:12" x14ac:dyDescent="0.25">
      <c r="C1708" t="s">
        <v>1864</v>
      </c>
      <c r="D1708" t="s">
        <v>3564</v>
      </c>
      <c r="E1708" t="s">
        <v>1864</v>
      </c>
      <c r="F1708" s="1" t="s">
        <v>1364</v>
      </c>
      <c r="G1708" t="str">
        <f t="shared" si="134"/>
        <v>J</v>
      </c>
      <c r="H1708" t="str">
        <f t="shared" si="134"/>
        <v>58</v>
      </c>
      <c r="I1708" t="str">
        <f t="shared" si="134"/>
        <v>582</v>
      </c>
      <c r="J1708" t="str">
        <f t="shared" si="134"/>
        <v>58212</v>
      </c>
      <c r="K1708" t="str">
        <f t="shared" si="131"/>
        <v/>
      </c>
    </row>
    <row r="1709" spans="3:12" x14ac:dyDescent="0.25">
      <c r="C1709" t="s">
        <v>1864</v>
      </c>
      <c r="D1709" t="s">
        <v>1864</v>
      </c>
      <c r="E1709" t="s">
        <v>3565</v>
      </c>
      <c r="F1709" s="1" t="s">
        <v>1364</v>
      </c>
      <c r="G1709" t="str">
        <f t="shared" si="134"/>
        <v>J</v>
      </c>
      <c r="H1709" t="str">
        <f t="shared" si="134"/>
        <v>58</v>
      </c>
      <c r="I1709" t="str">
        <f t="shared" si="134"/>
        <v>582</v>
      </c>
      <c r="J1709" t="str">
        <f t="shared" si="134"/>
        <v>58212</v>
      </c>
      <c r="K1709" t="str">
        <f t="shared" si="131"/>
        <v>5821200</v>
      </c>
      <c r="L1709">
        <v>1</v>
      </c>
    </row>
    <row r="1710" spans="3:12" x14ac:dyDescent="0.25">
      <c r="C1710" t="s">
        <v>1864</v>
      </c>
      <c r="D1710" t="s">
        <v>3566</v>
      </c>
      <c r="E1710" t="s">
        <v>1864</v>
      </c>
      <c r="F1710" s="1" t="s">
        <v>1365</v>
      </c>
      <c r="G1710" t="str">
        <f t="shared" si="134"/>
        <v>J</v>
      </c>
      <c r="H1710" t="str">
        <f t="shared" si="134"/>
        <v>58</v>
      </c>
      <c r="I1710" t="str">
        <f t="shared" si="134"/>
        <v>582</v>
      </c>
      <c r="J1710" t="str">
        <f t="shared" si="134"/>
        <v>58221</v>
      </c>
      <c r="K1710" t="str">
        <f t="shared" si="131"/>
        <v/>
      </c>
    </row>
    <row r="1711" spans="3:12" x14ac:dyDescent="0.25">
      <c r="C1711" t="s">
        <v>1864</v>
      </c>
      <c r="D1711" t="s">
        <v>1864</v>
      </c>
      <c r="E1711" t="s">
        <v>3567</v>
      </c>
      <c r="F1711" s="1" t="s">
        <v>1366</v>
      </c>
      <c r="G1711" t="str">
        <f t="shared" si="134"/>
        <v>J</v>
      </c>
      <c r="H1711" t="str">
        <f t="shared" si="134"/>
        <v>58</v>
      </c>
      <c r="I1711" t="str">
        <f t="shared" si="134"/>
        <v>582</v>
      </c>
      <c r="J1711" t="str">
        <f t="shared" si="134"/>
        <v>58221</v>
      </c>
      <c r="K1711" t="str">
        <f t="shared" si="131"/>
        <v>5822101</v>
      </c>
      <c r="L1711">
        <v>1</v>
      </c>
    </row>
    <row r="1712" spans="3:12" x14ac:dyDescent="0.25">
      <c r="C1712" t="s">
        <v>1864</v>
      </c>
      <c r="D1712" t="s">
        <v>1864</v>
      </c>
      <c r="E1712" t="s">
        <v>3568</v>
      </c>
      <c r="F1712" s="1" t="s">
        <v>1367</v>
      </c>
      <c r="G1712" t="str">
        <f t="shared" si="134"/>
        <v>J</v>
      </c>
      <c r="H1712" t="str">
        <f t="shared" si="134"/>
        <v>58</v>
      </c>
      <c r="I1712" t="str">
        <f t="shared" si="134"/>
        <v>582</v>
      </c>
      <c r="J1712" t="str">
        <f t="shared" si="134"/>
        <v>58221</v>
      </c>
      <c r="K1712" t="str">
        <f t="shared" si="131"/>
        <v>5822102</v>
      </c>
      <c r="L1712">
        <v>1</v>
      </c>
    </row>
    <row r="1713" spans="2:12" x14ac:dyDescent="0.25">
      <c r="C1713" t="s">
        <v>1864</v>
      </c>
      <c r="D1713" t="s">
        <v>3569</v>
      </c>
      <c r="E1713" t="s">
        <v>1864</v>
      </c>
      <c r="F1713" s="1" t="s">
        <v>1368</v>
      </c>
      <c r="G1713" t="str">
        <f t="shared" si="134"/>
        <v>J</v>
      </c>
      <c r="H1713" t="str">
        <f t="shared" si="134"/>
        <v>58</v>
      </c>
      <c r="I1713" t="str">
        <f t="shared" si="134"/>
        <v>582</v>
      </c>
      <c r="J1713" t="str">
        <f t="shared" si="134"/>
        <v>58239</v>
      </c>
      <c r="K1713" t="str">
        <f t="shared" si="131"/>
        <v/>
      </c>
    </row>
    <row r="1714" spans="2:12" x14ac:dyDescent="0.25">
      <c r="C1714" t="s">
        <v>1864</v>
      </c>
      <c r="D1714" t="s">
        <v>1864</v>
      </c>
      <c r="E1714" t="s">
        <v>3570</v>
      </c>
      <c r="F1714" s="1" t="s">
        <v>1368</v>
      </c>
      <c r="G1714" t="str">
        <f t="shared" si="134"/>
        <v>J</v>
      </c>
      <c r="H1714" t="str">
        <f t="shared" si="134"/>
        <v>58</v>
      </c>
      <c r="I1714" t="str">
        <f t="shared" si="134"/>
        <v>582</v>
      </c>
      <c r="J1714" t="str">
        <f t="shared" si="134"/>
        <v>58239</v>
      </c>
      <c r="K1714" t="str">
        <f t="shared" si="131"/>
        <v>5823900</v>
      </c>
      <c r="L1714">
        <v>1</v>
      </c>
    </row>
    <row r="1715" spans="2:12" x14ac:dyDescent="0.25">
      <c r="C1715" t="s">
        <v>1864</v>
      </c>
      <c r="D1715" t="s">
        <v>3571</v>
      </c>
      <c r="E1715" t="s">
        <v>1864</v>
      </c>
      <c r="F1715" s="1" t="s">
        <v>1369</v>
      </c>
      <c r="G1715" t="str">
        <f t="shared" si="134"/>
        <v>J</v>
      </c>
      <c r="H1715" t="str">
        <f t="shared" si="134"/>
        <v>58</v>
      </c>
      <c r="I1715" t="str">
        <f t="shared" si="134"/>
        <v>582</v>
      </c>
      <c r="J1715" t="str">
        <f t="shared" si="134"/>
        <v>58298</v>
      </c>
      <c r="K1715" t="str">
        <f t="shared" si="131"/>
        <v/>
      </c>
    </row>
    <row r="1716" spans="2:12" x14ac:dyDescent="0.25">
      <c r="C1716" t="s">
        <v>1864</v>
      </c>
      <c r="D1716" t="s">
        <v>1864</v>
      </c>
      <c r="E1716" t="s">
        <v>3572</v>
      </c>
      <c r="F1716" s="1" t="s">
        <v>1369</v>
      </c>
      <c r="G1716" t="str">
        <f t="shared" si="134"/>
        <v>J</v>
      </c>
      <c r="H1716" t="str">
        <f t="shared" si="134"/>
        <v>58</v>
      </c>
      <c r="I1716" t="str">
        <f t="shared" si="134"/>
        <v>582</v>
      </c>
      <c r="J1716" t="str">
        <f t="shared" si="134"/>
        <v>58298</v>
      </c>
      <c r="K1716" t="str">
        <f t="shared" si="131"/>
        <v>5829800</v>
      </c>
      <c r="L1716">
        <v>1</v>
      </c>
    </row>
    <row r="1717" spans="2:12" x14ac:dyDescent="0.25">
      <c r="B1717" t="s">
        <v>3573</v>
      </c>
      <c r="C1717" t="s">
        <v>1864</v>
      </c>
      <c r="D1717" t="s">
        <v>1864</v>
      </c>
      <c r="E1717" t="s">
        <v>1864</v>
      </c>
      <c r="F1717" s="1" t="s">
        <v>1370</v>
      </c>
      <c r="G1717" t="str">
        <f t="shared" si="134"/>
        <v>J</v>
      </c>
      <c r="H1717" t="str">
        <f t="shared" si="134"/>
        <v>59</v>
      </c>
      <c r="I1717" t="str">
        <f t="shared" si="134"/>
        <v>582</v>
      </c>
      <c r="J1717" t="str">
        <f t="shared" si="134"/>
        <v>58298</v>
      </c>
      <c r="K1717" t="str">
        <f t="shared" si="131"/>
        <v/>
      </c>
    </row>
    <row r="1718" spans="2:12" x14ac:dyDescent="0.25">
      <c r="C1718" t="s">
        <v>3574</v>
      </c>
      <c r="D1718" t="s">
        <v>1864</v>
      </c>
      <c r="E1718" t="s">
        <v>1864</v>
      </c>
      <c r="F1718" s="1" t="s">
        <v>1371</v>
      </c>
      <c r="G1718" t="str">
        <f t="shared" si="134"/>
        <v>J</v>
      </c>
      <c r="H1718" t="str">
        <f t="shared" si="134"/>
        <v>59</v>
      </c>
      <c r="I1718" t="str">
        <f t="shared" si="134"/>
        <v>591</v>
      </c>
      <c r="J1718" t="str">
        <f t="shared" si="134"/>
        <v>58298</v>
      </c>
      <c r="K1718" t="str">
        <f t="shared" si="131"/>
        <v/>
      </c>
    </row>
    <row r="1719" spans="2:12" x14ac:dyDescent="0.25">
      <c r="C1719" t="s">
        <v>1864</v>
      </c>
      <c r="D1719" t="s">
        <v>3575</v>
      </c>
      <c r="E1719" t="s">
        <v>1864</v>
      </c>
      <c r="F1719" s="1" t="s">
        <v>1372</v>
      </c>
      <c r="G1719" t="str">
        <f t="shared" si="134"/>
        <v>J</v>
      </c>
      <c r="H1719" t="str">
        <f t="shared" si="134"/>
        <v>59</v>
      </c>
      <c r="I1719" t="str">
        <f t="shared" si="134"/>
        <v>591</v>
      </c>
      <c r="J1719" t="str">
        <f t="shared" si="134"/>
        <v>59111</v>
      </c>
      <c r="K1719" t="str">
        <f t="shared" si="131"/>
        <v/>
      </c>
    </row>
    <row r="1720" spans="2:12" x14ac:dyDescent="0.25">
      <c r="C1720" t="s">
        <v>1864</v>
      </c>
      <c r="D1720" t="s">
        <v>1864</v>
      </c>
      <c r="E1720" t="s">
        <v>3576</v>
      </c>
      <c r="F1720" s="1" t="s">
        <v>1373</v>
      </c>
      <c r="G1720" t="str">
        <f t="shared" si="134"/>
        <v>J</v>
      </c>
      <c r="H1720" t="str">
        <f t="shared" si="134"/>
        <v>59</v>
      </c>
      <c r="I1720" t="str">
        <f t="shared" si="134"/>
        <v>591</v>
      </c>
      <c r="J1720" t="str">
        <f t="shared" si="134"/>
        <v>59111</v>
      </c>
      <c r="K1720" t="str">
        <f t="shared" si="131"/>
        <v>5911101</v>
      </c>
      <c r="L1720">
        <v>1</v>
      </c>
    </row>
    <row r="1721" spans="2:12" x14ac:dyDescent="0.25">
      <c r="C1721" t="s">
        <v>1864</v>
      </c>
      <c r="D1721" t="s">
        <v>1864</v>
      </c>
      <c r="E1721" t="s">
        <v>3577</v>
      </c>
      <c r="F1721" s="1" t="s">
        <v>1374</v>
      </c>
      <c r="G1721" t="str">
        <f t="shared" ref="G1721:J1736" si="135">IF(A1721="",G1720,A1721)</f>
        <v>J</v>
      </c>
      <c r="H1721" t="str">
        <f t="shared" si="135"/>
        <v>59</v>
      </c>
      <c r="I1721" t="str">
        <f t="shared" si="135"/>
        <v>591</v>
      </c>
      <c r="J1721" t="str">
        <f t="shared" si="135"/>
        <v>59111</v>
      </c>
      <c r="K1721" t="str">
        <f t="shared" si="131"/>
        <v>5911102</v>
      </c>
      <c r="L1721">
        <v>1</v>
      </c>
    </row>
    <row r="1722" spans="2:12" x14ac:dyDescent="0.25">
      <c r="C1722" t="s">
        <v>1864</v>
      </c>
      <c r="D1722" t="s">
        <v>1864</v>
      </c>
      <c r="E1722" t="s">
        <v>3578</v>
      </c>
      <c r="F1722" s="1" t="s">
        <v>1375</v>
      </c>
      <c r="G1722" t="str">
        <f t="shared" si="135"/>
        <v>J</v>
      </c>
      <c r="H1722" t="str">
        <f t="shared" si="135"/>
        <v>59</v>
      </c>
      <c r="I1722" t="str">
        <f t="shared" si="135"/>
        <v>591</v>
      </c>
      <c r="J1722" t="str">
        <f t="shared" si="135"/>
        <v>59111</v>
      </c>
      <c r="K1722" t="str">
        <f t="shared" si="131"/>
        <v>5911199</v>
      </c>
      <c r="L1722">
        <v>1</v>
      </c>
    </row>
    <row r="1723" spans="2:12" x14ac:dyDescent="0.25">
      <c r="C1723" t="s">
        <v>1864</v>
      </c>
      <c r="D1723" t="s">
        <v>3579</v>
      </c>
      <c r="E1723" t="s">
        <v>1864</v>
      </c>
      <c r="F1723" s="1" t="s">
        <v>1376</v>
      </c>
      <c r="G1723" t="str">
        <f t="shared" si="135"/>
        <v>J</v>
      </c>
      <c r="H1723" t="str">
        <f t="shared" si="135"/>
        <v>59</v>
      </c>
      <c r="I1723" t="str">
        <f t="shared" si="135"/>
        <v>591</v>
      </c>
      <c r="J1723" t="str">
        <f t="shared" si="135"/>
        <v>59120</v>
      </c>
      <c r="K1723" t="str">
        <f t="shared" si="131"/>
        <v/>
      </c>
    </row>
    <row r="1724" spans="2:12" x14ac:dyDescent="0.25">
      <c r="C1724" t="s">
        <v>1864</v>
      </c>
      <c r="D1724" t="s">
        <v>1864</v>
      </c>
      <c r="E1724" t="s">
        <v>3580</v>
      </c>
      <c r="F1724" s="1" t="s">
        <v>1377</v>
      </c>
      <c r="G1724" t="str">
        <f t="shared" si="135"/>
        <v>J</v>
      </c>
      <c r="H1724" t="str">
        <f t="shared" si="135"/>
        <v>59</v>
      </c>
      <c r="I1724" t="str">
        <f t="shared" si="135"/>
        <v>591</v>
      </c>
      <c r="J1724" t="str">
        <f t="shared" si="135"/>
        <v>59120</v>
      </c>
      <c r="K1724" t="str">
        <f t="shared" si="131"/>
        <v>5912001</v>
      </c>
      <c r="L1724">
        <v>1</v>
      </c>
    </row>
    <row r="1725" spans="2:12" x14ac:dyDescent="0.25">
      <c r="C1725" t="s">
        <v>1864</v>
      </c>
      <c r="D1725" t="s">
        <v>1864</v>
      </c>
      <c r="E1725" t="s">
        <v>3581</v>
      </c>
      <c r="F1725" s="1" t="s">
        <v>1378</v>
      </c>
      <c r="G1725" t="str">
        <f t="shared" si="135"/>
        <v>J</v>
      </c>
      <c r="H1725" t="str">
        <f t="shared" si="135"/>
        <v>59</v>
      </c>
      <c r="I1725" t="str">
        <f t="shared" si="135"/>
        <v>591</v>
      </c>
      <c r="J1725" t="str">
        <f t="shared" si="135"/>
        <v>59120</v>
      </c>
      <c r="K1725" t="str">
        <f t="shared" si="131"/>
        <v>5912002</v>
      </c>
      <c r="L1725">
        <v>1</v>
      </c>
    </row>
    <row r="1726" spans="2:12" x14ac:dyDescent="0.25">
      <c r="C1726" t="s">
        <v>1864</v>
      </c>
      <c r="D1726" t="s">
        <v>1864</v>
      </c>
      <c r="E1726" t="s">
        <v>3582</v>
      </c>
      <c r="F1726" s="1" t="s">
        <v>1379</v>
      </c>
      <c r="G1726" t="str">
        <f t="shared" si="135"/>
        <v>J</v>
      </c>
      <c r="H1726" t="str">
        <f t="shared" si="135"/>
        <v>59</v>
      </c>
      <c r="I1726" t="str">
        <f t="shared" si="135"/>
        <v>591</v>
      </c>
      <c r="J1726" t="str">
        <f t="shared" si="135"/>
        <v>59120</v>
      </c>
      <c r="K1726" t="str">
        <f t="shared" si="131"/>
        <v>5912099</v>
      </c>
      <c r="L1726">
        <v>1</v>
      </c>
    </row>
    <row r="1727" spans="2:12" x14ac:dyDescent="0.25">
      <c r="C1727" t="s">
        <v>1864</v>
      </c>
      <c r="D1727" t="s">
        <v>3583</v>
      </c>
      <c r="E1727" t="s">
        <v>1864</v>
      </c>
      <c r="F1727" s="1" t="s">
        <v>1380</v>
      </c>
      <c r="G1727" t="str">
        <f t="shared" si="135"/>
        <v>J</v>
      </c>
      <c r="H1727" t="str">
        <f t="shared" si="135"/>
        <v>59</v>
      </c>
      <c r="I1727" t="str">
        <f t="shared" si="135"/>
        <v>591</v>
      </c>
      <c r="J1727" t="str">
        <f t="shared" si="135"/>
        <v>59138</v>
      </c>
      <c r="K1727" t="str">
        <f t="shared" si="131"/>
        <v/>
      </c>
    </row>
    <row r="1728" spans="2:12" x14ac:dyDescent="0.25">
      <c r="C1728" t="s">
        <v>1864</v>
      </c>
      <c r="D1728" t="s">
        <v>1864</v>
      </c>
      <c r="E1728" t="s">
        <v>3584</v>
      </c>
      <c r="F1728" s="1" t="s">
        <v>1380</v>
      </c>
      <c r="G1728" t="str">
        <f t="shared" si="135"/>
        <v>J</v>
      </c>
      <c r="H1728" t="str">
        <f t="shared" si="135"/>
        <v>59</v>
      </c>
      <c r="I1728" t="str">
        <f t="shared" si="135"/>
        <v>591</v>
      </c>
      <c r="J1728" t="str">
        <f t="shared" si="135"/>
        <v>59138</v>
      </c>
      <c r="K1728" t="str">
        <f t="shared" si="131"/>
        <v>5913800</v>
      </c>
      <c r="L1728">
        <v>1</v>
      </c>
    </row>
    <row r="1729" spans="2:12" x14ac:dyDescent="0.25">
      <c r="C1729" t="s">
        <v>1864</v>
      </c>
      <c r="D1729" t="s">
        <v>3585</v>
      </c>
      <c r="E1729" t="s">
        <v>1864</v>
      </c>
      <c r="F1729" s="1" t="s">
        <v>1381</v>
      </c>
      <c r="G1729" t="str">
        <f t="shared" si="135"/>
        <v>J</v>
      </c>
      <c r="H1729" t="str">
        <f t="shared" si="135"/>
        <v>59</v>
      </c>
      <c r="I1729" t="str">
        <f t="shared" si="135"/>
        <v>591</v>
      </c>
      <c r="J1729" t="str">
        <f t="shared" si="135"/>
        <v>59146</v>
      </c>
      <c r="K1729" t="str">
        <f t="shared" si="131"/>
        <v/>
      </c>
    </row>
    <row r="1730" spans="2:12" x14ac:dyDescent="0.25">
      <c r="C1730" t="s">
        <v>1864</v>
      </c>
      <c r="D1730" t="s">
        <v>1864</v>
      </c>
      <c r="E1730" t="s">
        <v>3586</v>
      </c>
      <c r="F1730" s="1" t="s">
        <v>1381</v>
      </c>
      <c r="G1730" t="str">
        <f t="shared" si="135"/>
        <v>J</v>
      </c>
      <c r="H1730" t="str">
        <f t="shared" si="135"/>
        <v>59</v>
      </c>
      <c r="I1730" t="str">
        <f t="shared" si="135"/>
        <v>591</v>
      </c>
      <c r="J1730" t="str">
        <f t="shared" si="135"/>
        <v>59146</v>
      </c>
      <c r="K1730" t="str">
        <f t="shared" si="131"/>
        <v>5914600</v>
      </c>
      <c r="L1730">
        <v>1</v>
      </c>
    </row>
    <row r="1731" spans="2:12" x14ac:dyDescent="0.25">
      <c r="C1731" t="s">
        <v>3587</v>
      </c>
      <c r="D1731" t="s">
        <v>1864</v>
      </c>
      <c r="E1731" t="s">
        <v>1864</v>
      </c>
      <c r="F1731" s="1" t="s">
        <v>1382</v>
      </c>
      <c r="G1731" t="str">
        <f t="shared" si="135"/>
        <v>J</v>
      </c>
      <c r="H1731" t="str">
        <f t="shared" si="135"/>
        <v>59</v>
      </c>
      <c r="I1731" t="str">
        <f t="shared" si="135"/>
        <v>592</v>
      </c>
      <c r="J1731" t="str">
        <f t="shared" si="135"/>
        <v>59146</v>
      </c>
      <c r="K1731" t="str">
        <f t="shared" si="131"/>
        <v/>
      </c>
    </row>
    <row r="1732" spans="2:12" x14ac:dyDescent="0.25">
      <c r="C1732" t="s">
        <v>1864</v>
      </c>
      <c r="D1732" t="s">
        <v>3588</v>
      </c>
      <c r="E1732" t="s">
        <v>1864</v>
      </c>
      <c r="F1732" s="1" t="s">
        <v>1382</v>
      </c>
      <c r="G1732" t="str">
        <f t="shared" si="135"/>
        <v>J</v>
      </c>
      <c r="H1732" t="str">
        <f t="shared" si="135"/>
        <v>59</v>
      </c>
      <c r="I1732" t="str">
        <f t="shared" si="135"/>
        <v>592</v>
      </c>
      <c r="J1732" t="str">
        <f t="shared" si="135"/>
        <v>59201</v>
      </c>
      <c r="K1732" t="str">
        <f t="shared" si="131"/>
        <v/>
      </c>
    </row>
    <row r="1733" spans="2:12" x14ac:dyDescent="0.25">
      <c r="C1733" t="s">
        <v>1864</v>
      </c>
      <c r="D1733" t="s">
        <v>1864</v>
      </c>
      <c r="E1733" t="s">
        <v>3589</v>
      </c>
      <c r="F1733" s="1" t="s">
        <v>1382</v>
      </c>
      <c r="G1733" t="str">
        <f t="shared" si="135"/>
        <v>J</v>
      </c>
      <c r="H1733" t="str">
        <f t="shared" si="135"/>
        <v>59</v>
      </c>
      <c r="I1733" t="str">
        <f t="shared" si="135"/>
        <v>592</v>
      </c>
      <c r="J1733" t="str">
        <f t="shared" si="135"/>
        <v>59201</v>
      </c>
      <c r="K1733" t="str">
        <f t="shared" si="131"/>
        <v>5920100</v>
      </c>
      <c r="L1733">
        <v>1</v>
      </c>
    </row>
    <row r="1734" spans="2:12" x14ac:dyDescent="0.25">
      <c r="B1734" t="s">
        <v>3590</v>
      </c>
      <c r="C1734" t="s">
        <v>1864</v>
      </c>
      <c r="D1734" t="s">
        <v>1864</v>
      </c>
      <c r="E1734" t="s">
        <v>1864</v>
      </c>
      <c r="F1734" s="1" t="s">
        <v>1383</v>
      </c>
      <c r="G1734" t="str">
        <f t="shared" si="135"/>
        <v>J</v>
      </c>
      <c r="H1734" t="str">
        <f t="shared" si="135"/>
        <v>60</v>
      </c>
      <c r="I1734" t="str">
        <f t="shared" si="135"/>
        <v>592</v>
      </c>
      <c r="J1734" t="str">
        <f t="shared" si="135"/>
        <v>59201</v>
      </c>
      <c r="K1734" t="str">
        <f t="shared" si="131"/>
        <v/>
      </c>
    </row>
    <row r="1735" spans="2:12" x14ac:dyDescent="0.25">
      <c r="C1735" t="s">
        <v>3591</v>
      </c>
      <c r="D1735" t="s">
        <v>1864</v>
      </c>
      <c r="E1735" t="s">
        <v>1864</v>
      </c>
      <c r="F1735" s="1" t="s">
        <v>1384</v>
      </c>
      <c r="G1735" t="str">
        <f t="shared" si="135"/>
        <v>J</v>
      </c>
      <c r="H1735" t="str">
        <f t="shared" si="135"/>
        <v>60</v>
      </c>
      <c r="I1735" t="str">
        <f t="shared" si="135"/>
        <v>601</v>
      </c>
      <c r="J1735" t="str">
        <f t="shared" si="135"/>
        <v>59201</v>
      </c>
      <c r="K1735" t="str">
        <f t="shared" si="131"/>
        <v/>
      </c>
    </row>
    <row r="1736" spans="2:12" x14ac:dyDescent="0.25">
      <c r="C1736" t="s">
        <v>1864</v>
      </c>
      <c r="D1736" t="s">
        <v>3592</v>
      </c>
      <c r="E1736" t="s">
        <v>1864</v>
      </c>
      <c r="F1736" s="1" t="s">
        <v>1384</v>
      </c>
      <c r="G1736" t="str">
        <f t="shared" si="135"/>
        <v>J</v>
      </c>
      <c r="H1736" t="str">
        <f t="shared" si="135"/>
        <v>60</v>
      </c>
      <c r="I1736" t="str">
        <f t="shared" si="135"/>
        <v>601</v>
      </c>
      <c r="J1736" t="str">
        <f t="shared" si="135"/>
        <v>60101</v>
      </c>
      <c r="K1736" t="str">
        <f t="shared" ref="K1736:K1799" si="136">E1736</f>
        <v/>
      </c>
    </row>
    <row r="1737" spans="2:12" x14ac:dyDescent="0.25">
      <c r="C1737" t="s">
        <v>1864</v>
      </c>
      <c r="D1737" t="s">
        <v>1864</v>
      </c>
      <c r="E1737" t="s">
        <v>3593</v>
      </c>
      <c r="F1737" s="1" t="s">
        <v>1384</v>
      </c>
      <c r="G1737" t="str">
        <f t="shared" ref="G1737:J1752" si="137">IF(A1737="",G1736,A1737)</f>
        <v>J</v>
      </c>
      <c r="H1737" t="str">
        <f t="shared" si="137"/>
        <v>60</v>
      </c>
      <c r="I1737" t="str">
        <f t="shared" si="137"/>
        <v>601</v>
      </c>
      <c r="J1737" t="str">
        <f t="shared" si="137"/>
        <v>60101</v>
      </c>
      <c r="K1737" t="str">
        <f t="shared" si="136"/>
        <v>6010100</v>
      </c>
      <c r="L1737">
        <v>1</v>
      </c>
    </row>
    <row r="1738" spans="2:12" x14ac:dyDescent="0.25">
      <c r="C1738" t="s">
        <v>3594</v>
      </c>
      <c r="D1738" t="s">
        <v>1864</v>
      </c>
      <c r="E1738" t="s">
        <v>1864</v>
      </c>
      <c r="F1738" s="1" t="s">
        <v>1385</v>
      </c>
      <c r="G1738" t="str">
        <f t="shared" si="137"/>
        <v>J</v>
      </c>
      <c r="H1738" t="str">
        <f t="shared" si="137"/>
        <v>60</v>
      </c>
      <c r="I1738" t="str">
        <f t="shared" si="137"/>
        <v>602</v>
      </c>
      <c r="J1738" t="str">
        <f t="shared" si="137"/>
        <v>60101</v>
      </c>
      <c r="K1738" t="str">
        <f t="shared" si="136"/>
        <v/>
      </c>
    </row>
    <row r="1739" spans="2:12" x14ac:dyDescent="0.25">
      <c r="C1739" t="s">
        <v>1864</v>
      </c>
      <c r="D1739" t="s">
        <v>3595</v>
      </c>
      <c r="E1739" t="s">
        <v>1864</v>
      </c>
      <c r="F1739" s="1" t="s">
        <v>1386</v>
      </c>
      <c r="G1739" t="str">
        <f t="shared" si="137"/>
        <v>J</v>
      </c>
      <c r="H1739" t="str">
        <f t="shared" si="137"/>
        <v>60</v>
      </c>
      <c r="I1739" t="str">
        <f t="shared" si="137"/>
        <v>602</v>
      </c>
      <c r="J1739" t="str">
        <f t="shared" si="137"/>
        <v>60217</v>
      </c>
      <c r="K1739" t="str">
        <f t="shared" si="136"/>
        <v/>
      </c>
    </row>
    <row r="1740" spans="2:12" x14ac:dyDescent="0.25">
      <c r="C1740" t="s">
        <v>1864</v>
      </c>
      <c r="D1740" t="s">
        <v>1864</v>
      </c>
      <c r="E1740" t="s">
        <v>3596</v>
      </c>
      <c r="F1740" s="1" t="s">
        <v>1386</v>
      </c>
      <c r="G1740" t="str">
        <f t="shared" si="137"/>
        <v>J</v>
      </c>
      <c r="H1740" t="str">
        <f t="shared" si="137"/>
        <v>60</v>
      </c>
      <c r="I1740" t="str">
        <f t="shared" si="137"/>
        <v>602</v>
      </c>
      <c r="J1740" t="str">
        <f t="shared" si="137"/>
        <v>60217</v>
      </c>
      <c r="K1740" t="str">
        <f t="shared" si="136"/>
        <v>6021700</v>
      </c>
      <c r="L1740">
        <v>1</v>
      </c>
    </row>
    <row r="1741" spans="2:12" x14ac:dyDescent="0.25">
      <c r="C1741" t="s">
        <v>1864</v>
      </c>
      <c r="D1741" t="s">
        <v>3597</v>
      </c>
      <c r="E1741" t="s">
        <v>1864</v>
      </c>
      <c r="F1741" s="1" t="s">
        <v>1387</v>
      </c>
      <c r="G1741" t="str">
        <f t="shared" si="137"/>
        <v>J</v>
      </c>
      <c r="H1741" t="str">
        <f t="shared" si="137"/>
        <v>60</v>
      </c>
      <c r="I1741" t="str">
        <f t="shared" si="137"/>
        <v>602</v>
      </c>
      <c r="J1741" t="str">
        <f t="shared" si="137"/>
        <v>60225</v>
      </c>
      <c r="K1741" t="str">
        <f t="shared" si="136"/>
        <v/>
      </c>
    </row>
    <row r="1742" spans="2:12" x14ac:dyDescent="0.25">
      <c r="C1742" t="s">
        <v>1864</v>
      </c>
      <c r="D1742" t="s">
        <v>1864</v>
      </c>
      <c r="E1742" t="s">
        <v>3598</v>
      </c>
      <c r="F1742" s="1" t="s">
        <v>1388</v>
      </c>
      <c r="G1742" t="str">
        <f t="shared" si="137"/>
        <v>J</v>
      </c>
      <c r="H1742" t="str">
        <f t="shared" si="137"/>
        <v>60</v>
      </c>
      <c r="I1742" t="str">
        <f t="shared" si="137"/>
        <v>602</v>
      </c>
      <c r="J1742" t="str">
        <f t="shared" si="137"/>
        <v>60225</v>
      </c>
      <c r="K1742" t="str">
        <f t="shared" si="136"/>
        <v>6022501</v>
      </c>
      <c r="L1742">
        <v>1</v>
      </c>
    </row>
    <row r="1743" spans="2:12" x14ac:dyDescent="0.25">
      <c r="C1743" t="s">
        <v>1864</v>
      </c>
      <c r="D1743" t="s">
        <v>1864</v>
      </c>
      <c r="E1743" t="s">
        <v>3599</v>
      </c>
      <c r="F1743" s="1" t="s">
        <v>1389</v>
      </c>
      <c r="G1743" t="str">
        <f t="shared" si="137"/>
        <v>J</v>
      </c>
      <c r="H1743" t="str">
        <f t="shared" si="137"/>
        <v>60</v>
      </c>
      <c r="I1743" t="str">
        <f t="shared" si="137"/>
        <v>602</v>
      </c>
      <c r="J1743" t="str">
        <f t="shared" si="137"/>
        <v>60225</v>
      </c>
      <c r="K1743" t="str">
        <f t="shared" si="136"/>
        <v>6022502</v>
      </c>
      <c r="L1743">
        <v>1</v>
      </c>
    </row>
    <row r="1744" spans="2:12" x14ac:dyDescent="0.25">
      <c r="B1744" t="s">
        <v>3600</v>
      </c>
      <c r="C1744" t="s">
        <v>1864</v>
      </c>
      <c r="D1744" t="s">
        <v>1864</v>
      </c>
      <c r="E1744" t="s">
        <v>1864</v>
      </c>
      <c r="F1744" t="s">
        <v>1390</v>
      </c>
      <c r="G1744" t="str">
        <f t="shared" si="137"/>
        <v>J</v>
      </c>
      <c r="H1744" t="str">
        <f t="shared" si="137"/>
        <v>61</v>
      </c>
      <c r="I1744" t="str">
        <f t="shared" si="137"/>
        <v>602</v>
      </c>
      <c r="J1744" t="str">
        <f t="shared" si="137"/>
        <v>60225</v>
      </c>
      <c r="K1744" t="str">
        <f t="shared" si="136"/>
        <v/>
      </c>
    </row>
    <row r="1745" spans="3:12" x14ac:dyDescent="0.25">
      <c r="C1745" t="s">
        <v>3601</v>
      </c>
      <c r="D1745" t="s">
        <v>1864</v>
      </c>
      <c r="E1745" t="s">
        <v>1864</v>
      </c>
      <c r="F1745" t="s">
        <v>1391</v>
      </c>
      <c r="G1745" t="str">
        <f t="shared" si="137"/>
        <v>J</v>
      </c>
      <c r="H1745" t="str">
        <f t="shared" si="137"/>
        <v>61</v>
      </c>
      <c r="I1745" t="str">
        <f t="shared" si="137"/>
        <v>611</v>
      </c>
      <c r="J1745" t="str">
        <f t="shared" si="137"/>
        <v>60225</v>
      </c>
      <c r="K1745" t="str">
        <f t="shared" si="136"/>
        <v/>
      </c>
    </row>
    <row r="1746" spans="3:12" x14ac:dyDescent="0.25">
      <c r="C1746" t="s">
        <v>1864</v>
      </c>
      <c r="D1746" t="s">
        <v>3602</v>
      </c>
      <c r="E1746" t="s">
        <v>1864</v>
      </c>
      <c r="F1746" t="s">
        <v>1391</v>
      </c>
      <c r="G1746" t="str">
        <f t="shared" si="137"/>
        <v>J</v>
      </c>
      <c r="H1746" t="str">
        <f t="shared" si="137"/>
        <v>61</v>
      </c>
      <c r="I1746" t="str">
        <f t="shared" si="137"/>
        <v>611</v>
      </c>
      <c r="J1746" t="str">
        <f t="shared" si="137"/>
        <v>61108</v>
      </c>
      <c r="K1746" t="str">
        <f t="shared" si="136"/>
        <v/>
      </c>
    </row>
    <row r="1747" spans="3:12" x14ac:dyDescent="0.25">
      <c r="C1747" t="s">
        <v>1864</v>
      </c>
      <c r="D1747" t="s">
        <v>1864</v>
      </c>
      <c r="E1747" t="s">
        <v>3603</v>
      </c>
      <c r="F1747" t="s">
        <v>1392</v>
      </c>
      <c r="G1747" t="str">
        <f t="shared" si="137"/>
        <v>J</v>
      </c>
      <c r="H1747" t="str">
        <f t="shared" si="137"/>
        <v>61</v>
      </c>
      <c r="I1747" t="str">
        <f t="shared" si="137"/>
        <v>611</v>
      </c>
      <c r="J1747" t="str">
        <f t="shared" si="137"/>
        <v>61108</v>
      </c>
      <c r="K1747" t="str">
        <f t="shared" si="136"/>
        <v>6110801</v>
      </c>
      <c r="L1747">
        <v>1</v>
      </c>
    </row>
    <row r="1748" spans="3:12" x14ac:dyDescent="0.25">
      <c r="C1748" t="s">
        <v>1864</v>
      </c>
      <c r="D1748" t="s">
        <v>1864</v>
      </c>
      <c r="E1748" t="s">
        <v>3604</v>
      </c>
      <c r="F1748" t="s">
        <v>1393</v>
      </c>
      <c r="G1748" t="str">
        <f t="shared" si="137"/>
        <v>J</v>
      </c>
      <c r="H1748" t="str">
        <f t="shared" si="137"/>
        <v>61</v>
      </c>
      <c r="I1748" t="str">
        <f t="shared" si="137"/>
        <v>611</v>
      </c>
      <c r="J1748" t="str">
        <f t="shared" si="137"/>
        <v>61108</v>
      </c>
      <c r="K1748" t="str">
        <f t="shared" si="136"/>
        <v>6110802</v>
      </c>
      <c r="L1748">
        <v>1</v>
      </c>
    </row>
    <row r="1749" spans="3:12" x14ac:dyDescent="0.25">
      <c r="C1749" t="s">
        <v>1864</v>
      </c>
      <c r="D1749" t="s">
        <v>1864</v>
      </c>
      <c r="E1749" t="s">
        <v>3605</v>
      </c>
      <c r="F1749" t="s">
        <v>1394</v>
      </c>
      <c r="G1749" t="str">
        <f t="shared" si="137"/>
        <v>J</v>
      </c>
      <c r="H1749" t="str">
        <f t="shared" si="137"/>
        <v>61</v>
      </c>
      <c r="I1749" t="str">
        <f t="shared" si="137"/>
        <v>611</v>
      </c>
      <c r="J1749" t="str">
        <f t="shared" si="137"/>
        <v>61108</v>
      </c>
      <c r="K1749" t="str">
        <f t="shared" si="136"/>
        <v>6110803</v>
      </c>
      <c r="L1749">
        <v>1</v>
      </c>
    </row>
    <row r="1750" spans="3:12" x14ac:dyDescent="0.25">
      <c r="C1750" t="s">
        <v>1864</v>
      </c>
      <c r="D1750" t="s">
        <v>1864</v>
      </c>
      <c r="E1750" t="s">
        <v>3606</v>
      </c>
      <c r="F1750" t="s">
        <v>1395</v>
      </c>
      <c r="G1750" t="str">
        <f t="shared" si="137"/>
        <v>J</v>
      </c>
      <c r="H1750" t="str">
        <f t="shared" si="137"/>
        <v>61</v>
      </c>
      <c r="I1750" t="str">
        <f t="shared" si="137"/>
        <v>611</v>
      </c>
      <c r="J1750" t="str">
        <f t="shared" si="137"/>
        <v>61108</v>
      </c>
      <c r="K1750" t="str">
        <f t="shared" si="136"/>
        <v>6110899</v>
      </c>
      <c r="L1750">
        <v>1</v>
      </c>
    </row>
    <row r="1751" spans="3:12" x14ac:dyDescent="0.25">
      <c r="C1751" t="s">
        <v>3607</v>
      </c>
      <c r="D1751" t="s">
        <v>1864</v>
      </c>
      <c r="E1751" t="s">
        <v>1864</v>
      </c>
      <c r="F1751" t="s">
        <v>1396</v>
      </c>
      <c r="G1751" t="str">
        <f t="shared" si="137"/>
        <v>J</v>
      </c>
      <c r="H1751" t="str">
        <f t="shared" si="137"/>
        <v>61</v>
      </c>
      <c r="I1751" t="str">
        <f t="shared" si="137"/>
        <v>612</v>
      </c>
      <c r="J1751" t="str">
        <f t="shared" si="137"/>
        <v>61108</v>
      </c>
      <c r="K1751" t="str">
        <f t="shared" si="136"/>
        <v/>
      </c>
    </row>
    <row r="1752" spans="3:12" x14ac:dyDescent="0.25">
      <c r="C1752" t="s">
        <v>1864</v>
      </c>
      <c r="D1752" t="s">
        <v>3608</v>
      </c>
      <c r="E1752" t="s">
        <v>1864</v>
      </c>
      <c r="F1752" t="s">
        <v>1396</v>
      </c>
      <c r="G1752" t="str">
        <f t="shared" si="137"/>
        <v>J</v>
      </c>
      <c r="H1752" t="str">
        <f t="shared" si="137"/>
        <v>61</v>
      </c>
      <c r="I1752" t="str">
        <f t="shared" si="137"/>
        <v>612</v>
      </c>
      <c r="J1752" t="str">
        <f t="shared" si="137"/>
        <v>61205</v>
      </c>
      <c r="K1752" t="str">
        <f t="shared" si="136"/>
        <v/>
      </c>
    </row>
    <row r="1753" spans="3:12" x14ac:dyDescent="0.25">
      <c r="C1753" t="s">
        <v>1864</v>
      </c>
      <c r="D1753" t="s">
        <v>1864</v>
      </c>
      <c r="E1753" t="s">
        <v>3609</v>
      </c>
      <c r="F1753" t="s">
        <v>1397</v>
      </c>
      <c r="G1753" t="str">
        <f t="shared" ref="G1753:J1768" si="138">IF(A1753="",G1752,A1753)</f>
        <v>J</v>
      </c>
      <c r="H1753" t="str">
        <f t="shared" si="138"/>
        <v>61</v>
      </c>
      <c r="I1753" t="str">
        <f t="shared" si="138"/>
        <v>612</v>
      </c>
      <c r="J1753" t="str">
        <f t="shared" si="138"/>
        <v>61205</v>
      </c>
      <c r="K1753" t="str">
        <f t="shared" si="136"/>
        <v>6120501</v>
      </c>
      <c r="L1753">
        <v>1</v>
      </c>
    </row>
    <row r="1754" spans="3:12" x14ac:dyDescent="0.25">
      <c r="C1754" t="s">
        <v>1864</v>
      </c>
      <c r="D1754" t="s">
        <v>1864</v>
      </c>
      <c r="E1754" t="s">
        <v>3610</v>
      </c>
      <c r="F1754" t="s">
        <v>1398</v>
      </c>
      <c r="G1754" t="str">
        <f t="shared" si="138"/>
        <v>J</v>
      </c>
      <c r="H1754" t="str">
        <f t="shared" si="138"/>
        <v>61</v>
      </c>
      <c r="I1754" t="str">
        <f t="shared" si="138"/>
        <v>612</v>
      </c>
      <c r="J1754" t="str">
        <f t="shared" si="138"/>
        <v>61205</v>
      </c>
      <c r="K1754" t="str">
        <f t="shared" si="136"/>
        <v>6120502</v>
      </c>
      <c r="L1754">
        <v>1</v>
      </c>
    </row>
    <row r="1755" spans="3:12" x14ac:dyDescent="0.25">
      <c r="C1755" t="s">
        <v>1864</v>
      </c>
      <c r="D1755" t="s">
        <v>1864</v>
      </c>
      <c r="E1755" t="s">
        <v>3611</v>
      </c>
      <c r="F1755" t="s">
        <v>1399</v>
      </c>
      <c r="G1755" t="str">
        <f t="shared" si="138"/>
        <v>J</v>
      </c>
      <c r="H1755" t="str">
        <f t="shared" si="138"/>
        <v>61</v>
      </c>
      <c r="I1755" t="str">
        <f t="shared" si="138"/>
        <v>612</v>
      </c>
      <c r="J1755" t="str">
        <f t="shared" si="138"/>
        <v>61205</v>
      </c>
      <c r="K1755" t="str">
        <f t="shared" si="136"/>
        <v>6120599</v>
      </c>
      <c r="L1755">
        <v>1</v>
      </c>
    </row>
    <row r="1756" spans="3:12" x14ac:dyDescent="0.25">
      <c r="C1756" t="s">
        <v>3612</v>
      </c>
      <c r="D1756" t="s">
        <v>1864</v>
      </c>
      <c r="E1756" t="s">
        <v>1864</v>
      </c>
      <c r="F1756" t="s">
        <v>1400</v>
      </c>
      <c r="G1756" t="str">
        <f t="shared" si="138"/>
        <v>J</v>
      </c>
      <c r="H1756" t="str">
        <f t="shared" si="138"/>
        <v>61</v>
      </c>
      <c r="I1756" t="str">
        <f t="shared" si="138"/>
        <v>613</v>
      </c>
      <c r="J1756" t="str">
        <f t="shared" si="138"/>
        <v>61205</v>
      </c>
      <c r="K1756" t="str">
        <f t="shared" si="136"/>
        <v/>
      </c>
    </row>
    <row r="1757" spans="3:12" x14ac:dyDescent="0.25">
      <c r="C1757" t="s">
        <v>1864</v>
      </c>
      <c r="D1757" t="s">
        <v>3613</v>
      </c>
      <c r="E1757" t="s">
        <v>1864</v>
      </c>
      <c r="F1757" t="s">
        <v>1400</v>
      </c>
      <c r="G1757" t="str">
        <f t="shared" si="138"/>
        <v>J</v>
      </c>
      <c r="H1757" t="str">
        <f t="shared" si="138"/>
        <v>61</v>
      </c>
      <c r="I1757" t="str">
        <f t="shared" si="138"/>
        <v>613</v>
      </c>
      <c r="J1757" t="str">
        <f t="shared" si="138"/>
        <v>61302</v>
      </c>
      <c r="K1757" t="str">
        <f t="shared" si="136"/>
        <v/>
      </c>
    </row>
    <row r="1758" spans="3:12" x14ac:dyDescent="0.25">
      <c r="C1758" t="s">
        <v>1864</v>
      </c>
      <c r="D1758" t="s">
        <v>1864</v>
      </c>
      <c r="E1758" t="s">
        <v>3614</v>
      </c>
      <c r="F1758" t="s">
        <v>1400</v>
      </c>
      <c r="G1758" t="str">
        <f t="shared" si="138"/>
        <v>J</v>
      </c>
      <c r="H1758" t="str">
        <f t="shared" si="138"/>
        <v>61</v>
      </c>
      <c r="I1758" t="str">
        <f t="shared" si="138"/>
        <v>613</v>
      </c>
      <c r="J1758" t="str">
        <f t="shared" si="138"/>
        <v>61302</v>
      </c>
      <c r="K1758" t="str">
        <f t="shared" si="136"/>
        <v>6130200</v>
      </c>
      <c r="L1758">
        <v>1</v>
      </c>
    </row>
    <row r="1759" spans="3:12" x14ac:dyDescent="0.25">
      <c r="C1759" t="s">
        <v>3615</v>
      </c>
      <c r="D1759" t="s">
        <v>1864</v>
      </c>
      <c r="E1759" t="s">
        <v>1864</v>
      </c>
      <c r="F1759" t="s">
        <v>1401</v>
      </c>
      <c r="G1759" t="str">
        <f t="shared" si="138"/>
        <v>J</v>
      </c>
      <c r="H1759" t="str">
        <f t="shared" si="138"/>
        <v>61</v>
      </c>
      <c r="I1759" t="str">
        <f t="shared" si="138"/>
        <v>614</v>
      </c>
      <c r="J1759" t="str">
        <f t="shared" si="138"/>
        <v>61302</v>
      </c>
      <c r="K1759" t="str">
        <f t="shared" si="136"/>
        <v/>
      </c>
    </row>
    <row r="1760" spans="3:12" x14ac:dyDescent="0.25">
      <c r="C1760" t="s">
        <v>1864</v>
      </c>
      <c r="D1760" t="s">
        <v>3616</v>
      </c>
      <c r="E1760" t="s">
        <v>1864</v>
      </c>
      <c r="F1760" t="s">
        <v>1402</v>
      </c>
      <c r="G1760" t="str">
        <f t="shared" si="138"/>
        <v>J</v>
      </c>
      <c r="H1760" t="str">
        <f t="shared" si="138"/>
        <v>61</v>
      </c>
      <c r="I1760" t="str">
        <f t="shared" si="138"/>
        <v>614</v>
      </c>
      <c r="J1760" t="str">
        <f t="shared" si="138"/>
        <v>61418</v>
      </c>
      <c r="K1760" t="str">
        <f t="shared" si="136"/>
        <v/>
      </c>
    </row>
    <row r="1761" spans="2:12" x14ac:dyDescent="0.25">
      <c r="C1761" t="s">
        <v>1864</v>
      </c>
      <c r="D1761" t="s">
        <v>1864</v>
      </c>
      <c r="E1761" t="s">
        <v>3617</v>
      </c>
      <c r="F1761" t="s">
        <v>1402</v>
      </c>
      <c r="G1761" t="str">
        <f t="shared" si="138"/>
        <v>J</v>
      </c>
      <c r="H1761" t="str">
        <f t="shared" si="138"/>
        <v>61</v>
      </c>
      <c r="I1761" t="str">
        <f t="shared" si="138"/>
        <v>614</v>
      </c>
      <c r="J1761" t="str">
        <f t="shared" si="138"/>
        <v>61418</v>
      </c>
      <c r="K1761" t="str">
        <f t="shared" si="136"/>
        <v>6141800</v>
      </c>
      <c r="L1761">
        <v>1</v>
      </c>
    </row>
    <row r="1762" spans="2:12" x14ac:dyDescent="0.25">
      <c r="C1762" t="s">
        <v>1864</v>
      </c>
      <c r="D1762" t="s">
        <v>3618</v>
      </c>
      <c r="E1762" t="s">
        <v>1864</v>
      </c>
      <c r="F1762" t="s">
        <v>1403</v>
      </c>
      <c r="G1762" t="str">
        <f t="shared" si="138"/>
        <v>J</v>
      </c>
      <c r="H1762" t="str">
        <f t="shared" si="138"/>
        <v>61</v>
      </c>
      <c r="I1762" t="str">
        <f t="shared" si="138"/>
        <v>614</v>
      </c>
      <c r="J1762" t="str">
        <f t="shared" si="138"/>
        <v>61426</v>
      </c>
      <c r="K1762" t="str">
        <f t="shared" si="136"/>
        <v/>
      </c>
    </row>
    <row r="1763" spans="2:12" x14ac:dyDescent="0.25">
      <c r="C1763" t="s">
        <v>1864</v>
      </c>
      <c r="D1763" t="s">
        <v>1864</v>
      </c>
      <c r="E1763" t="s">
        <v>3619</v>
      </c>
      <c r="F1763" t="s">
        <v>1403</v>
      </c>
      <c r="G1763" t="str">
        <f t="shared" si="138"/>
        <v>J</v>
      </c>
      <c r="H1763" t="str">
        <f t="shared" si="138"/>
        <v>61</v>
      </c>
      <c r="I1763" t="str">
        <f t="shared" si="138"/>
        <v>614</v>
      </c>
      <c r="J1763" t="str">
        <f t="shared" si="138"/>
        <v>61426</v>
      </c>
      <c r="K1763" t="str">
        <f t="shared" si="136"/>
        <v>6142600</v>
      </c>
      <c r="L1763">
        <v>1</v>
      </c>
    </row>
    <row r="1764" spans="2:12" x14ac:dyDescent="0.25">
      <c r="C1764" t="s">
        <v>1864</v>
      </c>
      <c r="D1764" t="s">
        <v>3620</v>
      </c>
      <c r="E1764" t="s">
        <v>1864</v>
      </c>
      <c r="F1764" t="s">
        <v>1404</v>
      </c>
      <c r="G1764" t="str">
        <f t="shared" si="138"/>
        <v>J</v>
      </c>
      <c r="H1764" t="str">
        <f t="shared" si="138"/>
        <v>61</v>
      </c>
      <c r="I1764" t="str">
        <f t="shared" si="138"/>
        <v>614</v>
      </c>
      <c r="J1764" t="str">
        <f t="shared" si="138"/>
        <v>61434</v>
      </c>
      <c r="K1764" t="str">
        <f t="shared" si="136"/>
        <v/>
      </c>
    </row>
    <row r="1765" spans="2:12" x14ac:dyDescent="0.25">
      <c r="C1765" t="s">
        <v>1864</v>
      </c>
      <c r="D1765" t="s">
        <v>1864</v>
      </c>
      <c r="E1765" t="s">
        <v>3621</v>
      </c>
      <c r="F1765" t="s">
        <v>1404</v>
      </c>
      <c r="G1765" t="str">
        <f t="shared" si="138"/>
        <v>J</v>
      </c>
      <c r="H1765" t="str">
        <f t="shared" si="138"/>
        <v>61</v>
      </c>
      <c r="I1765" t="str">
        <f t="shared" si="138"/>
        <v>614</v>
      </c>
      <c r="J1765" t="str">
        <f t="shared" si="138"/>
        <v>61434</v>
      </c>
      <c r="K1765" t="str">
        <f t="shared" si="136"/>
        <v>6143400</v>
      </c>
      <c r="L1765">
        <v>1</v>
      </c>
    </row>
    <row r="1766" spans="2:12" x14ac:dyDescent="0.25">
      <c r="C1766" t="s">
        <v>3622</v>
      </c>
      <c r="D1766" t="s">
        <v>1864</v>
      </c>
      <c r="E1766" t="s">
        <v>1864</v>
      </c>
      <c r="F1766" t="s">
        <v>1405</v>
      </c>
      <c r="G1766" t="str">
        <f t="shared" si="138"/>
        <v>J</v>
      </c>
      <c r="H1766" t="str">
        <f t="shared" si="138"/>
        <v>61</v>
      </c>
      <c r="I1766" t="str">
        <f t="shared" si="138"/>
        <v>619</v>
      </c>
      <c r="J1766" t="str">
        <f t="shared" si="138"/>
        <v>61434</v>
      </c>
      <c r="K1766" t="str">
        <f t="shared" si="136"/>
        <v/>
      </c>
    </row>
    <row r="1767" spans="2:12" x14ac:dyDescent="0.25">
      <c r="C1767" t="s">
        <v>1864</v>
      </c>
      <c r="D1767" t="s">
        <v>3623</v>
      </c>
      <c r="E1767" t="s">
        <v>1864</v>
      </c>
      <c r="F1767" t="s">
        <v>1405</v>
      </c>
      <c r="G1767" t="str">
        <f t="shared" si="138"/>
        <v>J</v>
      </c>
      <c r="H1767" t="str">
        <f t="shared" si="138"/>
        <v>61</v>
      </c>
      <c r="I1767" t="str">
        <f t="shared" si="138"/>
        <v>619</v>
      </c>
      <c r="J1767" t="str">
        <f t="shared" si="138"/>
        <v>61906</v>
      </c>
      <c r="K1767" t="str">
        <f t="shared" si="136"/>
        <v/>
      </c>
    </row>
    <row r="1768" spans="2:12" x14ac:dyDescent="0.25">
      <c r="C1768" t="s">
        <v>1864</v>
      </c>
      <c r="D1768" t="s">
        <v>1864</v>
      </c>
      <c r="E1768" t="s">
        <v>3624</v>
      </c>
      <c r="F1768" t="s">
        <v>1406</v>
      </c>
      <c r="G1768" t="str">
        <f t="shared" si="138"/>
        <v>J</v>
      </c>
      <c r="H1768" t="str">
        <f t="shared" si="138"/>
        <v>61</v>
      </c>
      <c r="I1768" t="str">
        <f t="shared" si="138"/>
        <v>619</v>
      </c>
      <c r="J1768" t="str">
        <f t="shared" si="138"/>
        <v>61906</v>
      </c>
      <c r="K1768" t="str">
        <f t="shared" si="136"/>
        <v>6190601</v>
      </c>
      <c r="L1768">
        <v>1</v>
      </c>
    </row>
    <row r="1769" spans="2:12" x14ac:dyDescent="0.25">
      <c r="C1769" t="s">
        <v>1864</v>
      </c>
      <c r="D1769" t="s">
        <v>1864</v>
      </c>
      <c r="E1769" t="s">
        <v>3625</v>
      </c>
      <c r="F1769" t="s">
        <v>1407</v>
      </c>
      <c r="G1769" t="str">
        <f t="shared" ref="G1769:J1784" si="139">IF(A1769="",G1768,A1769)</f>
        <v>J</v>
      </c>
      <c r="H1769" t="str">
        <f t="shared" si="139"/>
        <v>61</v>
      </c>
      <c r="I1769" t="str">
        <f t="shared" si="139"/>
        <v>619</v>
      </c>
      <c r="J1769" t="str">
        <f t="shared" si="139"/>
        <v>61906</v>
      </c>
      <c r="K1769" t="str">
        <f t="shared" si="136"/>
        <v>6190602</v>
      </c>
      <c r="L1769">
        <v>1</v>
      </c>
    </row>
    <row r="1770" spans="2:12" x14ac:dyDescent="0.25">
      <c r="C1770" t="s">
        <v>1864</v>
      </c>
      <c r="D1770" t="s">
        <v>1864</v>
      </c>
      <c r="E1770" t="s">
        <v>3626</v>
      </c>
      <c r="F1770" t="s">
        <v>1408</v>
      </c>
      <c r="G1770" t="str">
        <f t="shared" si="139"/>
        <v>J</v>
      </c>
      <c r="H1770" t="str">
        <f t="shared" si="139"/>
        <v>61</v>
      </c>
      <c r="I1770" t="str">
        <f t="shared" si="139"/>
        <v>619</v>
      </c>
      <c r="J1770" t="str">
        <f t="shared" si="139"/>
        <v>61906</v>
      </c>
      <c r="K1770" t="str">
        <f t="shared" si="136"/>
        <v>6190699</v>
      </c>
      <c r="L1770">
        <v>1</v>
      </c>
    </row>
    <row r="1771" spans="2:12" x14ac:dyDescent="0.25">
      <c r="B1771" t="s">
        <v>3627</v>
      </c>
      <c r="C1771" t="s">
        <v>1864</v>
      </c>
      <c r="D1771" t="s">
        <v>1864</v>
      </c>
      <c r="E1771" t="s">
        <v>1864</v>
      </c>
      <c r="F1771" t="s">
        <v>1409</v>
      </c>
      <c r="G1771" t="str">
        <f t="shared" si="139"/>
        <v>J</v>
      </c>
      <c r="H1771" t="str">
        <f t="shared" si="139"/>
        <v>62</v>
      </c>
      <c r="I1771" t="str">
        <f t="shared" si="139"/>
        <v>619</v>
      </c>
      <c r="J1771" t="str">
        <f t="shared" si="139"/>
        <v>61906</v>
      </c>
      <c r="K1771" t="str">
        <f t="shared" si="136"/>
        <v/>
      </c>
    </row>
    <row r="1772" spans="2:12" x14ac:dyDescent="0.25">
      <c r="C1772" t="s">
        <v>3628</v>
      </c>
      <c r="D1772" t="s">
        <v>1864</v>
      </c>
      <c r="E1772" t="s">
        <v>1864</v>
      </c>
      <c r="F1772" t="s">
        <v>1410</v>
      </c>
      <c r="G1772" t="str">
        <f t="shared" si="139"/>
        <v>J</v>
      </c>
      <c r="H1772" t="str">
        <f t="shared" si="139"/>
        <v>62</v>
      </c>
      <c r="I1772" t="str">
        <f t="shared" si="139"/>
        <v>620</v>
      </c>
      <c r="J1772" t="str">
        <f t="shared" si="139"/>
        <v>61906</v>
      </c>
      <c r="K1772" t="str">
        <f t="shared" si="136"/>
        <v/>
      </c>
    </row>
    <row r="1773" spans="2:12" x14ac:dyDescent="0.25">
      <c r="C1773" t="s">
        <v>1864</v>
      </c>
      <c r="D1773" t="s">
        <v>3629</v>
      </c>
      <c r="E1773" t="s">
        <v>1864</v>
      </c>
      <c r="F1773" t="s">
        <v>1411</v>
      </c>
      <c r="G1773" t="str">
        <f t="shared" si="139"/>
        <v>J</v>
      </c>
      <c r="H1773" t="str">
        <f t="shared" si="139"/>
        <v>62</v>
      </c>
      <c r="I1773" t="str">
        <f t="shared" si="139"/>
        <v>620</v>
      </c>
      <c r="J1773" t="str">
        <f t="shared" si="139"/>
        <v>62015</v>
      </c>
      <c r="K1773" t="str">
        <f t="shared" si="136"/>
        <v/>
      </c>
    </row>
    <row r="1774" spans="2:12" x14ac:dyDescent="0.25">
      <c r="C1774" t="s">
        <v>1864</v>
      </c>
      <c r="D1774" t="s">
        <v>1864</v>
      </c>
      <c r="E1774" t="s">
        <v>3630</v>
      </c>
      <c r="F1774" t="s">
        <v>1411</v>
      </c>
      <c r="G1774" t="str">
        <f t="shared" si="139"/>
        <v>J</v>
      </c>
      <c r="H1774" t="str">
        <f t="shared" si="139"/>
        <v>62</v>
      </c>
      <c r="I1774" t="str">
        <f t="shared" si="139"/>
        <v>620</v>
      </c>
      <c r="J1774" t="str">
        <f t="shared" si="139"/>
        <v>62015</v>
      </c>
      <c r="K1774" t="str">
        <f t="shared" si="136"/>
        <v>6201501</v>
      </c>
      <c r="L1774">
        <v>1</v>
      </c>
    </row>
    <row r="1775" spans="2:12" x14ac:dyDescent="0.25">
      <c r="C1775" t="s">
        <v>1864</v>
      </c>
      <c r="D1775" t="s">
        <v>1864</v>
      </c>
      <c r="E1775" t="s">
        <v>3631</v>
      </c>
      <c r="F1775" t="s">
        <v>1412</v>
      </c>
      <c r="G1775" t="str">
        <f t="shared" si="139"/>
        <v>J</v>
      </c>
      <c r="H1775" t="str">
        <f t="shared" si="139"/>
        <v>62</v>
      </c>
      <c r="I1775" t="str">
        <f t="shared" si="139"/>
        <v>620</v>
      </c>
      <c r="J1775" t="str">
        <f t="shared" si="139"/>
        <v>62015</v>
      </c>
      <c r="K1775" t="str">
        <f t="shared" si="136"/>
        <v>6201502</v>
      </c>
      <c r="L1775">
        <v>1</v>
      </c>
    </row>
    <row r="1776" spans="2:12" x14ac:dyDescent="0.25">
      <c r="C1776" t="s">
        <v>1864</v>
      </c>
      <c r="D1776" t="s">
        <v>3632</v>
      </c>
      <c r="E1776" t="s">
        <v>1864</v>
      </c>
      <c r="F1776" t="s">
        <v>1413</v>
      </c>
      <c r="G1776" t="str">
        <f t="shared" si="139"/>
        <v>J</v>
      </c>
      <c r="H1776" t="str">
        <f t="shared" si="139"/>
        <v>62</v>
      </c>
      <c r="I1776" t="str">
        <f t="shared" si="139"/>
        <v>620</v>
      </c>
      <c r="J1776" t="str">
        <f t="shared" si="139"/>
        <v>62023</v>
      </c>
      <c r="K1776" t="str">
        <f t="shared" si="136"/>
        <v/>
      </c>
    </row>
    <row r="1777" spans="2:12" x14ac:dyDescent="0.25">
      <c r="C1777" t="s">
        <v>1864</v>
      </c>
      <c r="D1777" t="s">
        <v>1864</v>
      </c>
      <c r="E1777" t="s">
        <v>3633</v>
      </c>
      <c r="F1777" t="s">
        <v>1413</v>
      </c>
      <c r="G1777" t="str">
        <f t="shared" si="139"/>
        <v>J</v>
      </c>
      <c r="H1777" t="str">
        <f t="shared" si="139"/>
        <v>62</v>
      </c>
      <c r="I1777" t="str">
        <f t="shared" si="139"/>
        <v>620</v>
      </c>
      <c r="J1777" t="str">
        <f t="shared" si="139"/>
        <v>62023</v>
      </c>
      <c r="K1777" t="str">
        <f t="shared" si="136"/>
        <v>6202300</v>
      </c>
      <c r="L1777">
        <v>1</v>
      </c>
    </row>
    <row r="1778" spans="2:12" x14ac:dyDescent="0.25">
      <c r="C1778" t="s">
        <v>1864</v>
      </c>
      <c r="D1778" t="s">
        <v>3634</v>
      </c>
      <c r="E1778" t="s">
        <v>1864</v>
      </c>
      <c r="F1778" t="s">
        <v>1414</v>
      </c>
      <c r="G1778" t="str">
        <f t="shared" si="139"/>
        <v>J</v>
      </c>
      <c r="H1778" t="str">
        <f t="shared" si="139"/>
        <v>62</v>
      </c>
      <c r="I1778" t="str">
        <f t="shared" si="139"/>
        <v>620</v>
      </c>
      <c r="J1778" t="str">
        <f t="shared" si="139"/>
        <v>62031</v>
      </c>
      <c r="K1778" t="str">
        <f t="shared" si="136"/>
        <v/>
      </c>
    </row>
    <row r="1779" spans="2:12" x14ac:dyDescent="0.25">
      <c r="C1779" t="s">
        <v>1864</v>
      </c>
      <c r="D1779" t="s">
        <v>1864</v>
      </c>
      <c r="E1779" t="s">
        <v>3635</v>
      </c>
      <c r="F1779" t="s">
        <v>1414</v>
      </c>
      <c r="G1779" t="str">
        <f t="shared" si="139"/>
        <v>J</v>
      </c>
      <c r="H1779" t="str">
        <f t="shared" si="139"/>
        <v>62</v>
      </c>
      <c r="I1779" t="str">
        <f t="shared" si="139"/>
        <v>620</v>
      </c>
      <c r="J1779" t="str">
        <f t="shared" si="139"/>
        <v>62031</v>
      </c>
      <c r="K1779" t="str">
        <f t="shared" si="136"/>
        <v>6203100</v>
      </c>
      <c r="L1779">
        <v>1</v>
      </c>
    </row>
    <row r="1780" spans="2:12" x14ac:dyDescent="0.25">
      <c r="C1780" t="s">
        <v>1864</v>
      </c>
      <c r="D1780" t="s">
        <v>3636</v>
      </c>
      <c r="E1780" t="s">
        <v>1864</v>
      </c>
      <c r="F1780" t="s">
        <v>1415</v>
      </c>
      <c r="G1780" t="str">
        <f t="shared" si="139"/>
        <v>J</v>
      </c>
      <c r="H1780" t="str">
        <f t="shared" si="139"/>
        <v>62</v>
      </c>
      <c r="I1780" t="str">
        <f t="shared" si="139"/>
        <v>620</v>
      </c>
      <c r="J1780" t="str">
        <f t="shared" si="139"/>
        <v>62040</v>
      </c>
      <c r="K1780" t="str">
        <f t="shared" si="136"/>
        <v/>
      </c>
    </row>
    <row r="1781" spans="2:12" x14ac:dyDescent="0.25">
      <c r="C1781" t="s">
        <v>1864</v>
      </c>
      <c r="D1781" t="s">
        <v>1864</v>
      </c>
      <c r="E1781" t="s">
        <v>3637</v>
      </c>
      <c r="F1781" t="s">
        <v>1415</v>
      </c>
      <c r="G1781" t="str">
        <f t="shared" si="139"/>
        <v>J</v>
      </c>
      <c r="H1781" t="str">
        <f t="shared" si="139"/>
        <v>62</v>
      </c>
      <c r="I1781" t="str">
        <f t="shared" si="139"/>
        <v>620</v>
      </c>
      <c r="J1781" t="str">
        <f t="shared" si="139"/>
        <v>62040</v>
      </c>
      <c r="K1781" t="str">
        <f t="shared" si="136"/>
        <v>6204000</v>
      </c>
      <c r="L1781">
        <v>1</v>
      </c>
    </row>
    <row r="1782" spans="2:12" x14ac:dyDescent="0.25">
      <c r="C1782" t="s">
        <v>1864</v>
      </c>
      <c r="D1782" t="s">
        <v>3638</v>
      </c>
      <c r="E1782" t="s">
        <v>1864</v>
      </c>
      <c r="F1782" t="s">
        <v>1416</v>
      </c>
      <c r="G1782" t="str">
        <f t="shared" si="139"/>
        <v>J</v>
      </c>
      <c r="H1782" t="str">
        <f t="shared" si="139"/>
        <v>62</v>
      </c>
      <c r="I1782" t="str">
        <f t="shared" si="139"/>
        <v>620</v>
      </c>
      <c r="J1782" t="str">
        <f t="shared" si="139"/>
        <v>62091</v>
      </c>
      <c r="K1782" t="str">
        <f t="shared" si="136"/>
        <v/>
      </c>
    </row>
    <row r="1783" spans="2:12" x14ac:dyDescent="0.25">
      <c r="C1783" t="s">
        <v>1864</v>
      </c>
      <c r="D1783" t="s">
        <v>1864</v>
      </c>
      <c r="E1783" t="s">
        <v>3639</v>
      </c>
      <c r="F1783" t="s">
        <v>1416</v>
      </c>
      <c r="G1783" t="str">
        <f t="shared" si="139"/>
        <v>J</v>
      </c>
      <c r="H1783" t="str">
        <f t="shared" si="139"/>
        <v>62</v>
      </c>
      <c r="I1783" t="str">
        <f t="shared" si="139"/>
        <v>620</v>
      </c>
      <c r="J1783" t="str">
        <f t="shared" si="139"/>
        <v>62091</v>
      </c>
      <c r="K1783" t="str">
        <f t="shared" si="136"/>
        <v>6209100</v>
      </c>
      <c r="L1783">
        <v>1</v>
      </c>
    </row>
    <row r="1784" spans="2:12" x14ac:dyDescent="0.25">
      <c r="B1784">
        <v>63</v>
      </c>
      <c r="C1784" t="s">
        <v>1864</v>
      </c>
      <c r="D1784" t="s">
        <v>1864</v>
      </c>
      <c r="E1784" t="s">
        <v>1864</v>
      </c>
      <c r="F1784" t="s">
        <v>1417</v>
      </c>
      <c r="G1784" t="str">
        <f t="shared" si="139"/>
        <v>J</v>
      </c>
      <c r="H1784">
        <f t="shared" si="139"/>
        <v>63</v>
      </c>
      <c r="I1784" t="str">
        <f t="shared" si="139"/>
        <v>620</v>
      </c>
      <c r="J1784" t="str">
        <f t="shared" si="139"/>
        <v>62091</v>
      </c>
      <c r="K1784" t="str">
        <f t="shared" si="136"/>
        <v/>
      </c>
    </row>
    <row r="1785" spans="2:12" x14ac:dyDescent="0.25">
      <c r="C1785" t="s">
        <v>3640</v>
      </c>
      <c r="D1785" t="s">
        <v>1864</v>
      </c>
      <c r="E1785" t="s">
        <v>1864</v>
      </c>
      <c r="F1785" t="s">
        <v>1418</v>
      </c>
      <c r="G1785" t="str">
        <f t="shared" ref="G1785:J1800" si="140">IF(A1785="",G1784,A1785)</f>
        <v>J</v>
      </c>
      <c r="H1785">
        <f t="shared" si="140"/>
        <v>63</v>
      </c>
      <c r="I1785" t="str">
        <f t="shared" si="140"/>
        <v>631</v>
      </c>
      <c r="J1785" t="str">
        <f t="shared" si="140"/>
        <v>62091</v>
      </c>
      <c r="K1785" t="str">
        <f t="shared" si="136"/>
        <v/>
      </c>
    </row>
    <row r="1786" spans="2:12" x14ac:dyDescent="0.25">
      <c r="C1786" t="s">
        <v>1864</v>
      </c>
      <c r="D1786" t="s">
        <v>3641</v>
      </c>
      <c r="E1786" t="s">
        <v>1864</v>
      </c>
      <c r="F1786" t="s">
        <v>1419</v>
      </c>
      <c r="G1786" t="str">
        <f t="shared" si="140"/>
        <v>J</v>
      </c>
      <c r="H1786">
        <f t="shared" si="140"/>
        <v>63</v>
      </c>
      <c r="I1786" t="str">
        <f t="shared" si="140"/>
        <v>631</v>
      </c>
      <c r="J1786" t="str">
        <f t="shared" si="140"/>
        <v>63119</v>
      </c>
      <c r="K1786" t="str">
        <f t="shared" si="136"/>
        <v/>
      </c>
    </row>
    <row r="1787" spans="2:12" x14ac:dyDescent="0.25">
      <c r="C1787" t="s">
        <v>1864</v>
      </c>
      <c r="D1787" t="s">
        <v>1864</v>
      </c>
      <c r="E1787" t="s">
        <v>3642</v>
      </c>
      <c r="F1787" t="s">
        <v>1419</v>
      </c>
      <c r="G1787" t="str">
        <f t="shared" si="140"/>
        <v>J</v>
      </c>
      <c r="H1787">
        <f t="shared" si="140"/>
        <v>63</v>
      </c>
      <c r="I1787" t="str">
        <f t="shared" si="140"/>
        <v>631</v>
      </c>
      <c r="J1787" t="str">
        <f t="shared" si="140"/>
        <v>63119</v>
      </c>
      <c r="K1787" t="str">
        <f t="shared" si="136"/>
        <v>6311900</v>
      </c>
      <c r="L1787">
        <v>1</v>
      </c>
    </row>
    <row r="1788" spans="2:12" x14ac:dyDescent="0.25">
      <c r="C1788" t="s">
        <v>1864</v>
      </c>
      <c r="D1788" t="s">
        <v>3643</v>
      </c>
      <c r="E1788" t="s">
        <v>1864</v>
      </c>
      <c r="F1788" t="s">
        <v>1420</v>
      </c>
      <c r="G1788" t="str">
        <f t="shared" si="140"/>
        <v>J</v>
      </c>
      <c r="H1788">
        <f t="shared" si="140"/>
        <v>63</v>
      </c>
      <c r="I1788" t="str">
        <f t="shared" si="140"/>
        <v>631</v>
      </c>
      <c r="J1788" t="str">
        <f t="shared" si="140"/>
        <v>63194</v>
      </c>
      <c r="K1788" t="str">
        <f t="shared" si="136"/>
        <v/>
      </c>
    </row>
    <row r="1789" spans="2:12" x14ac:dyDescent="0.25">
      <c r="C1789" t="s">
        <v>1864</v>
      </c>
      <c r="D1789" t="s">
        <v>1864</v>
      </c>
      <c r="E1789" t="s">
        <v>3644</v>
      </c>
      <c r="F1789" t="s">
        <v>1420</v>
      </c>
      <c r="G1789" t="str">
        <f t="shared" si="140"/>
        <v>J</v>
      </c>
      <c r="H1789">
        <f t="shared" si="140"/>
        <v>63</v>
      </c>
      <c r="I1789" t="str">
        <f t="shared" si="140"/>
        <v>631</v>
      </c>
      <c r="J1789" t="str">
        <f t="shared" si="140"/>
        <v>63194</v>
      </c>
      <c r="K1789" t="str">
        <f t="shared" si="136"/>
        <v>6319400</v>
      </c>
      <c r="L1789">
        <v>1</v>
      </c>
    </row>
    <row r="1790" spans="2:12" x14ac:dyDescent="0.25">
      <c r="C1790" t="s">
        <v>3645</v>
      </c>
      <c r="D1790" t="s">
        <v>1864</v>
      </c>
      <c r="E1790" t="s">
        <v>1864</v>
      </c>
      <c r="F1790" t="s">
        <v>1421</v>
      </c>
      <c r="G1790" t="str">
        <f t="shared" si="140"/>
        <v>J</v>
      </c>
      <c r="H1790">
        <f t="shared" si="140"/>
        <v>63</v>
      </c>
      <c r="I1790" t="str">
        <f t="shared" si="140"/>
        <v>639</v>
      </c>
      <c r="J1790" t="str">
        <f t="shared" si="140"/>
        <v>63194</v>
      </c>
      <c r="K1790" t="str">
        <f t="shared" si="136"/>
        <v/>
      </c>
    </row>
    <row r="1791" spans="2:12" x14ac:dyDescent="0.25">
      <c r="C1791" t="s">
        <v>1864</v>
      </c>
      <c r="D1791" t="s">
        <v>3646</v>
      </c>
      <c r="E1791" t="s">
        <v>1864</v>
      </c>
      <c r="F1791" t="s">
        <v>1422</v>
      </c>
      <c r="G1791" t="str">
        <f t="shared" si="140"/>
        <v>J</v>
      </c>
      <c r="H1791">
        <f t="shared" si="140"/>
        <v>63</v>
      </c>
      <c r="I1791" t="str">
        <f t="shared" si="140"/>
        <v>639</v>
      </c>
      <c r="J1791" t="str">
        <f t="shared" si="140"/>
        <v>63917</v>
      </c>
      <c r="K1791" t="str">
        <f t="shared" si="136"/>
        <v/>
      </c>
    </row>
    <row r="1792" spans="2:12" x14ac:dyDescent="0.25">
      <c r="C1792" t="s">
        <v>1864</v>
      </c>
      <c r="D1792" t="s">
        <v>1864</v>
      </c>
      <c r="E1792" t="s">
        <v>3647</v>
      </c>
      <c r="F1792" t="s">
        <v>1422</v>
      </c>
      <c r="G1792" t="str">
        <f t="shared" si="140"/>
        <v>J</v>
      </c>
      <c r="H1792">
        <f t="shared" si="140"/>
        <v>63</v>
      </c>
      <c r="I1792" t="str">
        <f t="shared" si="140"/>
        <v>639</v>
      </c>
      <c r="J1792" t="str">
        <f t="shared" si="140"/>
        <v>63917</v>
      </c>
      <c r="K1792" t="str">
        <f t="shared" si="136"/>
        <v>6391700</v>
      </c>
      <c r="L1792">
        <v>1</v>
      </c>
    </row>
    <row r="1793" spans="1:12" x14ac:dyDescent="0.25">
      <c r="C1793" t="s">
        <v>1864</v>
      </c>
      <c r="D1793" t="s">
        <v>3648</v>
      </c>
      <c r="E1793" t="s">
        <v>1864</v>
      </c>
      <c r="F1793" t="s">
        <v>1423</v>
      </c>
      <c r="G1793" t="str">
        <f t="shared" si="140"/>
        <v>J</v>
      </c>
      <c r="H1793">
        <f t="shared" si="140"/>
        <v>63</v>
      </c>
      <c r="I1793" t="str">
        <f t="shared" si="140"/>
        <v>639</v>
      </c>
      <c r="J1793" t="str">
        <f t="shared" si="140"/>
        <v>63992</v>
      </c>
      <c r="K1793" t="str">
        <f t="shared" si="136"/>
        <v/>
      </c>
    </row>
    <row r="1794" spans="1:12" x14ac:dyDescent="0.25">
      <c r="C1794" t="s">
        <v>1864</v>
      </c>
      <c r="D1794" t="s">
        <v>1864</v>
      </c>
      <c r="E1794" t="s">
        <v>3649</v>
      </c>
      <c r="F1794" t="s">
        <v>1423</v>
      </c>
      <c r="G1794" t="str">
        <f t="shared" si="140"/>
        <v>J</v>
      </c>
      <c r="H1794">
        <f t="shared" si="140"/>
        <v>63</v>
      </c>
      <c r="I1794" t="str">
        <f t="shared" si="140"/>
        <v>639</v>
      </c>
      <c r="J1794" t="str">
        <f t="shared" si="140"/>
        <v>63992</v>
      </c>
      <c r="K1794" t="str">
        <f t="shared" si="136"/>
        <v>6399200</v>
      </c>
      <c r="L1794">
        <v>1</v>
      </c>
    </row>
    <row r="1795" spans="1:12" x14ac:dyDescent="0.25">
      <c r="A1795" t="s">
        <v>3650</v>
      </c>
      <c r="C1795" t="s">
        <v>1864</v>
      </c>
      <c r="D1795" t="s">
        <v>1864</v>
      </c>
      <c r="E1795" t="s">
        <v>1864</v>
      </c>
      <c r="F1795" t="s">
        <v>1424</v>
      </c>
      <c r="G1795" t="str">
        <f t="shared" si="140"/>
        <v>K</v>
      </c>
      <c r="H1795">
        <f t="shared" si="140"/>
        <v>63</v>
      </c>
      <c r="I1795" t="str">
        <f t="shared" si="140"/>
        <v>639</v>
      </c>
      <c r="J1795" t="str">
        <f t="shared" si="140"/>
        <v>63992</v>
      </c>
      <c r="K1795" t="str">
        <f t="shared" si="136"/>
        <v/>
      </c>
    </row>
    <row r="1796" spans="1:12" x14ac:dyDescent="0.25">
      <c r="B1796" t="s">
        <v>3651</v>
      </c>
      <c r="C1796" t="s">
        <v>1864</v>
      </c>
      <c r="D1796" t="s">
        <v>1864</v>
      </c>
      <c r="E1796" t="s">
        <v>1864</v>
      </c>
      <c r="F1796" t="s">
        <v>1425</v>
      </c>
      <c r="G1796" t="str">
        <f t="shared" si="140"/>
        <v>K</v>
      </c>
      <c r="H1796" t="str">
        <f t="shared" si="140"/>
        <v>64</v>
      </c>
      <c r="I1796" t="str">
        <f t="shared" si="140"/>
        <v>639</v>
      </c>
      <c r="J1796" t="str">
        <f t="shared" si="140"/>
        <v>63992</v>
      </c>
      <c r="K1796" t="str">
        <f t="shared" si="136"/>
        <v/>
      </c>
    </row>
    <row r="1797" spans="1:12" x14ac:dyDescent="0.25">
      <c r="C1797" t="s">
        <v>3652</v>
      </c>
      <c r="D1797" t="s">
        <v>1864</v>
      </c>
      <c r="E1797" t="s">
        <v>1864</v>
      </c>
      <c r="F1797" t="s">
        <v>1426</v>
      </c>
      <c r="G1797" t="str">
        <f t="shared" si="140"/>
        <v>K</v>
      </c>
      <c r="H1797" t="str">
        <f t="shared" si="140"/>
        <v>64</v>
      </c>
      <c r="I1797" t="str">
        <f t="shared" si="140"/>
        <v>641</v>
      </c>
      <c r="J1797" t="str">
        <f t="shared" si="140"/>
        <v>63992</v>
      </c>
      <c r="K1797" t="str">
        <f t="shared" si="136"/>
        <v/>
      </c>
    </row>
    <row r="1798" spans="1:12" x14ac:dyDescent="0.25">
      <c r="C1798" t="s">
        <v>1864</v>
      </c>
      <c r="D1798" t="s">
        <v>3653</v>
      </c>
      <c r="E1798" t="s">
        <v>1864</v>
      </c>
      <c r="F1798" t="s">
        <v>1426</v>
      </c>
      <c r="G1798" t="str">
        <f t="shared" si="140"/>
        <v>K</v>
      </c>
      <c r="H1798" t="str">
        <f t="shared" si="140"/>
        <v>64</v>
      </c>
      <c r="I1798" t="str">
        <f t="shared" si="140"/>
        <v>641</v>
      </c>
      <c r="J1798" t="str">
        <f t="shared" si="140"/>
        <v>64107</v>
      </c>
      <c r="K1798" t="str">
        <f t="shared" si="136"/>
        <v/>
      </c>
    </row>
    <row r="1799" spans="1:12" x14ac:dyDescent="0.25">
      <c r="C1799" t="s">
        <v>1864</v>
      </c>
      <c r="D1799" t="s">
        <v>1864</v>
      </c>
      <c r="E1799" t="s">
        <v>3654</v>
      </c>
      <c r="F1799" t="s">
        <v>1426</v>
      </c>
      <c r="G1799" t="str">
        <f t="shared" si="140"/>
        <v>K</v>
      </c>
      <c r="H1799" t="str">
        <f t="shared" si="140"/>
        <v>64</v>
      </c>
      <c r="I1799" t="str">
        <f t="shared" si="140"/>
        <v>641</v>
      </c>
      <c r="J1799" t="str">
        <f t="shared" si="140"/>
        <v>64107</v>
      </c>
      <c r="K1799" t="str">
        <f t="shared" si="136"/>
        <v>6410700</v>
      </c>
      <c r="L1799">
        <v>0</v>
      </c>
    </row>
    <row r="1800" spans="1:12" x14ac:dyDescent="0.25">
      <c r="C1800" t="s">
        <v>3655</v>
      </c>
      <c r="D1800" t="s">
        <v>1864</v>
      </c>
      <c r="E1800" t="s">
        <v>1864</v>
      </c>
      <c r="F1800" t="s">
        <v>1427</v>
      </c>
      <c r="G1800" t="str">
        <f t="shared" si="140"/>
        <v>K</v>
      </c>
      <c r="H1800" t="str">
        <f t="shared" si="140"/>
        <v>64</v>
      </c>
      <c r="I1800" t="str">
        <f t="shared" si="140"/>
        <v>642</v>
      </c>
      <c r="J1800" t="str">
        <f t="shared" si="140"/>
        <v>64107</v>
      </c>
      <c r="K1800" t="str">
        <f t="shared" ref="K1800:K1863" si="141">E1800</f>
        <v/>
      </c>
    </row>
    <row r="1801" spans="1:12" x14ac:dyDescent="0.25">
      <c r="C1801" t="s">
        <v>1864</v>
      </c>
      <c r="D1801" t="s">
        <v>3656</v>
      </c>
      <c r="E1801" t="s">
        <v>1864</v>
      </c>
      <c r="F1801" t="s">
        <v>1428</v>
      </c>
      <c r="G1801" t="str">
        <f t="shared" ref="G1801:J1816" si="142">IF(A1801="",G1800,A1801)</f>
        <v>K</v>
      </c>
      <c r="H1801" t="str">
        <f t="shared" si="142"/>
        <v>64</v>
      </c>
      <c r="I1801" t="str">
        <f t="shared" si="142"/>
        <v>642</v>
      </c>
      <c r="J1801" t="str">
        <f t="shared" si="142"/>
        <v>64212</v>
      </c>
      <c r="K1801" t="str">
        <f t="shared" si="141"/>
        <v/>
      </c>
    </row>
    <row r="1802" spans="1:12" x14ac:dyDescent="0.25">
      <c r="C1802" t="s">
        <v>1864</v>
      </c>
      <c r="D1802" t="s">
        <v>1864</v>
      </c>
      <c r="E1802" t="s">
        <v>3657</v>
      </c>
      <c r="F1802" t="s">
        <v>1428</v>
      </c>
      <c r="G1802" t="str">
        <f t="shared" si="142"/>
        <v>K</v>
      </c>
      <c r="H1802" t="str">
        <f t="shared" si="142"/>
        <v>64</v>
      </c>
      <c r="I1802" t="str">
        <f t="shared" si="142"/>
        <v>642</v>
      </c>
      <c r="J1802" t="str">
        <f t="shared" si="142"/>
        <v>64212</v>
      </c>
      <c r="K1802" t="str">
        <f t="shared" si="141"/>
        <v>6421200</v>
      </c>
      <c r="L1802">
        <v>0</v>
      </c>
    </row>
    <row r="1803" spans="1:12" x14ac:dyDescent="0.25">
      <c r="C1803" t="s">
        <v>1864</v>
      </c>
      <c r="D1803" t="s">
        <v>3658</v>
      </c>
      <c r="E1803" t="s">
        <v>1864</v>
      </c>
      <c r="F1803" t="s">
        <v>1429</v>
      </c>
      <c r="G1803" t="str">
        <f t="shared" si="142"/>
        <v>K</v>
      </c>
      <c r="H1803" t="str">
        <f t="shared" si="142"/>
        <v>64</v>
      </c>
      <c r="I1803" t="str">
        <f t="shared" si="142"/>
        <v>642</v>
      </c>
      <c r="J1803" t="str">
        <f t="shared" si="142"/>
        <v>64221</v>
      </c>
      <c r="K1803" t="str">
        <f t="shared" si="141"/>
        <v/>
      </c>
    </row>
    <row r="1804" spans="1:12" x14ac:dyDescent="0.25">
      <c r="C1804" t="s">
        <v>1864</v>
      </c>
      <c r="D1804" t="s">
        <v>1864</v>
      </c>
      <c r="E1804" t="s">
        <v>3659</v>
      </c>
      <c r="F1804" t="s">
        <v>1429</v>
      </c>
      <c r="G1804" t="str">
        <f t="shared" si="142"/>
        <v>K</v>
      </c>
      <c r="H1804" t="str">
        <f t="shared" si="142"/>
        <v>64</v>
      </c>
      <c r="I1804" t="str">
        <f t="shared" si="142"/>
        <v>642</v>
      </c>
      <c r="J1804" t="str">
        <f t="shared" si="142"/>
        <v>64221</v>
      </c>
      <c r="K1804" t="str">
        <f t="shared" si="141"/>
        <v>6422100</v>
      </c>
      <c r="L1804">
        <v>0</v>
      </c>
    </row>
    <row r="1805" spans="1:12" x14ac:dyDescent="0.25">
      <c r="C1805" t="s">
        <v>1864</v>
      </c>
      <c r="D1805" t="s">
        <v>3660</v>
      </c>
      <c r="E1805" t="s">
        <v>1864</v>
      </c>
      <c r="F1805" t="s">
        <v>1430</v>
      </c>
      <c r="G1805" t="str">
        <f t="shared" si="142"/>
        <v>K</v>
      </c>
      <c r="H1805" t="str">
        <f t="shared" si="142"/>
        <v>64</v>
      </c>
      <c r="I1805" t="str">
        <f t="shared" si="142"/>
        <v>642</v>
      </c>
      <c r="J1805" t="str">
        <f t="shared" si="142"/>
        <v>64239</v>
      </c>
      <c r="K1805" t="str">
        <f t="shared" si="141"/>
        <v/>
      </c>
    </row>
    <row r="1806" spans="1:12" x14ac:dyDescent="0.25">
      <c r="C1806" t="s">
        <v>1864</v>
      </c>
      <c r="D1806" t="s">
        <v>1864</v>
      </c>
      <c r="E1806" t="s">
        <v>3661</v>
      </c>
      <c r="F1806" t="s">
        <v>1430</v>
      </c>
      <c r="G1806" t="str">
        <f t="shared" si="142"/>
        <v>K</v>
      </c>
      <c r="H1806" t="str">
        <f t="shared" si="142"/>
        <v>64</v>
      </c>
      <c r="I1806" t="str">
        <f t="shared" si="142"/>
        <v>642</v>
      </c>
      <c r="J1806" t="str">
        <f t="shared" si="142"/>
        <v>64239</v>
      </c>
      <c r="K1806" t="str">
        <f t="shared" si="141"/>
        <v>6423900</v>
      </c>
      <c r="L1806">
        <v>0</v>
      </c>
    </row>
    <row r="1807" spans="1:12" x14ac:dyDescent="0.25">
      <c r="C1807" t="s">
        <v>1864</v>
      </c>
      <c r="D1807" t="s">
        <v>3662</v>
      </c>
      <c r="E1807" t="s">
        <v>1864</v>
      </c>
      <c r="F1807" t="s">
        <v>1431</v>
      </c>
      <c r="G1807" t="str">
        <f t="shared" si="142"/>
        <v>K</v>
      </c>
      <c r="H1807" t="str">
        <f t="shared" si="142"/>
        <v>64</v>
      </c>
      <c r="I1807" t="str">
        <f t="shared" si="142"/>
        <v>642</v>
      </c>
      <c r="J1807" t="str">
        <f t="shared" si="142"/>
        <v>64247</v>
      </c>
      <c r="K1807" t="str">
        <f t="shared" si="141"/>
        <v/>
      </c>
    </row>
    <row r="1808" spans="1:12" x14ac:dyDescent="0.25">
      <c r="C1808" t="s">
        <v>1864</v>
      </c>
      <c r="D1808" t="s">
        <v>1864</v>
      </c>
      <c r="E1808" t="s">
        <v>3663</v>
      </c>
      <c r="F1808" t="s">
        <v>1432</v>
      </c>
      <c r="G1808" t="str">
        <f t="shared" si="142"/>
        <v>K</v>
      </c>
      <c r="H1808" t="str">
        <f t="shared" si="142"/>
        <v>64</v>
      </c>
      <c r="I1808" t="str">
        <f t="shared" si="142"/>
        <v>642</v>
      </c>
      <c r="J1808" t="str">
        <f t="shared" si="142"/>
        <v>64247</v>
      </c>
      <c r="K1808" t="str">
        <f t="shared" si="141"/>
        <v>6424701</v>
      </c>
      <c r="L1808">
        <v>0</v>
      </c>
    </row>
    <row r="1809" spans="3:12" x14ac:dyDescent="0.25">
      <c r="C1809" t="s">
        <v>1864</v>
      </c>
      <c r="D1809" t="s">
        <v>1864</v>
      </c>
      <c r="E1809" t="s">
        <v>3664</v>
      </c>
      <c r="F1809" t="s">
        <v>1433</v>
      </c>
      <c r="G1809" t="str">
        <f t="shared" si="142"/>
        <v>K</v>
      </c>
      <c r="H1809" t="str">
        <f t="shared" si="142"/>
        <v>64</v>
      </c>
      <c r="I1809" t="str">
        <f t="shared" si="142"/>
        <v>642</v>
      </c>
      <c r="J1809" t="str">
        <f t="shared" si="142"/>
        <v>64247</v>
      </c>
      <c r="K1809" t="str">
        <f t="shared" si="141"/>
        <v>6424702</v>
      </c>
      <c r="L1809">
        <v>0</v>
      </c>
    </row>
    <row r="1810" spans="3:12" x14ac:dyDescent="0.25">
      <c r="C1810" t="s">
        <v>1864</v>
      </c>
      <c r="D1810" t="s">
        <v>1864</v>
      </c>
      <c r="E1810" t="s">
        <v>3665</v>
      </c>
      <c r="F1810" t="s">
        <v>1434</v>
      </c>
      <c r="G1810" t="str">
        <f t="shared" si="142"/>
        <v>K</v>
      </c>
      <c r="H1810" t="str">
        <f t="shared" si="142"/>
        <v>64</v>
      </c>
      <c r="I1810" t="str">
        <f t="shared" si="142"/>
        <v>642</v>
      </c>
      <c r="J1810" t="str">
        <f t="shared" si="142"/>
        <v>64247</v>
      </c>
      <c r="K1810" t="str">
        <f t="shared" si="141"/>
        <v>6424703</v>
      </c>
      <c r="L1810">
        <v>0</v>
      </c>
    </row>
    <row r="1811" spans="3:12" x14ac:dyDescent="0.25">
      <c r="C1811" t="s">
        <v>1864</v>
      </c>
      <c r="D1811" t="s">
        <v>1864</v>
      </c>
      <c r="E1811" t="s">
        <v>3666</v>
      </c>
      <c r="F1811" t="s">
        <v>1435</v>
      </c>
      <c r="G1811" t="str">
        <f t="shared" si="142"/>
        <v>K</v>
      </c>
      <c r="H1811" t="str">
        <f t="shared" si="142"/>
        <v>64</v>
      </c>
      <c r="I1811" t="str">
        <f t="shared" si="142"/>
        <v>642</v>
      </c>
      <c r="J1811" t="str">
        <f t="shared" si="142"/>
        <v>64247</v>
      </c>
      <c r="K1811" t="str">
        <f t="shared" si="141"/>
        <v>6424704</v>
      </c>
      <c r="L1811">
        <v>0</v>
      </c>
    </row>
    <row r="1812" spans="3:12" x14ac:dyDescent="0.25">
      <c r="C1812" t="s">
        <v>3667</v>
      </c>
      <c r="D1812" t="s">
        <v>1864</v>
      </c>
      <c r="E1812" t="s">
        <v>1864</v>
      </c>
      <c r="F1812" t="s">
        <v>1436</v>
      </c>
      <c r="G1812" t="str">
        <f t="shared" si="142"/>
        <v>K</v>
      </c>
      <c r="H1812" t="str">
        <f t="shared" si="142"/>
        <v>64</v>
      </c>
      <c r="I1812" t="str">
        <f t="shared" si="142"/>
        <v>643</v>
      </c>
      <c r="J1812" t="str">
        <f t="shared" si="142"/>
        <v>64247</v>
      </c>
      <c r="K1812" t="str">
        <f t="shared" si="141"/>
        <v/>
      </c>
    </row>
    <row r="1813" spans="3:12" x14ac:dyDescent="0.25">
      <c r="C1813" t="s">
        <v>1864</v>
      </c>
      <c r="D1813" t="s">
        <v>3668</v>
      </c>
      <c r="E1813" t="s">
        <v>1864</v>
      </c>
      <c r="F1813" t="s">
        <v>1437</v>
      </c>
      <c r="G1813" t="str">
        <f t="shared" si="142"/>
        <v>K</v>
      </c>
      <c r="H1813" t="str">
        <f t="shared" si="142"/>
        <v>64</v>
      </c>
      <c r="I1813" t="str">
        <f t="shared" si="142"/>
        <v>643</v>
      </c>
      <c r="J1813" t="str">
        <f t="shared" si="142"/>
        <v>64310</v>
      </c>
      <c r="K1813" t="str">
        <f t="shared" si="141"/>
        <v/>
      </c>
    </row>
    <row r="1814" spans="3:12" x14ac:dyDescent="0.25">
      <c r="C1814" t="s">
        <v>1864</v>
      </c>
      <c r="D1814" t="s">
        <v>1864</v>
      </c>
      <c r="E1814" t="s">
        <v>3669</v>
      </c>
      <c r="F1814" t="s">
        <v>1437</v>
      </c>
      <c r="G1814" t="str">
        <f t="shared" si="142"/>
        <v>K</v>
      </c>
      <c r="H1814" t="str">
        <f t="shared" si="142"/>
        <v>64</v>
      </c>
      <c r="I1814" t="str">
        <f t="shared" si="142"/>
        <v>643</v>
      </c>
      <c r="J1814" t="str">
        <f t="shared" si="142"/>
        <v>64310</v>
      </c>
      <c r="K1814" t="str">
        <f t="shared" si="141"/>
        <v>6431000</v>
      </c>
      <c r="L1814">
        <v>0</v>
      </c>
    </row>
    <row r="1815" spans="3:12" x14ac:dyDescent="0.25">
      <c r="C1815" t="s">
        <v>1864</v>
      </c>
      <c r="D1815" t="s">
        <v>3670</v>
      </c>
      <c r="E1815" t="s">
        <v>1864</v>
      </c>
      <c r="F1815" t="s">
        <v>1438</v>
      </c>
      <c r="G1815" t="str">
        <f t="shared" si="142"/>
        <v>K</v>
      </c>
      <c r="H1815" t="str">
        <f t="shared" si="142"/>
        <v>64</v>
      </c>
      <c r="I1815" t="str">
        <f t="shared" si="142"/>
        <v>643</v>
      </c>
      <c r="J1815" t="str">
        <f t="shared" si="142"/>
        <v>64328</v>
      </c>
      <c r="K1815" t="str">
        <f t="shared" si="141"/>
        <v/>
      </c>
    </row>
    <row r="1816" spans="3:12" x14ac:dyDescent="0.25">
      <c r="C1816" t="s">
        <v>1864</v>
      </c>
      <c r="D1816" t="s">
        <v>1864</v>
      </c>
      <c r="E1816" t="s">
        <v>3671</v>
      </c>
      <c r="F1816" t="s">
        <v>1438</v>
      </c>
      <c r="G1816" t="str">
        <f t="shared" si="142"/>
        <v>K</v>
      </c>
      <c r="H1816" t="str">
        <f t="shared" si="142"/>
        <v>64</v>
      </c>
      <c r="I1816" t="str">
        <f t="shared" si="142"/>
        <v>643</v>
      </c>
      <c r="J1816" t="str">
        <f t="shared" si="142"/>
        <v>64328</v>
      </c>
      <c r="K1816" t="str">
        <f t="shared" si="141"/>
        <v>6432800</v>
      </c>
      <c r="L1816">
        <v>0</v>
      </c>
    </row>
    <row r="1817" spans="3:12" x14ac:dyDescent="0.25">
      <c r="C1817" t="s">
        <v>1864</v>
      </c>
      <c r="D1817" t="s">
        <v>3672</v>
      </c>
      <c r="E1817" t="s">
        <v>1864</v>
      </c>
      <c r="F1817" t="s">
        <v>1439</v>
      </c>
      <c r="G1817" t="str">
        <f t="shared" ref="G1817:J1832" si="143">IF(A1817="",G1816,A1817)</f>
        <v>K</v>
      </c>
      <c r="H1817" t="str">
        <f t="shared" si="143"/>
        <v>64</v>
      </c>
      <c r="I1817" t="str">
        <f t="shared" si="143"/>
        <v>643</v>
      </c>
      <c r="J1817" t="str">
        <f t="shared" si="143"/>
        <v>64336</v>
      </c>
      <c r="K1817" t="str">
        <f t="shared" si="141"/>
        <v/>
      </c>
    </row>
    <row r="1818" spans="3:12" x14ac:dyDescent="0.25">
      <c r="C1818" t="s">
        <v>1864</v>
      </c>
      <c r="D1818" t="s">
        <v>1864</v>
      </c>
      <c r="E1818" t="s">
        <v>3673</v>
      </c>
      <c r="F1818" t="s">
        <v>1439</v>
      </c>
      <c r="G1818" t="str">
        <f t="shared" si="143"/>
        <v>K</v>
      </c>
      <c r="H1818" t="str">
        <f t="shared" si="143"/>
        <v>64</v>
      </c>
      <c r="I1818" t="str">
        <f t="shared" si="143"/>
        <v>643</v>
      </c>
      <c r="J1818" t="str">
        <f t="shared" si="143"/>
        <v>64336</v>
      </c>
      <c r="K1818" t="str">
        <f t="shared" si="141"/>
        <v>6433600</v>
      </c>
      <c r="L1818">
        <v>0</v>
      </c>
    </row>
    <row r="1819" spans="3:12" x14ac:dyDescent="0.25">
      <c r="C1819" t="s">
        <v>1864</v>
      </c>
      <c r="D1819" t="s">
        <v>3674</v>
      </c>
      <c r="E1819" t="s">
        <v>1864</v>
      </c>
      <c r="F1819" t="s">
        <v>1440</v>
      </c>
      <c r="G1819" t="str">
        <f t="shared" si="143"/>
        <v>K</v>
      </c>
      <c r="H1819" t="str">
        <f t="shared" si="143"/>
        <v>64</v>
      </c>
      <c r="I1819" t="str">
        <f t="shared" si="143"/>
        <v>643</v>
      </c>
      <c r="J1819" t="str">
        <f t="shared" si="143"/>
        <v>64344</v>
      </c>
      <c r="K1819" t="str">
        <f t="shared" si="141"/>
        <v/>
      </c>
    </row>
    <row r="1820" spans="3:12" x14ac:dyDescent="0.25">
      <c r="C1820" t="s">
        <v>1864</v>
      </c>
      <c r="D1820" t="s">
        <v>1864</v>
      </c>
      <c r="E1820" t="s">
        <v>3675</v>
      </c>
      <c r="F1820" t="s">
        <v>1440</v>
      </c>
      <c r="G1820" t="str">
        <f t="shared" si="143"/>
        <v>K</v>
      </c>
      <c r="H1820" t="str">
        <f t="shared" si="143"/>
        <v>64</v>
      </c>
      <c r="I1820" t="str">
        <f t="shared" si="143"/>
        <v>643</v>
      </c>
      <c r="J1820" t="str">
        <f t="shared" si="143"/>
        <v>64344</v>
      </c>
      <c r="K1820" t="str">
        <f t="shared" si="141"/>
        <v>6434400</v>
      </c>
      <c r="L1820">
        <v>0</v>
      </c>
    </row>
    <row r="1821" spans="3:12" x14ac:dyDescent="0.25">
      <c r="C1821" t="s">
        <v>1864</v>
      </c>
      <c r="D1821" t="s">
        <v>3676</v>
      </c>
      <c r="E1821" t="s">
        <v>1864</v>
      </c>
      <c r="F1821" t="s">
        <v>1441</v>
      </c>
      <c r="G1821" t="str">
        <f t="shared" si="143"/>
        <v>K</v>
      </c>
      <c r="H1821" t="str">
        <f t="shared" si="143"/>
        <v>64</v>
      </c>
      <c r="I1821" t="str">
        <f t="shared" si="143"/>
        <v>643</v>
      </c>
      <c r="J1821" t="str">
        <f t="shared" si="143"/>
        <v>64352</v>
      </c>
      <c r="K1821" t="str">
        <f t="shared" si="141"/>
        <v/>
      </c>
    </row>
    <row r="1822" spans="3:12" x14ac:dyDescent="0.25">
      <c r="C1822" t="s">
        <v>1864</v>
      </c>
      <c r="D1822" t="s">
        <v>1864</v>
      </c>
      <c r="E1822" t="s">
        <v>3677</v>
      </c>
      <c r="F1822" t="s">
        <v>1442</v>
      </c>
      <c r="G1822" t="str">
        <f t="shared" si="143"/>
        <v>K</v>
      </c>
      <c r="H1822" t="str">
        <f t="shared" si="143"/>
        <v>64</v>
      </c>
      <c r="I1822" t="str">
        <f t="shared" si="143"/>
        <v>643</v>
      </c>
      <c r="J1822" t="str">
        <f t="shared" si="143"/>
        <v>64352</v>
      </c>
      <c r="K1822" t="str">
        <f t="shared" si="141"/>
        <v>6435201</v>
      </c>
      <c r="L1822">
        <v>0</v>
      </c>
    </row>
    <row r="1823" spans="3:12" x14ac:dyDescent="0.25">
      <c r="C1823" t="s">
        <v>1864</v>
      </c>
      <c r="D1823" t="s">
        <v>1864</v>
      </c>
      <c r="E1823" t="s">
        <v>3678</v>
      </c>
      <c r="F1823" t="s">
        <v>1443</v>
      </c>
      <c r="G1823" t="str">
        <f t="shared" si="143"/>
        <v>K</v>
      </c>
      <c r="H1823" t="str">
        <f t="shared" si="143"/>
        <v>64</v>
      </c>
      <c r="I1823" t="str">
        <f t="shared" si="143"/>
        <v>643</v>
      </c>
      <c r="J1823" t="str">
        <f t="shared" si="143"/>
        <v>64352</v>
      </c>
      <c r="K1823" t="str">
        <f t="shared" si="141"/>
        <v>6435202</v>
      </c>
      <c r="L1823">
        <v>0</v>
      </c>
    </row>
    <row r="1824" spans="3:12" x14ac:dyDescent="0.25">
      <c r="C1824" t="s">
        <v>1864</v>
      </c>
      <c r="D1824" t="s">
        <v>1864</v>
      </c>
      <c r="E1824" t="s">
        <v>3679</v>
      </c>
      <c r="F1824" t="s">
        <v>1444</v>
      </c>
      <c r="G1824" t="str">
        <f t="shared" si="143"/>
        <v>K</v>
      </c>
      <c r="H1824" t="str">
        <f t="shared" si="143"/>
        <v>64</v>
      </c>
      <c r="I1824" t="str">
        <f t="shared" si="143"/>
        <v>643</v>
      </c>
      <c r="J1824" t="str">
        <f t="shared" si="143"/>
        <v>64352</v>
      </c>
      <c r="K1824" t="str">
        <f t="shared" si="141"/>
        <v>6435203</v>
      </c>
      <c r="L1824">
        <v>0</v>
      </c>
    </row>
    <row r="1825" spans="3:12" x14ac:dyDescent="0.25">
      <c r="C1825" t="s">
        <v>1864</v>
      </c>
      <c r="D1825" t="s">
        <v>3680</v>
      </c>
      <c r="E1825" t="s">
        <v>1864</v>
      </c>
      <c r="F1825" t="s">
        <v>1445</v>
      </c>
      <c r="G1825" t="str">
        <f t="shared" si="143"/>
        <v>K</v>
      </c>
      <c r="H1825" t="str">
        <f t="shared" si="143"/>
        <v>64</v>
      </c>
      <c r="I1825" t="str">
        <f t="shared" si="143"/>
        <v>643</v>
      </c>
      <c r="J1825" t="str">
        <f t="shared" si="143"/>
        <v>64361</v>
      </c>
      <c r="K1825" t="str">
        <f t="shared" si="141"/>
        <v/>
      </c>
    </row>
    <row r="1826" spans="3:12" x14ac:dyDescent="0.25">
      <c r="C1826" t="s">
        <v>1864</v>
      </c>
      <c r="D1826" t="s">
        <v>1864</v>
      </c>
      <c r="E1826" t="s">
        <v>3681</v>
      </c>
      <c r="F1826" t="s">
        <v>1445</v>
      </c>
      <c r="G1826" t="str">
        <f t="shared" si="143"/>
        <v>K</v>
      </c>
      <c r="H1826" t="str">
        <f t="shared" si="143"/>
        <v>64</v>
      </c>
      <c r="I1826" t="str">
        <f t="shared" si="143"/>
        <v>643</v>
      </c>
      <c r="J1826" t="str">
        <f t="shared" si="143"/>
        <v>64361</v>
      </c>
      <c r="K1826" t="str">
        <f t="shared" si="141"/>
        <v>6436100</v>
      </c>
      <c r="L1826">
        <v>0</v>
      </c>
    </row>
    <row r="1827" spans="3:12" x14ac:dyDescent="0.25">
      <c r="C1827" t="s">
        <v>1864</v>
      </c>
      <c r="D1827" t="s">
        <v>3682</v>
      </c>
      <c r="E1827" t="s">
        <v>1864</v>
      </c>
      <c r="F1827" t="s">
        <v>1446</v>
      </c>
      <c r="G1827" t="str">
        <f t="shared" si="143"/>
        <v>K</v>
      </c>
      <c r="H1827" t="str">
        <f t="shared" si="143"/>
        <v>64</v>
      </c>
      <c r="I1827" t="str">
        <f t="shared" si="143"/>
        <v>643</v>
      </c>
      <c r="J1827" t="str">
        <f t="shared" si="143"/>
        <v>64379</v>
      </c>
      <c r="K1827" t="str">
        <f t="shared" si="141"/>
        <v/>
      </c>
    </row>
    <row r="1828" spans="3:12" x14ac:dyDescent="0.25">
      <c r="C1828" t="s">
        <v>1864</v>
      </c>
      <c r="D1828" t="s">
        <v>1864</v>
      </c>
      <c r="E1828" t="s">
        <v>3683</v>
      </c>
      <c r="F1828" t="s">
        <v>1446</v>
      </c>
      <c r="G1828" t="str">
        <f t="shared" si="143"/>
        <v>K</v>
      </c>
      <c r="H1828" t="str">
        <f t="shared" si="143"/>
        <v>64</v>
      </c>
      <c r="I1828" t="str">
        <f t="shared" si="143"/>
        <v>643</v>
      </c>
      <c r="J1828" t="str">
        <f t="shared" si="143"/>
        <v>64379</v>
      </c>
      <c r="K1828" t="str">
        <f t="shared" si="141"/>
        <v>6437900</v>
      </c>
      <c r="L1828">
        <v>0</v>
      </c>
    </row>
    <row r="1829" spans="3:12" x14ac:dyDescent="0.25">
      <c r="C1829" t="s">
        <v>1864</v>
      </c>
      <c r="D1829" t="s">
        <v>3684</v>
      </c>
      <c r="E1829" t="s">
        <v>1864</v>
      </c>
      <c r="F1829" t="s">
        <v>1447</v>
      </c>
      <c r="G1829" t="str">
        <f t="shared" si="143"/>
        <v>K</v>
      </c>
      <c r="H1829" t="str">
        <f t="shared" si="143"/>
        <v>64</v>
      </c>
      <c r="I1829" t="str">
        <f t="shared" si="143"/>
        <v>643</v>
      </c>
      <c r="J1829" t="str">
        <f t="shared" si="143"/>
        <v>64387</v>
      </c>
      <c r="K1829" t="str">
        <f t="shared" si="141"/>
        <v/>
      </c>
    </row>
    <row r="1830" spans="3:12" x14ac:dyDescent="0.25">
      <c r="C1830" t="s">
        <v>1864</v>
      </c>
      <c r="D1830" t="s">
        <v>1864</v>
      </c>
      <c r="E1830" t="s">
        <v>3685</v>
      </c>
      <c r="F1830" t="s">
        <v>1448</v>
      </c>
      <c r="G1830" t="str">
        <f t="shared" si="143"/>
        <v>K</v>
      </c>
      <c r="H1830" t="str">
        <f t="shared" si="143"/>
        <v>64</v>
      </c>
      <c r="I1830" t="str">
        <f t="shared" si="143"/>
        <v>643</v>
      </c>
      <c r="J1830" t="str">
        <f t="shared" si="143"/>
        <v>64387</v>
      </c>
      <c r="K1830" t="str">
        <f t="shared" si="141"/>
        <v>6438701</v>
      </c>
      <c r="L1830">
        <v>0</v>
      </c>
    </row>
    <row r="1831" spans="3:12" x14ac:dyDescent="0.25">
      <c r="C1831" t="s">
        <v>1864</v>
      </c>
      <c r="D1831" t="s">
        <v>1864</v>
      </c>
      <c r="E1831" t="s">
        <v>3686</v>
      </c>
      <c r="F1831" t="s">
        <v>1449</v>
      </c>
      <c r="G1831" t="str">
        <f t="shared" si="143"/>
        <v>K</v>
      </c>
      <c r="H1831" t="str">
        <f t="shared" si="143"/>
        <v>64</v>
      </c>
      <c r="I1831" t="str">
        <f t="shared" si="143"/>
        <v>643</v>
      </c>
      <c r="J1831" t="str">
        <f t="shared" si="143"/>
        <v>64387</v>
      </c>
      <c r="K1831" t="str">
        <f t="shared" si="141"/>
        <v>6438799</v>
      </c>
      <c r="L1831">
        <v>0</v>
      </c>
    </row>
    <row r="1832" spans="3:12" x14ac:dyDescent="0.25">
      <c r="C1832" t="s">
        <v>3687</v>
      </c>
      <c r="D1832" t="s">
        <v>1864</v>
      </c>
      <c r="E1832" t="s">
        <v>1864</v>
      </c>
      <c r="F1832" t="s">
        <v>1450</v>
      </c>
      <c r="G1832" t="str">
        <f t="shared" si="143"/>
        <v>K</v>
      </c>
      <c r="H1832" t="str">
        <f t="shared" si="143"/>
        <v>64</v>
      </c>
      <c r="I1832" t="str">
        <f t="shared" si="143"/>
        <v>644</v>
      </c>
      <c r="J1832" t="str">
        <f t="shared" si="143"/>
        <v>64387</v>
      </c>
      <c r="K1832" t="str">
        <f t="shared" si="141"/>
        <v/>
      </c>
    </row>
    <row r="1833" spans="3:12" x14ac:dyDescent="0.25">
      <c r="C1833" t="s">
        <v>1864</v>
      </c>
      <c r="D1833" t="s">
        <v>3688</v>
      </c>
      <c r="E1833" t="s">
        <v>1864</v>
      </c>
      <c r="F1833" t="s">
        <v>1450</v>
      </c>
      <c r="G1833" t="str">
        <f t="shared" ref="G1833:J1848" si="144">IF(A1833="",G1832,A1833)</f>
        <v>K</v>
      </c>
      <c r="H1833" t="str">
        <f t="shared" si="144"/>
        <v>64</v>
      </c>
      <c r="I1833" t="str">
        <f t="shared" si="144"/>
        <v>644</v>
      </c>
      <c r="J1833" t="str">
        <f t="shared" si="144"/>
        <v>64409</v>
      </c>
      <c r="K1833" t="str">
        <f t="shared" si="141"/>
        <v/>
      </c>
    </row>
    <row r="1834" spans="3:12" x14ac:dyDescent="0.25">
      <c r="C1834" t="s">
        <v>1864</v>
      </c>
      <c r="D1834" t="s">
        <v>1864</v>
      </c>
      <c r="E1834" t="s">
        <v>3689</v>
      </c>
      <c r="F1834" t="s">
        <v>1450</v>
      </c>
      <c r="G1834" t="str">
        <f t="shared" si="144"/>
        <v>K</v>
      </c>
      <c r="H1834" t="str">
        <f t="shared" si="144"/>
        <v>64</v>
      </c>
      <c r="I1834" t="str">
        <f t="shared" si="144"/>
        <v>644</v>
      </c>
      <c r="J1834" t="str">
        <f t="shared" si="144"/>
        <v>64409</v>
      </c>
      <c r="K1834" t="str">
        <f t="shared" si="141"/>
        <v>6440900</v>
      </c>
      <c r="L1834">
        <v>0</v>
      </c>
    </row>
    <row r="1835" spans="3:12" x14ac:dyDescent="0.25">
      <c r="C1835" t="s">
        <v>3690</v>
      </c>
      <c r="D1835" t="s">
        <v>1864</v>
      </c>
      <c r="E1835" t="s">
        <v>1864</v>
      </c>
      <c r="F1835" t="s">
        <v>1451</v>
      </c>
      <c r="G1835" t="str">
        <f t="shared" si="144"/>
        <v>K</v>
      </c>
      <c r="H1835" t="str">
        <f t="shared" si="144"/>
        <v>64</v>
      </c>
      <c r="I1835" t="str">
        <f t="shared" si="144"/>
        <v>645</v>
      </c>
      <c r="J1835" t="str">
        <f t="shared" si="144"/>
        <v>64409</v>
      </c>
      <c r="K1835" t="str">
        <f t="shared" si="141"/>
        <v/>
      </c>
    </row>
    <row r="1836" spans="3:12" x14ac:dyDescent="0.25">
      <c r="C1836" t="s">
        <v>1864</v>
      </c>
      <c r="D1836" t="s">
        <v>3691</v>
      </c>
      <c r="E1836" t="s">
        <v>1864</v>
      </c>
      <c r="F1836" t="s">
        <v>1451</v>
      </c>
      <c r="G1836" t="str">
        <f t="shared" si="144"/>
        <v>K</v>
      </c>
      <c r="H1836" t="str">
        <f t="shared" si="144"/>
        <v>64</v>
      </c>
      <c r="I1836" t="str">
        <f t="shared" si="144"/>
        <v>645</v>
      </c>
      <c r="J1836" t="str">
        <f t="shared" si="144"/>
        <v>64506</v>
      </c>
      <c r="K1836" t="str">
        <f t="shared" si="141"/>
        <v/>
      </c>
    </row>
    <row r="1837" spans="3:12" x14ac:dyDescent="0.25">
      <c r="C1837" t="s">
        <v>1864</v>
      </c>
      <c r="D1837" t="s">
        <v>1864</v>
      </c>
      <c r="E1837" t="s">
        <v>3692</v>
      </c>
      <c r="F1837" t="s">
        <v>1451</v>
      </c>
      <c r="G1837" t="str">
        <f t="shared" si="144"/>
        <v>K</v>
      </c>
      <c r="H1837" t="str">
        <f t="shared" si="144"/>
        <v>64</v>
      </c>
      <c r="I1837" t="str">
        <f t="shared" si="144"/>
        <v>645</v>
      </c>
      <c r="J1837" t="str">
        <f t="shared" si="144"/>
        <v>64506</v>
      </c>
      <c r="K1837" t="str">
        <f t="shared" si="141"/>
        <v>6450600</v>
      </c>
      <c r="L1837">
        <v>0</v>
      </c>
    </row>
    <row r="1838" spans="3:12" x14ac:dyDescent="0.25">
      <c r="C1838" t="s">
        <v>3693</v>
      </c>
      <c r="D1838" t="s">
        <v>1864</v>
      </c>
      <c r="E1838" t="s">
        <v>1864</v>
      </c>
      <c r="F1838" t="s">
        <v>1452</v>
      </c>
      <c r="G1838" t="str">
        <f t="shared" si="144"/>
        <v>K</v>
      </c>
      <c r="H1838" t="str">
        <f t="shared" si="144"/>
        <v>64</v>
      </c>
      <c r="I1838" t="str">
        <f t="shared" si="144"/>
        <v>646</v>
      </c>
      <c r="J1838" t="str">
        <f t="shared" si="144"/>
        <v>64506</v>
      </c>
      <c r="K1838" t="str">
        <f t="shared" si="141"/>
        <v/>
      </c>
    </row>
    <row r="1839" spans="3:12" x14ac:dyDescent="0.25">
      <c r="C1839" t="s">
        <v>1864</v>
      </c>
      <c r="D1839" t="s">
        <v>3694</v>
      </c>
      <c r="E1839" t="s">
        <v>1864</v>
      </c>
      <c r="F1839" t="s">
        <v>3695</v>
      </c>
      <c r="G1839" t="str">
        <f t="shared" si="144"/>
        <v>K</v>
      </c>
      <c r="H1839" t="str">
        <f t="shared" si="144"/>
        <v>64</v>
      </c>
      <c r="I1839" t="str">
        <f t="shared" si="144"/>
        <v>646</v>
      </c>
      <c r="J1839" t="str">
        <f t="shared" si="144"/>
        <v>64611</v>
      </c>
      <c r="K1839" t="str">
        <f t="shared" si="141"/>
        <v/>
      </c>
    </row>
    <row r="1840" spans="3:12" x14ac:dyDescent="0.25">
      <c r="C1840" t="s">
        <v>1864</v>
      </c>
      <c r="D1840" t="s">
        <v>1864</v>
      </c>
      <c r="E1840" t="s">
        <v>3696</v>
      </c>
      <c r="F1840" t="s">
        <v>3695</v>
      </c>
      <c r="G1840" t="str">
        <f t="shared" si="144"/>
        <v>K</v>
      </c>
      <c r="H1840" t="str">
        <f t="shared" si="144"/>
        <v>64</v>
      </c>
      <c r="I1840" t="str">
        <f t="shared" si="144"/>
        <v>646</v>
      </c>
      <c r="J1840" t="str">
        <f t="shared" si="144"/>
        <v>64611</v>
      </c>
      <c r="K1840" t="str">
        <f t="shared" si="141"/>
        <v>6461100</v>
      </c>
      <c r="L1840">
        <v>0</v>
      </c>
    </row>
    <row r="1841" spans="3:12" x14ac:dyDescent="0.25">
      <c r="C1841" t="s">
        <v>1864</v>
      </c>
      <c r="D1841" t="s">
        <v>3697</v>
      </c>
      <c r="E1841" t="s">
        <v>1864</v>
      </c>
      <c r="F1841" t="s">
        <v>3698</v>
      </c>
      <c r="G1841" t="str">
        <f t="shared" si="144"/>
        <v>K</v>
      </c>
      <c r="H1841" t="str">
        <f t="shared" si="144"/>
        <v>64</v>
      </c>
      <c r="I1841" t="str">
        <f t="shared" si="144"/>
        <v>646</v>
      </c>
      <c r="J1841" t="str">
        <f t="shared" si="144"/>
        <v>64620</v>
      </c>
      <c r="K1841" t="str">
        <f t="shared" si="141"/>
        <v/>
      </c>
    </row>
    <row r="1842" spans="3:12" x14ac:dyDescent="0.25">
      <c r="C1842" t="s">
        <v>1864</v>
      </c>
      <c r="D1842" t="s">
        <v>1864</v>
      </c>
      <c r="E1842" t="s">
        <v>3699</v>
      </c>
      <c r="F1842" t="s">
        <v>3698</v>
      </c>
      <c r="G1842" t="str">
        <f t="shared" si="144"/>
        <v>K</v>
      </c>
      <c r="H1842" t="str">
        <f t="shared" si="144"/>
        <v>64</v>
      </c>
      <c r="I1842" t="str">
        <f t="shared" si="144"/>
        <v>646</v>
      </c>
      <c r="J1842" t="str">
        <f t="shared" si="144"/>
        <v>64620</v>
      </c>
      <c r="K1842" t="str">
        <f t="shared" si="141"/>
        <v>6462000</v>
      </c>
      <c r="L1842">
        <v>0</v>
      </c>
    </row>
    <row r="1843" spans="3:12" x14ac:dyDescent="0.25">
      <c r="C1843" t="s">
        <v>1864</v>
      </c>
      <c r="D1843" t="s">
        <v>3700</v>
      </c>
      <c r="E1843" t="s">
        <v>1864</v>
      </c>
      <c r="F1843" t="s">
        <v>3701</v>
      </c>
      <c r="G1843" t="str">
        <f t="shared" si="144"/>
        <v>K</v>
      </c>
      <c r="H1843" t="str">
        <f t="shared" si="144"/>
        <v>64</v>
      </c>
      <c r="I1843" t="str">
        <f t="shared" si="144"/>
        <v>646</v>
      </c>
      <c r="J1843" t="str">
        <f t="shared" si="144"/>
        <v>64638</v>
      </c>
      <c r="K1843" t="str">
        <f t="shared" si="141"/>
        <v/>
      </c>
    </row>
    <row r="1844" spans="3:12" x14ac:dyDescent="0.25">
      <c r="C1844" t="s">
        <v>1864</v>
      </c>
      <c r="D1844" t="s">
        <v>1864</v>
      </c>
      <c r="E1844" t="s">
        <v>3702</v>
      </c>
      <c r="F1844" t="s">
        <v>3701</v>
      </c>
      <c r="G1844" t="str">
        <f t="shared" si="144"/>
        <v>K</v>
      </c>
      <c r="H1844" t="str">
        <f t="shared" si="144"/>
        <v>64</v>
      </c>
      <c r="I1844" t="str">
        <f t="shared" si="144"/>
        <v>646</v>
      </c>
      <c r="J1844" t="str">
        <f t="shared" si="144"/>
        <v>64638</v>
      </c>
      <c r="K1844" t="str">
        <f t="shared" si="141"/>
        <v>6463800</v>
      </c>
      <c r="L1844">
        <v>0</v>
      </c>
    </row>
    <row r="1845" spans="3:12" x14ac:dyDescent="0.25">
      <c r="C1845" t="s">
        <v>3703</v>
      </c>
      <c r="D1845" t="s">
        <v>1864</v>
      </c>
      <c r="E1845" t="s">
        <v>1864</v>
      </c>
      <c r="F1845" t="s">
        <v>1453</v>
      </c>
      <c r="G1845" t="str">
        <f t="shared" si="144"/>
        <v>K</v>
      </c>
      <c r="H1845" t="str">
        <f t="shared" si="144"/>
        <v>64</v>
      </c>
      <c r="I1845" t="str">
        <f t="shared" si="144"/>
        <v>647</v>
      </c>
      <c r="J1845" t="str">
        <f t="shared" si="144"/>
        <v>64638</v>
      </c>
      <c r="K1845" t="str">
        <f t="shared" si="141"/>
        <v/>
      </c>
    </row>
    <row r="1846" spans="3:12" x14ac:dyDescent="0.25">
      <c r="C1846" t="s">
        <v>1864</v>
      </c>
      <c r="D1846" t="s">
        <v>3704</v>
      </c>
      <c r="E1846" t="s">
        <v>1864</v>
      </c>
      <c r="F1846" t="s">
        <v>1453</v>
      </c>
      <c r="G1846" t="str">
        <f t="shared" si="144"/>
        <v>K</v>
      </c>
      <c r="H1846" t="str">
        <f t="shared" si="144"/>
        <v>64</v>
      </c>
      <c r="I1846" t="str">
        <f t="shared" si="144"/>
        <v>647</v>
      </c>
      <c r="J1846" t="str">
        <f t="shared" si="144"/>
        <v>64701</v>
      </c>
      <c r="K1846" t="str">
        <f t="shared" si="141"/>
        <v/>
      </c>
    </row>
    <row r="1847" spans="3:12" x14ac:dyDescent="0.25">
      <c r="C1847" t="s">
        <v>1864</v>
      </c>
      <c r="D1847" t="s">
        <v>1864</v>
      </c>
      <c r="E1847" t="s">
        <v>3705</v>
      </c>
      <c r="F1847" t="s">
        <v>1454</v>
      </c>
      <c r="G1847" t="str">
        <f t="shared" si="144"/>
        <v>K</v>
      </c>
      <c r="H1847" t="str">
        <f t="shared" si="144"/>
        <v>64</v>
      </c>
      <c r="I1847" t="str">
        <f t="shared" si="144"/>
        <v>647</v>
      </c>
      <c r="J1847" t="str">
        <f t="shared" si="144"/>
        <v>64701</v>
      </c>
      <c r="K1847" t="str">
        <f t="shared" si="141"/>
        <v>6470101</v>
      </c>
      <c r="L1847">
        <v>0</v>
      </c>
    </row>
    <row r="1848" spans="3:12" x14ac:dyDescent="0.25">
      <c r="C1848" t="s">
        <v>1864</v>
      </c>
      <c r="D1848" t="s">
        <v>1864</v>
      </c>
      <c r="E1848" t="s">
        <v>3706</v>
      </c>
      <c r="F1848" t="s">
        <v>1455</v>
      </c>
      <c r="G1848" t="str">
        <f t="shared" si="144"/>
        <v>K</v>
      </c>
      <c r="H1848" t="str">
        <f t="shared" si="144"/>
        <v>64</v>
      </c>
      <c r="I1848" t="str">
        <f t="shared" si="144"/>
        <v>647</v>
      </c>
      <c r="J1848" t="str">
        <f t="shared" si="144"/>
        <v>64701</v>
      </c>
      <c r="K1848" t="str">
        <f t="shared" si="141"/>
        <v>6470102</v>
      </c>
      <c r="L1848">
        <v>0</v>
      </c>
    </row>
    <row r="1849" spans="3:12" x14ac:dyDescent="0.25">
      <c r="C1849" t="s">
        <v>1864</v>
      </c>
      <c r="D1849" t="s">
        <v>1864</v>
      </c>
      <c r="E1849" t="s">
        <v>3707</v>
      </c>
      <c r="F1849" t="s">
        <v>1456</v>
      </c>
      <c r="G1849" t="str">
        <f t="shared" ref="G1849:J1864" si="145">IF(A1849="",G1848,A1849)</f>
        <v>K</v>
      </c>
      <c r="H1849" t="str">
        <f t="shared" si="145"/>
        <v>64</v>
      </c>
      <c r="I1849" t="str">
        <f t="shared" si="145"/>
        <v>647</v>
      </c>
      <c r="J1849" t="str">
        <f t="shared" si="145"/>
        <v>64701</v>
      </c>
      <c r="K1849" t="str">
        <f t="shared" si="141"/>
        <v>6470103</v>
      </c>
      <c r="L1849">
        <v>0</v>
      </c>
    </row>
    <row r="1850" spans="3:12" x14ac:dyDescent="0.25">
      <c r="C1850" t="s">
        <v>3708</v>
      </c>
      <c r="D1850" t="s">
        <v>1864</v>
      </c>
      <c r="E1850" t="s">
        <v>1864</v>
      </c>
      <c r="F1850" t="s">
        <v>1457</v>
      </c>
      <c r="G1850" t="str">
        <f t="shared" si="145"/>
        <v>K</v>
      </c>
      <c r="H1850" t="str">
        <f t="shared" si="145"/>
        <v>64</v>
      </c>
      <c r="I1850" t="str">
        <f t="shared" si="145"/>
        <v>649</v>
      </c>
      <c r="J1850" t="str">
        <f t="shared" si="145"/>
        <v>64701</v>
      </c>
      <c r="K1850" t="str">
        <f t="shared" si="141"/>
        <v/>
      </c>
    </row>
    <row r="1851" spans="3:12" x14ac:dyDescent="0.25">
      <c r="C1851" t="s">
        <v>1864</v>
      </c>
      <c r="D1851" t="s">
        <v>3709</v>
      </c>
      <c r="E1851" t="s">
        <v>1864</v>
      </c>
      <c r="F1851" t="s">
        <v>3710</v>
      </c>
      <c r="G1851" t="str">
        <f t="shared" si="145"/>
        <v>K</v>
      </c>
      <c r="H1851" t="str">
        <f t="shared" si="145"/>
        <v>64</v>
      </c>
      <c r="I1851" t="str">
        <f t="shared" si="145"/>
        <v>649</v>
      </c>
      <c r="J1851" t="str">
        <f t="shared" si="145"/>
        <v>64913</v>
      </c>
      <c r="K1851" t="str">
        <f t="shared" si="141"/>
        <v/>
      </c>
    </row>
    <row r="1852" spans="3:12" x14ac:dyDescent="0.25">
      <c r="C1852" t="s">
        <v>1864</v>
      </c>
      <c r="D1852" t="s">
        <v>1864</v>
      </c>
      <c r="E1852" t="s">
        <v>3711</v>
      </c>
      <c r="F1852" t="s">
        <v>3710</v>
      </c>
      <c r="G1852" t="str">
        <f t="shared" si="145"/>
        <v>K</v>
      </c>
      <c r="H1852" t="str">
        <f t="shared" si="145"/>
        <v>64</v>
      </c>
      <c r="I1852" t="str">
        <f t="shared" si="145"/>
        <v>649</v>
      </c>
      <c r="J1852" t="str">
        <f t="shared" si="145"/>
        <v>64913</v>
      </c>
      <c r="K1852" t="str">
        <f t="shared" si="141"/>
        <v>6491300</v>
      </c>
      <c r="L1852">
        <v>0</v>
      </c>
    </row>
    <row r="1853" spans="3:12" x14ac:dyDescent="0.25">
      <c r="C1853" t="s">
        <v>1864</v>
      </c>
      <c r="D1853" t="s">
        <v>3712</v>
      </c>
      <c r="E1853" t="s">
        <v>1864</v>
      </c>
      <c r="F1853" t="s">
        <v>1458</v>
      </c>
      <c r="G1853" t="str">
        <f t="shared" si="145"/>
        <v>K</v>
      </c>
      <c r="H1853" t="str">
        <f t="shared" si="145"/>
        <v>64</v>
      </c>
      <c r="I1853" t="str">
        <f t="shared" si="145"/>
        <v>649</v>
      </c>
      <c r="J1853" t="str">
        <f t="shared" si="145"/>
        <v>64921</v>
      </c>
      <c r="K1853" t="str">
        <f t="shared" si="141"/>
        <v/>
      </c>
    </row>
    <row r="1854" spans="3:12" x14ac:dyDescent="0.25">
      <c r="C1854" t="s">
        <v>1864</v>
      </c>
      <c r="D1854" t="s">
        <v>1864</v>
      </c>
      <c r="E1854" t="s">
        <v>3713</v>
      </c>
      <c r="F1854" t="s">
        <v>1458</v>
      </c>
      <c r="G1854" t="str">
        <f t="shared" si="145"/>
        <v>K</v>
      </c>
      <c r="H1854" t="str">
        <f t="shared" si="145"/>
        <v>64</v>
      </c>
      <c r="I1854" t="str">
        <f t="shared" si="145"/>
        <v>649</v>
      </c>
      <c r="J1854" t="str">
        <f t="shared" si="145"/>
        <v>64921</v>
      </c>
      <c r="K1854" t="str">
        <f t="shared" si="141"/>
        <v>6492100</v>
      </c>
      <c r="L1854">
        <v>0</v>
      </c>
    </row>
    <row r="1855" spans="3:12" x14ac:dyDescent="0.25">
      <c r="C1855" t="s">
        <v>1864</v>
      </c>
      <c r="D1855" t="s">
        <v>3714</v>
      </c>
      <c r="E1855" t="s">
        <v>1864</v>
      </c>
      <c r="F1855" t="s">
        <v>1459</v>
      </c>
      <c r="G1855" t="str">
        <f t="shared" si="145"/>
        <v>K</v>
      </c>
      <c r="H1855" t="str">
        <f t="shared" si="145"/>
        <v>64</v>
      </c>
      <c r="I1855" t="str">
        <f t="shared" si="145"/>
        <v>649</v>
      </c>
      <c r="J1855" t="str">
        <f t="shared" si="145"/>
        <v>64930</v>
      </c>
      <c r="K1855" t="str">
        <f t="shared" si="141"/>
        <v/>
      </c>
    </row>
    <row r="1856" spans="3:12" x14ac:dyDescent="0.25">
      <c r="C1856" t="s">
        <v>1864</v>
      </c>
      <c r="D1856" t="s">
        <v>1864</v>
      </c>
      <c r="E1856" t="s">
        <v>3715</v>
      </c>
      <c r="F1856" t="s">
        <v>1459</v>
      </c>
      <c r="G1856" t="str">
        <f t="shared" si="145"/>
        <v>K</v>
      </c>
      <c r="H1856" t="str">
        <f t="shared" si="145"/>
        <v>64</v>
      </c>
      <c r="I1856" t="str">
        <f t="shared" si="145"/>
        <v>649</v>
      </c>
      <c r="J1856" t="str">
        <f t="shared" si="145"/>
        <v>64930</v>
      </c>
      <c r="K1856" t="str">
        <f t="shared" si="141"/>
        <v>6493000</v>
      </c>
      <c r="L1856">
        <v>0</v>
      </c>
    </row>
    <row r="1857" spans="2:12" x14ac:dyDescent="0.25">
      <c r="C1857" t="s">
        <v>1864</v>
      </c>
      <c r="D1857" t="s">
        <v>3716</v>
      </c>
      <c r="E1857" t="s">
        <v>1864</v>
      </c>
      <c r="F1857" t="s">
        <v>1460</v>
      </c>
      <c r="G1857" t="str">
        <f t="shared" si="145"/>
        <v>K</v>
      </c>
      <c r="H1857" t="str">
        <f t="shared" si="145"/>
        <v>64</v>
      </c>
      <c r="I1857" t="str">
        <f t="shared" si="145"/>
        <v>649</v>
      </c>
      <c r="J1857" t="str">
        <f t="shared" si="145"/>
        <v>64999</v>
      </c>
      <c r="K1857" t="str">
        <f t="shared" si="141"/>
        <v/>
      </c>
    </row>
    <row r="1858" spans="2:12" x14ac:dyDescent="0.25">
      <c r="C1858" t="s">
        <v>1864</v>
      </c>
      <c r="D1858" t="s">
        <v>1864</v>
      </c>
      <c r="E1858" t="s">
        <v>3717</v>
      </c>
      <c r="F1858" t="s">
        <v>1461</v>
      </c>
      <c r="G1858" t="str">
        <f t="shared" si="145"/>
        <v>K</v>
      </c>
      <c r="H1858" t="str">
        <f t="shared" si="145"/>
        <v>64</v>
      </c>
      <c r="I1858" t="str">
        <f t="shared" si="145"/>
        <v>649</v>
      </c>
      <c r="J1858" t="str">
        <f t="shared" si="145"/>
        <v>64999</v>
      </c>
      <c r="K1858" t="str">
        <f t="shared" si="141"/>
        <v>6499901</v>
      </c>
      <c r="L1858">
        <v>0</v>
      </c>
    </row>
    <row r="1859" spans="2:12" x14ac:dyDescent="0.25">
      <c r="C1859" t="s">
        <v>1864</v>
      </c>
      <c r="D1859" t="s">
        <v>1864</v>
      </c>
      <c r="E1859" t="s">
        <v>3718</v>
      </c>
      <c r="F1859" t="s">
        <v>1462</v>
      </c>
      <c r="G1859" t="str">
        <f t="shared" si="145"/>
        <v>K</v>
      </c>
      <c r="H1859" t="str">
        <f t="shared" si="145"/>
        <v>64</v>
      </c>
      <c r="I1859" t="str">
        <f t="shared" si="145"/>
        <v>649</v>
      </c>
      <c r="J1859" t="str">
        <f t="shared" si="145"/>
        <v>64999</v>
      </c>
      <c r="K1859" t="str">
        <f t="shared" si="141"/>
        <v>6499902</v>
      </c>
      <c r="L1859">
        <v>0</v>
      </c>
    </row>
    <row r="1860" spans="2:12" x14ac:dyDescent="0.25">
      <c r="C1860" t="s">
        <v>1864</v>
      </c>
      <c r="D1860" t="s">
        <v>1864</v>
      </c>
      <c r="E1860" t="s">
        <v>3719</v>
      </c>
      <c r="F1860" t="s">
        <v>1463</v>
      </c>
      <c r="G1860" t="str">
        <f t="shared" si="145"/>
        <v>K</v>
      </c>
      <c r="H1860" t="str">
        <f t="shared" si="145"/>
        <v>64</v>
      </c>
      <c r="I1860" t="str">
        <f t="shared" si="145"/>
        <v>649</v>
      </c>
      <c r="J1860" t="str">
        <f t="shared" si="145"/>
        <v>64999</v>
      </c>
      <c r="K1860" t="str">
        <f t="shared" si="141"/>
        <v>6499903</v>
      </c>
      <c r="L1860">
        <v>0</v>
      </c>
    </row>
    <row r="1861" spans="2:12" x14ac:dyDescent="0.25">
      <c r="C1861" t="s">
        <v>1864</v>
      </c>
      <c r="D1861" t="s">
        <v>1864</v>
      </c>
      <c r="E1861" t="s">
        <v>3720</v>
      </c>
      <c r="F1861" t="s">
        <v>1464</v>
      </c>
      <c r="G1861" t="str">
        <f t="shared" si="145"/>
        <v>K</v>
      </c>
      <c r="H1861" t="str">
        <f t="shared" si="145"/>
        <v>64</v>
      </c>
      <c r="I1861" t="str">
        <f t="shared" si="145"/>
        <v>649</v>
      </c>
      <c r="J1861" t="str">
        <f t="shared" si="145"/>
        <v>64999</v>
      </c>
      <c r="K1861" t="str">
        <f t="shared" si="141"/>
        <v>6499904</v>
      </c>
      <c r="L1861">
        <v>0</v>
      </c>
    </row>
    <row r="1862" spans="2:12" x14ac:dyDescent="0.25">
      <c r="C1862" t="s">
        <v>1864</v>
      </c>
      <c r="D1862" t="s">
        <v>1864</v>
      </c>
      <c r="E1862" t="s">
        <v>3721</v>
      </c>
      <c r="F1862" t="s">
        <v>1465</v>
      </c>
      <c r="G1862" t="str">
        <f t="shared" si="145"/>
        <v>K</v>
      </c>
      <c r="H1862" t="str">
        <f t="shared" si="145"/>
        <v>64</v>
      </c>
      <c r="I1862" t="str">
        <f t="shared" si="145"/>
        <v>649</v>
      </c>
      <c r="J1862" t="str">
        <f t="shared" si="145"/>
        <v>64999</v>
      </c>
      <c r="K1862" t="str">
        <f t="shared" si="141"/>
        <v>6499905</v>
      </c>
      <c r="L1862">
        <v>0</v>
      </c>
    </row>
    <row r="1863" spans="2:12" x14ac:dyDescent="0.25">
      <c r="C1863" t="s">
        <v>1864</v>
      </c>
      <c r="D1863" t="s">
        <v>1864</v>
      </c>
      <c r="E1863" t="s">
        <v>3722</v>
      </c>
      <c r="F1863" t="s">
        <v>1460</v>
      </c>
      <c r="G1863" t="str">
        <f t="shared" si="145"/>
        <v>K</v>
      </c>
      <c r="H1863" t="str">
        <f t="shared" si="145"/>
        <v>64</v>
      </c>
      <c r="I1863" t="str">
        <f t="shared" si="145"/>
        <v>649</v>
      </c>
      <c r="J1863" t="str">
        <f t="shared" si="145"/>
        <v>64999</v>
      </c>
      <c r="K1863" t="str">
        <f t="shared" si="141"/>
        <v>6499999</v>
      </c>
      <c r="L1863">
        <v>0</v>
      </c>
    </row>
    <row r="1864" spans="2:12" x14ac:dyDescent="0.25">
      <c r="B1864" t="s">
        <v>3723</v>
      </c>
      <c r="C1864" t="s">
        <v>1864</v>
      </c>
      <c r="D1864" t="s">
        <v>1864</v>
      </c>
      <c r="E1864" t="s">
        <v>1864</v>
      </c>
      <c r="F1864" t="s">
        <v>1466</v>
      </c>
      <c r="G1864" t="str">
        <f t="shared" si="145"/>
        <v>K</v>
      </c>
      <c r="H1864" t="str">
        <f t="shared" si="145"/>
        <v>65</v>
      </c>
      <c r="I1864" t="str">
        <f t="shared" si="145"/>
        <v>649</v>
      </c>
      <c r="J1864" t="str">
        <f t="shared" si="145"/>
        <v>64999</v>
      </c>
      <c r="K1864" t="str">
        <f t="shared" ref="K1864:K1927" si="146">E1864</f>
        <v/>
      </c>
    </row>
    <row r="1865" spans="2:12" x14ac:dyDescent="0.25">
      <c r="C1865" t="s">
        <v>3724</v>
      </c>
      <c r="D1865" t="s">
        <v>1864</v>
      </c>
      <c r="E1865" t="s">
        <v>1864</v>
      </c>
      <c r="F1865" t="s">
        <v>1467</v>
      </c>
      <c r="G1865" t="str">
        <f t="shared" ref="G1865:J1880" si="147">IF(A1865="",G1864,A1865)</f>
        <v>K</v>
      </c>
      <c r="H1865" t="str">
        <f t="shared" si="147"/>
        <v>65</v>
      </c>
      <c r="I1865" t="str">
        <f t="shared" si="147"/>
        <v>651</v>
      </c>
      <c r="J1865" t="str">
        <f t="shared" si="147"/>
        <v>64999</v>
      </c>
      <c r="K1865" t="str">
        <f t="shared" si="146"/>
        <v/>
      </c>
    </row>
    <row r="1866" spans="2:12" x14ac:dyDescent="0.25">
      <c r="C1866" t="s">
        <v>1864</v>
      </c>
      <c r="D1866" t="s">
        <v>3725</v>
      </c>
      <c r="E1866" t="s">
        <v>1864</v>
      </c>
      <c r="F1866" t="s">
        <v>1468</v>
      </c>
      <c r="G1866" t="str">
        <f t="shared" si="147"/>
        <v>K</v>
      </c>
      <c r="H1866" t="str">
        <f t="shared" si="147"/>
        <v>65</v>
      </c>
      <c r="I1866" t="str">
        <f t="shared" si="147"/>
        <v>651</v>
      </c>
      <c r="J1866" t="str">
        <f t="shared" si="147"/>
        <v>65111</v>
      </c>
      <c r="K1866" t="str">
        <f t="shared" si="146"/>
        <v/>
      </c>
    </row>
    <row r="1867" spans="2:12" x14ac:dyDescent="0.25">
      <c r="C1867" t="s">
        <v>1864</v>
      </c>
      <c r="D1867" t="s">
        <v>1864</v>
      </c>
      <c r="E1867" t="s">
        <v>3726</v>
      </c>
      <c r="F1867" s="1" t="s">
        <v>1469</v>
      </c>
      <c r="G1867" t="str">
        <f t="shared" si="147"/>
        <v>K</v>
      </c>
      <c r="H1867" t="str">
        <f t="shared" si="147"/>
        <v>65</v>
      </c>
      <c r="I1867" t="str">
        <f t="shared" si="147"/>
        <v>651</v>
      </c>
      <c r="J1867" t="str">
        <f t="shared" si="147"/>
        <v>65111</v>
      </c>
      <c r="K1867" t="str">
        <f t="shared" si="146"/>
        <v>6511101</v>
      </c>
      <c r="L1867">
        <v>0</v>
      </c>
    </row>
    <row r="1868" spans="2:12" x14ac:dyDescent="0.25">
      <c r="C1868" t="s">
        <v>1864</v>
      </c>
      <c r="D1868" t="s">
        <v>1864</v>
      </c>
      <c r="E1868" t="s">
        <v>3727</v>
      </c>
      <c r="F1868" s="1" t="s">
        <v>1470</v>
      </c>
      <c r="G1868" t="str">
        <f t="shared" si="147"/>
        <v>K</v>
      </c>
      <c r="H1868" t="str">
        <f t="shared" si="147"/>
        <v>65</v>
      </c>
      <c r="I1868" t="str">
        <f t="shared" si="147"/>
        <v>651</v>
      </c>
      <c r="J1868" t="str">
        <f t="shared" si="147"/>
        <v>65111</v>
      </c>
      <c r="K1868" t="str">
        <f t="shared" si="146"/>
        <v>6511102</v>
      </c>
      <c r="L1868">
        <v>0</v>
      </c>
    </row>
    <row r="1869" spans="2:12" x14ac:dyDescent="0.25">
      <c r="C1869" t="s">
        <v>1864</v>
      </c>
      <c r="D1869" t="s">
        <v>3728</v>
      </c>
      <c r="E1869" t="s">
        <v>1864</v>
      </c>
      <c r="F1869" s="1" t="s">
        <v>1471</v>
      </c>
      <c r="G1869" t="str">
        <f t="shared" si="147"/>
        <v>K</v>
      </c>
      <c r="H1869" t="str">
        <f t="shared" si="147"/>
        <v>65</v>
      </c>
      <c r="I1869" t="str">
        <f t="shared" si="147"/>
        <v>651</v>
      </c>
      <c r="J1869" t="str">
        <f t="shared" si="147"/>
        <v>65120</v>
      </c>
      <c r="K1869" t="str">
        <f t="shared" si="146"/>
        <v/>
      </c>
    </row>
    <row r="1870" spans="2:12" x14ac:dyDescent="0.25">
      <c r="C1870" t="s">
        <v>1864</v>
      </c>
      <c r="D1870" t="s">
        <v>1864</v>
      </c>
      <c r="E1870" t="s">
        <v>3729</v>
      </c>
      <c r="F1870" s="1" t="s">
        <v>1472</v>
      </c>
      <c r="G1870" t="str">
        <f t="shared" si="147"/>
        <v>K</v>
      </c>
      <c r="H1870" t="str">
        <f t="shared" si="147"/>
        <v>65</v>
      </c>
      <c r="I1870" t="str">
        <f t="shared" si="147"/>
        <v>651</v>
      </c>
      <c r="J1870" t="str">
        <f t="shared" si="147"/>
        <v>65120</v>
      </c>
      <c r="K1870" t="str">
        <f t="shared" si="146"/>
        <v>6512000</v>
      </c>
      <c r="L1870">
        <v>0</v>
      </c>
    </row>
    <row r="1871" spans="2:12" x14ac:dyDescent="0.25">
      <c r="C1871" t="s">
        <v>3730</v>
      </c>
      <c r="D1871" t="s">
        <v>1864</v>
      </c>
      <c r="E1871" t="s">
        <v>1864</v>
      </c>
      <c r="F1871" s="1" t="s">
        <v>1473</v>
      </c>
      <c r="G1871" t="str">
        <f t="shared" si="147"/>
        <v>K</v>
      </c>
      <c r="H1871" t="str">
        <f t="shared" si="147"/>
        <v>65</v>
      </c>
      <c r="I1871" t="str">
        <f t="shared" si="147"/>
        <v>652</v>
      </c>
      <c r="J1871" t="str">
        <f t="shared" si="147"/>
        <v>65120</v>
      </c>
      <c r="K1871" t="str">
        <f t="shared" si="146"/>
        <v/>
      </c>
    </row>
    <row r="1872" spans="2:12" x14ac:dyDescent="0.25">
      <c r="C1872" t="s">
        <v>1864</v>
      </c>
      <c r="D1872" t="s">
        <v>3731</v>
      </c>
      <c r="E1872" t="s">
        <v>1864</v>
      </c>
      <c r="F1872" s="1" t="s">
        <v>1473</v>
      </c>
      <c r="G1872" t="str">
        <f t="shared" si="147"/>
        <v>K</v>
      </c>
      <c r="H1872" t="str">
        <f t="shared" si="147"/>
        <v>65</v>
      </c>
      <c r="I1872" t="str">
        <f t="shared" si="147"/>
        <v>652</v>
      </c>
      <c r="J1872" t="str">
        <f t="shared" si="147"/>
        <v>65201</v>
      </c>
      <c r="K1872" t="str">
        <f t="shared" si="146"/>
        <v/>
      </c>
    </row>
    <row r="1873" spans="2:12" x14ac:dyDescent="0.25">
      <c r="C1873" t="s">
        <v>1864</v>
      </c>
      <c r="D1873" t="s">
        <v>1864</v>
      </c>
      <c r="E1873" t="s">
        <v>3732</v>
      </c>
      <c r="F1873" s="1" t="s">
        <v>1474</v>
      </c>
      <c r="G1873" t="str">
        <f t="shared" si="147"/>
        <v>K</v>
      </c>
      <c r="H1873" t="str">
        <f t="shared" si="147"/>
        <v>65</v>
      </c>
      <c r="I1873" t="str">
        <f t="shared" si="147"/>
        <v>652</v>
      </c>
      <c r="J1873" t="str">
        <f t="shared" si="147"/>
        <v>65201</v>
      </c>
      <c r="K1873" t="str">
        <f t="shared" si="146"/>
        <v>6520100</v>
      </c>
      <c r="L1873">
        <v>0</v>
      </c>
    </row>
    <row r="1874" spans="2:12" x14ac:dyDescent="0.25">
      <c r="C1874" t="s">
        <v>3733</v>
      </c>
      <c r="D1874" t="s">
        <v>1864</v>
      </c>
      <c r="E1874" t="s">
        <v>1864</v>
      </c>
      <c r="F1874" s="1" t="s">
        <v>1475</v>
      </c>
      <c r="G1874" t="str">
        <f t="shared" si="147"/>
        <v>K</v>
      </c>
      <c r="H1874" t="str">
        <f t="shared" si="147"/>
        <v>65</v>
      </c>
      <c r="I1874" t="str">
        <f t="shared" si="147"/>
        <v>653</v>
      </c>
      <c r="J1874" t="str">
        <f t="shared" si="147"/>
        <v>65201</v>
      </c>
      <c r="K1874" t="str">
        <f t="shared" si="146"/>
        <v/>
      </c>
    </row>
    <row r="1875" spans="2:12" x14ac:dyDescent="0.25">
      <c r="C1875" t="s">
        <v>1864</v>
      </c>
      <c r="D1875" t="s">
        <v>3734</v>
      </c>
      <c r="E1875" t="s">
        <v>1864</v>
      </c>
      <c r="F1875" s="1" t="s">
        <v>1475</v>
      </c>
      <c r="G1875" t="str">
        <f t="shared" si="147"/>
        <v>K</v>
      </c>
      <c r="H1875" t="str">
        <f t="shared" si="147"/>
        <v>65</v>
      </c>
      <c r="I1875" t="str">
        <f t="shared" si="147"/>
        <v>653</v>
      </c>
      <c r="J1875" t="str">
        <f t="shared" si="147"/>
        <v>65308</v>
      </c>
      <c r="K1875" t="str">
        <f t="shared" si="146"/>
        <v/>
      </c>
    </row>
    <row r="1876" spans="2:12" x14ac:dyDescent="0.25">
      <c r="C1876" t="s">
        <v>1864</v>
      </c>
      <c r="D1876" t="s">
        <v>1864</v>
      </c>
      <c r="E1876" t="s">
        <v>3735</v>
      </c>
      <c r="F1876" s="1" t="s">
        <v>1475</v>
      </c>
      <c r="G1876" t="str">
        <f t="shared" si="147"/>
        <v>K</v>
      </c>
      <c r="H1876" t="str">
        <f t="shared" si="147"/>
        <v>65</v>
      </c>
      <c r="I1876" t="str">
        <f t="shared" si="147"/>
        <v>653</v>
      </c>
      <c r="J1876" t="str">
        <f t="shared" si="147"/>
        <v>65308</v>
      </c>
      <c r="K1876" t="str">
        <f t="shared" si="146"/>
        <v>6530800</v>
      </c>
      <c r="L1876">
        <v>0</v>
      </c>
    </row>
    <row r="1877" spans="2:12" x14ac:dyDescent="0.25">
      <c r="C1877" t="s">
        <v>3736</v>
      </c>
      <c r="D1877" t="s">
        <v>1864</v>
      </c>
      <c r="E1877" t="s">
        <v>1864</v>
      </c>
      <c r="F1877" t="s">
        <v>1476</v>
      </c>
      <c r="G1877" t="str">
        <f t="shared" si="147"/>
        <v>K</v>
      </c>
      <c r="H1877" t="str">
        <f t="shared" si="147"/>
        <v>65</v>
      </c>
      <c r="I1877" t="str">
        <f t="shared" si="147"/>
        <v>654</v>
      </c>
      <c r="J1877" t="str">
        <f t="shared" si="147"/>
        <v>65308</v>
      </c>
      <c r="K1877" t="str">
        <f t="shared" si="146"/>
        <v/>
      </c>
    </row>
    <row r="1878" spans="2:12" x14ac:dyDescent="0.25">
      <c r="C1878" t="s">
        <v>1864</v>
      </c>
      <c r="D1878" t="s">
        <v>3737</v>
      </c>
      <c r="E1878" t="s">
        <v>1864</v>
      </c>
      <c r="F1878" t="s">
        <v>1477</v>
      </c>
      <c r="G1878" t="str">
        <f t="shared" si="147"/>
        <v>K</v>
      </c>
      <c r="H1878" t="str">
        <f t="shared" si="147"/>
        <v>65</v>
      </c>
      <c r="I1878" t="str">
        <f t="shared" si="147"/>
        <v>654</v>
      </c>
      <c r="J1878" t="str">
        <f t="shared" si="147"/>
        <v>65413</v>
      </c>
      <c r="K1878" t="str">
        <f t="shared" si="146"/>
        <v/>
      </c>
    </row>
    <row r="1879" spans="2:12" x14ac:dyDescent="0.25">
      <c r="C1879" t="s">
        <v>1864</v>
      </c>
      <c r="D1879" t="s">
        <v>1864</v>
      </c>
      <c r="E1879" t="s">
        <v>3738</v>
      </c>
      <c r="F1879" t="s">
        <v>1477</v>
      </c>
      <c r="G1879" t="str">
        <f t="shared" si="147"/>
        <v>K</v>
      </c>
      <c r="H1879" t="str">
        <f t="shared" si="147"/>
        <v>65</v>
      </c>
      <c r="I1879" t="str">
        <f t="shared" si="147"/>
        <v>654</v>
      </c>
      <c r="J1879" t="str">
        <f t="shared" si="147"/>
        <v>65413</v>
      </c>
      <c r="K1879" t="str">
        <f t="shared" si="146"/>
        <v>6541300</v>
      </c>
      <c r="L1879">
        <v>0</v>
      </c>
    </row>
    <row r="1880" spans="2:12" x14ac:dyDescent="0.25">
      <c r="C1880" t="s">
        <v>1864</v>
      </c>
      <c r="D1880" t="s">
        <v>3739</v>
      </c>
      <c r="E1880" t="s">
        <v>1864</v>
      </c>
      <c r="F1880" t="s">
        <v>1478</v>
      </c>
      <c r="G1880" t="str">
        <f t="shared" si="147"/>
        <v>K</v>
      </c>
      <c r="H1880" t="str">
        <f t="shared" si="147"/>
        <v>65</v>
      </c>
      <c r="I1880" t="str">
        <f t="shared" si="147"/>
        <v>654</v>
      </c>
      <c r="J1880" t="str">
        <f t="shared" si="147"/>
        <v>65421</v>
      </c>
      <c r="K1880" t="str">
        <f t="shared" si="146"/>
        <v/>
      </c>
    </row>
    <row r="1881" spans="2:12" x14ac:dyDescent="0.25">
      <c r="C1881" t="s">
        <v>1864</v>
      </c>
      <c r="D1881" t="s">
        <v>1864</v>
      </c>
      <c r="E1881" t="s">
        <v>3740</v>
      </c>
      <c r="F1881" t="s">
        <v>1478</v>
      </c>
      <c r="G1881" t="str">
        <f t="shared" ref="G1881:J1896" si="148">IF(A1881="",G1880,A1881)</f>
        <v>K</v>
      </c>
      <c r="H1881" t="str">
        <f t="shared" si="148"/>
        <v>65</v>
      </c>
      <c r="I1881" t="str">
        <f t="shared" si="148"/>
        <v>654</v>
      </c>
      <c r="J1881" t="str">
        <f t="shared" si="148"/>
        <v>65421</v>
      </c>
      <c r="K1881" t="str">
        <f t="shared" si="146"/>
        <v>6542100</v>
      </c>
      <c r="L1881">
        <v>0</v>
      </c>
    </row>
    <row r="1882" spans="2:12" x14ac:dyDescent="0.25">
      <c r="C1882" t="s">
        <v>3741</v>
      </c>
      <c r="D1882" t="s">
        <v>1864</v>
      </c>
      <c r="E1882" t="s">
        <v>1864</v>
      </c>
      <c r="F1882" t="s">
        <v>1479</v>
      </c>
      <c r="G1882" t="str">
        <f t="shared" si="148"/>
        <v>K</v>
      </c>
      <c r="H1882" t="str">
        <f t="shared" si="148"/>
        <v>65</v>
      </c>
      <c r="I1882" t="str">
        <f t="shared" si="148"/>
        <v>655</v>
      </c>
      <c r="J1882" t="str">
        <f t="shared" si="148"/>
        <v>65421</v>
      </c>
      <c r="K1882" t="str">
        <f t="shared" si="146"/>
        <v/>
      </c>
    </row>
    <row r="1883" spans="2:12" x14ac:dyDescent="0.25">
      <c r="C1883" t="s">
        <v>1864</v>
      </c>
      <c r="D1883" t="s">
        <v>3742</v>
      </c>
      <c r="E1883" t="s">
        <v>1864</v>
      </c>
      <c r="F1883" t="s">
        <v>1479</v>
      </c>
      <c r="G1883" t="str">
        <f t="shared" si="148"/>
        <v>K</v>
      </c>
      <c r="H1883" t="str">
        <f t="shared" si="148"/>
        <v>65</v>
      </c>
      <c r="I1883" t="str">
        <f t="shared" si="148"/>
        <v>655</v>
      </c>
      <c r="J1883" t="str">
        <f t="shared" si="148"/>
        <v>65502</v>
      </c>
      <c r="K1883" t="str">
        <f t="shared" si="146"/>
        <v/>
      </c>
    </row>
    <row r="1884" spans="2:12" x14ac:dyDescent="0.25">
      <c r="C1884" t="s">
        <v>1864</v>
      </c>
      <c r="D1884" t="s">
        <v>1864</v>
      </c>
      <c r="E1884" t="s">
        <v>3743</v>
      </c>
      <c r="F1884" t="s">
        <v>1479</v>
      </c>
      <c r="G1884" t="str">
        <f t="shared" si="148"/>
        <v>K</v>
      </c>
      <c r="H1884" t="str">
        <f t="shared" si="148"/>
        <v>65</v>
      </c>
      <c r="I1884" t="str">
        <f t="shared" si="148"/>
        <v>655</v>
      </c>
      <c r="J1884" t="str">
        <f t="shared" si="148"/>
        <v>65502</v>
      </c>
      <c r="K1884" t="str">
        <f t="shared" si="146"/>
        <v>6550200</v>
      </c>
      <c r="L1884">
        <v>0</v>
      </c>
    </row>
    <row r="1885" spans="2:12" x14ac:dyDescent="0.25">
      <c r="B1885" t="s">
        <v>3744</v>
      </c>
      <c r="C1885" t="s">
        <v>1864</v>
      </c>
      <c r="D1885" t="s">
        <v>1864</v>
      </c>
      <c r="E1885" t="s">
        <v>1864</v>
      </c>
      <c r="F1885" t="s">
        <v>1480</v>
      </c>
      <c r="G1885" t="str">
        <f t="shared" si="148"/>
        <v>K</v>
      </c>
      <c r="H1885" t="str">
        <f t="shared" si="148"/>
        <v>66</v>
      </c>
      <c r="I1885" t="str">
        <f t="shared" si="148"/>
        <v>655</v>
      </c>
      <c r="J1885" t="str">
        <f t="shared" si="148"/>
        <v>65502</v>
      </c>
      <c r="K1885" t="str">
        <f t="shared" si="146"/>
        <v/>
      </c>
    </row>
    <row r="1886" spans="2:12" x14ac:dyDescent="0.25">
      <c r="C1886" t="s">
        <v>3745</v>
      </c>
      <c r="D1886" t="s">
        <v>1864</v>
      </c>
      <c r="E1886" t="s">
        <v>1864</v>
      </c>
      <c r="F1886" t="s">
        <v>1481</v>
      </c>
      <c r="G1886" t="str">
        <f t="shared" si="148"/>
        <v>K</v>
      </c>
      <c r="H1886" t="str">
        <f t="shared" si="148"/>
        <v>66</v>
      </c>
      <c r="I1886" t="str">
        <f t="shared" si="148"/>
        <v>661</v>
      </c>
      <c r="J1886" t="str">
        <f t="shared" si="148"/>
        <v>65502</v>
      </c>
      <c r="K1886" t="str">
        <f t="shared" si="146"/>
        <v/>
      </c>
    </row>
    <row r="1887" spans="2:12" x14ac:dyDescent="0.25">
      <c r="C1887" t="s">
        <v>1864</v>
      </c>
      <c r="D1887" t="s">
        <v>3746</v>
      </c>
      <c r="E1887" t="s">
        <v>1864</v>
      </c>
      <c r="F1887" t="s">
        <v>1482</v>
      </c>
      <c r="G1887" t="str">
        <f t="shared" si="148"/>
        <v>K</v>
      </c>
      <c r="H1887" t="str">
        <f t="shared" si="148"/>
        <v>66</v>
      </c>
      <c r="I1887" t="str">
        <f t="shared" si="148"/>
        <v>661</v>
      </c>
      <c r="J1887" t="str">
        <f t="shared" si="148"/>
        <v>66118</v>
      </c>
      <c r="K1887" t="str">
        <f t="shared" si="146"/>
        <v/>
      </c>
    </row>
    <row r="1888" spans="2:12" x14ac:dyDescent="0.25">
      <c r="C1888" t="s">
        <v>1864</v>
      </c>
      <c r="D1888" t="s">
        <v>1864</v>
      </c>
      <c r="E1888" t="s">
        <v>3747</v>
      </c>
      <c r="F1888" t="s">
        <v>1483</v>
      </c>
      <c r="G1888" t="str">
        <f t="shared" si="148"/>
        <v>K</v>
      </c>
      <c r="H1888" t="str">
        <f t="shared" si="148"/>
        <v>66</v>
      </c>
      <c r="I1888" t="str">
        <f t="shared" si="148"/>
        <v>661</v>
      </c>
      <c r="J1888" t="str">
        <f t="shared" si="148"/>
        <v>66118</v>
      </c>
      <c r="K1888" t="str">
        <f t="shared" si="146"/>
        <v>6611801</v>
      </c>
      <c r="L1888">
        <v>0</v>
      </c>
    </row>
    <row r="1889" spans="3:12" x14ac:dyDescent="0.25">
      <c r="C1889" t="s">
        <v>1864</v>
      </c>
      <c r="D1889" t="s">
        <v>1864</v>
      </c>
      <c r="E1889" t="s">
        <v>3748</v>
      </c>
      <c r="F1889" t="s">
        <v>1484</v>
      </c>
      <c r="G1889" t="str">
        <f t="shared" si="148"/>
        <v>K</v>
      </c>
      <c r="H1889" t="str">
        <f t="shared" si="148"/>
        <v>66</v>
      </c>
      <c r="I1889" t="str">
        <f t="shared" si="148"/>
        <v>661</v>
      </c>
      <c r="J1889" t="str">
        <f t="shared" si="148"/>
        <v>66118</v>
      </c>
      <c r="K1889" t="str">
        <f t="shared" si="146"/>
        <v>6611802</v>
      </c>
      <c r="L1889">
        <v>0</v>
      </c>
    </row>
    <row r="1890" spans="3:12" x14ac:dyDescent="0.25">
      <c r="C1890" t="s">
        <v>1864</v>
      </c>
      <c r="D1890" t="s">
        <v>1864</v>
      </c>
      <c r="E1890" t="s">
        <v>3749</v>
      </c>
      <c r="F1890" t="s">
        <v>1485</v>
      </c>
      <c r="G1890" t="str">
        <f t="shared" si="148"/>
        <v>K</v>
      </c>
      <c r="H1890" t="str">
        <f t="shared" si="148"/>
        <v>66</v>
      </c>
      <c r="I1890" t="str">
        <f t="shared" si="148"/>
        <v>661</v>
      </c>
      <c r="J1890" t="str">
        <f t="shared" si="148"/>
        <v>66118</v>
      </c>
      <c r="K1890" t="str">
        <f t="shared" si="146"/>
        <v>6611803</v>
      </c>
      <c r="L1890">
        <v>0</v>
      </c>
    </row>
    <row r="1891" spans="3:12" x14ac:dyDescent="0.25">
      <c r="C1891" t="s">
        <v>1864</v>
      </c>
      <c r="D1891" t="s">
        <v>1864</v>
      </c>
      <c r="E1891" t="s">
        <v>3750</v>
      </c>
      <c r="F1891" t="s">
        <v>1486</v>
      </c>
      <c r="G1891" t="str">
        <f t="shared" si="148"/>
        <v>K</v>
      </c>
      <c r="H1891" t="str">
        <f t="shared" si="148"/>
        <v>66</v>
      </c>
      <c r="I1891" t="str">
        <f t="shared" si="148"/>
        <v>661</v>
      </c>
      <c r="J1891" t="str">
        <f t="shared" si="148"/>
        <v>66118</v>
      </c>
      <c r="K1891" t="str">
        <f t="shared" si="146"/>
        <v>6611804</v>
      </c>
      <c r="L1891">
        <v>0</v>
      </c>
    </row>
    <row r="1892" spans="3:12" x14ac:dyDescent="0.25">
      <c r="C1892" t="s">
        <v>1864</v>
      </c>
      <c r="D1892" t="s">
        <v>3751</v>
      </c>
      <c r="E1892" t="s">
        <v>1864</v>
      </c>
      <c r="F1892" t="s">
        <v>1487</v>
      </c>
      <c r="G1892" t="str">
        <f t="shared" si="148"/>
        <v>K</v>
      </c>
      <c r="H1892" t="str">
        <f t="shared" si="148"/>
        <v>66</v>
      </c>
      <c r="I1892" t="str">
        <f t="shared" si="148"/>
        <v>661</v>
      </c>
      <c r="J1892" t="str">
        <f t="shared" si="148"/>
        <v>66126</v>
      </c>
      <c r="K1892" t="str">
        <f t="shared" si="146"/>
        <v/>
      </c>
    </row>
    <row r="1893" spans="3:12" x14ac:dyDescent="0.25">
      <c r="C1893" t="s">
        <v>1864</v>
      </c>
      <c r="D1893" t="s">
        <v>1864</v>
      </c>
      <c r="E1893" t="s">
        <v>3752</v>
      </c>
      <c r="F1893" t="s">
        <v>1488</v>
      </c>
      <c r="G1893" t="str">
        <f t="shared" si="148"/>
        <v>K</v>
      </c>
      <c r="H1893" t="str">
        <f t="shared" si="148"/>
        <v>66</v>
      </c>
      <c r="I1893" t="str">
        <f t="shared" si="148"/>
        <v>661</v>
      </c>
      <c r="J1893" t="str">
        <f t="shared" si="148"/>
        <v>66126</v>
      </c>
      <c r="K1893" t="str">
        <f t="shared" si="146"/>
        <v>6612601</v>
      </c>
      <c r="L1893">
        <v>0</v>
      </c>
    </row>
    <row r="1894" spans="3:12" x14ac:dyDescent="0.25">
      <c r="C1894" t="s">
        <v>1864</v>
      </c>
      <c r="D1894" t="s">
        <v>1864</v>
      </c>
      <c r="E1894" t="s">
        <v>3753</v>
      </c>
      <c r="F1894" t="s">
        <v>1489</v>
      </c>
      <c r="G1894" t="str">
        <f t="shared" si="148"/>
        <v>K</v>
      </c>
      <c r="H1894" t="str">
        <f t="shared" si="148"/>
        <v>66</v>
      </c>
      <c r="I1894" t="str">
        <f t="shared" si="148"/>
        <v>661</v>
      </c>
      <c r="J1894" t="str">
        <f t="shared" si="148"/>
        <v>66126</v>
      </c>
      <c r="K1894" t="str">
        <f t="shared" si="146"/>
        <v>6612602</v>
      </c>
      <c r="L1894">
        <v>0</v>
      </c>
    </row>
    <row r="1895" spans="3:12" x14ac:dyDescent="0.25">
      <c r="C1895" t="s">
        <v>1864</v>
      </c>
      <c r="D1895" t="s">
        <v>1864</v>
      </c>
      <c r="E1895" t="s">
        <v>3754</v>
      </c>
      <c r="F1895" t="s">
        <v>1490</v>
      </c>
      <c r="G1895" t="str">
        <f t="shared" si="148"/>
        <v>K</v>
      </c>
      <c r="H1895" t="str">
        <f t="shared" si="148"/>
        <v>66</v>
      </c>
      <c r="I1895" t="str">
        <f t="shared" si="148"/>
        <v>661</v>
      </c>
      <c r="J1895" t="str">
        <f t="shared" si="148"/>
        <v>66126</v>
      </c>
      <c r="K1895" t="str">
        <f t="shared" si="146"/>
        <v>6612603</v>
      </c>
      <c r="L1895">
        <v>0</v>
      </c>
    </row>
    <row r="1896" spans="3:12" x14ac:dyDescent="0.25">
      <c r="C1896" t="s">
        <v>1864</v>
      </c>
      <c r="D1896" t="s">
        <v>1864</v>
      </c>
      <c r="E1896" t="s">
        <v>3755</v>
      </c>
      <c r="F1896" t="s">
        <v>1491</v>
      </c>
      <c r="G1896" t="str">
        <f t="shared" si="148"/>
        <v>K</v>
      </c>
      <c r="H1896" t="str">
        <f t="shared" si="148"/>
        <v>66</v>
      </c>
      <c r="I1896" t="str">
        <f t="shared" si="148"/>
        <v>661</v>
      </c>
      <c r="J1896" t="str">
        <f t="shared" si="148"/>
        <v>66126</v>
      </c>
      <c r="K1896" t="str">
        <f t="shared" si="146"/>
        <v>6612604</v>
      </c>
      <c r="L1896">
        <v>0</v>
      </c>
    </row>
    <row r="1897" spans="3:12" x14ac:dyDescent="0.25">
      <c r="C1897" t="s">
        <v>1864</v>
      </c>
      <c r="D1897" t="s">
        <v>1864</v>
      </c>
      <c r="E1897" t="s">
        <v>3756</v>
      </c>
      <c r="F1897" t="s">
        <v>1492</v>
      </c>
      <c r="G1897" t="str">
        <f t="shared" ref="G1897:J1912" si="149">IF(A1897="",G1896,A1897)</f>
        <v>K</v>
      </c>
      <c r="H1897" t="str">
        <f t="shared" si="149"/>
        <v>66</v>
      </c>
      <c r="I1897" t="str">
        <f t="shared" si="149"/>
        <v>661</v>
      </c>
      <c r="J1897" t="str">
        <f t="shared" si="149"/>
        <v>66126</v>
      </c>
      <c r="K1897" t="str">
        <f t="shared" si="146"/>
        <v>6612605</v>
      </c>
      <c r="L1897">
        <v>0</v>
      </c>
    </row>
    <row r="1898" spans="3:12" x14ac:dyDescent="0.25">
      <c r="C1898" t="s">
        <v>1864</v>
      </c>
      <c r="D1898" t="s">
        <v>3757</v>
      </c>
      <c r="E1898" t="s">
        <v>1864</v>
      </c>
      <c r="F1898" t="s">
        <v>1493</v>
      </c>
      <c r="G1898" t="str">
        <f t="shared" si="149"/>
        <v>K</v>
      </c>
      <c r="H1898" t="str">
        <f t="shared" si="149"/>
        <v>66</v>
      </c>
      <c r="I1898" t="str">
        <f t="shared" si="149"/>
        <v>661</v>
      </c>
      <c r="J1898" t="str">
        <f t="shared" si="149"/>
        <v>66134</v>
      </c>
      <c r="K1898" t="str">
        <f t="shared" si="146"/>
        <v/>
      </c>
    </row>
    <row r="1899" spans="3:12" x14ac:dyDescent="0.25">
      <c r="C1899" t="s">
        <v>1864</v>
      </c>
      <c r="D1899" t="s">
        <v>1864</v>
      </c>
      <c r="E1899" t="s">
        <v>3758</v>
      </c>
      <c r="F1899" t="s">
        <v>1493</v>
      </c>
      <c r="G1899" t="str">
        <f t="shared" si="149"/>
        <v>K</v>
      </c>
      <c r="H1899" t="str">
        <f t="shared" si="149"/>
        <v>66</v>
      </c>
      <c r="I1899" t="str">
        <f t="shared" si="149"/>
        <v>661</v>
      </c>
      <c r="J1899" t="str">
        <f t="shared" si="149"/>
        <v>66134</v>
      </c>
      <c r="K1899" t="str">
        <f t="shared" si="146"/>
        <v>6613400</v>
      </c>
      <c r="L1899">
        <v>0</v>
      </c>
    </row>
    <row r="1900" spans="3:12" x14ac:dyDescent="0.25">
      <c r="C1900" t="s">
        <v>1864</v>
      </c>
      <c r="D1900" t="s">
        <v>3759</v>
      </c>
      <c r="E1900" t="s">
        <v>1864</v>
      </c>
      <c r="F1900" t="s">
        <v>1494</v>
      </c>
      <c r="G1900" t="str">
        <f t="shared" si="149"/>
        <v>K</v>
      </c>
      <c r="H1900" t="str">
        <f t="shared" si="149"/>
        <v>66</v>
      </c>
      <c r="I1900" t="str">
        <f t="shared" si="149"/>
        <v>661</v>
      </c>
      <c r="J1900" t="str">
        <f t="shared" si="149"/>
        <v>66193</v>
      </c>
      <c r="K1900" t="str">
        <f t="shared" si="146"/>
        <v/>
      </c>
    </row>
    <row r="1901" spans="3:12" x14ac:dyDescent="0.25">
      <c r="C1901" t="s">
        <v>1864</v>
      </c>
      <c r="D1901" t="s">
        <v>1864</v>
      </c>
      <c r="E1901" t="s">
        <v>3760</v>
      </c>
      <c r="F1901" t="s">
        <v>1495</v>
      </c>
      <c r="G1901" t="str">
        <f t="shared" si="149"/>
        <v>K</v>
      </c>
      <c r="H1901" t="str">
        <f t="shared" si="149"/>
        <v>66</v>
      </c>
      <c r="I1901" t="str">
        <f t="shared" si="149"/>
        <v>661</v>
      </c>
      <c r="J1901" t="str">
        <f t="shared" si="149"/>
        <v>66193</v>
      </c>
      <c r="K1901" t="str">
        <f t="shared" si="146"/>
        <v>6619301</v>
      </c>
      <c r="L1901">
        <v>0</v>
      </c>
    </row>
    <row r="1902" spans="3:12" x14ac:dyDescent="0.25">
      <c r="C1902" t="s">
        <v>1864</v>
      </c>
      <c r="D1902" t="s">
        <v>1864</v>
      </c>
      <c r="E1902" t="s">
        <v>3761</v>
      </c>
      <c r="F1902" t="s">
        <v>1496</v>
      </c>
      <c r="G1902" t="str">
        <f t="shared" si="149"/>
        <v>K</v>
      </c>
      <c r="H1902" t="str">
        <f t="shared" si="149"/>
        <v>66</v>
      </c>
      <c r="I1902" t="str">
        <f t="shared" si="149"/>
        <v>661</v>
      </c>
      <c r="J1902" t="str">
        <f t="shared" si="149"/>
        <v>66193</v>
      </c>
      <c r="K1902" t="str">
        <f t="shared" si="146"/>
        <v>6619302</v>
      </c>
      <c r="L1902">
        <v>0</v>
      </c>
    </row>
    <row r="1903" spans="3:12" x14ac:dyDescent="0.25">
      <c r="C1903" t="s">
        <v>1864</v>
      </c>
      <c r="D1903" t="s">
        <v>1864</v>
      </c>
      <c r="E1903" t="s">
        <v>3762</v>
      </c>
      <c r="F1903" t="s">
        <v>1497</v>
      </c>
      <c r="G1903" t="str">
        <f t="shared" si="149"/>
        <v>K</v>
      </c>
      <c r="H1903" t="str">
        <f t="shared" si="149"/>
        <v>66</v>
      </c>
      <c r="I1903" t="str">
        <f t="shared" si="149"/>
        <v>661</v>
      </c>
      <c r="J1903" t="str">
        <f t="shared" si="149"/>
        <v>66193</v>
      </c>
      <c r="K1903" t="str">
        <f t="shared" si="146"/>
        <v>6619303</v>
      </c>
      <c r="L1903">
        <v>0</v>
      </c>
    </row>
    <row r="1904" spans="3:12" x14ac:dyDescent="0.25">
      <c r="C1904" t="s">
        <v>1864</v>
      </c>
      <c r="D1904" t="s">
        <v>1864</v>
      </c>
      <c r="E1904" t="s">
        <v>3763</v>
      </c>
      <c r="F1904" t="s">
        <v>1498</v>
      </c>
      <c r="G1904" t="str">
        <f t="shared" si="149"/>
        <v>K</v>
      </c>
      <c r="H1904" t="str">
        <f t="shared" si="149"/>
        <v>66</v>
      </c>
      <c r="I1904" t="str">
        <f t="shared" si="149"/>
        <v>661</v>
      </c>
      <c r="J1904" t="str">
        <f t="shared" si="149"/>
        <v>66193</v>
      </c>
      <c r="K1904" t="str">
        <f t="shared" si="146"/>
        <v>6619304</v>
      </c>
      <c r="L1904">
        <v>0</v>
      </c>
    </row>
    <row r="1905" spans="1:12" x14ac:dyDescent="0.25">
      <c r="C1905" t="s">
        <v>1864</v>
      </c>
      <c r="D1905" t="s">
        <v>1864</v>
      </c>
      <c r="E1905" t="s">
        <v>3764</v>
      </c>
      <c r="F1905" t="s">
        <v>1499</v>
      </c>
      <c r="G1905" t="str">
        <f t="shared" si="149"/>
        <v>K</v>
      </c>
      <c r="H1905" t="str">
        <f t="shared" si="149"/>
        <v>66</v>
      </c>
      <c r="I1905" t="str">
        <f t="shared" si="149"/>
        <v>661</v>
      </c>
      <c r="J1905" t="str">
        <f t="shared" si="149"/>
        <v>66193</v>
      </c>
      <c r="K1905" t="str">
        <f t="shared" si="146"/>
        <v>6619305</v>
      </c>
      <c r="L1905">
        <v>0</v>
      </c>
    </row>
    <row r="1906" spans="1:12" x14ac:dyDescent="0.25">
      <c r="C1906" t="s">
        <v>1864</v>
      </c>
      <c r="D1906" t="s">
        <v>1864</v>
      </c>
      <c r="E1906" t="s">
        <v>3765</v>
      </c>
      <c r="F1906" t="s">
        <v>1500</v>
      </c>
      <c r="G1906" t="str">
        <f t="shared" si="149"/>
        <v>K</v>
      </c>
      <c r="H1906" t="str">
        <f t="shared" si="149"/>
        <v>66</v>
      </c>
      <c r="I1906" t="str">
        <f t="shared" si="149"/>
        <v>661</v>
      </c>
      <c r="J1906" t="str">
        <f t="shared" si="149"/>
        <v>66193</v>
      </c>
      <c r="K1906" t="str">
        <f t="shared" si="146"/>
        <v>6619399</v>
      </c>
      <c r="L1906">
        <v>0</v>
      </c>
    </row>
    <row r="1907" spans="1:12" x14ac:dyDescent="0.25">
      <c r="C1907" t="s">
        <v>3766</v>
      </c>
      <c r="D1907" t="s">
        <v>1864</v>
      </c>
      <c r="E1907" t="s">
        <v>1864</v>
      </c>
      <c r="F1907" t="s">
        <v>1501</v>
      </c>
      <c r="G1907" t="str">
        <f t="shared" si="149"/>
        <v>K</v>
      </c>
      <c r="H1907" t="str">
        <f t="shared" si="149"/>
        <v>66</v>
      </c>
      <c r="I1907" t="str">
        <f t="shared" si="149"/>
        <v>662</v>
      </c>
      <c r="J1907" t="str">
        <f t="shared" si="149"/>
        <v>66193</v>
      </c>
      <c r="K1907" t="str">
        <f t="shared" si="146"/>
        <v/>
      </c>
    </row>
    <row r="1908" spans="1:12" x14ac:dyDescent="0.25">
      <c r="C1908" t="s">
        <v>1864</v>
      </c>
      <c r="D1908" t="s">
        <v>3767</v>
      </c>
      <c r="E1908" t="s">
        <v>1864</v>
      </c>
      <c r="F1908" t="s">
        <v>1502</v>
      </c>
      <c r="G1908" t="str">
        <f t="shared" si="149"/>
        <v>K</v>
      </c>
      <c r="H1908" t="str">
        <f t="shared" si="149"/>
        <v>66</v>
      </c>
      <c r="I1908" t="str">
        <f t="shared" si="149"/>
        <v>662</v>
      </c>
      <c r="J1908" t="str">
        <f t="shared" si="149"/>
        <v>66215</v>
      </c>
      <c r="K1908" t="str">
        <f t="shared" si="146"/>
        <v/>
      </c>
    </row>
    <row r="1909" spans="1:12" x14ac:dyDescent="0.25">
      <c r="C1909" t="s">
        <v>1864</v>
      </c>
      <c r="D1909" t="s">
        <v>1864</v>
      </c>
      <c r="E1909" t="s">
        <v>3768</v>
      </c>
      <c r="F1909" s="1" t="s">
        <v>1503</v>
      </c>
      <c r="G1909" t="str">
        <f t="shared" si="149"/>
        <v>K</v>
      </c>
      <c r="H1909" t="str">
        <f t="shared" si="149"/>
        <v>66</v>
      </c>
      <c r="I1909" t="str">
        <f t="shared" si="149"/>
        <v>662</v>
      </c>
      <c r="J1909" t="str">
        <f t="shared" si="149"/>
        <v>66215</v>
      </c>
      <c r="K1909" t="str">
        <f t="shared" si="146"/>
        <v>6621501</v>
      </c>
      <c r="L1909">
        <v>0</v>
      </c>
    </row>
    <row r="1910" spans="1:12" x14ac:dyDescent="0.25">
      <c r="C1910" t="s">
        <v>1864</v>
      </c>
      <c r="D1910" t="s">
        <v>1864</v>
      </c>
      <c r="E1910" t="s">
        <v>3769</v>
      </c>
      <c r="F1910" s="1" t="s">
        <v>1504</v>
      </c>
      <c r="G1910" t="str">
        <f t="shared" si="149"/>
        <v>K</v>
      </c>
      <c r="H1910" t="str">
        <f t="shared" si="149"/>
        <v>66</v>
      </c>
      <c r="I1910" t="str">
        <f t="shared" si="149"/>
        <v>662</v>
      </c>
      <c r="J1910" t="str">
        <f t="shared" si="149"/>
        <v>66215</v>
      </c>
      <c r="K1910" t="str">
        <f t="shared" si="146"/>
        <v>6621502</v>
      </c>
      <c r="L1910">
        <v>0</v>
      </c>
    </row>
    <row r="1911" spans="1:12" x14ac:dyDescent="0.25">
      <c r="C1911" t="s">
        <v>1864</v>
      </c>
      <c r="D1911" t="s">
        <v>3770</v>
      </c>
      <c r="E1911" t="s">
        <v>1864</v>
      </c>
      <c r="F1911" t="s">
        <v>1505</v>
      </c>
      <c r="G1911" t="str">
        <f t="shared" si="149"/>
        <v>K</v>
      </c>
      <c r="H1911" t="str">
        <f t="shared" si="149"/>
        <v>66</v>
      </c>
      <c r="I1911" t="str">
        <f t="shared" si="149"/>
        <v>662</v>
      </c>
      <c r="J1911" t="str">
        <f t="shared" si="149"/>
        <v>66223</v>
      </c>
      <c r="K1911" t="str">
        <f t="shared" si="146"/>
        <v/>
      </c>
    </row>
    <row r="1912" spans="1:12" x14ac:dyDescent="0.25">
      <c r="C1912" t="s">
        <v>1864</v>
      </c>
      <c r="D1912" t="s">
        <v>1864</v>
      </c>
      <c r="E1912" t="s">
        <v>3771</v>
      </c>
      <c r="F1912" t="s">
        <v>1505</v>
      </c>
      <c r="G1912" t="str">
        <f t="shared" si="149"/>
        <v>K</v>
      </c>
      <c r="H1912" t="str">
        <f t="shared" si="149"/>
        <v>66</v>
      </c>
      <c r="I1912" t="str">
        <f t="shared" si="149"/>
        <v>662</v>
      </c>
      <c r="J1912" t="str">
        <f t="shared" si="149"/>
        <v>66223</v>
      </c>
      <c r="K1912" t="str">
        <f t="shared" si="146"/>
        <v>6622300</v>
      </c>
      <c r="L1912">
        <v>0</v>
      </c>
    </row>
    <row r="1913" spans="1:12" x14ac:dyDescent="0.25">
      <c r="C1913" t="s">
        <v>1864</v>
      </c>
      <c r="D1913" t="s">
        <v>3772</v>
      </c>
      <c r="E1913" t="s">
        <v>1864</v>
      </c>
      <c r="F1913" t="s">
        <v>1506</v>
      </c>
      <c r="G1913" t="str">
        <f t="shared" ref="G1913:J1928" si="150">IF(A1913="",G1912,A1913)</f>
        <v>K</v>
      </c>
      <c r="H1913" t="str">
        <f t="shared" si="150"/>
        <v>66</v>
      </c>
      <c r="I1913" t="str">
        <f t="shared" si="150"/>
        <v>662</v>
      </c>
      <c r="J1913" t="str">
        <f t="shared" si="150"/>
        <v>66291</v>
      </c>
      <c r="K1913" t="str">
        <f t="shared" si="146"/>
        <v/>
      </c>
    </row>
    <row r="1914" spans="1:12" x14ac:dyDescent="0.25">
      <c r="C1914" t="s">
        <v>1864</v>
      </c>
      <c r="D1914" t="s">
        <v>1864</v>
      </c>
      <c r="E1914" t="s">
        <v>3773</v>
      </c>
      <c r="F1914" t="s">
        <v>1506</v>
      </c>
      <c r="G1914" t="str">
        <f t="shared" si="150"/>
        <v>K</v>
      </c>
      <c r="H1914" t="str">
        <f t="shared" si="150"/>
        <v>66</v>
      </c>
      <c r="I1914" t="str">
        <f t="shared" si="150"/>
        <v>662</v>
      </c>
      <c r="J1914" t="str">
        <f t="shared" si="150"/>
        <v>66291</v>
      </c>
      <c r="K1914" t="str">
        <f t="shared" si="146"/>
        <v>6629100</v>
      </c>
      <c r="L1914">
        <v>0</v>
      </c>
    </row>
    <row r="1915" spans="1:12" x14ac:dyDescent="0.25">
      <c r="C1915" t="s">
        <v>3774</v>
      </c>
      <c r="D1915" t="s">
        <v>1864</v>
      </c>
      <c r="E1915" t="s">
        <v>1864</v>
      </c>
      <c r="F1915" t="s">
        <v>1507</v>
      </c>
      <c r="G1915" t="str">
        <f t="shared" si="150"/>
        <v>K</v>
      </c>
      <c r="H1915" t="str">
        <f t="shared" si="150"/>
        <v>66</v>
      </c>
      <c r="I1915" t="str">
        <f t="shared" si="150"/>
        <v>663</v>
      </c>
      <c r="J1915" t="str">
        <f t="shared" si="150"/>
        <v>66291</v>
      </c>
      <c r="K1915" t="str">
        <f t="shared" si="146"/>
        <v/>
      </c>
    </row>
    <row r="1916" spans="1:12" x14ac:dyDescent="0.25">
      <c r="C1916" t="s">
        <v>1864</v>
      </c>
      <c r="D1916" t="s">
        <v>3775</v>
      </c>
      <c r="E1916" t="s">
        <v>1864</v>
      </c>
      <c r="F1916" t="s">
        <v>1507</v>
      </c>
      <c r="G1916" t="str">
        <f t="shared" si="150"/>
        <v>K</v>
      </c>
      <c r="H1916" t="str">
        <f t="shared" si="150"/>
        <v>66</v>
      </c>
      <c r="I1916" t="str">
        <f t="shared" si="150"/>
        <v>663</v>
      </c>
      <c r="J1916" t="str">
        <f t="shared" si="150"/>
        <v>66304</v>
      </c>
      <c r="K1916" t="str">
        <f t="shared" si="146"/>
        <v/>
      </c>
    </row>
    <row r="1917" spans="1:12" x14ac:dyDescent="0.25">
      <c r="C1917" t="s">
        <v>1864</v>
      </c>
      <c r="D1917" t="s">
        <v>1864</v>
      </c>
      <c r="E1917" t="s">
        <v>3776</v>
      </c>
      <c r="F1917" t="s">
        <v>1508</v>
      </c>
      <c r="G1917" t="str">
        <f t="shared" si="150"/>
        <v>K</v>
      </c>
      <c r="H1917" t="str">
        <f t="shared" si="150"/>
        <v>66</v>
      </c>
      <c r="I1917" t="str">
        <f t="shared" si="150"/>
        <v>663</v>
      </c>
      <c r="J1917" t="str">
        <f t="shared" si="150"/>
        <v>66304</v>
      </c>
      <c r="K1917" t="str">
        <f t="shared" si="146"/>
        <v>6630400</v>
      </c>
      <c r="L1917">
        <v>0</v>
      </c>
    </row>
    <row r="1918" spans="1:12" x14ac:dyDescent="0.25">
      <c r="A1918" t="s">
        <v>3777</v>
      </c>
      <c r="C1918" t="s">
        <v>1864</v>
      </c>
      <c r="D1918" t="s">
        <v>1864</v>
      </c>
      <c r="E1918" t="s">
        <v>1864</v>
      </c>
      <c r="F1918" t="s">
        <v>1509</v>
      </c>
      <c r="G1918" t="str">
        <f t="shared" si="150"/>
        <v>L</v>
      </c>
      <c r="H1918" t="str">
        <f t="shared" si="150"/>
        <v>66</v>
      </c>
      <c r="I1918" t="str">
        <f t="shared" si="150"/>
        <v>663</v>
      </c>
      <c r="J1918" t="str">
        <f t="shared" si="150"/>
        <v>66304</v>
      </c>
      <c r="K1918" t="str">
        <f t="shared" si="146"/>
        <v/>
      </c>
    </row>
    <row r="1919" spans="1:12" x14ac:dyDescent="0.25">
      <c r="B1919" t="s">
        <v>3778</v>
      </c>
      <c r="C1919" t="s">
        <v>1864</v>
      </c>
      <c r="D1919" t="s">
        <v>1864</v>
      </c>
      <c r="E1919" t="s">
        <v>1864</v>
      </c>
      <c r="F1919" t="s">
        <v>1509</v>
      </c>
      <c r="G1919" t="str">
        <f t="shared" si="150"/>
        <v>L</v>
      </c>
      <c r="H1919" t="str">
        <f t="shared" si="150"/>
        <v>68</v>
      </c>
      <c r="I1919" t="str">
        <f t="shared" si="150"/>
        <v>663</v>
      </c>
      <c r="J1919" t="str">
        <f t="shared" si="150"/>
        <v>66304</v>
      </c>
      <c r="K1919" t="str">
        <f t="shared" si="146"/>
        <v/>
      </c>
    </row>
    <row r="1920" spans="1:12" x14ac:dyDescent="0.25">
      <c r="C1920" t="s">
        <v>3779</v>
      </c>
      <c r="D1920" t="s">
        <v>1864</v>
      </c>
      <c r="E1920" t="s">
        <v>1864</v>
      </c>
      <c r="F1920" t="s">
        <v>1510</v>
      </c>
      <c r="G1920" t="str">
        <f t="shared" si="150"/>
        <v>L</v>
      </c>
      <c r="H1920" t="str">
        <f t="shared" si="150"/>
        <v>68</v>
      </c>
      <c r="I1920" t="str">
        <f t="shared" si="150"/>
        <v>681</v>
      </c>
      <c r="J1920" t="str">
        <f t="shared" si="150"/>
        <v>66304</v>
      </c>
      <c r="K1920" t="str">
        <f t="shared" si="146"/>
        <v/>
      </c>
    </row>
    <row r="1921" spans="1:12" x14ac:dyDescent="0.25">
      <c r="C1921" t="s">
        <v>1864</v>
      </c>
      <c r="D1921" t="s">
        <v>3780</v>
      </c>
      <c r="E1921" t="s">
        <v>1864</v>
      </c>
      <c r="F1921" t="s">
        <v>1510</v>
      </c>
      <c r="G1921" t="str">
        <f t="shared" si="150"/>
        <v>L</v>
      </c>
      <c r="H1921" t="str">
        <f t="shared" si="150"/>
        <v>68</v>
      </c>
      <c r="I1921" t="str">
        <f t="shared" si="150"/>
        <v>681</v>
      </c>
      <c r="J1921" t="str">
        <f t="shared" si="150"/>
        <v>68102</v>
      </c>
      <c r="K1921" t="str">
        <f t="shared" si="146"/>
        <v/>
      </c>
    </row>
    <row r="1922" spans="1:12" x14ac:dyDescent="0.25">
      <c r="C1922" t="s">
        <v>1864</v>
      </c>
      <c r="D1922" t="s">
        <v>1864</v>
      </c>
      <c r="E1922" t="s">
        <v>3781</v>
      </c>
      <c r="F1922" t="s">
        <v>1511</v>
      </c>
      <c r="G1922" t="str">
        <f t="shared" si="150"/>
        <v>L</v>
      </c>
      <c r="H1922" t="str">
        <f t="shared" si="150"/>
        <v>68</v>
      </c>
      <c r="I1922" t="str">
        <f t="shared" si="150"/>
        <v>681</v>
      </c>
      <c r="J1922" t="str">
        <f t="shared" si="150"/>
        <v>68102</v>
      </c>
      <c r="K1922" t="str">
        <f t="shared" si="146"/>
        <v>6810201</v>
      </c>
      <c r="L1922">
        <v>0</v>
      </c>
    </row>
    <row r="1923" spans="1:12" x14ac:dyDescent="0.25">
      <c r="C1923" t="s">
        <v>1864</v>
      </c>
      <c r="D1923" t="s">
        <v>1864</v>
      </c>
      <c r="E1923" t="s">
        <v>3782</v>
      </c>
      <c r="F1923" t="s">
        <v>1512</v>
      </c>
      <c r="G1923" t="str">
        <f t="shared" si="150"/>
        <v>L</v>
      </c>
      <c r="H1923" t="str">
        <f t="shared" si="150"/>
        <v>68</v>
      </c>
      <c r="I1923" t="str">
        <f t="shared" si="150"/>
        <v>681</v>
      </c>
      <c r="J1923" t="str">
        <f t="shared" si="150"/>
        <v>68102</v>
      </c>
      <c r="K1923" t="str">
        <f t="shared" si="146"/>
        <v>6810202</v>
      </c>
      <c r="L1923">
        <v>0</v>
      </c>
    </row>
    <row r="1924" spans="1:12" x14ac:dyDescent="0.25">
      <c r="C1924" t="s">
        <v>1864</v>
      </c>
      <c r="D1924" t="s">
        <v>1864</v>
      </c>
      <c r="E1924" t="s">
        <v>3783</v>
      </c>
      <c r="F1924" t="s">
        <v>1513</v>
      </c>
      <c r="G1924" t="str">
        <f t="shared" si="150"/>
        <v>L</v>
      </c>
      <c r="H1924" t="str">
        <f t="shared" si="150"/>
        <v>68</v>
      </c>
      <c r="I1924" t="str">
        <f t="shared" si="150"/>
        <v>681</v>
      </c>
      <c r="J1924" t="str">
        <f t="shared" si="150"/>
        <v>68102</v>
      </c>
      <c r="K1924" t="str">
        <f t="shared" si="146"/>
        <v>6810203</v>
      </c>
      <c r="L1924">
        <v>0</v>
      </c>
    </row>
    <row r="1925" spans="1:12" x14ac:dyDescent="0.25">
      <c r="C1925" t="s">
        <v>3784</v>
      </c>
      <c r="D1925" t="s">
        <v>1864</v>
      </c>
      <c r="E1925" t="s">
        <v>1864</v>
      </c>
      <c r="F1925" t="s">
        <v>1514</v>
      </c>
      <c r="G1925" t="str">
        <f t="shared" si="150"/>
        <v>L</v>
      </c>
      <c r="H1925" t="str">
        <f t="shared" si="150"/>
        <v>68</v>
      </c>
      <c r="I1925" t="str">
        <f t="shared" si="150"/>
        <v>682</v>
      </c>
      <c r="J1925" t="str">
        <f t="shared" si="150"/>
        <v>68102</v>
      </c>
      <c r="K1925" t="str">
        <f t="shared" si="146"/>
        <v/>
      </c>
    </row>
    <row r="1926" spans="1:12" x14ac:dyDescent="0.25">
      <c r="C1926" t="s">
        <v>1864</v>
      </c>
      <c r="D1926" t="s">
        <v>3785</v>
      </c>
      <c r="E1926" t="s">
        <v>1864</v>
      </c>
      <c r="F1926" t="s">
        <v>1515</v>
      </c>
      <c r="G1926" t="str">
        <f t="shared" si="150"/>
        <v>L</v>
      </c>
      <c r="H1926" t="str">
        <f t="shared" si="150"/>
        <v>68</v>
      </c>
      <c r="I1926" t="str">
        <f t="shared" si="150"/>
        <v>682</v>
      </c>
      <c r="J1926" t="str">
        <f t="shared" si="150"/>
        <v>68218</v>
      </c>
      <c r="K1926" t="str">
        <f t="shared" si="146"/>
        <v/>
      </c>
    </row>
    <row r="1927" spans="1:12" x14ac:dyDescent="0.25">
      <c r="C1927" t="s">
        <v>1864</v>
      </c>
      <c r="D1927" t="s">
        <v>1864</v>
      </c>
      <c r="E1927" t="s">
        <v>3786</v>
      </c>
      <c r="F1927" t="s">
        <v>1516</v>
      </c>
      <c r="G1927" t="str">
        <f t="shared" si="150"/>
        <v>L</v>
      </c>
      <c r="H1927" t="str">
        <f t="shared" si="150"/>
        <v>68</v>
      </c>
      <c r="I1927" t="str">
        <f t="shared" si="150"/>
        <v>682</v>
      </c>
      <c r="J1927" t="str">
        <f t="shared" si="150"/>
        <v>68218</v>
      </c>
      <c r="K1927" t="str">
        <f t="shared" si="146"/>
        <v>6821801</v>
      </c>
      <c r="L1927">
        <v>0</v>
      </c>
    </row>
    <row r="1928" spans="1:12" x14ac:dyDescent="0.25">
      <c r="C1928" t="s">
        <v>1864</v>
      </c>
      <c r="D1928" t="s">
        <v>1864</v>
      </c>
      <c r="E1928" t="s">
        <v>3787</v>
      </c>
      <c r="F1928" t="s">
        <v>1517</v>
      </c>
      <c r="G1928" t="str">
        <f t="shared" si="150"/>
        <v>L</v>
      </c>
      <c r="H1928" t="str">
        <f t="shared" si="150"/>
        <v>68</v>
      </c>
      <c r="I1928" t="str">
        <f t="shared" si="150"/>
        <v>682</v>
      </c>
      <c r="J1928" t="str">
        <f t="shared" si="150"/>
        <v>68218</v>
      </c>
      <c r="K1928" t="str">
        <f t="shared" ref="K1928:K1991" si="151">E1928</f>
        <v>6821802</v>
      </c>
      <c r="L1928">
        <v>0</v>
      </c>
    </row>
    <row r="1929" spans="1:12" x14ac:dyDescent="0.25">
      <c r="C1929" t="s">
        <v>1864</v>
      </c>
      <c r="D1929" t="s">
        <v>3788</v>
      </c>
      <c r="E1929" t="s">
        <v>1864</v>
      </c>
      <c r="F1929" t="s">
        <v>1518</v>
      </c>
      <c r="G1929" t="str">
        <f t="shared" ref="G1929:J1944" si="152">IF(A1929="",G1928,A1929)</f>
        <v>L</v>
      </c>
      <c r="H1929" t="str">
        <f t="shared" si="152"/>
        <v>68</v>
      </c>
      <c r="I1929" t="str">
        <f t="shared" si="152"/>
        <v>682</v>
      </c>
      <c r="J1929" t="str">
        <f t="shared" si="152"/>
        <v>68226</v>
      </c>
      <c r="K1929" t="str">
        <f t="shared" si="151"/>
        <v/>
      </c>
    </row>
    <row r="1930" spans="1:12" x14ac:dyDescent="0.25">
      <c r="C1930" t="s">
        <v>1864</v>
      </c>
      <c r="D1930" t="s">
        <v>1864</v>
      </c>
      <c r="E1930" t="s">
        <v>3789</v>
      </c>
      <c r="F1930" t="s">
        <v>1518</v>
      </c>
      <c r="G1930" t="str">
        <f t="shared" si="152"/>
        <v>L</v>
      </c>
      <c r="H1930" t="str">
        <f t="shared" si="152"/>
        <v>68</v>
      </c>
      <c r="I1930" t="str">
        <f t="shared" si="152"/>
        <v>682</v>
      </c>
      <c r="J1930" t="str">
        <f t="shared" si="152"/>
        <v>68226</v>
      </c>
      <c r="K1930" t="str">
        <f t="shared" si="151"/>
        <v>6822600</v>
      </c>
      <c r="L1930">
        <v>0</v>
      </c>
    </row>
    <row r="1931" spans="1:12" x14ac:dyDescent="0.25">
      <c r="A1931" t="s">
        <v>3790</v>
      </c>
      <c r="C1931" t="s">
        <v>1864</v>
      </c>
      <c r="D1931" t="s">
        <v>1864</v>
      </c>
      <c r="E1931" t="s">
        <v>1864</v>
      </c>
      <c r="F1931" t="s">
        <v>1519</v>
      </c>
      <c r="G1931" t="str">
        <f t="shared" si="152"/>
        <v>M</v>
      </c>
      <c r="H1931" t="str">
        <f t="shared" si="152"/>
        <v>68</v>
      </c>
      <c r="I1931" t="str">
        <f t="shared" si="152"/>
        <v>682</v>
      </c>
      <c r="J1931" t="str">
        <f t="shared" si="152"/>
        <v>68226</v>
      </c>
      <c r="K1931" t="str">
        <f t="shared" si="151"/>
        <v/>
      </c>
    </row>
    <row r="1932" spans="1:12" x14ac:dyDescent="0.25">
      <c r="B1932" t="s">
        <v>3791</v>
      </c>
      <c r="C1932" t="s">
        <v>1864</v>
      </c>
      <c r="D1932" t="s">
        <v>1864</v>
      </c>
      <c r="E1932" t="s">
        <v>1864</v>
      </c>
      <c r="F1932" t="s">
        <v>1520</v>
      </c>
      <c r="G1932" t="str">
        <f t="shared" si="152"/>
        <v>M</v>
      </c>
      <c r="H1932" t="str">
        <f t="shared" si="152"/>
        <v>69</v>
      </c>
      <c r="I1932" t="str">
        <f t="shared" si="152"/>
        <v>682</v>
      </c>
      <c r="J1932" t="str">
        <f t="shared" si="152"/>
        <v>68226</v>
      </c>
      <c r="K1932" t="str">
        <f t="shared" si="151"/>
        <v/>
      </c>
    </row>
    <row r="1933" spans="1:12" x14ac:dyDescent="0.25">
      <c r="C1933" t="s">
        <v>3792</v>
      </c>
      <c r="D1933" t="s">
        <v>1864</v>
      </c>
      <c r="E1933" t="s">
        <v>1864</v>
      </c>
      <c r="F1933" t="s">
        <v>1521</v>
      </c>
      <c r="G1933" t="str">
        <f t="shared" si="152"/>
        <v>M</v>
      </c>
      <c r="H1933" t="str">
        <f t="shared" si="152"/>
        <v>69</v>
      </c>
      <c r="I1933" t="str">
        <f t="shared" si="152"/>
        <v>691</v>
      </c>
      <c r="J1933" t="str">
        <f t="shared" si="152"/>
        <v>68226</v>
      </c>
      <c r="K1933" t="str">
        <f t="shared" si="151"/>
        <v/>
      </c>
    </row>
    <row r="1934" spans="1:12" x14ac:dyDescent="0.25">
      <c r="C1934" t="s">
        <v>1864</v>
      </c>
      <c r="D1934" t="s">
        <v>3793</v>
      </c>
      <c r="E1934" t="s">
        <v>1864</v>
      </c>
      <c r="F1934" t="s">
        <v>1522</v>
      </c>
      <c r="G1934" t="str">
        <f t="shared" si="152"/>
        <v>M</v>
      </c>
      <c r="H1934" t="str">
        <f t="shared" si="152"/>
        <v>69</v>
      </c>
      <c r="I1934" t="str">
        <f t="shared" si="152"/>
        <v>691</v>
      </c>
      <c r="J1934" t="str">
        <f t="shared" si="152"/>
        <v>69117</v>
      </c>
      <c r="K1934" t="str">
        <f t="shared" si="151"/>
        <v/>
      </c>
    </row>
    <row r="1935" spans="1:12" x14ac:dyDescent="0.25">
      <c r="C1935" t="s">
        <v>1864</v>
      </c>
      <c r="D1935" t="s">
        <v>1864</v>
      </c>
      <c r="E1935" t="s">
        <v>3794</v>
      </c>
      <c r="F1935" t="s">
        <v>1523</v>
      </c>
      <c r="G1935" t="str">
        <f t="shared" si="152"/>
        <v>M</v>
      </c>
      <c r="H1935" t="str">
        <f t="shared" si="152"/>
        <v>69</v>
      </c>
      <c r="I1935" t="str">
        <f t="shared" si="152"/>
        <v>691</v>
      </c>
      <c r="J1935" t="str">
        <f t="shared" si="152"/>
        <v>69117</v>
      </c>
      <c r="K1935" t="str">
        <f t="shared" si="151"/>
        <v>6911701</v>
      </c>
      <c r="L1935">
        <v>1</v>
      </c>
    </row>
    <row r="1936" spans="1:12" x14ac:dyDescent="0.25">
      <c r="C1936" t="s">
        <v>1864</v>
      </c>
      <c r="D1936" t="s">
        <v>1864</v>
      </c>
      <c r="E1936" t="s">
        <v>3795</v>
      </c>
      <c r="F1936" t="s">
        <v>1524</v>
      </c>
      <c r="G1936" t="str">
        <f t="shared" si="152"/>
        <v>M</v>
      </c>
      <c r="H1936" t="str">
        <f t="shared" si="152"/>
        <v>69</v>
      </c>
      <c r="I1936" t="str">
        <f t="shared" si="152"/>
        <v>691</v>
      </c>
      <c r="J1936" t="str">
        <f t="shared" si="152"/>
        <v>69117</v>
      </c>
      <c r="K1936" t="str">
        <f t="shared" si="151"/>
        <v>6911702</v>
      </c>
      <c r="L1936">
        <v>1</v>
      </c>
    </row>
    <row r="1937" spans="2:12" x14ac:dyDescent="0.25">
      <c r="C1937" t="s">
        <v>1864</v>
      </c>
      <c r="D1937" t="s">
        <v>1864</v>
      </c>
      <c r="E1937" t="s">
        <v>3796</v>
      </c>
      <c r="F1937" t="s">
        <v>1525</v>
      </c>
      <c r="G1937" t="str">
        <f t="shared" si="152"/>
        <v>M</v>
      </c>
      <c r="H1937" t="str">
        <f t="shared" si="152"/>
        <v>69</v>
      </c>
      <c r="I1937" t="str">
        <f t="shared" si="152"/>
        <v>691</v>
      </c>
      <c r="J1937" t="str">
        <f t="shared" si="152"/>
        <v>69117</v>
      </c>
      <c r="K1937" t="str">
        <f t="shared" si="151"/>
        <v>6911703</v>
      </c>
      <c r="L1937">
        <v>1</v>
      </c>
    </row>
    <row r="1938" spans="2:12" x14ac:dyDescent="0.25">
      <c r="C1938" t="s">
        <v>1864</v>
      </c>
      <c r="D1938" t="s">
        <v>3797</v>
      </c>
      <c r="E1938" t="s">
        <v>1864</v>
      </c>
      <c r="F1938" t="s">
        <v>1526</v>
      </c>
      <c r="G1938" t="str">
        <f t="shared" si="152"/>
        <v>M</v>
      </c>
      <c r="H1938" t="str">
        <f t="shared" si="152"/>
        <v>69</v>
      </c>
      <c r="I1938" t="str">
        <f t="shared" si="152"/>
        <v>691</v>
      </c>
      <c r="J1938" t="str">
        <f t="shared" si="152"/>
        <v>69125</v>
      </c>
      <c r="K1938" t="str">
        <f t="shared" si="151"/>
        <v/>
      </c>
    </row>
    <row r="1939" spans="2:12" x14ac:dyDescent="0.25">
      <c r="C1939" t="s">
        <v>1864</v>
      </c>
      <c r="D1939" t="s">
        <v>1864</v>
      </c>
      <c r="E1939" t="s">
        <v>3798</v>
      </c>
      <c r="F1939" s="1" t="s">
        <v>1526</v>
      </c>
      <c r="G1939" t="str">
        <f t="shared" si="152"/>
        <v>M</v>
      </c>
      <c r="H1939" t="str">
        <f t="shared" si="152"/>
        <v>69</v>
      </c>
      <c r="I1939" t="str">
        <f t="shared" si="152"/>
        <v>691</v>
      </c>
      <c r="J1939" t="str">
        <f t="shared" si="152"/>
        <v>69125</v>
      </c>
      <c r="K1939" t="str">
        <f t="shared" si="151"/>
        <v>6912500</v>
      </c>
      <c r="L1939">
        <v>0</v>
      </c>
    </row>
    <row r="1940" spans="2:12" x14ac:dyDescent="0.25">
      <c r="C1940" t="s">
        <v>3799</v>
      </c>
      <c r="D1940" t="s">
        <v>1864</v>
      </c>
      <c r="E1940" t="s">
        <v>1864</v>
      </c>
      <c r="F1940" t="s">
        <v>1527</v>
      </c>
      <c r="G1940" t="str">
        <f t="shared" si="152"/>
        <v>M</v>
      </c>
      <c r="H1940" t="str">
        <f t="shared" si="152"/>
        <v>69</v>
      </c>
      <c r="I1940" t="str">
        <f t="shared" si="152"/>
        <v>692</v>
      </c>
      <c r="J1940" t="str">
        <f t="shared" si="152"/>
        <v>69125</v>
      </c>
      <c r="K1940" t="str">
        <f t="shared" si="151"/>
        <v/>
      </c>
    </row>
    <row r="1941" spans="2:12" x14ac:dyDescent="0.25">
      <c r="C1941" t="s">
        <v>1864</v>
      </c>
      <c r="D1941" t="s">
        <v>3800</v>
      </c>
      <c r="E1941" t="s">
        <v>1864</v>
      </c>
      <c r="F1941" t="s">
        <v>1527</v>
      </c>
      <c r="G1941" t="str">
        <f t="shared" si="152"/>
        <v>M</v>
      </c>
      <c r="H1941" t="str">
        <f t="shared" si="152"/>
        <v>69</v>
      </c>
      <c r="I1941" t="str">
        <f t="shared" si="152"/>
        <v>692</v>
      </c>
      <c r="J1941" t="str">
        <f t="shared" si="152"/>
        <v>69206</v>
      </c>
      <c r="K1941" t="str">
        <f t="shared" si="151"/>
        <v/>
      </c>
    </row>
    <row r="1942" spans="2:12" x14ac:dyDescent="0.25">
      <c r="C1942" t="s">
        <v>1864</v>
      </c>
      <c r="D1942" t="s">
        <v>1864</v>
      </c>
      <c r="E1942" t="s">
        <v>3801</v>
      </c>
      <c r="F1942" t="s">
        <v>1528</v>
      </c>
      <c r="G1942" t="str">
        <f t="shared" si="152"/>
        <v>M</v>
      </c>
      <c r="H1942" t="str">
        <f t="shared" si="152"/>
        <v>69</v>
      </c>
      <c r="I1942" t="str">
        <f t="shared" si="152"/>
        <v>692</v>
      </c>
      <c r="J1942" t="str">
        <f t="shared" si="152"/>
        <v>69206</v>
      </c>
      <c r="K1942" t="str">
        <f t="shared" si="151"/>
        <v>6920601</v>
      </c>
      <c r="L1942">
        <v>1</v>
      </c>
    </row>
    <row r="1943" spans="2:12" x14ac:dyDescent="0.25">
      <c r="C1943" t="s">
        <v>1864</v>
      </c>
      <c r="D1943" t="s">
        <v>1864</v>
      </c>
      <c r="E1943" t="s">
        <v>3802</v>
      </c>
      <c r="F1943" t="s">
        <v>1529</v>
      </c>
      <c r="G1943" t="str">
        <f t="shared" si="152"/>
        <v>M</v>
      </c>
      <c r="H1943" t="str">
        <f t="shared" si="152"/>
        <v>69</v>
      </c>
      <c r="I1943" t="str">
        <f t="shared" si="152"/>
        <v>692</v>
      </c>
      <c r="J1943" t="str">
        <f t="shared" si="152"/>
        <v>69206</v>
      </c>
      <c r="K1943" t="str">
        <f t="shared" si="151"/>
        <v>6920602</v>
      </c>
      <c r="L1943">
        <v>1</v>
      </c>
    </row>
    <row r="1944" spans="2:12" x14ac:dyDescent="0.25">
      <c r="B1944" t="s">
        <v>3803</v>
      </c>
      <c r="C1944" t="s">
        <v>1864</v>
      </c>
      <c r="D1944" t="s">
        <v>1864</v>
      </c>
      <c r="E1944" t="s">
        <v>1864</v>
      </c>
      <c r="F1944" t="s">
        <v>1530</v>
      </c>
      <c r="G1944" t="str">
        <f t="shared" si="152"/>
        <v>M</v>
      </c>
      <c r="H1944" t="str">
        <f t="shared" si="152"/>
        <v>70</v>
      </c>
      <c r="I1944" t="str">
        <f t="shared" si="152"/>
        <v>692</v>
      </c>
      <c r="J1944" t="str">
        <f t="shared" si="152"/>
        <v>69206</v>
      </c>
      <c r="K1944" t="str">
        <f t="shared" si="151"/>
        <v/>
      </c>
    </row>
    <row r="1945" spans="2:12" x14ac:dyDescent="0.25">
      <c r="C1945" t="s">
        <v>3804</v>
      </c>
      <c r="D1945" t="s">
        <v>1864</v>
      </c>
      <c r="E1945" t="s">
        <v>1864</v>
      </c>
      <c r="F1945" s="1" t="s">
        <v>1531</v>
      </c>
      <c r="G1945" t="str">
        <f t="shared" ref="G1945:J1960" si="153">IF(A1945="",G1944,A1945)</f>
        <v>M</v>
      </c>
      <c r="H1945" t="str">
        <f t="shared" si="153"/>
        <v>70</v>
      </c>
      <c r="I1945" t="str">
        <f t="shared" si="153"/>
        <v>701</v>
      </c>
      <c r="J1945" t="str">
        <f t="shared" si="153"/>
        <v>69206</v>
      </c>
      <c r="K1945" t="str">
        <f t="shared" si="151"/>
        <v/>
      </c>
    </row>
    <row r="1946" spans="2:12" x14ac:dyDescent="0.25">
      <c r="C1946" t="s">
        <v>1864</v>
      </c>
      <c r="D1946" t="s">
        <v>3805</v>
      </c>
      <c r="E1946" t="s">
        <v>1864</v>
      </c>
      <c r="F1946" s="1" t="s">
        <v>1531</v>
      </c>
      <c r="G1946" t="str">
        <f t="shared" si="153"/>
        <v>M</v>
      </c>
      <c r="H1946" t="str">
        <f t="shared" si="153"/>
        <v>70</v>
      </c>
      <c r="I1946" t="str">
        <f t="shared" si="153"/>
        <v>701</v>
      </c>
      <c r="J1946" t="str">
        <f t="shared" si="153"/>
        <v>70107</v>
      </c>
      <c r="K1946" t="str">
        <f t="shared" si="151"/>
        <v/>
      </c>
    </row>
    <row r="1947" spans="2:12" x14ac:dyDescent="0.25">
      <c r="C1947" t="s">
        <v>3806</v>
      </c>
      <c r="D1947" t="s">
        <v>1864</v>
      </c>
      <c r="E1947" t="s">
        <v>1864</v>
      </c>
      <c r="F1947" s="1" t="s">
        <v>1532</v>
      </c>
      <c r="G1947" t="str">
        <f t="shared" si="153"/>
        <v>M</v>
      </c>
      <c r="H1947" t="str">
        <f t="shared" si="153"/>
        <v>70</v>
      </c>
      <c r="I1947" t="str">
        <f t="shared" si="153"/>
        <v>702</v>
      </c>
      <c r="J1947" t="str">
        <f t="shared" si="153"/>
        <v>70107</v>
      </c>
      <c r="K1947" t="str">
        <f t="shared" si="151"/>
        <v/>
      </c>
    </row>
    <row r="1948" spans="2:12" x14ac:dyDescent="0.25">
      <c r="C1948" t="s">
        <v>1864</v>
      </c>
      <c r="D1948" t="s">
        <v>3807</v>
      </c>
      <c r="E1948" t="s">
        <v>1864</v>
      </c>
      <c r="F1948" s="1" t="s">
        <v>1532</v>
      </c>
      <c r="G1948" t="str">
        <f t="shared" si="153"/>
        <v>M</v>
      </c>
      <c r="H1948" t="str">
        <f t="shared" si="153"/>
        <v>70</v>
      </c>
      <c r="I1948" t="str">
        <f t="shared" si="153"/>
        <v>702</v>
      </c>
      <c r="J1948" t="str">
        <f t="shared" si="153"/>
        <v>70204</v>
      </c>
      <c r="K1948" t="str">
        <f t="shared" si="151"/>
        <v/>
      </c>
    </row>
    <row r="1949" spans="2:12" x14ac:dyDescent="0.25">
      <c r="C1949" t="s">
        <v>1864</v>
      </c>
      <c r="D1949" t="s">
        <v>1864</v>
      </c>
      <c r="E1949" t="s">
        <v>3808</v>
      </c>
      <c r="F1949" t="s">
        <v>1533</v>
      </c>
      <c r="G1949" t="str">
        <f t="shared" si="153"/>
        <v>M</v>
      </c>
      <c r="H1949" t="str">
        <f t="shared" si="153"/>
        <v>70</v>
      </c>
      <c r="I1949" t="str">
        <f t="shared" si="153"/>
        <v>702</v>
      </c>
      <c r="J1949" t="str">
        <f t="shared" si="153"/>
        <v>70204</v>
      </c>
      <c r="K1949" t="str">
        <f t="shared" si="151"/>
        <v>7020400</v>
      </c>
      <c r="L1949">
        <v>1</v>
      </c>
    </row>
    <row r="1950" spans="2:12" x14ac:dyDescent="0.25">
      <c r="B1950" t="s">
        <v>3809</v>
      </c>
      <c r="C1950" t="s">
        <v>1864</v>
      </c>
      <c r="D1950" t="s">
        <v>1864</v>
      </c>
      <c r="E1950" t="s">
        <v>1864</v>
      </c>
      <c r="F1950" t="s">
        <v>1534</v>
      </c>
      <c r="G1950" t="str">
        <f t="shared" si="153"/>
        <v>M</v>
      </c>
      <c r="H1950" t="str">
        <f t="shared" si="153"/>
        <v>71</v>
      </c>
      <c r="I1950" t="str">
        <f t="shared" si="153"/>
        <v>702</v>
      </c>
      <c r="J1950" t="str">
        <f t="shared" si="153"/>
        <v>70204</v>
      </c>
      <c r="K1950" t="str">
        <f t="shared" si="151"/>
        <v/>
      </c>
    </row>
    <row r="1951" spans="2:12" x14ac:dyDescent="0.25">
      <c r="C1951" t="s">
        <v>3810</v>
      </c>
      <c r="D1951" t="s">
        <v>1864</v>
      </c>
      <c r="E1951" t="s">
        <v>1864</v>
      </c>
      <c r="F1951" t="s">
        <v>1535</v>
      </c>
      <c r="G1951" t="str">
        <f t="shared" si="153"/>
        <v>M</v>
      </c>
      <c r="H1951" t="str">
        <f t="shared" si="153"/>
        <v>71</v>
      </c>
      <c r="I1951" t="str">
        <f t="shared" si="153"/>
        <v>711</v>
      </c>
      <c r="J1951" t="str">
        <f t="shared" si="153"/>
        <v>70204</v>
      </c>
      <c r="K1951" t="str">
        <f t="shared" si="151"/>
        <v/>
      </c>
    </row>
    <row r="1952" spans="2:12" x14ac:dyDescent="0.25">
      <c r="C1952" t="s">
        <v>1864</v>
      </c>
      <c r="D1952" t="s">
        <v>3811</v>
      </c>
      <c r="E1952" t="s">
        <v>1864</v>
      </c>
      <c r="F1952" t="s">
        <v>1536</v>
      </c>
      <c r="G1952" t="str">
        <f t="shared" si="153"/>
        <v>M</v>
      </c>
      <c r="H1952" t="str">
        <f t="shared" si="153"/>
        <v>71</v>
      </c>
      <c r="I1952" t="str">
        <f t="shared" si="153"/>
        <v>711</v>
      </c>
      <c r="J1952" t="str">
        <f t="shared" si="153"/>
        <v>71111</v>
      </c>
      <c r="K1952" t="str">
        <f t="shared" si="151"/>
        <v/>
      </c>
    </row>
    <row r="1953" spans="2:12" x14ac:dyDescent="0.25">
      <c r="C1953" t="s">
        <v>1864</v>
      </c>
      <c r="D1953" t="s">
        <v>1864</v>
      </c>
      <c r="E1953" t="s">
        <v>3812</v>
      </c>
      <c r="F1953" t="s">
        <v>1536</v>
      </c>
      <c r="G1953" t="str">
        <f t="shared" si="153"/>
        <v>M</v>
      </c>
      <c r="H1953" t="str">
        <f t="shared" si="153"/>
        <v>71</v>
      </c>
      <c r="I1953" t="str">
        <f t="shared" si="153"/>
        <v>711</v>
      </c>
      <c r="J1953" t="str">
        <f t="shared" si="153"/>
        <v>71111</v>
      </c>
      <c r="K1953" t="str">
        <f t="shared" si="151"/>
        <v>7111100</v>
      </c>
      <c r="L1953">
        <v>1</v>
      </c>
    </row>
    <row r="1954" spans="2:12" x14ac:dyDescent="0.25">
      <c r="C1954" t="s">
        <v>1864</v>
      </c>
      <c r="D1954" t="s">
        <v>3813</v>
      </c>
      <c r="E1954" t="s">
        <v>1864</v>
      </c>
      <c r="F1954" t="s">
        <v>1537</v>
      </c>
      <c r="G1954" t="str">
        <f t="shared" si="153"/>
        <v>M</v>
      </c>
      <c r="H1954" t="str">
        <f t="shared" si="153"/>
        <v>71</v>
      </c>
      <c r="I1954" t="str">
        <f t="shared" si="153"/>
        <v>711</v>
      </c>
      <c r="J1954" t="str">
        <f t="shared" si="153"/>
        <v>71120</v>
      </c>
      <c r="K1954" t="str">
        <f t="shared" si="151"/>
        <v/>
      </c>
    </row>
    <row r="1955" spans="2:12" x14ac:dyDescent="0.25">
      <c r="C1955" t="s">
        <v>1864</v>
      </c>
      <c r="D1955" t="s">
        <v>1864</v>
      </c>
      <c r="E1955" t="s">
        <v>3814</v>
      </c>
      <c r="F1955" t="s">
        <v>1537</v>
      </c>
      <c r="G1955" t="str">
        <f t="shared" si="153"/>
        <v>M</v>
      </c>
      <c r="H1955" t="str">
        <f t="shared" si="153"/>
        <v>71</v>
      </c>
      <c r="I1955" t="str">
        <f t="shared" si="153"/>
        <v>711</v>
      </c>
      <c r="J1955" t="str">
        <f t="shared" si="153"/>
        <v>71120</v>
      </c>
      <c r="K1955" t="str">
        <f t="shared" si="151"/>
        <v>7112000</v>
      </c>
      <c r="L1955">
        <v>1</v>
      </c>
    </row>
    <row r="1956" spans="2:12" x14ac:dyDescent="0.25">
      <c r="C1956" t="s">
        <v>1864</v>
      </c>
      <c r="D1956" t="s">
        <v>3815</v>
      </c>
      <c r="E1956" t="s">
        <v>1864</v>
      </c>
      <c r="F1956" t="s">
        <v>1538</v>
      </c>
      <c r="G1956" t="str">
        <f t="shared" si="153"/>
        <v>M</v>
      </c>
      <c r="H1956" t="str">
        <f t="shared" si="153"/>
        <v>71</v>
      </c>
      <c r="I1956" t="str">
        <f t="shared" si="153"/>
        <v>711</v>
      </c>
      <c r="J1956" t="str">
        <f t="shared" si="153"/>
        <v>71197</v>
      </c>
      <c r="K1956" t="str">
        <f t="shared" si="151"/>
        <v/>
      </c>
    </row>
    <row r="1957" spans="2:12" x14ac:dyDescent="0.25">
      <c r="C1957" t="s">
        <v>1864</v>
      </c>
      <c r="D1957" t="s">
        <v>1864</v>
      </c>
      <c r="E1957" t="s">
        <v>3816</v>
      </c>
      <c r="F1957" t="s">
        <v>1539</v>
      </c>
      <c r="G1957" t="str">
        <f t="shared" si="153"/>
        <v>M</v>
      </c>
      <c r="H1957" t="str">
        <f t="shared" si="153"/>
        <v>71</v>
      </c>
      <c r="I1957" t="str">
        <f t="shared" si="153"/>
        <v>711</v>
      </c>
      <c r="J1957" t="str">
        <f t="shared" si="153"/>
        <v>71197</v>
      </c>
      <c r="K1957" t="str">
        <f t="shared" si="151"/>
        <v>7119701</v>
      </c>
      <c r="L1957">
        <v>1</v>
      </c>
    </row>
    <row r="1958" spans="2:12" x14ac:dyDescent="0.25">
      <c r="C1958" t="s">
        <v>1864</v>
      </c>
      <c r="D1958" t="s">
        <v>1864</v>
      </c>
      <c r="E1958" t="s">
        <v>3817</v>
      </c>
      <c r="F1958" t="s">
        <v>1540</v>
      </c>
      <c r="G1958" t="str">
        <f t="shared" si="153"/>
        <v>M</v>
      </c>
      <c r="H1958" t="str">
        <f t="shared" si="153"/>
        <v>71</v>
      </c>
      <c r="I1958" t="str">
        <f t="shared" si="153"/>
        <v>711</v>
      </c>
      <c r="J1958" t="str">
        <f t="shared" si="153"/>
        <v>71197</v>
      </c>
      <c r="K1958" t="str">
        <f t="shared" si="151"/>
        <v>7119702</v>
      </c>
      <c r="L1958">
        <v>1</v>
      </c>
    </row>
    <row r="1959" spans="2:12" x14ac:dyDescent="0.25">
      <c r="C1959" t="s">
        <v>1864</v>
      </c>
      <c r="D1959" t="s">
        <v>1864</v>
      </c>
      <c r="E1959" t="s">
        <v>3818</v>
      </c>
      <c r="F1959" t="s">
        <v>1541</v>
      </c>
      <c r="G1959" t="str">
        <f t="shared" si="153"/>
        <v>M</v>
      </c>
      <c r="H1959" t="str">
        <f t="shared" si="153"/>
        <v>71</v>
      </c>
      <c r="I1959" t="str">
        <f t="shared" si="153"/>
        <v>711</v>
      </c>
      <c r="J1959" t="str">
        <f t="shared" si="153"/>
        <v>71197</v>
      </c>
      <c r="K1959" t="str">
        <f t="shared" si="151"/>
        <v>7119703</v>
      </c>
      <c r="L1959">
        <v>1</v>
      </c>
    </row>
    <row r="1960" spans="2:12" x14ac:dyDescent="0.25">
      <c r="C1960" t="s">
        <v>1864</v>
      </c>
      <c r="D1960" t="s">
        <v>1864</v>
      </c>
      <c r="E1960" t="s">
        <v>3819</v>
      </c>
      <c r="F1960" t="s">
        <v>1542</v>
      </c>
      <c r="G1960" t="str">
        <f t="shared" si="153"/>
        <v>M</v>
      </c>
      <c r="H1960" t="str">
        <f t="shared" si="153"/>
        <v>71</v>
      </c>
      <c r="I1960" t="str">
        <f t="shared" si="153"/>
        <v>711</v>
      </c>
      <c r="J1960" t="str">
        <f t="shared" si="153"/>
        <v>71197</v>
      </c>
      <c r="K1960" t="str">
        <f t="shared" si="151"/>
        <v>7119704</v>
      </c>
      <c r="L1960">
        <v>1</v>
      </c>
    </row>
    <row r="1961" spans="2:12" x14ac:dyDescent="0.25">
      <c r="C1961" t="s">
        <v>1864</v>
      </c>
      <c r="D1961" t="s">
        <v>1864</v>
      </c>
      <c r="E1961" t="s">
        <v>3820</v>
      </c>
      <c r="F1961" t="s">
        <v>1543</v>
      </c>
      <c r="G1961" t="str">
        <f t="shared" ref="G1961:J1976" si="154">IF(A1961="",G1960,A1961)</f>
        <v>M</v>
      </c>
      <c r="H1961" t="str">
        <f t="shared" si="154"/>
        <v>71</v>
      </c>
      <c r="I1961" t="str">
        <f t="shared" si="154"/>
        <v>711</v>
      </c>
      <c r="J1961" t="str">
        <f t="shared" si="154"/>
        <v>71197</v>
      </c>
      <c r="K1961" t="str">
        <f t="shared" si="151"/>
        <v>7119799</v>
      </c>
      <c r="L1961">
        <v>1</v>
      </c>
    </row>
    <row r="1962" spans="2:12" x14ac:dyDescent="0.25">
      <c r="C1962" t="s">
        <v>3821</v>
      </c>
      <c r="D1962" t="s">
        <v>1864</v>
      </c>
      <c r="E1962" t="s">
        <v>1864</v>
      </c>
      <c r="F1962" t="s">
        <v>1544</v>
      </c>
      <c r="G1962" t="str">
        <f t="shared" si="154"/>
        <v>M</v>
      </c>
      <c r="H1962" t="str">
        <f t="shared" si="154"/>
        <v>71</v>
      </c>
      <c r="I1962" t="str">
        <f t="shared" si="154"/>
        <v>712</v>
      </c>
      <c r="J1962" t="str">
        <f t="shared" si="154"/>
        <v>71197</v>
      </c>
      <c r="K1962" t="str">
        <f t="shared" si="151"/>
        <v/>
      </c>
    </row>
    <row r="1963" spans="2:12" x14ac:dyDescent="0.25">
      <c r="C1963" t="s">
        <v>1864</v>
      </c>
      <c r="D1963" t="s">
        <v>3822</v>
      </c>
      <c r="E1963" t="s">
        <v>1864</v>
      </c>
      <c r="F1963" t="s">
        <v>1544</v>
      </c>
      <c r="G1963" t="str">
        <f t="shared" si="154"/>
        <v>M</v>
      </c>
      <c r="H1963" t="str">
        <f t="shared" si="154"/>
        <v>71</v>
      </c>
      <c r="I1963" t="str">
        <f t="shared" si="154"/>
        <v>712</v>
      </c>
      <c r="J1963" t="str">
        <f t="shared" si="154"/>
        <v>71201</v>
      </c>
      <c r="K1963" t="str">
        <f t="shared" si="151"/>
        <v/>
      </c>
    </row>
    <row r="1964" spans="2:12" x14ac:dyDescent="0.25">
      <c r="C1964" t="s">
        <v>1864</v>
      </c>
      <c r="D1964" t="s">
        <v>1864</v>
      </c>
      <c r="E1964" t="s">
        <v>3823</v>
      </c>
      <c r="F1964" t="s">
        <v>1544</v>
      </c>
      <c r="G1964" t="str">
        <f t="shared" si="154"/>
        <v>M</v>
      </c>
      <c r="H1964" t="str">
        <f t="shared" si="154"/>
        <v>71</v>
      </c>
      <c r="I1964" t="str">
        <f t="shared" si="154"/>
        <v>712</v>
      </c>
      <c r="J1964" t="str">
        <f t="shared" si="154"/>
        <v>71201</v>
      </c>
      <c r="K1964" t="str">
        <f t="shared" si="151"/>
        <v>7120100</v>
      </c>
      <c r="L1964">
        <v>1</v>
      </c>
    </row>
    <row r="1965" spans="2:12" x14ac:dyDescent="0.25">
      <c r="B1965" t="s">
        <v>3824</v>
      </c>
      <c r="C1965" t="s">
        <v>1864</v>
      </c>
      <c r="D1965" t="s">
        <v>1864</v>
      </c>
      <c r="E1965" t="s">
        <v>1864</v>
      </c>
      <c r="F1965" t="s">
        <v>1545</v>
      </c>
      <c r="G1965" t="str">
        <f t="shared" si="154"/>
        <v>M</v>
      </c>
      <c r="H1965" t="str">
        <f t="shared" si="154"/>
        <v>72</v>
      </c>
      <c r="I1965" t="str">
        <f t="shared" si="154"/>
        <v>712</v>
      </c>
      <c r="J1965" t="str">
        <f t="shared" si="154"/>
        <v>71201</v>
      </c>
      <c r="K1965" t="str">
        <f t="shared" si="151"/>
        <v/>
      </c>
    </row>
    <row r="1966" spans="2:12" x14ac:dyDescent="0.25">
      <c r="C1966" t="s">
        <v>3825</v>
      </c>
      <c r="D1966" t="s">
        <v>1864</v>
      </c>
      <c r="E1966" t="s">
        <v>1864</v>
      </c>
      <c r="F1966" t="s">
        <v>1546</v>
      </c>
      <c r="G1966" t="str">
        <f t="shared" si="154"/>
        <v>M</v>
      </c>
      <c r="H1966" t="str">
        <f t="shared" si="154"/>
        <v>72</v>
      </c>
      <c r="I1966" t="str">
        <f t="shared" si="154"/>
        <v>721</v>
      </c>
      <c r="J1966" t="str">
        <f t="shared" si="154"/>
        <v>71201</v>
      </c>
      <c r="K1966" t="str">
        <f t="shared" si="151"/>
        <v/>
      </c>
    </row>
    <row r="1967" spans="2:12" x14ac:dyDescent="0.25">
      <c r="C1967" t="s">
        <v>1864</v>
      </c>
      <c r="D1967" t="s">
        <v>3826</v>
      </c>
      <c r="E1967" t="s">
        <v>1864</v>
      </c>
      <c r="F1967" t="s">
        <v>1546</v>
      </c>
      <c r="G1967" t="str">
        <f t="shared" si="154"/>
        <v>M</v>
      </c>
      <c r="H1967" t="str">
        <f t="shared" si="154"/>
        <v>72</v>
      </c>
      <c r="I1967" t="str">
        <f t="shared" si="154"/>
        <v>721</v>
      </c>
      <c r="J1967" t="str">
        <f t="shared" si="154"/>
        <v>72100</v>
      </c>
      <c r="K1967" t="str">
        <f t="shared" si="151"/>
        <v/>
      </c>
    </row>
    <row r="1968" spans="2:12" x14ac:dyDescent="0.25">
      <c r="C1968" t="s">
        <v>1864</v>
      </c>
      <c r="D1968" t="s">
        <v>1864</v>
      </c>
      <c r="E1968" t="s">
        <v>3827</v>
      </c>
      <c r="F1968" t="s">
        <v>1546</v>
      </c>
      <c r="G1968" t="str">
        <f t="shared" si="154"/>
        <v>M</v>
      </c>
      <c r="H1968" t="str">
        <f t="shared" si="154"/>
        <v>72</v>
      </c>
      <c r="I1968" t="str">
        <f t="shared" si="154"/>
        <v>721</v>
      </c>
      <c r="J1968" t="str">
        <f t="shared" si="154"/>
        <v>72100</v>
      </c>
      <c r="K1968" t="str">
        <f t="shared" si="151"/>
        <v>7210000</v>
      </c>
      <c r="L1968">
        <v>1</v>
      </c>
    </row>
    <row r="1969" spans="2:12" x14ac:dyDescent="0.25">
      <c r="C1969" t="s">
        <v>3828</v>
      </c>
      <c r="D1969" t="s">
        <v>1864</v>
      </c>
      <c r="E1969" t="s">
        <v>1864</v>
      </c>
      <c r="F1969" t="s">
        <v>1547</v>
      </c>
      <c r="G1969" t="str">
        <f t="shared" si="154"/>
        <v>M</v>
      </c>
      <c r="H1969" t="str">
        <f t="shared" si="154"/>
        <v>72</v>
      </c>
      <c r="I1969" t="str">
        <f t="shared" si="154"/>
        <v>722</v>
      </c>
      <c r="J1969" t="str">
        <f t="shared" si="154"/>
        <v>72100</v>
      </c>
      <c r="K1969" t="str">
        <f t="shared" si="151"/>
        <v/>
      </c>
    </row>
    <row r="1970" spans="2:12" x14ac:dyDescent="0.25">
      <c r="C1970" t="s">
        <v>1864</v>
      </c>
      <c r="D1970" t="s">
        <v>3829</v>
      </c>
      <c r="E1970" t="s">
        <v>1864</v>
      </c>
      <c r="F1970" t="s">
        <v>1547</v>
      </c>
      <c r="G1970" t="str">
        <f t="shared" si="154"/>
        <v>M</v>
      </c>
      <c r="H1970" t="str">
        <f t="shared" si="154"/>
        <v>72</v>
      </c>
      <c r="I1970" t="str">
        <f t="shared" si="154"/>
        <v>722</v>
      </c>
      <c r="J1970" t="str">
        <f t="shared" si="154"/>
        <v>72207</v>
      </c>
      <c r="K1970" t="str">
        <f t="shared" si="151"/>
        <v/>
      </c>
    </row>
    <row r="1971" spans="2:12" x14ac:dyDescent="0.25">
      <c r="C1971" t="s">
        <v>1864</v>
      </c>
      <c r="D1971" t="s">
        <v>1864</v>
      </c>
      <c r="E1971" t="s">
        <v>3830</v>
      </c>
      <c r="F1971" t="s">
        <v>1547</v>
      </c>
      <c r="G1971" t="str">
        <f t="shared" si="154"/>
        <v>M</v>
      </c>
      <c r="H1971" t="str">
        <f t="shared" si="154"/>
        <v>72</v>
      </c>
      <c r="I1971" t="str">
        <f t="shared" si="154"/>
        <v>722</v>
      </c>
      <c r="J1971" t="str">
        <f t="shared" si="154"/>
        <v>72207</v>
      </c>
      <c r="K1971" t="str">
        <f t="shared" si="151"/>
        <v>7220700</v>
      </c>
      <c r="L1971">
        <v>1</v>
      </c>
    </row>
    <row r="1972" spans="2:12" x14ac:dyDescent="0.25">
      <c r="B1972" t="s">
        <v>3831</v>
      </c>
      <c r="C1972" t="s">
        <v>1864</v>
      </c>
      <c r="D1972" t="s">
        <v>1864</v>
      </c>
      <c r="E1972" t="s">
        <v>1864</v>
      </c>
      <c r="F1972" t="s">
        <v>1548</v>
      </c>
      <c r="G1972" t="str">
        <f t="shared" si="154"/>
        <v>M</v>
      </c>
      <c r="H1972" t="str">
        <f t="shared" si="154"/>
        <v>73</v>
      </c>
      <c r="I1972" t="str">
        <f t="shared" si="154"/>
        <v>722</v>
      </c>
      <c r="J1972" t="str">
        <f t="shared" si="154"/>
        <v>72207</v>
      </c>
      <c r="K1972" t="str">
        <f t="shared" si="151"/>
        <v/>
      </c>
    </row>
    <row r="1973" spans="2:12" x14ac:dyDescent="0.25">
      <c r="C1973" t="s">
        <v>3832</v>
      </c>
      <c r="D1973" t="s">
        <v>1864</v>
      </c>
      <c r="E1973" t="s">
        <v>1864</v>
      </c>
      <c r="F1973" t="s">
        <v>1549</v>
      </c>
      <c r="G1973" t="str">
        <f t="shared" si="154"/>
        <v>M</v>
      </c>
      <c r="H1973" t="str">
        <f t="shared" si="154"/>
        <v>73</v>
      </c>
      <c r="I1973" t="str">
        <f t="shared" si="154"/>
        <v>731</v>
      </c>
      <c r="J1973" t="str">
        <f t="shared" si="154"/>
        <v>72207</v>
      </c>
      <c r="K1973" t="str">
        <f t="shared" si="151"/>
        <v/>
      </c>
    </row>
    <row r="1974" spans="2:12" x14ac:dyDescent="0.25">
      <c r="C1974" t="s">
        <v>1864</v>
      </c>
      <c r="D1974" t="s">
        <v>3833</v>
      </c>
      <c r="E1974" t="s">
        <v>1864</v>
      </c>
      <c r="F1974" t="s">
        <v>1550</v>
      </c>
      <c r="G1974" t="str">
        <f t="shared" si="154"/>
        <v>M</v>
      </c>
      <c r="H1974" t="str">
        <f t="shared" si="154"/>
        <v>73</v>
      </c>
      <c r="I1974" t="str">
        <f t="shared" si="154"/>
        <v>731</v>
      </c>
      <c r="J1974" t="str">
        <f t="shared" si="154"/>
        <v>73114</v>
      </c>
      <c r="K1974" t="str">
        <f t="shared" si="151"/>
        <v/>
      </c>
    </row>
    <row r="1975" spans="2:12" x14ac:dyDescent="0.25">
      <c r="C1975" t="s">
        <v>1864</v>
      </c>
      <c r="D1975" t="s">
        <v>1864</v>
      </c>
      <c r="E1975" t="s">
        <v>3834</v>
      </c>
      <c r="F1975" t="s">
        <v>1550</v>
      </c>
      <c r="G1975" t="str">
        <f t="shared" si="154"/>
        <v>M</v>
      </c>
      <c r="H1975" t="str">
        <f t="shared" si="154"/>
        <v>73</v>
      </c>
      <c r="I1975" t="str">
        <f t="shared" si="154"/>
        <v>731</v>
      </c>
      <c r="J1975" t="str">
        <f t="shared" si="154"/>
        <v>73114</v>
      </c>
      <c r="K1975" t="str">
        <f t="shared" si="151"/>
        <v>7311400</v>
      </c>
      <c r="L1975">
        <v>1</v>
      </c>
    </row>
    <row r="1976" spans="2:12" x14ac:dyDescent="0.25">
      <c r="C1976" t="s">
        <v>1864</v>
      </c>
      <c r="D1976" t="s">
        <v>3835</v>
      </c>
      <c r="E1976" t="s">
        <v>1864</v>
      </c>
      <c r="F1976" t="s">
        <v>1551</v>
      </c>
      <c r="G1976" t="str">
        <f t="shared" si="154"/>
        <v>M</v>
      </c>
      <c r="H1976" t="str">
        <f t="shared" si="154"/>
        <v>73</v>
      </c>
      <c r="I1976" t="str">
        <f t="shared" si="154"/>
        <v>731</v>
      </c>
      <c r="J1976" t="str">
        <f t="shared" si="154"/>
        <v>73122</v>
      </c>
      <c r="K1976" t="str">
        <f t="shared" si="151"/>
        <v/>
      </c>
    </row>
    <row r="1977" spans="2:12" x14ac:dyDescent="0.25">
      <c r="C1977" t="s">
        <v>1864</v>
      </c>
      <c r="D1977" t="s">
        <v>1864</v>
      </c>
      <c r="E1977" t="s">
        <v>3836</v>
      </c>
      <c r="F1977" t="s">
        <v>1551</v>
      </c>
      <c r="G1977" t="str">
        <f t="shared" ref="G1977:J1992" si="155">IF(A1977="",G1976,A1977)</f>
        <v>M</v>
      </c>
      <c r="H1977" t="str">
        <f t="shared" si="155"/>
        <v>73</v>
      </c>
      <c r="I1977" t="str">
        <f t="shared" si="155"/>
        <v>731</v>
      </c>
      <c r="J1977" t="str">
        <f t="shared" si="155"/>
        <v>73122</v>
      </c>
      <c r="K1977" t="str">
        <f t="shared" si="151"/>
        <v>7312200</v>
      </c>
      <c r="L1977">
        <v>1</v>
      </c>
    </row>
    <row r="1978" spans="2:12" x14ac:dyDescent="0.25">
      <c r="C1978" t="s">
        <v>1864</v>
      </c>
      <c r="D1978" t="s">
        <v>3837</v>
      </c>
      <c r="E1978" t="s">
        <v>1864</v>
      </c>
      <c r="F1978" t="s">
        <v>1552</v>
      </c>
      <c r="G1978" t="str">
        <f t="shared" si="155"/>
        <v>M</v>
      </c>
      <c r="H1978" t="str">
        <f t="shared" si="155"/>
        <v>73</v>
      </c>
      <c r="I1978" t="str">
        <f t="shared" si="155"/>
        <v>731</v>
      </c>
      <c r="J1978" t="str">
        <f t="shared" si="155"/>
        <v>73190</v>
      </c>
      <c r="K1978" t="str">
        <f t="shared" si="151"/>
        <v/>
      </c>
    </row>
    <row r="1979" spans="2:12" x14ac:dyDescent="0.25">
      <c r="C1979" t="s">
        <v>1864</v>
      </c>
      <c r="D1979" t="s">
        <v>1864</v>
      </c>
      <c r="E1979" t="s">
        <v>3838</v>
      </c>
      <c r="F1979" t="s">
        <v>1553</v>
      </c>
      <c r="G1979" t="str">
        <f t="shared" si="155"/>
        <v>M</v>
      </c>
      <c r="H1979" t="str">
        <f t="shared" si="155"/>
        <v>73</v>
      </c>
      <c r="I1979" t="str">
        <f t="shared" si="155"/>
        <v>731</v>
      </c>
      <c r="J1979" t="str">
        <f t="shared" si="155"/>
        <v>73190</v>
      </c>
      <c r="K1979" t="str">
        <f t="shared" si="151"/>
        <v>7319001</v>
      </c>
      <c r="L1979">
        <v>1</v>
      </c>
    </row>
    <row r="1980" spans="2:12" x14ac:dyDescent="0.25">
      <c r="C1980" t="s">
        <v>1864</v>
      </c>
      <c r="D1980" t="s">
        <v>1864</v>
      </c>
      <c r="E1980" t="s">
        <v>3839</v>
      </c>
      <c r="F1980" t="s">
        <v>1554</v>
      </c>
      <c r="G1980" t="str">
        <f t="shared" si="155"/>
        <v>M</v>
      </c>
      <c r="H1980" t="str">
        <f t="shared" si="155"/>
        <v>73</v>
      </c>
      <c r="I1980" t="str">
        <f t="shared" si="155"/>
        <v>731</v>
      </c>
      <c r="J1980" t="str">
        <f t="shared" si="155"/>
        <v>73190</v>
      </c>
      <c r="K1980" t="str">
        <f t="shared" si="151"/>
        <v>7319002</v>
      </c>
      <c r="L1980">
        <v>1</v>
      </c>
    </row>
    <row r="1981" spans="2:12" x14ac:dyDescent="0.25">
      <c r="C1981" t="s">
        <v>1864</v>
      </c>
      <c r="D1981" t="s">
        <v>1864</v>
      </c>
      <c r="E1981" t="s">
        <v>3840</v>
      </c>
      <c r="F1981" t="s">
        <v>3841</v>
      </c>
      <c r="G1981" t="str">
        <f t="shared" si="155"/>
        <v>M</v>
      </c>
      <c r="H1981" t="str">
        <f t="shared" si="155"/>
        <v>73</v>
      </c>
      <c r="I1981" t="str">
        <f t="shared" si="155"/>
        <v>731</v>
      </c>
      <c r="J1981" t="str">
        <f t="shared" si="155"/>
        <v>73190</v>
      </c>
      <c r="K1981" t="str">
        <f t="shared" si="151"/>
        <v>7319003</v>
      </c>
      <c r="L1981">
        <v>1</v>
      </c>
    </row>
    <row r="1982" spans="2:12" x14ac:dyDescent="0.25">
      <c r="C1982" t="s">
        <v>1864</v>
      </c>
      <c r="D1982" t="s">
        <v>1864</v>
      </c>
      <c r="E1982" t="s">
        <v>3842</v>
      </c>
      <c r="F1982" t="s">
        <v>1555</v>
      </c>
      <c r="G1982" t="str">
        <f t="shared" si="155"/>
        <v>M</v>
      </c>
      <c r="H1982" t="str">
        <f t="shared" si="155"/>
        <v>73</v>
      </c>
      <c r="I1982" t="str">
        <f t="shared" si="155"/>
        <v>731</v>
      </c>
      <c r="J1982" t="str">
        <f t="shared" si="155"/>
        <v>73190</v>
      </c>
      <c r="K1982" t="str">
        <f t="shared" si="151"/>
        <v>7319004</v>
      </c>
      <c r="L1982">
        <v>1</v>
      </c>
    </row>
    <row r="1983" spans="2:12" x14ac:dyDescent="0.25">
      <c r="C1983" t="s">
        <v>1864</v>
      </c>
      <c r="D1983" t="s">
        <v>1864</v>
      </c>
      <c r="E1983" t="s">
        <v>3843</v>
      </c>
      <c r="F1983" t="s">
        <v>1556</v>
      </c>
      <c r="G1983" t="str">
        <f t="shared" si="155"/>
        <v>M</v>
      </c>
      <c r="H1983" t="str">
        <f t="shared" si="155"/>
        <v>73</v>
      </c>
      <c r="I1983" t="str">
        <f t="shared" si="155"/>
        <v>731</v>
      </c>
      <c r="J1983" t="str">
        <f t="shared" si="155"/>
        <v>73190</v>
      </c>
      <c r="K1983" t="str">
        <f t="shared" si="151"/>
        <v>7319099</v>
      </c>
      <c r="L1983">
        <v>1</v>
      </c>
    </row>
    <row r="1984" spans="2:12" x14ac:dyDescent="0.25">
      <c r="C1984" t="s">
        <v>3844</v>
      </c>
      <c r="D1984" t="s">
        <v>1864</v>
      </c>
      <c r="E1984" t="s">
        <v>1864</v>
      </c>
      <c r="F1984" t="s">
        <v>1557</v>
      </c>
      <c r="G1984" t="str">
        <f t="shared" si="155"/>
        <v>M</v>
      </c>
      <c r="H1984" t="str">
        <f t="shared" si="155"/>
        <v>73</v>
      </c>
      <c r="I1984" t="str">
        <f t="shared" si="155"/>
        <v>732</v>
      </c>
      <c r="J1984" t="str">
        <f t="shared" si="155"/>
        <v>73190</v>
      </c>
      <c r="K1984" t="str">
        <f t="shared" si="151"/>
        <v/>
      </c>
    </row>
    <row r="1985" spans="2:12" x14ac:dyDescent="0.25">
      <c r="C1985" t="s">
        <v>1864</v>
      </c>
      <c r="D1985" t="s">
        <v>3845</v>
      </c>
      <c r="E1985" t="s">
        <v>1864</v>
      </c>
      <c r="F1985" t="s">
        <v>1557</v>
      </c>
      <c r="G1985" t="str">
        <f t="shared" si="155"/>
        <v>M</v>
      </c>
      <c r="H1985" t="str">
        <f t="shared" si="155"/>
        <v>73</v>
      </c>
      <c r="I1985" t="str">
        <f t="shared" si="155"/>
        <v>732</v>
      </c>
      <c r="J1985" t="str">
        <f t="shared" si="155"/>
        <v>73203</v>
      </c>
      <c r="K1985" t="str">
        <f t="shared" si="151"/>
        <v/>
      </c>
    </row>
    <row r="1986" spans="2:12" x14ac:dyDescent="0.25">
      <c r="C1986" t="s">
        <v>1864</v>
      </c>
      <c r="D1986" t="s">
        <v>1864</v>
      </c>
      <c r="E1986" t="s">
        <v>3846</v>
      </c>
      <c r="F1986" t="s">
        <v>1557</v>
      </c>
      <c r="G1986" t="str">
        <f t="shared" si="155"/>
        <v>M</v>
      </c>
      <c r="H1986" t="str">
        <f t="shared" si="155"/>
        <v>73</v>
      </c>
      <c r="I1986" t="str">
        <f t="shared" si="155"/>
        <v>732</v>
      </c>
      <c r="J1986" t="str">
        <f t="shared" si="155"/>
        <v>73203</v>
      </c>
      <c r="K1986" t="str">
        <f t="shared" si="151"/>
        <v>7320300</v>
      </c>
      <c r="L1986">
        <v>1</v>
      </c>
    </row>
    <row r="1987" spans="2:12" x14ac:dyDescent="0.25">
      <c r="B1987" t="s">
        <v>3847</v>
      </c>
      <c r="C1987" t="s">
        <v>1864</v>
      </c>
      <c r="D1987" t="s">
        <v>1864</v>
      </c>
      <c r="E1987" t="s">
        <v>1864</v>
      </c>
      <c r="F1987" t="s">
        <v>1558</v>
      </c>
      <c r="G1987" t="str">
        <f t="shared" si="155"/>
        <v>M</v>
      </c>
      <c r="H1987" t="str">
        <f t="shared" si="155"/>
        <v>74</v>
      </c>
      <c r="I1987" t="str">
        <f t="shared" si="155"/>
        <v>732</v>
      </c>
      <c r="J1987" t="str">
        <f t="shared" si="155"/>
        <v>73203</v>
      </c>
      <c r="K1987" t="str">
        <f t="shared" si="151"/>
        <v/>
      </c>
    </row>
    <row r="1988" spans="2:12" x14ac:dyDescent="0.25">
      <c r="C1988" t="s">
        <v>3848</v>
      </c>
      <c r="D1988" t="s">
        <v>1864</v>
      </c>
      <c r="E1988" t="s">
        <v>1864</v>
      </c>
      <c r="F1988" t="s">
        <v>3849</v>
      </c>
      <c r="G1988" t="str">
        <f t="shared" si="155"/>
        <v>M</v>
      </c>
      <c r="H1988" t="str">
        <f t="shared" si="155"/>
        <v>74</v>
      </c>
      <c r="I1988" t="str">
        <f t="shared" si="155"/>
        <v>741</v>
      </c>
      <c r="J1988" t="str">
        <f t="shared" si="155"/>
        <v>73203</v>
      </c>
      <c r="K1988" t="str">
        <f t="shared" si="151"/>
        <v/>
      </c>
    </row>
    <row r="1989" spans="2:12" x14ac:dyDescent="0.25">
      <c r="C1989" t="s">
        <v>1864</v>
      </c>
      <c r="D1989" t="s">
        <v>3850</v>
      </c>
      <c r="E1989" t="s">
        <v>1864</v>
      </c>
      <c r="F1989" t="s">
        <v>3849</v>
      </c>
      <c r="G1989" t="str">
        <f t="shared" si="155"/>
        <v>M</v>
      </c>
      <c r="H1989" t="str">
        <f t="shared" si="155"/>
        <v>74</v>
      </c>
      <c r="I1989" t="str">
        <f t="shared" si="155"/>
        <v>741</v>
      </c>
      <c r="J1989" t="str">
        <f t="shared" si="155"/>
        <v>74102</v>
      </c>
      <c r="K1989" t="str">
        <f t="shared" si="151"/>
        <v/>
      </c>
    </row>
    <row r="1990" spans="2:12" x14ac:dyDescent="0.25">
      <c r="C1990" t="s">
        <v>1864</v>
      </c>
      <c r="D1990" t="s">
        <v>1864</v>
      </c>
      <c r="E1990" t="s">
        <v>3851</v>
      </c>
      <c r="F1990" t="s">
        <v>3852</v>
      </c>
      <c r="G1990" t="str">
        <f t="shared" si="155"/>
        <v>M</v>
      </c>
      <c r="H1990" t="str">
        <f t="shared" si="155"/>
        <v>74</v>
      </c>
      <c r="I1990" t="str">
        <f t="shared" si="155"/>
        <v>741</v>
      </c>
      <c r="J1990" t="str">
        <f t="shared" si="155"/>
        <v>74102</v>
      </c>
      <c r="K1990" t="str">
        <f t="shared" si="151"/>
        <v>7410202</v>
      </c>
      <c r="L1990">
        <v>1</v>
      </c>
    </row>
    <row r="1991" spans="2:12" x14ac:dyDescent="0.25">
      <c r="C1991" t="s">
        <v>1864</v>
      </c>
      <c r="D1991" t="s">
        <v>1864</v>
      </c>
      <c r="E1991" t="s">
        <v>3853</v>
      </c>
      <c r="F1991" t="s">
        <v>3854</v>
      </c>
      <c r="G1991" t="str">
        <f t="shared" si="155"/>
        <v>M</v>
      </c>
      <c r="H1991" t="str">
        <f t="shared" si="155"/>
        <v>74</v>
      </c>
      <c r="I1991" t="str">
        <f t="shared" si="155"/>
        <v>741</v>
      </c>
      <c r="J1991" t="str">
        <f t="shared" si="155"/>
        <v>74102</v>
      </c>
      <c r="K1991" t="str">
        <f t="shared" si="151"/>
        <v>7410203</v>
      </c>
      <c r="L1991">
        <v>1</v>
      </c>
    </row>
    <row r="1992" spans="2:12" x14ac:dyDescent="0.25">
      <c r="C1992" t="s">
        <v>1864</v>
      </c>
      <c r="D1992" t="s">
        <v>1864</v>
      </c>
      <c r="E1992" t="s">
        <v>3855</v>
      </c>
      <c r="F1992" t="s">
        <v>3856</v>
      </c>
      <c r="G1992" t="str">
        <f t="shared" si="155"/>
        <v>M</v>
      </c>
      <c r="H1992" t="str">
        <f t="shared" si="155"/>
        <v>74</v>
      </c>
      <c r="I1992" t="str">
        <f t="shared" si="155"/>
        <v>741</v>
      </c>
      <c r="J1992" t="str">
        <f t="shared" si="155"/>
        <v>74102</v>
      </c>
      <c r="K1992" t="str">
        <f t="shared" ref="K1992:K2055" si="156">E1992</f>
        <v>7410299</v>
      </c>
      <c r="L1992">
        <v>1</v>
      </c>
    </row>
    <row r="1993" spans="2:12" x14ac:dyDescent="0.25">
      <c r="C1993" t="s">
        <v>3857</v>
      </c>
      <c r="D1993" t="s">
        <v>1864</v>
      </c>
      <c r="E1993" t="s">
        <v>1864</v>
      </c>
      <c r="F1993" t="s">
        <v>1559</v>
      </c>
      <c r="G1993" t="str">
        <f t="shared" ref="G1993:J2008" si="157">IF(A1993="",G1992,A1993)</f>
        <v>M</v>
      </c>
      <c r="H1993" t="str">
        <f t="shared" si="157"/>
        <v>74</v>
      </c>
      <c r="I1993" t="str">
        <f t="shared" si="157"/>
        <v>742</v>
      </c>
      <c r="J1993" t="str">
        <f t="shared" si="157"/>
        <v>74102</v>
      </c>
      <c r="K1993" t="str">
        <f t="shared" si="156"/>
        <v/>
      </c>
    </row>
    <row r="1994" spans="2:12" x14ac:dyDescent="0.25">
      <c r="C1994" t="s">
        <v>1864</v>
      </c>
      <c r="D1994" t="s">
        <v>3858</v>
      </c>
      <c r="E1994" t="s">
        <v>1864</v>
      </c>
      <c r="F1994" t="s">
        <v>1559</v>
      </c>
      <c r="G1994" t="str">
        <f t="shared" si="157"/>
        <v>M</v>
      </c>
      <c r="H1994" t="str">
        <f t="shared" si="157"/>
        <v>74</v>
      </c>
      <c r="I1994" t="str">
        <f t="shared" si="157"/>
        <v>742</v>
      </c>
      <c r="J1994" t="str">
        <f t="shared" si="157"/>
        <v>74200</v>
      </c>
      <c r="K1994" t="str">
        <f t="shared" si="156"/>
        <v/>
      </c>
    </row>
    <row r="1995" spans="2:12" x14ac:dyDescent="0.25">
      <c r="C1995" t="s">
        <v>1864</v>
      </c>
      <c r="D1995" t="s">
        <v>1864</v>
      </c>
      <c r="E1995" t="s">
        <v>3859</v>
      </c>
      <c r="F1995" t="s">
        <v>1560</v>
      </c>
      <c r="G1995" t="str">
        <f t="shared" si="157"/>
        <v>M</v>
      </c>
      <c r="H1995" t="str">
        <f t="shared" si="157"/>
        <v>74</v>
      </c>
      <c r="I1995" t="str">
        <f t="shared" si="157"/>
        <v>742</v>
      </c>
      <c r="J1995" t="str">
        <f t="shared" si="157"/>
        <v>74200</v>
      </c>
      <c r="K1995" t="str">
        <f t="shared" si="156"/>
        <v>7420001</v>
      </c>
      <c r="L1995">
        <v>1</v>
      </c>
    </row>
    <row r="1996" spans="2:12" x14ac:dyDescent="0.25">
      <c r="C1996" t="s">
        <v>1864</v>
      </c>
      <c r="D1996" t="s">
        <v>1864</v>
      </c>
      <c r="E1996" t="s">
        <v>3860</v>
      </c>
      <c r="F1996" t="s">
        <v>1561</v>
      </c>
      <c r="G1996" t="str">
        <f t="shared" si="157"/>
        <v>M</v>
      </c>
      <c r="H1996" t="str">
        <f t="shared" si="157"/>
        <v>74</v>
      </c>
      <c r="I1996" t="str">
        <f t="shared" si="157"/>
        <v>742</v>
      </c>
      <c r="J1996" t="str">
        <f t="shared" si="157"/>
        <v>74200</v>
      </c>
      <c r="K1996" t="str">
        <f t="shared" si="156"/>
        <v>7420002</v>
      </c>
      <c r="L1996">
        <v>1</v>
      </c>
    </row>
    <row r="1997" spans="2:12" x14ac:dyDescent="0.25">
      <c r="C1997" t="s">
        <v>1864</v>
      </c>
      <c r="D1997" t="s">
        <v>1864</v>
      </c>
      <c r="E1997" t="s">
        <v>3861</v>
      </c>
      <c r="F1997" t="s">
        <v>1562</v>
      </c>
      <c r="G1997" t="str">
        <f t="shared" si="157"/>
        <v>M</v>
      </c>
      <c r="H1997" t="str">
        <f t="shared" si="157"/>
        <v>74</v>
      </c>
      <c r="I1997" t="str">
        <f t="shared" si="157"/>
        <v>742</v>
      </c>
      <c r="J1997" t="str">
        <f t="shared" si="157"/>
        <v>74200</v>
      </c>
      <c r="K1997" t="str">
        <f t="shared" si="156"/>
        <v>7420003</v>
      </c>
      <c r="L1997">
        <v>1</v>
      </c>
    </row>
    <row r="1998" spans="2:12" x14ac:dyDescent="0.25">
      <c r="C1998" t="s">
        <v>1864</v>
      </c>
      <c r="D1998" t="s">
        <v>1864</v>
      </c>
      <c r="E1998" t="s">
        <v>3862</v>
      </c>
      <c r="F1998" t="s">
        <v>1563</v>
      </c>
      <c r="G1998" t="str">
        <f t="shared" si="157"/>
        <v>M</v>
      </c>
      <c r="H1998" t="str">
        <f t="shared" si="157"/>
        <v>74</v>
      </c>
      <c r="I1998" t="str">
        <f t="shared" si="157"/>
        <v>742</v>
      </c>
      <c r="J1998" t="str">
        <f t="shared" si="157"/>
        <v>74200</v>
      </c>
      <c r="K1998" t="str">
        <f t="shared" si="156"/>
        <v>7420004</v>
      </c>
      <c r="L1998">
        <v>1</v>
      </c>
    </row>
    <row r="1999" spans="2:12" x14ac:dyDescent="0.25">
      <c r="C1999" t="s">
        <v>1864</v>
      </c>
      <c r="D1999" t="s">
        <v>1864</v>
      </c>
      <c r="E1999" t="s">
        <v>3863</v>
      </c>
      <c r="F1999" t="s">
        <v>1564</v>
      </c>
      <c r="G1999" t="str">
        <f t="shared" si="157"/>
        <v>M</v>
      </c>
      <c r="H1999" t="str">
        <f t="shared" si="157"/>
        <v>74</v>
      </c>
      <c r="I1999" t="str">
        <f t="shared" si="157"/>
        <v>742</v>
      </c>
      <c r="J1999" t="str">
        <f t="shared" si="157"/>
        <v>74200</v>
      </c>
      <c r="K1999" t="str">
        <f t="shared" si="156"/>
        <v>7420005</v>
      </c>
      <c r="L1999">
        <v>1</v>
      </c>
    </row>
    <row r="2000" spans="2:12" x14ac:dyDescent="0.25">
      <c r="C2000" t="s">
        <v>3864</v>
      </c>
      <c r="D2000" t="s">
        <v>1864</v>
      </c>
      <c r="E2000" t="s">
        <v>1864</v>
      </c>
      <c r="F2000" t="s">
        <v>1565</v>
      </c>
      <c r="G2000" t="str">
        <f t="shared" si="157"/>
        <v>M</v>
      </c>
      <c r="H2000" t="str">
        <f t="shared" si="157"/>
        <v>74</v>
      </c>
      <c r="I2000" t="str">
        <f t="shared" si="157"/>
        <v>749</v>
      </c>
      <c r="J2000" t="str">
        <f t="shared" si="157"/>
        <v>74200</v>
      </c>
      <c r="K2000" t="str">
        <f t="shared" si="156"/>
        <v/>
      </c>
    </row>
    <row r="2001" spans="1:12" x14ac:dyDescent="0.25">
      <c r="C2001" t="s">
        <v>1864</v>
      </c>
      <c r="D2001" t="s">
        <v>3865</v>
      </c>
      <c r="E2001" t="s">
        <v>1864</v>
      </c>
      <c r="F2001" t="s">
        <v>1565</v>
      </c>
      <c r="G2001" t="str">
        <f t="shared" si="157"/>
        <v>M</v>
      </c>
      <c r="H2001" t="str">
        <f t="shared" si="157"/>
        <v>74</v>
      </c>
      <c r="I2001" t="str">
        <f t="shared" si="157"/>
        <v>749</v>
      </c>
      <c r="J2001" t="str">
        <f t="shared" si="157"/>
        <v>74901</v>
      </c>
      <c r="K2001" t="str">
        <f t="shared" si="156"/>
        <v/>
      </c>
    </row>
    <row r="2002" spans="1:12" x14ac:dyDescent="0.25">
      <c r="C2002" t="s">
        <v>1864</v>
      </c>
      <c r="D2002" t="s">
        <v>1864</v>
      </c>
      <c r="E2002" t="s">
        <v>3866</v>
      </c>
      <c r="F2002" t="s">
        <v>1566</v>
      </c>
      <c r="G2002" t="str">
        <f t="shared" si="157"/>
        <v>M</v>
      </c>
      <c r="H2002" t="str">
        <f t="shared" si="157"/>
        <v>74</v>
      </c>
      <c r="I2002" t="str">
        <f t="shared" si="157"/>
        <v>749</v>
      </c>
      <c r="J2002" t="str">
        <f t="shared" si="157"/>
        <v>74901</v>
      </c>
      <c r="K2002" t="str">
        <f t="shared" si="156"/>
        <v>7490101</v>
      </c>
      <c r="L2002">
        <v>1</v>
      </c>
    </row>
    <row r="2003" spans="1:12" x14ac:dyDescent="0.25">
      <c r="C2003" t="s">
        <v>1864</v>
      </c>
      <c r="D2003" t="s">
        <v>1864</v>
      </c>
      <c r="E2003" t="s">
        <v>3867</v>
      </c>
      <c r="F2003" t="s">
        <v>1567</v>
      </c>
      <c r="G2003" t="str">
        <f t="shared" si="157"/>
        <v>M</v>
      </c>
      <c r="H2003" t="str">
        <f t="shared" si="157"/>
        <v>74</v>
      </c>
      <c r="I2003" t="str">
        <f t="shared" si="157"/>
        <v>749</v>
      </c>
      <c r="J2003" t="str">
        <f t="shared" si="157"/>
        <v>74901</v>
      </c>
      <c r="K2003" t="str">
        <f t="shared" si="156"/>
        <v>7490102</v>
      </c>
      <c r="L2003">
        <v>1</v>
      </c>
    </row>
    <row r="2004" spans="1:12" x14ac:dyDescent="0.25">
      <c r="C2004" t="s">
        <v>1864</v>
      </c>
      <c r="D2004" t="s">
        <v>1864</v>
      </c>
      <c r="E2004" t="s">
        <v>3868</v>
      </c>
      <c r="F2004" t="s">
        <v>1568</v>
      </c>
      <c r="G2004" t="str">
        <f t="shared" si="157"/>
        <v>M</v>
      </c>
      <c r="H2004" t="str">
        <f t="shared" si="157"/>
        <v>74</v>
      </c>
      <c r="I2004" t="str">
        <f t="shared" si="157"/>
        <v>749</v>
      </c>
      <c r="J2004" t="str">
        <f t="shared" si="157"/>
        <v>74901</v>
      </c>
      <c r="K2004" t="str">
        <f t="shared" si="156"/>
        <v>7490103</v>
      </c>
      <c r="L2004">
        <v>1</v>
      </c>
    </row>
    <row r="2005" spans="1:12" x14ac:dyDescent="0.25">
      <c r="C2005" t="s">
        <v>1864</v>
      </c>
      <c r="D2005" t="s">
        <v>1864</v>
      </c>
      <c r="E2005" t="s">
        <v>3869</v>
      </c>
      <c r="F2005" t="s">
        <v>1569</v>
      </c>
      <c r="G2005" t="str">
        <f t="shared" si="157"/>
        <v>M</v>
      </c>
      <c r="H2005" t="str">
        <f t="shared" si="157"/>
        <v>74</v>
      </c>
      <c r="I2005" t="str">
        <f t="shared" si="157"/>
        <v>749</v>
      </c>
      <c r="J2005" t="str">
        <f t="shared" si="157"/>
        <v>74901</v>
      </c>
      <c r="K2005" t="str">
        <f t="shared" si="156"/>
        <v>7490104</v>
      </c>
      <c r="L2005">
        <v>1</v>
      </c>
    </row>
    <row r="2006" spans="1:12" x14ac:dyDescent="0.25">
      <c r="C2006" t="s">
        <v>1864</v>
      </c>
      <c r="D2006" t="s">
        <v>1864</v>
      </c>
      <c r="E2006" t="s">
        <v>3870</v>
      </c>
      <c r="F2006" t="s">
        <v>1570</v>
      </c>
      <c r="G2006" t="str">
        <f t="shared" si="157"/>
        <v>M</v>
      </c>
      <c r="H2006" t="str">
        <f t="shared" si="157"/>
        <v>74</v>
      </c>
      <c r="I2006" t="str">
        <f t="shared" si="157"/>
        <v>749</v>
      </c>
      <c r="J2006" t="str">
        <f t="shared" si="157"/>
        <v>74901</v>
      </c>
      <c r="K2006" t="str">
        <f t="shared" si="156"/>
        <v>7490105</v>
      </c>
      <c r="L2006">
        <v>1</v>
      </c>
    </row>
    <row r="2007" spans="1:12" x14ac:dyDescent="0.25">
      <c r="C2007" t="s">
        <v>1864</v>
      </c>
      <c r="D2007" t="s">
        <v>1864</v>
      </c>
      <c r="E2007" t="s">
        <v>3871</v>
      </c>
      <c r="F2007" t="s">
        <v>1571</v>
      </c>
      <c r="G2007" t="str">
        <f t="shared" si="157"/>
        <v>M</v>
      </c>
      <c r="H2007" t="str">
        <f t="shared" si="157"/>
        <v>74</v>
      </c>
      <c r="I2007" t="str">
        <f t="shared" si="157"/>
        <v>749</v>
      </c>
      <c r="J2007" t="str">
        <f t="shared" si="157"/>
        <v>74901</v>
      </c>
      <c r="K2007" t="str">
        <f t="shared" si="156"/>
        <v>7490199</v>
      </c>
      <c r="L2007">
        <v>1</v>
      </c>
    </row>
    <row r="2008" spans="1:12" x14ac:dyDescent="0.25">
      <c r="B2008" t="s">
        <v>3872</v>
      </c>
      <c r="C2008" t="s">
        <v>1864</v>
      </c>
      <c r="D2008" t="s">
        <v>1864</v>
      </c>
      <c r="E2008" t="s">
        <v>1864</v>
      </c>
      <c r="F2008" t="s">
        <v>1572</v>
      </c>
      <c r="G2008" t="str">
        <f t="shared" si="157"/>
        <v>M</v>
      </c>
      <c r="H2008" t="str">
        <f t="shared" si="157"/>
        <v>75</v>
      </c>
      <c r="I2008" t="str">
        <f t="shared" si="157"/>
        <v>749</v>
      </c>
      <c r="J2008" t="str">
        <f t="shared" si="157"/>
        <v>74901</v>
      </c>
      <c r="K2008" t="str">
        <f t="shared" si="156"/>
        <v/>
      </c>
    </row>
    <row r="2009" spans="1:12" x14ac:dyDescent="0.25">
      <c r="C2009" t="s">
        <v>3873</v>
      </c>
      <c r="D2009" t="s">
        <v>1864</v>
      </c>
      <c r="E2009" t="s">
        <v>1864</v>
      </c>
      <c r="F2009" t="s">
        <v>1573</v>
      </c>
      <c r="G2009" t="str">
        <f t="shared" ref="G2009:J2024" si="158">IF(A2009="",G2008,A2009)</f>
        <v>M</v>
      </c>
      <c r="H2009" t="str">
        <f t="shared" si="158"/>
        <v>75</v>
      </c>
      <c r="I2009" t="str">
        <f t="shared" si="158"/>
        <v>750</v>
      </c>
      <c r="J2009" t="str">
        <f t="shared" si="158"/>
        <v>74901</v>
      </c>
      <c r="K2009" t="str">
        <f t="shared" si="156"/>
        <v/>
      </c>
    </row>
    <row r="2010" spans="1:12" x14ac:dyDescent="0.25">
      <c r="C2010" t="s">
        <v>1864</v>
      </c>
      <c r="D2010" t="s">
        <v>3874</v>
      </c>
      <c r="E2010" t="s">
        <v>1864</v>
      </c>
      <c r="F2010" t="s">
        <v>1573</v>
      </c>
      <c r="G2010" t="str">
        <f t="shared" si="158"/>
        <v>M</v>
      </c>
      <c r="H2010" t="str">
        <f t="shared" si="158"/>
        <v>75</v>
      </c>
      <c r="I2010" t="str">
        <f t="shared" si="158"/>
        <v>750</v>
      </c>
      <c r="J2010" t="str">
        <f t="shared" si="158"/>
        <v>75001</v>
      </c>
      <c r="K2010" t="str">
        <f t="shared" si="156"/>
        <v/>
      </c>
    </row>
    <row r="2011" spans="1:12" x14ac:dyDescent="0.25">
      <c r="C2011" t="s">
        <v>1864</v>
      </c>
      <c r="D2011" t="s">
        <v>1864</v>
      </c>
      <c r="E2011" t="s">
        <v>3875</v>
      </c>
      <c r="F2011" t="s">
        <v>1573</v>
      </c>
      <c r="G2011" t="str">
        <f t="shared" si="158"/>
        <v>M</v>
      </c>
      <c r="H2011" t="str">
        <f t="shared" si="158"/>
        <v>75</v>
      </c>
      <c r="I2011" t="str">
        <f t="shared" si="158"/>
        <v>750</v>
      </c>
      <c r="J2011" t="str">
        <f t="shared" si="158"/>
        <v>75001</v>
      </c>
      <c r="K2011" t="str">
        <f t="shared" si="156"/>
        <v>7500100</v>
      </c>
      <c r="L2011">
        <v>1</v>
      </c>
    </row>
    <row r="2012" spans="1:12" x14ac:dyDescent="0.25">
      <c r="A2012" t="s">
        <v>3876</v>
      </c>
      <c r="C2012" t="s">
        <v>1864</v>
      </c>
      <c r="D2012" t="s">
        <v>1864</v>
      </c>
      <c r="E2012" t="s">
        <v>1864</v>
      </c>
      <c r="F2012" t="s">
        <v>1574</v>
      </c>
      <c r="G2012" t="str">
        <f t="shared" si="158"/>
        <v>N</v>
      </c>
      <c r="H2012" t="str">
        <f t="shared" si="158"/>
        <v>75</v>
      </c>
      <c r="I2012" t="str">
        <f t="shared" si="158"/>
        <v>750</v>
      </c>
      <c r="J2012" t="str">
        <f t="shared" si="158"/>
        <v>75001</v>
      </c>
      <c r="K2012" t="str">
        <f t="shared" si="156"/>
        <v/>
      </c>
    </row>
    <row r="2013" spans="1:12" x14ac:dyDescent="0.25">
      <c r="B2013" t="s">
        <v>3877</v>
      </c>
      <c r="C2013" t="s">
        <v>1864</v>
      </c>
      <c r="D2013" t="s">
        <v>1864</v>
      </c>
      <c r="E2013" t="s">
        <v>1864</v>
      </c>
      <c r="F2013" s="1" t="s">
        <v>1575</v>
      </c>
      <c r="G2013" t="str">
        <f t="shared" si="158"/>
        <v>N</v>
      </c>
      <c r="H2013" t="str">
        <f t="shared" si="158"/>
        <v>77</v>
      </c>
      <c r="I2013" t="str">
        <f t="shared" si="158"/>
        <v>750</v>
      </c>
      <c r="J2013" t="str">
        <f t="shared" si="158"/>
        <v>75001</v>
      </c>
      <c r="K2013" t="str">
        <f t="shared" si="156"/>
        <v/>
      </c>
    </row>
    <row r="2014" spans="1:12" x14ac:dyDescent="0.25">
      <c r="C2014" t="s">
        <v>3878</v>
      </c>
      <c r="D2014" t="s">
        <v>1864</v>
      </c>
      <c r="E2014" t="s">
        <v>1864</v>
      </c>
      <c r="F2014" s="1" t="s">
        <v>1576</v>
      </c>
      <c r="G2014" t="str">
        <f t="shared" si="158"/>
        <v>N</v>
      </c>
      <c r="H2014" t="str">
        <f t="shared" si="158"/>
        <v>77</v>
      </c>
      <c r="I2014" t="str">
        <f t="shared" si="158"/>
        <v>771</v>
      </c>
      <c r="J2014" t="str">
        <f t="shared" si="158"/>
        <v>75001</v>
      </c>
      <c r="K2014" t="str">
        <f t="shared" si="156"/>
        <v/>
      </c>
    </row>
    <row r="2015" spans="1:12" x14ac:dyDescent="0.25">
      <c r="C2015" t="s">
        <v>1864</v>
      </c>
      <c r="D2015" t="s">
        <v>3879</v>
      </c>
      <c r="E2015" t="s">
        <v>1864</v>
      </c>
      <c r="F2015" s="1" t="s">
        <v>1577</v>
      </c>
      <c r="G2015" t="str">
        <f t="shared" si="158"/>
        <v>N</v>
      </c>
      <c r="H2015" t="str">
        <f t="shared" si="158"/>
        <v>77</v>
      </c>
      <c r="I2015" t="str">
        <f t="shared" si="158"/>
        <v>771</v>
      </c>
      <c r="J2015" t="str">
        <f t="shared" si="158"/>
        <v>77110</v>
      </c>
      <c r="K2015" t="str">
        <f t="shared" si="156"/>
        <v/>
      </c>
    </row>
    <row r="2016" spans="1:12" x14ac:dyDescent="0.25">
      <c r="C2016" t="s">
        <v>1864</v>
      </c>
      <c r="D2016" t="s">
        <v>1864</v>
      </c>
      <c r="E2016" t="s">
        <v>3880</v>
      </c>
      <c r="F2016" s="1" t="s">
        <v>1577</v>
      </c>
      <c r="G2016" t="str">
        <f t="shared" si="158"/>
        <v>N</v>
      </c>
      <c r="H2016" t="str">
        <f t="shared" si="158"/>
        <v>77</v>
      </c>
      <c r="I2016" t="str">
        <f t="shared" si="158"/>
        <v>771</v>
      </c>
      <c r="J2016" t="str">
        <f t="shared" si="158"/>
        <v>77110</v>
      </c>
      <c r="K2016" t="str">
        <f t="shared" si="156"/>
        <v>7711000</v>
      </c>
      <c r="L2016">
        <v>0</v>
      </c>
    </row>
    <row r="2017" spans="3:12" x14ac:dyDescent="0.25">
      <c r="C2017" t="s">
        <v>1864</v>
      </c>
      <c r="D2017" t="s">
        <v>3881</v>
      </c>
      <c r="E2017" t="s">
        <v>1864</v>
      </c>
      <c r="F2017" s="1" t="s">
        <v>1578</v>
      </c>
      <c r="G2017" t="str">
        <f t="shared" si="158"/>
        <v>N</v>
      </c>
      <c r="H2017" t="str">
        <f t="shared" si="158"/>
        <v>77</v>
      </c>
      <c r="I2017" t="str">
        <f t="shared" si="158"/>
        <v>771</v>
      </c>
      <c r="J2017" t="str">
        <f t="shared" si="158"/>
        <v>77195</v>
      </c>
      <c r="K2017" t="str">
        <f t="shared" si="156"/>
        <v/>
      </c>
    </row>
    <row r="2018" spans="3:12" x14ac:dyDescent="0.25">
      <c r="C2018" t="s">
        <v>1864</v>
      </c>
      <c r="D2018" t="s">
        <v>1864</v>
      </c>
      <c r="E2018" t="s">
        <v>3882</v>
      </c>
      <c r="F2018" s="1" t="s">
        <v>1579</v>
      </c>
      <c r="G2018" t="str">
        <f t="shared" si="158"/>
        <v>N</v>
      </c>
      <c r="H2018" t="str">
        <f t="shared" si="158"/>
        <v>77</v>
      </c>
      <c r="I2018" t="str">
        <f t="shared" si="158"/>
        <v>771</v>
      </c>
      <c r="J2018" t="str">
        <f t="shared" si="158"/>
        <v>77195</v>
      </c>
      <c r="K2018" t="str">
        <f t="shared" si="156"/>
        <v>7719501</v>
      </c>
      <c r="L2018">
        <v>0</v>
      </c>
    </row>
    <row r="2019" spans="3:12" x14ac:dyDescent="0.25">
      <c r="C2019" t="s">
        <v>1864</v>
      </c>
      <c r="D2019" t="s">
        <v>1864</v>
      </c>
      <c r="E2019" t="s">
        <v>3883</v>
      </c>
      <c r="F2019" s="1" t="s">
        <v>1580</v>
      </c>
      <c r="G2019" t="str">
        <f t="shared" si="158"/>
        <v>N</v>
      </c>
      <c r="H2019" t="str">
        <f t="shared" si="158"/>
        <v>77</v>
      </c>
      <c r="I2019" t="str">
        <f t="shared" si="158"/>
        <v>771</v>
      </c>
      <c r="J2019" t="str">
        <f t="shared" si="158"/>
        <v>77195</v>
      </c>
      <c r="K2019" t="str">
        <f t="shared" si="156"/>
        <v>7719502</v>
      </c>
      <c r="L2019">
        <v>0</v>
      </c>
    </row>
    <row r="2020" spans="3:12" x14ac:dyDescent="0.25">
      <c r="C2020" t="s">
        <v>1864</v>
      </c>
      <c r="D2020" t="s">
        <v>1864</v>
      </c>
      <c r="E2020" t="s">
        <v>3884</v>
      </c>
      <c r="F2020" s="1" t="s">
        <v>1581</v>
      </c>
      <c r="G2020" t="str">
        <f t="shared" si="158"/>
        <v>N</v>
      </c>
      <c r="H2020" t="str">
        <f t="shared" si="158"/>
        <v>77</v>
      </c>
      <c r="I2020" t="str">
        <f t="shared" si="158"/>
        <v>771</v>
      </c>
      <c r="J2020" t="str">
        <f t="shared" si="158"/>
        <v>77195</v>
      </c>
      <c r="K2020" t="str">
        <f t="shared" si="156"/>
        <v>7719599</v>
      </c>
      <c r="L2020">
        <v>0</v>
      </c>
    </row>
    <row r="2021" spans="3:12" x14ac:dyDescent="0.25">
      <c r="C2021" t="s">
        <v>3885</v>
      </c>
      <c r="D2021" t="s">
        <v>1864</v>
      </c>
      <c r="E2021" t="s">
        <v>1864</v>
      </c>
      <c r="F2021" s="1" t="s">
        <v>1582</v>
      </c>
      <c r="G2021" t="str">
        <f t="shared" si="158"/>
        <v>N</v>
      </c>
      <c r="H2021" t="str">
        <f t="shared" si="158"/>
        <v>77</v>
      </c>
      <c r="I2021" t="str">
        <f t="shared" si="158"/>
        <v>772</v>
      </c>
      <c r="J2021" t="str">
        <f t="shared" si="158"/>
        <v>77195</v>
      </c>
      <c r="K2021" t="str">
        <f t="shared" si="156"/>
        <v/>
      </c>
    </row>
    <row r="2022" spans="3:12" x14ac:dyDescent="0.25">
      <c r="C2022" t="s">
        <v>1864</v>
      </c>
      <c r="D2022" t="s">
        <v>3886</v>
      </c>
      <c r="E2022" t="s">
        <v>1864</v>
      </c>
      <c r="F2022" s="1" t="s">
        <v>1583</v>
      </c>
      <c r="G2022" t="str">
        <f t="shared" si="158"/>
        <v>N</v>
      </c>
      <c r="H2022" t="str">
        <f t="shared" si="158"/>
        <v>77</v>
      </c>
      <c r="I2022" t="str">
        <f t="shared" si="158"/>
        <v>772</v>
      </c>
      <c r="J2022" t="str">
        <f t="shared" si="158"/>
        <v>77217</v>
      </c>
      <c r="K2022" t="str">
        <f t="shared" si="156"/>
        <v/>
      </c>
    </row>
    <row r="2023" spans="3:12" x14ac:dyDescent="0.25">
      <c r="C2023" t="s">
        <v>1864</v>
      </c>
      <c r="D2023" t="s">
        <v>1864</v>
      </c>
      <c r="E2023" t="s">
        <v>3887</v>
      </c>
      <c r="F2023" s="1" t="s">
        <v>1583</v>
      </c>
      <c r="G2023" t="str">
        <f t="shared" si="158"/>
        <v>N</v>
      </c>
      <c r="H2023" t="str">
        <f t="shared" si="158"/>
        <v>77</v>
      </c>
      <c r="I2023" t="str">
        <f t="shared" si="158"/>
        <v>772</v>
      </c>
      <c r="J2023" t="str">
        <f t="shared" si="158"/>
        <v>77217</v>
      </c>
      <c r="K2023" t="str">
        <f t="shared" si="156"/>
        <v>7721700</v>
      </c>
      <c r="L2023">
        <v>0</v>
      </c>
    </row>
    <row r="2024" spans="3:12" x14ac:dyDescent="0.25">
      <c r="C2024" t="s">
        <v>1864</v>
      </c>
      <c r="D2024" t="s">
        <v>3888</v>
      </c>
      <c r="E2024" t="s">
        <v>1864</v>
      </c>
      <c r="F2024" s="1" t="s">
        <v>1584</v>
      </c>
      <c r="G2024" t="str">
        <f t="shared" si="158"/>
        <v>N</v>
      </c>
      <c r="H2024" t="str">
        <f t="shared" si="158"/>
        <v>77</v>
      </c>
      <c r="I2024" t="str">
        <f t="shared" si="158"/>
        <v>772</v>
      </c>
      <c r="J2024" t="str">
        <f t="shared" si="158"/>
        <v>77225</v>
      </c>
      <c r="K2024" t="str">
        <f t="shared" si="156"/>
        <v/>
      </c>
    </row>
    <row r="2025" spans="3:12" x14ac:dyDescent="0.25">
      <c r="C2025" t="s">
        <v>1864</v>
      </c>
      <c r="D2025" t="s">
        <v>1864</v>
      </c>
      <c r="E2025" t="s">
        <v>3889</v>
      </c>
      <c r="F2025" s="1" t="s">
        <v>1584</v>
      </c>
      <c r="G2025" t="str">
        <f t="shared" ref="G2025:J2040" si="159">IF(A2025="",G2024,A2025)</f>
        <v>N</v>
      </c>
      <c r="H2025" t="str">
        <f t="shared" si="159"/>
        <v>77</v>
      </c>
      <c r="I2025" t="str">
        <f t="shared" si="159"/>
        <v>772</v>
      </c>
      <c r="J2025" t="str">
        <f t="shared" si="159"/>
        <v>77225</v>
      </c>
      <c r="K2025" t="str">
        <f t="shared" si="156"/>
        <v>7722500</v>
      </c>
      <c r="L2025">
        <v>0</v>
      </c>
    </row>
    <row r="2026" spans="3:12" x14ac:dyDescent="0.25">
      <c r="C2026" t="s">
        <v>1864</v>
      </c>
      <c r="D2026" t="s">
        <v>3890</v>
      </c>
      <c r="E2026" t="s">
        <v>1864</v>
      </c>
      <c r="F2026" s="1" t="s">
        <v>1585</v>
      </c>
      <c r="G2026" t="str">
        <f t="shared" si="159"/>
        <v>N</v>
      </c>
      <c r="H2026" t="str">
        <f t="shared" si="159"/>
        <v>77</v>
      </c>
      <c r="I2026" t="str">
        <f t="shared" si="159"/>
        <v>772</v>
      </c>
      <c r="J2026" t="str">
        <f t="shared" si="159"/>
        <v>77233</v>
      </c>
      <c r="K2026" t="str">
        <f t="shared" si="156"/>
        <v/>
      </c>
    </row>
    <row r="2027" spans="3:12" x14ac:dyDescent="0.25">
      <c r="C2027" t="s">
        <v>1864</v>
      </c>
      <c r="D2027" t="s">
        <v>1864</v>
      </c>
      <c r="E2027" t="s">
        <v>3891</v>
      </c>
      <c r="F2027" s="1" t="s">
        <v>1585</v>
      </c>
      <c r="G2027" t="str">
        <f t="shared" si="159"/>
        <v>N</v>
      </c>
      <c r="H2027" t="str">
        <f t="shared" si="159"/>
        <v>77</v>
      </c>
      <c r="I2027" t="str">
        <f t="shared" si="159"/>
        <v>772</v>
      </c>
      <c r="J2027" t="str">
        <f t="shared" si="159"/>
        <v>77233</v>
      </c>
      <c r="K2027" t="str">
        <f t="shared" si="156"/>
        <v>7723300</v>
      </c>
      <c r="L2027">
        <v>0</v>
      </c>
    </row>
    <row r="2028" spans="3:12" x14ac:dyDescent="0.25">
      <c r="C2028" t="s">
        <v>1864</v>
      </c>
      <c r="D2028" t="s">
        <v>3892</v>
      </c>
      <c r="E2028" t="s">
        <v>1864</v>
      </c>
      <c r="F2028" s="1" t="s">
        <v>1586</v>
      </c>
      <c r="G2028" t="str">
        <f t="shared" si="159"/>
        <v>N</v>
      </c>
      <c r="H2028" t="str">
        <f t="shared" si="159"/>
        <v>77</v>
      </c>
      <c r="I2028" t="str">
        <f t="shared" si="159"/>
        <v>772</v>
      </c>
      <c r="J2028" t="str">
        <f t="shared" si="159"/>
        <v>77292</v>
      </c>
      <c r="K2028" t="str">
        <f t="shared" si="156"/>
        <v/>
      </c>
    </row>
    <row r="2029" spans="3:12" x14ac:dyDescent="0.25">
      <c r="C2029" t="s">
        <v>1864</v>
      </c>
      <c r="D2029" t="s">
        <v>1864</v>
      </c>
      <c r="E2029" t="s">
        <v>3893</v>
      </c>
      <c r="F2029" s="1" t="s">
        <v>1587</v>
      </c>
      <c r="G2029" t="str">
        <f t="shared" si="159"/>
        <v>N</v>
      </c>
      <c r="H2029" t="str">
        <f t="shared" si="159"/>
        <v>77</v>
      </c>
      <c r="I2029" t="str">
        <f t="shared" si="159"/>
        <v>772</v>
      </c>
      <c r="J2029" t="str">
        <f t="shared" si="159"/>
        <v>77292</v>
      </c>
      <c r="K2029" t="str">
        <f t="shared" si="156"/>
        <v>7729201</v>
      </c>
      <c r="L2029">
        <v>0</v>
      </c>
    </row>
    <row r="2030" spans="3:12" x14ac:dyDescent="0.25">
      <c r="C2030" t="s">
        <v>1864</v>
      </c>
      <c r="D2030" t="s">
        <v>1864</v>
      </c>
      <c r="E2030" t="s">
        <v>3894</v>
      </c>
      <c r="F2030" s="1" t="s">
        <v>1588</v>
      </c>
      <c r="G2030" t="str">
        <f t="shared" si="159"/>
        <v>N</v>
      </c>
      <c r="H2030" t="str">
        <f t="shared" si="159"/>
        <v>77</v>
      </c>
      <c r="I2030" t="str">
        <f t="shared" si="159"/>
        <v>772</v>
      </c>
      <c r="J2030" t="str">
        <f t="shared" si="159"/>
        <v>77292</v>
      </c>
      <c r="K2030" t="str">
        <f t="shared" si="156"/>
        <v>7729202</v>
      </c>
      <c r="L2030">
        <v>0</v>
      </c>
    </row>
    <row r="2031" spans="3:12" x14ac:dyDescent="0.25">
      <c r="C2031" t="s">
        <v>1864</v>
      </c>
      <c r="D2031" t="s">
        <v>1864</v>
      </c>
      <c r="E2031" t="s">
        <v>3895</v>
      </c>
      <c r="F2031" s="1" t="s">
        <v>1589</v>
      </c>
      <c r="G2031" t="str">
        <f t="shared" si="159"/>
        <v>N</v>
      </c>
      <c r="H2031" t="str">
        <f t="shared" si="159"/>
        <v>77</v>
      </c>
      <c r="I2031" t="str">
        <f t="shared" si="159"/>
        <v>772</v>
      </c>
      <c r="J2031" t="str">
        <f t="shared" si="159"/>
        <v>77292</v>
      </c>
      <c r="K2031" t="str">
        <f t="shared" si="156"/>
        <v>7729203</v>
      </c>
      <c r="L2031">
        <v>0</v>
      </c>
    </row>
    <row r="2032" spans="3:12" x14ac:dyDescent="0.25">
      <c r="C2032" t="s">
        <v>1864</v>
      </c>
      <c r="D2032" t="s">
        <v>1864</v>
      </c>
      <c r="E2032" t="s">
        <v>3896</v>
      </c>
      <c r="F2032" s="1" t="s">
        <v>1590</v>
      </c>
      <c r="G2032" t="str">
        <f t="shared" si="159"/>
        <v>N</v>
      </c>
      <c r="H2032" t="str">
        <f t="shared" si="159"/>
        <v>77</v>
      </c>
      <c r="I2032" t="str">
        <f t="shared" si="159"/>
        <v>772</v>
      </c>
      <c r="J2032" t="str">
        <f t="shared" si="159"/>
        <v>77292</v>
      </c>
      <c r="K2032" t="str">
        <f t="shared" si="156"/>
        <v>7729299</v>
      </c>
      <c r="L2032">
        <v>0</v>
      </c>
    </row>
    <row r="2033" spans="3:12" x14ac:dyDescent="0.25">
      <c r="C2033" t="s">
        <v>3897</v>
      </c>
      <c r="D2033" t="s">
        <v>1864</v>
      </c>
      <c r="E2033" t="s">
        <v>1864</v>
      </c>
      <c r="F2033" s="1" t="s">
        <v>1591</v>
      </c>
      <c r="G2033" t="str">
        <f t="shared" si="159"/>
        <v>N</v>
      </c>
      <c r="H2033" t="str">
        <f t="shared" si="159"/>
        <v>77</v>
      </c>
      <c r="I2033" t="str">
        <f t="shared" si="159"/>
        <v>773</v>
      </c>
      <c r="J2033" t="str">
        <f t="shared" si="159"/>
        <v>77292</v>
      </c>
      <c r="K2033" t="str">
        <f t="shared" si="156"/>
        <v/>
      </c>
    </row>
    <row r="2034" spans="3:12" x14ac:dyDescent="0.25">
      <c r="C2034" t="s">
        <v>1864</v>
      </c>
      <c r="D2034" t="s">
        <v>3898</v>
      </c>
      <c r="E2034" t="s">
        <v>1864</v>
      </c>
      <c r="F2034" s="1" t="s">
        <v>1592</v>
      </c>
      <c r="G2034" t="str">
        <f t="shared" si="159"/>
        <v>N</v>
      </c>
      <c r="H2034" t="str">
        <f t="shared" si="159"/>
        <v>77</v>
      </c>
      <c r="I2034" t="str">
        <f t="shared" si="159"/>
        <v>773</v>
      </c>
      <c r="J2034" t="str">
        <f t="shared" si="159"/>
        <v>77314</v>
      </c>
      <c r="K2034" t="str">
        <f t="shared" si="156"/>
        <v/>
      </c>
    </row>
    <row r="2035" spans="3:12" x14ac:dyDescent="0.25">
      <c r="C2035" t="s">
        <v>1864</v>
      </c>
      <c r="D2035" t="s">
        <v>1864</v>
      </c>
      <c r="E2035" t="s">
        <v>3899</v>
      </c>
      <c r="F2035" s="1" t="s">
        <v>1592</v>
      </c>
      <c r="G2035" t="str">
        <f t="shared" si="159"/>
        <v>N</v>
      </c>
      <c r="H2035" t="str">
        <f t="shared" si="159"/>
        <v>77</v>
      </c>
      <c r="I2035" t="str">
        <f t="shared" si="159"/>
        <v>773</v>
      </c>
      <c r="J2035" t="str">
        <f t="shared" si="159"/>
        <v>77314</v>
      </c>
      <c r="K2035" t="str">
        <f t="shared" si="156"/>
        <v>7731400</v>
      </c>
      <c r="L2035">
        <v>0</v>
      </c>
    </row>
    <row r="2036" spans="3:12" x14ac:dyDescent="0.25">
      <c r="C2036" t="s">
        <v>1864</v>
      </c>
      <c r="D2036" t="s">
        <v>3900</v>
      </c>
      <c r="E2036" t="s">
        <v>1864</v>
      </c>
      <c r="F2036" s="1" t="s">
        <v>1593</v>
      </c>
      <c r="G2036" t="str">
        <f t="shared" si="159"/>
        <v>N</v>
      </c>
      <c r="H2036" t="str">
        <f t="shared" si="159"/>
        <v>77</v>
      </c>
      <c r="I2036" t="str">
        <f t="shared" si="159"/>
        <v>773</v>
      </c>
      <c r="J2036" t="str">
        <f t="shared" si="159"/>
        <v>77322</v>
      </c>
      <c r="K2036" t="str">
        <f t="shared" si="156"/>
        <v/>
      </c>
    </row>
    <row r="2037" spans="3:12" x14ac:dyDescent="0.25">
      <c r="C2037" t="s">
        <v>1864</v>
      </c>
      <c r="D2037" t="s">
        <v>1864</v>
      </c>
      <c r="E2037" t="s">
        <v>3901</v>
      </c>
      <c r="F2037" s="1" t="s">
        <v>1594</v>
      </c>
      <c r="G2037" t="str">
        <f t="shared" si="159"/>
        <v>N</v>
      </c>
      <c r="H2037" t="str">
        <f t="shared" si="159"/>
        <v>77</v>
      </c>
      <c r="I2037" t="str">
        <f t="shared" si="159"/>
        <v>773</v>
      </c>
      <c r="J2037" t="str">
        <f t="shared" si="159"/>
        <v>77322</v>
      </c>
      <c r="K2037" t="str">
        <f t="shared" si="156"/>
        <v>7732201</v>
      </c>
      <c r="L2037">
        <v>0</v>
      </c>
    </row>
    <row r="2038" spans="3:12" x14ac:dyDescent="0.25">
      <c r="C2038" t="s">
        <v>1864</v>
      </c>
      <c r="D2038" t="s">
        <v>1864</v>
      </c>
      <c r="E2038" t="s">
        <v>3902</v>
      </c>
      <c r="F2038" s="1" t="s">
        <v>1595</v>
      </c>
      <c r="G2038" t="str">
        <f t="shared" si="159"/>
        <v>N</v>
      </c>
      <c r="H2038" t="str">
        <f t="shared" si="159"/>
        <v>77</v>
      </c>
      <c r="I2038" t="str">
        <f t="shared" si="159"/>
        <v>773</v>
      </c>
      <c r="J2038" t="str">
        <f t="shared" si="159"/>
        <v>77322</v>
      </c>
      <c r="K2038" t="str">
        <f t="shared" si="156"/>
        <v>7732202</v>
      </c>
      <c r="L2038">
        <v>0</v>
      </c>
    </row>
    <row r="2039" spans="3:12" x14ac:dyDescent="0.25">
      <c r="C2039" t="s">
        <v>1864</v>
      </c>
      <c r="D2039" t="s">
        <v>3903</v>
      </c>
      <c r="E2039" t="s">
        <v>1864</v>
      </c>
      <c r="F2039" s="1" t="s">
        <v>1596</v>
      </c>
      <c r="G2039" t="str">
        <f t="shared" si="159"/>
        <v>N</v>
      </c>
      <c r="H2039" t="str">
        <f t="shared" si="159"/>
        <v>77</v>
      </c>
      <c r="I2039" t="str">
        <f t="shared" si="159"/>
        <v>773</v>
      </c>
      <c r="J2039" t="str">
        <f t="shared" si="159"/>
        <v>77331</v>
      </c>
      <c r="K2039" t="str">
        <f t="shared" si="156"/>
        <v/>
      </c>
    </row>
    <row r="2040" spans="3:12" x14ac:dyDescent="0.25">
      <c r="C2040" t="s">
        <v>1864</v>
      </c>
      <c r="D2040" t="s">
        <v>1864</v>
      </c>
      <c r="E2040" t="s">
        <v>3904</v>
      </c>
      <c r="F2040" s="1" t="s">
        <v>1596</v>
      </c>
      <c r="G2040" t="str">
        <f t="shared" si="159"/>
        <v>N</v>
      </c>
      <c r="H2040" t="str">
        <f t="shared" si="159"/>
        <v>77</v>
      </c>
      <c r="I2040" t="str">
        <f t="shared" si="159"/>
        <v>773</v>
      </c>
      <c r="J2040" t="str">
        <f t="shared" si="159"/>
        <v>77331</v>
      </c>
      <c r="K2040" t="str">
        <f t="shared" si="156"/>
        <v>7733100</v>
      </c>
      <c r="L2040">
        <v>0</v>
      </c>
    </row>
    <row r="2041" spans="3:12" x14ac:dyDescent="0.25">
      <c r="C2041" t="s">
        <v>1864</v>
      </c>
      <c r="D2041" t="s">
        <v>3905</v>
      </c>
      <c r="E2041" t="s">
        <v>1864</v>
      </c>
      <c r="F2041" s="1" t="s">
        <v>1597</v>
      </c>
      <c r="G2041" t="str">
        <f t="shared" ref="G2041:J2056" si="160">IF(A2041="",G2040,A2041)</f>
        <v>N</v>
      </c>
      <c r="H2041" t="str">
        <f t="shared" si="160"/>
        <v>77</v>
      </c>
      <c r="I2041" t="str">
        <f t="shared" si="160"/>
        <v>773</v>
      </c>
      <c r="J2041" t="str">
        <f t="shared" si="160"/>
        <v>77390</v>
      </c>
      <c r="K2041" t="str">
        <f t="shared" si="156"/>
        <v/>
      </c>
    </row>
    <row r="2042" spans="3:12" x14ac:dyDescent="0.25">
      <c r="C2042" t="s">
        <v>1864</v>
      </c>
      <c r="D2042" t="s">
        <v>1864</v>
      </c>
      <c r="E2042" t="s">
        <v>3906</v>
      </c>
      <c r="F2042" s="1" t="s">
        <v>1598</v>
      </c>
      <c r="G2042" t="str">
        <f t="shared" si="160"/>
        <v>N</v>
      </c>
      <c r="H2042" t="str">
        <f t="shared" si="160"/>
        <v>77</v>
      </c>
      <c r="I2042" t="str">
        <f t="shared" si="160"/>
        <v>773</v>
      </c>
      <c r="J2042" t="str">
        <f t="shared" si="160"/>
        <v>77390</v>
      </c>
      <c r="K2042" t="str">
        <f t="shared" si="156"/>
        <v>7739001</v>
      </c>
      <c r="L2042">
        <v>0</v>
      </c>
    </row>
    <row r="2043" spans="3:12" x14ac:dyDescent="0.25">
      <c r="C2043" t="s">
        <v>1864</v>
      </c>
      <c r="D2043" t="s">
        <v>1864</v>
      </c>
      <c r="E2043" t="s">
        <v>3907</v>
      </c>
      <c r="F2043" s="1" t="s">
        <v>1599</v>
      </c>
      <c r="G2043" t="str">
        <f t="shared" si="160"/>
        <v>N</v>
      </c>
      <c r="H2043" t="str">
        <f t="shared" si="160"/>
        <v>77</v>
      </c>
      <c r="I2043" t="str">
        <f t="shared" si="160"/>
        <v>773</v>
      </c>
      <c r="J2043" t="str">
        <f t="shared" si="160"/>
        <v>77390</v>
      </c>
      <c r="K2043" t="str">
        <f t="shared" si="156"/>
        <v>7739002</v>
      </c>
      <c r="L2043">
        <v>0</v>
      </c>
    </row>
    <row r="2044" spans="3:12" x14ac:dyDescent="0.25">
      <c r="C2044" t="s">
        <v>1864</v>
      </c>
      <c r="D2044" t="s">
        <v>1864</v>
      </c>
      <c r="E2044" t="s">
        <v>3908</v>
      </c>
      <c r="F2044" s="1" t="s">
        <v>1600</v>
      </c>
      <c r="G2044" t="str">
        <f t="shared" si="160"/>
        <v>N</v>
      </c>
      <c r="H2044" t="str">
        <f t="shared" si="160"/>
        <v>77</v>
      </c>
      <c r="I2044" t="str">
        <f t="shared" si="160"/>
        <v>773</v>
      </c>
      <c r="J2044" t="str">
        <f t="shared" si="160"/>
        <v>77390</v>
      </c>
      <c r="K2044" t="str">
        <f t="shared" si="156"/>
        <v>7739003</v>
      </c>
      <c r="L2044">
        <v>0</v>
      </c>
    </row>
    <row r="2045" spans="3:12" x14ac:dyDescent="0.25">
      <c r="C2045" t="s">
        <v>1864</v>
      </c>
      <c r="D2045" t="s">
        <v>1864</v>
      </c>
      <c r="E2045" t="s">
        <v>3909</v>
      </c>
      <c r="F2045" s="1" t="s">
        <v>1601</v>
      </c>
      <c r="G2045" t="str">
        <f t="shared" si="160"/>
        <v>N</v>
      </c>
      <c r="H2045" t="str">
        <f t="shared" si="160"/>
        <v>77</v>
      </c>
      <c r="I2045" t="str">
        <f t="shared" si="160"/>
        <v>773</v>
      </c>
      <c r="J2045" t="str">
        <f t="shared" si="160"/>
        <v>77390</v>
      </c>
      <c r="K2045" t="str">
        <f t="shared" si="156"/>
        <v>7739099</v>
      </c>
      <c r="L2045">
        <v>0</v>
      </c>
    </row>
    <row r="2046" spans="3:12" x14ac:dyDescent="0.25">
      <c r="C2046" t="s">
        <v>3910</v>
      </c>
      <c r="D2046" t="s">
        <v>1864</v>
      </c>
      <c r="E2046" t="s">
        <v>1864</v>
      </c>
      <c r="F2046" s="1" t="s">
        <v>1602</v>
      </c>
      <c r="G2046" t="str">
        <f t="shared" si="160"/>
        <v>N</v>
      </c>
      <c r="H2046" t="str">
        <f t="shared" si="160"/>
        <v>77</v>
      </c>
      <c r="I2046" t="str">
        <f t="shared" si="160"/>
        <v>774</v>
      </c>
      <c r="J2046" t="str">
        <f t="shared" si="160"/>
        <v>77390</v>
      </c>
      <c r="K2046" t="str">
        <f t="shared" si="156"/>
        <v/>
      </c>
    </row>
    <row r="2047" spans="3:12" x14ac:dyDescent="0.25">
      <c r="C2047" t="s">
        <v>1864</v>
      </c>
      <c r="D2047" t="s">
        <v>3911</v>
      </c>
      <c r="E2047" t="s">
        <v>1864</v>
      </c>
      <c r="F2047" s="1" t="s">
        <v>1602</v>
      </c>
      <c r="G2047" t="str">
        <f t="shared" si="160"/>
        <v>N</v>
      </c>
      <c r="H2047" t="str">
        <f t="shared" si="160"/>
        <v>77</v>
      </c>
      <c r="I2047" t="str">
        <f t="shared" si="160"/>
        <v>774</v>
      </c>
      <c r="J2047" t="str">
        <f t="shared" si="160"/>
        <v>77403</v>
      </c>
      <c r="K2047" t="str">
        <f t="shared" si="156"/>
        <v/>
      </c>
    </row>
    <row r="2048" spans="3:12" x14ac:dyDescent="0.25">
      <c r="C2048" t="s">
        <v>1864</v>
      </c>
      <c r="D2048" t="s">
        <v>1864</v>
      </c>
      <c r="E2048" t="s">
        <v>3912</v>
      </c>
      <c r="F2048" s="1" t="s">
        <v>1602</v>
      </c>
      <c r="G2048" t="str">
        <f t="shared" si="160"/>
        <v>N</v>
      </c>
      <c r="H2048" t="str">
        <f t="shared" si="160"/>
        <v>77</v>
      </c>
      <c r="I2048" t="str">
        <f t="shared" si="160"/>
        <v>774</v>
      </c>
      <c r="J2048" t="str">
        <f t="shared" si="160"/>
        <v>77403</v>
      </c>
      <c r="K2048" t="str">
        <f t="shared" si="156"/>
        <v>7740300</v>
      </c>
      <c r="L2048">
        <v>0</v>
      </c>
    </row>
    <row r="2049" spans="2:12" x14ac:dyDescent="0.25">
      <c r="B2049" t="s">
        <v>3913</v>
      </c>
      <c r="C2049" t="s">
        <v>1864</v>
      </c>
      <c r="D2049" t="s">
        <v>1864</v>
      </c>
      <c r="E2049" t="s">
        <v>1864</v>
      </c>
      <c r="F2049" s="1" t="s">
        <v>1603</v>
      </c>
      <c r="G2049" t="str">
        <f t="shared" si="160"/>
        <v>N</v>
      </c>
      <c r="H2049" t="str">
        <f t="shared" si="160"/>
        <v>78</v>
      </c>
      <c r="I2049" t="str">
        <f t="shared" si="160"/>
        <v>774</v>
      </c>
      <c r="J2049" t="str">
        <f t="shared" si="160"/>
        <v>77403</v>
      </c>
      <c r="K2049" t="str">
        <f t="shared" si="156"/>
        <v/>
      </c>
    </row>
    <row r="2050" spans="2:12" x14ac:dyDescent="0.25">
      <c r="C2050" t="s">
        <v>3914</v>
      </c>
      <c r="D2050" t="s">
        <v>1864</v>
      </c>
      <c r="E2050" t="s">
        <v>1864</v>
      </c>
      <c r="F2050" s="1" t="s">
        <v>1604</v>
      </c>
      <c r="G2050" t="str">
        <f t="shared" si="160"/>
        <v>N</v>
      </c>
      <c r="H2050" t="str">
        <f t="shared" si="160"/>
        <v>78</v>
      </c>
      <c r="I2050" t="str">
        <f t="shared" si="160"/>
        <v>781</v>
      </c>
      <c r="J2050" t="str">
        <f t="shared" si="160"/>
        <v>77403</v>
      </c>
      <c r="K2050" t="str">
        <f t="shared" si="156"/>
        <v/>
      </c>
    </row>
    <row r="2051" spans="2:12" x14ac:dyDescent="0.25">
      <c r="C2051" t="s">
        <v>1864</v>
      </c>
      <c r="D2051" t="s">
        <v>3915</v>
      </c>
      <c r="E2051" t="s">
        <v>1864</v>
      </c>
      <c r="F2051" s="1" t="s">
        <v>1604</v>
      </c>
      <c r="G2051" t="str">
        <f t="shared" si="160"/>
        <v>N</v>
      </c>
      <c r="H2051" t="str">
        <f t="shared" si="160"/>
        <v>78</v>
      </c>
      <c r="I2051" t="str">
        <f t="shared" si="160"/>
        <v>781</v>
      </c>
      <c r="J2051" t="str">
        <f t="shared" si="160"/>
        <v>78108</v>
      </c>
      <c r="K2051" t="str">
        <f t="shared" si="156"/>
        <v/>
      </c>
    </row>
    <row r="2052" spans="2:12" x14ac:dyDescent="0.25">
      <c r="C2052" t="s">
        <v>1864</v>
      </c>
      <c r="D2052" t="s">
        <v>1864</v>
      </c>
      <c r="E2052" t="s">
        <v>3916</v>
      </c>
      <c r="F2052" s="1" t="s">
        <v>1604</v>
      </c>
      <c r="G2052" t="str">
        <f t="shared" si="160"/>
        <v>N</v>
      </c>
      <c r="H2052" t="str">
        <f t="shared" si="160"/>
        <v>78</v>
      </c>
      <c r="I2052" t="str">
        <f t="shared" si="160"/>
        <v>781</v>
      </c>
      <c r="J2052" t="str">
        <f t="shared" si="160"/>
        <v>78108</v>
      </c>
      <c r="K2052" t="str">
        <f t="shared" si="156"/>
        <v>7810800</v>
      </c>
      <c r="L2052">
        <v>0</v>
      </c>
    </row>
    <row r="2053" spans="2:12" x14ac:dyDescent="0.25">
      <c r="C2053" t="s">
        <v>3917</v>
      </c>
      <c r="D2053" t="s">
        <v>1864</v>
      </c>
      <c r="E2053" t="s">
        <v>1864</v>
      </c>
      <c r="F2053" s="1" t="s">
        <v>1605</v>
      </c>
      <c r="G2053" t="str">
        <f t="shared" si="160"/>
        <v>N</v>
      </c>
      <c r="H2053" t="str">
        <f t="shared" si="160"/>
        <v>78</v>
      </c>
      <c r="I2053" t="str">
        <f t="shared" si="160"/>
        <v>782</v>
      </c>
      <c r="J2053" t="str">
        <f t="shared" si="160"/>
        <v>78108</v>
      </c>
      <c r="K2053" t="str">
        <f t="shared" si="156"/>
        <v/>
      </c>
    </row>
    <row r="2054" spans="2:12" x14ac:dyDescent="0.25">
      <c r="C2054" t="s">
        <v>1864</v>
      </c>
      <c r="D2054" t="s">
        <v>3918</v>
      </c>
      <c r="E2054" t="s">
        <v>1864</v>
      </c>
      <c r="F2054" s="1" t="s">
        <v>1605</v>
      </c>
      <c r="G2054" t="str">
        <f t="shared" si="160"/>
        <v>N</v>
      </c>
      <c r="H2054" t="str">
        <f t="shared" si="160"/>
        <v>78</v>
      </c>
      <c r="I2054" t="str">
        <f t="shared" si="160"/>
        <v>782</v>
      </c>
      <c r="J2054" t="str">
        <f t="shared" si="160"/>
        <v>78205</v>
      </c>
      <c r="K2054" t="str">
        <f t="shared" si="156"/>
        <v/>
      </c>
    </row>
    <row r="2055" spans="2:12" x14ac:dyDescent="0.25">
      <c r="C2055" t="s">
        <v>1864</v>
      </c>
      <c r="D2055" t="s">
        <v>1864</v>
      </c>
      <c r="E2055" t="s">
        <v>3919</v>
      </c>
      <c r="F2055" s="1" t="s">
        <v>1605</v>
      </c>
      <c r="G2055" t="str">
        <f t="shared" si="160"/>
        <v>N</v>
      </c>
      <c r="H2055" t="str">
        <f t="shared" si="160"/>
        <v>78</v>
      </c>
      <c r="I2055" t="str">
        <f t="shared" si="160"/>
        <v>782</v>
      </c>
      <c r="J2055" t="str">
        <f t="shared" si="160"/>
        <v>78205</v>
      </c>
      <c r="K2055" t="str">
        <f t="shared" si="156"/>
        <v>7820500</v>
      </c>
      <c r="L2055">
        <v>0</v>
      </c>
    </row>
    <row r="2056" spans="2:12" x14ac:dyDescent="0.25">
      <c r="C2056" t="s">
        <v>3920</v>
      </c>
      <c r="D2056" t="s">
        <v>1864</v>
      </c>
      <c r="E2056" t="s">
        <v>1864</v>
      </c>
      <c r="F2056" s="1" t="s">
        <v>1606</v>
      </c>
      <c r="G2056" t="str">
        <f t="shared" si="160"/>
        <v>N</v>
      </c>
      <c r="H2056" t="str">
        <f t="shared" si="160"/>
        <v>78</v>
      </c>
      <c r="I2056" t="str">
        <f t="shared" si="160"/>
        <v>783</v>
      </c>
      <c r="J2056" t="str">
        <f t="shared" si="160"/>
        <v>78205</v>
      </c>
      <c r="K2056" t="str">
        <f t="shared" ref="K2056:K2119" si="161">E2056</f>
        <v/>
      </c>
    </row>
    <row r="2057" spans="2:12" x14ac:dyDescent="0.25">
      <c r="C2057" t="s">
        <v>1864</v>
      </c>
      <c r="D2057" t="s">
        <v>3921</v>
      </c>
      <c r="E2057" t="s">
        <v>1864</v>
      </c>
      <c r="F2057" s="1" t="s">
        <v>1606</v>
      </c>
      <c r="G2057" t="str">
        <f t="shared" ref="G2057:J2072" si="162">IF(A2057="",G2056,A2057)</f>
        <v>N</v>
      </c>
      <c r="H2057" t="str">
        <f t="shared" si="162"/>
        <v>78</v>
      </c>
      <c r="I2057" t="str">
        <f t="shared" si="162"/>
        <v>783</v>
      </c>
      <c r="J2057" t="str">
        <f t="shared" si="162"/>
        <v>78302</v>
      </c>
      <c r="K2057" t="str">
        <f t="shared" si="161"/>
        <v/>
      </c>
    </row>
    <row r="2058" spans="2:12" x14ac:dyDescent="0.25">
      <c r="C2058" t="s">
        <v>1864</v>
      </c>
      <c r="D2058" t="s">
        <v>1864</v>
      </c>
      <c r="E2058" t="s">
        <v>3922</v>
      </c>
      <c r="F2058" s="1" t="s">
        <v>1606</v>
      </c>
      <c r="G2058" t="str">
        <f t="shared" si="162"/>
        <v>N</v>
      </c>
      <c r="H2058" t="str">
        <f t="shared" si="162"/>
        <v>78</v>
      </c>
      <c r="I2058" t="str">
        <f t="shared" si="162"/>
        <v>783</v>
      </c>
      <c r="J2058" t="str">
        <f t="shared" si="162"/>
        <v>78302</v>
      </c>
      <c r="K2058" t="str">
        <f t="shared" si="161"/>
        <v>7830200</v>
      </c>
      <c r="L2058">
        <v>0</v>
      </c>
    </row>
    <row r="2059" spans="2:12" x14ac:dyDescent="0.25">
      <c r="B2059" t="s">
        <v>3923</v>
      </c>
      <c r="C2059" t="s">
        <v>1864</v>
      </c>
      <c r="D2059" t="s">
        <v>1864</v>
      </c>
      <c r="E2059" t="s">
        <v>1864</v>
      </c>
      <c r="F2059" t="s">
        <v>1607</v>
      </c>
      <c r="G2059" t="str">
        <f t="shared" si="162"/>
        <v>N</v>
      </c>
      <c r="H2059" t="str">
        <f t="shared" si="162"/>
        <v>79</v>
      </c>
      <c r="I2059" t="str">
        <f t="shared" si="162"/>
        <v>783</v>
      </c>
      <c r="J2059" t="str">
        <f t="shared" si="162"/>
        <v>78302</v>
      </c>
      <c r="K2059" t="str">
        <f t="shared" si="161"/>
        <v/>
      </c>
    </row>
    <row r="2060" spans="2:12" x14ac:dyDescent="0.25">
      <c r="C2060" t="s">
        <v>3924</v>
      </c>
      <c r="D2060" t="s">
        <v>1864</v>
      </c>
      <c r="E2060" t="s">
        <v>1864</v>
      </c>
      <c r="F2060" t="s">
        <v>1608</v>
      </c>
      <c r="G2060" t="str">
        <f t="shared" si="162"/>
        <v>N</v>
      </c>
      <c r="H2060" t="str">
        <f t="shared" si="162"/>
        <v>79</v>
      </c>
      <c r="I2060" t="str">
        <f t="shared" si="162"/>
        <v>791</v>
      </c>
      <c r="J2060" t="str">
        <f t="shared" si="162"/>
        <v>78302</v>
      </c>
      <c r="K2060" t="str">
        <f t="shared" si="161"/>
        <v/>
      </c>
    </row>
    <row r="2061" spans="2:12" x14ac:dyDescent="0.25">
      <c r="C2061" t="s">
        <v>1864</v>
      </c>
      <c r="D2061" t="s">
        <v>3925</v>
      </c>
      <c r="E2061" t="s">
        <v>1864</v>
      </c>
      <c r="F2061" t="s">
        <v>1609</v>
      </c>
      <c r="G2061" t="str">
        <f t="shared" si="162"/>
        <v>N</v>
      </c>
      <c r="H2061" t="str">
        <f t="shared" si="162"/>
        <v>79</v>
      </c>
      <c r="I2061" t="str">
        <f t="shared" si="162"/>
        <v>791</v>
      </c>
      <c r="J2061" t="str">
        <f t="shared" si="162"/>
        <v>79112</v>
      </c>
      <c r="K2061" t="str">
        <f t="shared" si="161"/>
        <v/>
      </c>
    </row>
    <row r="2062" spans="2:12" x14ac:dyDescent="0.25">
      <c r="C2062" t="s">
        <v>1864</v>
      </c>
      <c r="D2062" t="s">
        <v>1864</v>
      </c>
      <c r="E2062" t="s">
        <v>3926</v>
      </c>
      <c r="F2062" t="s">
        <v>1609</v>
      </c>
      <c r="G2062" t="str">
        <f t="shared" si="162"/>
        <v>N</v>
      </c>
      <c r="H2062" t="str">
        <f t="shared" si="162"/>
        <v>79</v>
      </c>
      <c r="I2062" t="str">
        <f t="shared" si="162"/>
        <v>791</v>
      </c>
      <c r="J2062" t="str">
        <f t="shared" si="162"/>
        <v>79112</v>
      </c>
      <c r="K2062" t="str">
        <f t="shared" si="161"/>
        <v>7911200</v>
      </c>
      <c r="L2062">
        <v>1</v>
      </c>
    </row>
    <row r="2063" spans="2:12" x14ac:dyDescent="0.25">
      <c r="C2063" t="s">
        <v>1864</v>
      </c>
      <c r="D2063" t="s">
        <v>3927</v>
      </c>
      <c r="E2063" t="s">
        <v>1864</v>
      </c>
      <c r="F2063" t="s">
        <v>1610</v>
      </c>
      <c r="G2063" t="str">
        <f t="shared" si="162"/>
        <v>N</v>
      </c>
      <c r="H2063" t="str">
        <f t="shared" si="162"/>
        <v>79</v>
      </c>
      <c r="I2063" t="str">
        <f t="shared" si="162"/>
        <v>791</v>
      </c>
      <c r="J2063" t="str">
        <f t="shared" si="162"/>
        <v>79121</v>
      </c>
      <c r="K2063" t="str">
        <f t="shared" si="161"/>
        <v/>
      </c>
    </row>
    <row r="2064" spans="2:12" x14ac:dyDescent="0.25">
      <c r="C2064" t="s">
        <v>1864</v>
      </c>
      <c r="D2064" t="s">
        <v>1864</v>
      </c>
      <c r="E2064" t="s">
        <v>3928</v>
      </c>
      <c r="F2064" t="s">
        <v>1610</v>
      </c>
      <c r="G2064" t="str">
        <f t="shared" si="162"/>
        <v>N</v>
      </c>
      <c r="H2064" t="str">
        <f t="shared" si="162"/>
        <v>79</v>
      </c>
      <c r="I2064" t="str">
        <f t="shared" si="162"/>
        <v>791</v>
      </c>
      <c r="J2064" t="str">
        <f t="shared" si="162"/>
        <v>79121</v>
      </c>
      <c r="K2064" t="str">
        <f t="shared" si="161"/>
        <v>7912100</v>
      </c>
      <c r="L2064">
        <v>1</v>
      </c>
    </row>
    <row r="2065" spans="2:12" x14ac:dyDescent="0.25">
      <c r="C2065" t="s">
        <v>3929</v>
      </c>
      <c r="D2065" t="s">
        <v>1864</v>
      </c>
      <c r="E2065" t="s">
        <v>1864</v>
      </c>
      <c r="F2065" t="s">
        <v>1611</v>
      </c>
      <c r="G2065" t="str">
        <f t="shared" si="162"/>
        <v>N</v>
      </c>
      <c r="H2065" t="str">
        <f t="shared" si="162"/>
        <v>79</v>
      </c>
      <c r="I2065" t="str">
        <f t="shared" si="162"/>
        <v>799</v>
      </c>
      <c r="J2065" t="str">
        <f t="shared" si="162"/>
        <v>79121</v>
      </c>
      <c r="K2065" t="str">
        <f t="shared" si="161"/>
        <v/>
      </c>
    </row>
    <row r="2066" spans="2:12" x14ac:dyDescent="0.25">
      <c r="C2066" t="s">
        <v>1864</v>
      </c>
      <c r="D2066" t="s">
        <v>3930</v>
      </c>
      <c r="E2066" t="s">
        <v>1864</v>
      </c>
      <c r="F2066" t="s">
        <v>1611</v>
      </c>
      <c r="G2066" t="str">
        <f t="shared" si="162"/>
        <v>N</v>
      </c>
      <c r="H2066" t="str">
        <f t="shared" si="162"/>
        <v>79</v>
      </c>
      <c r="I2066" t="str">
        <f t="shared" si="162"/>
        <v>799</v>
      </c>
      <c r="J2066" t="str">
        <f t="shared" si="162"/>
        <v>79902</v>
      </c>
      <c r="K2066" t="str">
        <f t="shared" si="161"/>
        <v/>
      </c>
    </row>
    <row r="2067" spans="2:12" x14ac:dyDescent="0.25">
      <c r="C2067" t="s">
        <v>1864</v>
      </c>
      <c r="D2067" t="s">
        <v>1864</v>
      </c>
      <c r="E2067" t="s">
        <v>3931</v>
      </c>
      <c r="F2067" t="s">
        <v>1611</v>
      </c>
      <c r="G2067" t="str">
        <f t="shared" si="162"/>
        <v>N</v>
      </c>
      <c r="H2067" t="str">
        <f t="shared" si="162"/>
        <v>79</v>
      </c>
      <c r="I2067" t="str">
        <f t="shared" si="162"/>
        <v>799</v>
      </c>
      <c r="J2067" t="str">
        <f t="shared" si="162"/>
        <v>79902</v>
      </c>
      <c r="K2067" t="str">
        <f t="shared" si="161"/>
        <v>7990200</v>
      </c>
      <c r="L2067">
        <v>1</v>
      </c>
    </row>
    <row r="2068" spans="2:12" x14ac:dyDescent="0.25">
      <c r="B2068" t="s">
        <v>3932</v>
      </c>
      <c r="C2068" t="s">
        <v>1864</v>
      </c>
      <c r="D2068" t="s">
        <v>1864</v>
      </c>
      <c r="E2068" t="s">
        <v>1864</v>
      </c>
      <c r="F2068" s="1" t="s">
        <v>1612</v>
      </c>
      <c r="G2068" t="str">
        <f t="shared" si="162"/>
        <v>N</v>
      </c>
      <c r="H2068" t="str">
        <f t="shared" si="162"/>
        <v>80</v>
      </c>
      <c r="I2068" t="str">
        <f t="shared" si="162"/>
        <v>799</v>
      </c>
      <c r="J2068" t="str">
        <f t="shared" si="162"/>
        <v>79902</v>
      </c>
      <c r="K2068" t="str">
        <f t="shared" si="161"/>
        <v/>
      </c>
    </row>
    <row r="2069" spans="2:12" x14ac:dyDescent="0.25">
      <c r="C2069" t="s">
        <v>3933</v>
      </c>
      <c r="D2069" t="s">
        <v>1864</v>
      </c>
      <c r="E2069" t="s">
        <v>1864</v>
      </c>
      <c r="F2069" s="1" t="s">
        <v>1613</v>
      </c>
      <c r="G2069" t="str">
        <f t="shared" si="162"/>
        <v>N</v>
      </c>
      <c r="H2069" t="str">
        <f t="shared" si="162"/>
        <v>80</v>
      </c>
      <c r="I2069" t="str">
        <f t="shared" si="162"/>
        <v>801</v>
      </c>
      <c r="J2069" t="str">
        <f t="shared" si="162"/>
        <v>79902</v>
      </c>
      <c r="K2069" t="str">
        <f t="shared" si="161"/>
        <v/>
      </c>
    </row>
    <row r="2070" spans="2:12" x14ac:dyDescent="0.25">
      <c r="C2070" t="s">
        <v>1864</v>
      </c>
      <c r="D2070" t="s">
        <v>3934</v>
      </c>
      <c r="E2070" t="s">
        <v>1864</v>
      </c>
      <c r="F2070" s="1" t="s">
        <v>1614</v>
      </c>
      <c r="G2070" t="str">
        <f t="shared" si="162"/>
        <v>N</v>
      </c>
      <c r="H2070" t="str">
        <f t="shared" si="162"/>
        <v>80</v>
      </c>
      <c r="I2070" t="str">
        <f t="shared" si="162"/>
        <v>801</v>
      </c>
      <c r="J2070" t="str">
        <f t="shared" si="162"/>
        <v>80111</v>
      </c>
      <c r="K2070" t="str">
        <f t="shared" si="161"/>
        <v/>
      </c>
    </row>
    <row r="2071" spans="2:12" x14ac:dyDescent="0.25">
      <c r="C2071" t="s">
        <v>1864</v>
      </c>
      <c r="D2071" t="s">
        <v>1864</v>
      </c>
      <c r="E2071" t="s">
        <v>3935</v>
      </c>
      <c r="F2071" s="1" t="s">
        <v>1614</v>
      </c>
      <c r="G2071" t="str">
        <f t="shared" si="162"/>
        <v>N</v>
      </c>
      <c r="H2071" t="str">
        <f t="shared" si="162"/>
        <v>80</v>
      </c>
      <c r="I2071" t="str">
        <f t="shared" si="162"/>
        <v>801</v>
      </c>
      <c r="J2071" t="str">
        <f t="shared" si="162"/>
        <v>80111</v>
      </c>
      <c r="K2071" t="str">
        <f t="shared" si="161"/>
        <v>8011101</v>
      </c>
      <c r="L2071">
        <v>0</v>
      </c>
    </row>
    <row r="2072" spans="2:12" x14ac:dyDescent="0.25">
      <c r="C2072" t="s">
        <v>1864</v>
      </c>
      <c r="D2072" t="s">
        <v>1864</v>
      </c>
      <c r="E2072" t="s">
        <v>3936</v>
      </c>
      <c r="F2072" s="1" t="s">
        <v>1615</v>
      </c>
      <c r="G2072" t="str">
        <f t="shared" si="162"/>
        <v>N</v>
      </c>
      <c r="H2072" t="str">
        <f t="shared" si="162"/>
        <v>80</v>
      </c>
      <c r="I2072" t="str">
        <f t="shared" si="162"/>
        <v>801</v>
      </c>
      <c r="J2072" t="str">
        <f t="shared" si="162"/>
        <v>80111</v>
      </c>
      <c r="K2072" t="str">
        <f t="shared" si="161"/>
        <v>8011102</v>
      </c>
      <c r="L2072">
        <v>0</v>
      </c>
    </row>
    <row r="2073" spans="2:12" x14ac:dyDescent="0.25">
      <c r="C2073" t="s">
        <v>1864</v>
      </c>
      <c r="D2073" t="s">
        <v>3937</v>
      </c>
      <c r="E2073" t="s">
        <v>1864</v>
      </c>
      <c r="F2073" s="1" t="s">
        <v>1616</v>
      </c>
      <c r="G2073" t="str">
        <f t="shared" ref="G2073:J2088" si="163">IF(A2073="",G2072,A2073)</f>
        <v>N</v>
      </c>
      <c r="H2073" t="str">
        <f t="shared" si="163"/>
        <v>80</v>
      </c>
      <c r="I2073" t="str">
        <f t="shared" si="163"/>
        <v>801</v>
      </c>
      <c r="J2073" t="str">
        <f t="shared" si="163"/>
        <v>80129</v>
      </c>
      <c r="K2073" t="str">
        <f t="shared" si="161"/>
        <v/>
      </c>
    </row>
    <row r="2074" spans="2:12" x14ac:dyDescent="0.25">
      <c r="C2074" t="s">
        <v>1864</v>
      </c>
      <c r="D2074" t="s">
        <v>1864</v>
      </c>
      <c r="E2074" t="s">
        <v>3938</v>
      </c>
      <c r="F2074" s="1" t="s">
        <v>1616</v>
      </c>
      <c r="G2074" t="str">
        <f t="shared" si="163"/>
        <v>N</v>
      </c>
      <c r="H2074" t="str">
        <f t="shared" si="163"/>
        <v>80</v>
      </c>
      <c r="I2074" t="str">
        <f t="shared" si="163"/>
        <v>801</v>
      </c>
      <c r="J2074" t="str">
        <f t="shared" si="163"/>
        <v>80129</v>
      </c>
      <c r="K2074" t="str">
        <f t="shared" si="161"/>
        <v>8012900</v>
      </c>
      <c r="L2074">
        <v>0</v>
      </c>
    </row>
    <row r="2075" spans="2:12" x14ac:dyDescent="0.25">
      <c r="C2075" t="s">
        <v>3939</v>
      </c>
      <c r="D2075" t="s">
        <v>1864</v>
      </c>
      <c r="E2075" t="s">
        <v>1864</v>
      </c>
      <c r="F2075" s="1" t="s">
        <v>1617</v>
      </c>
      <c r="G2075" t="str">
        <f t="shared" si="163"/>
        <v>N</v>
      </c>
      <c r="H2075" t="str">
        <f t="shared" si="163"/>
        <v>80</v>
      </c>
      <c r="I2075" t="str">
        <f t="shared" si="163"/>
        <v>802</v>
      </c>
      <c r="J2075" t="str">
        <f t="shared" si="163"/>
        <v>80129</v>
      </c>
      <c r="K2075" t="str">
        <f t="shared" si="161"/>
        <v/>
      </c>
    </row>
    <row r="2076" spans="2:12" x14ac:dyDescent="0.25">
      <c r="C2076" t="s">
        <v>1864</v>
      </c>
      <c r="D2076" t="s">
        <v>3940</v>
      </c>
      <c r="E2076" t="s">
        <v>1864</v>
      </c>
      <c r="F2076" s="1" t="s">
        <v>1617</v>
      </c>
      <c r="G2076" t="str">
        <f t="shared" si="163"/>
        <v>N</v>
      </c>
      <c r="H2076" t="str">
        <f t="shared" si="163"/>
        <v>80</v>
      </c>
      <c r="I2076" t="str">
        <f t="shared" si="163"/>
        <v>802</v>
      </c>
      <c r="J2076" t="str">
        <f t="shared" si="163"/>
        <v>80200</v>
      </c>
      <c r="K2076" t="str">
        <f t="shared" si="161"/>
        <v/>
      </c>
    </row>
    <row r="2077" spans="2:12" x14ac:dyDescent="0.25">
      <c r="C2077" t="s">
        <v>1864</v>
      </c>
      <c r="D2077" t="s">
        <v>1864</v>
      </c>
      <c r="E2077" t="s">
        <v>3941</v>
      </c>
      <c r="F2077" s="1" t="s">
        <v>1618</v>
      </c>
      <c r="G2077" t="str">
        <f t="shared" si="163"/>
        <v>N</v>
      </c>
      <c r="H2077" t="str">
        <f t="shared" si="163"/>
        <v>80</v>
      </c>
      <c r="I2077" t="str">
        <f t="shared" si="163"/>
        <v>802</v>
      </c>
      <c r="J2077" t="str">
        <f t="shared" si="163"/>
        <v>80200</v>
      </c>
      <c r="K2077" t="str">
        <f t="shared" si="161"/>
        <v>8020001</v>
      </c>
      <c r="L2077">
        <v>0</v>
      </c>
    </row>
    <row r="2078" spans="2:12" x14ac:dyDescent="0.25">
      <c r="C2078" t="s">
        <v>1864</v>
      </c>
      <c r="D2078" t="s">
        <v>1864</v>
      </c>
      <c r="E2078" t="s">
        <v>3942</v>
      </c>
      <c r="F2078" s="1" t="s">
        <v>1619</v>
      </c>
      <c r="G2078" t="str">
        <f t="shared" si="163"/>
        <v>N</v>
      </c>
      <c r="H2078" t="str">
        <f t="shared" si="163"/>
        <v>80</v>
      </c>
      <c r="I2078" t="str">
        <f t="shared" si="163"/>
        <v>802</v>
      </c>
      <c r="J2078" t="str">
        <f t="shared" si="163"/>
        <v>80200</v>
      </c>
      <c r="K2078" t="str">
        <f t="shared" si="161"/>
        <v>8020002</v>
      </c>
      <c r="L2078">
        <v>0</v>
      </c>
    </row>
    <row r="2079" spans="2:12" x14ac:dyDescent="0.25">
      <c r="C2079" t="s">
        <v>3943</v>
      </c>
      <c r="D2079" t="s">
        <v>1864</v>
      </c>
      <c r="E2079" t="s">
        <v>1864</v>
      </c>
      <c r="F2079" s="1" t="s">
        <v>1620</v>
      </c>
      <c r="G2079" t="str">
        <f t="shared" si="163"/>
        <v>N</v>
      </c>
      <c r="H2079" t="str">
        <f t="shared" si="163"/>
        <v>80</v>
      </c>
      <c r="I2079" t="str">
        <f t="shared" si="163"/>
        <v>803</v>
      </c>
      <c r="J2079" t="str">
        <f t="shared" si="163"/>
        <v>80200</v>
      </c>
      <c r="K2079" t="str">
        <f t="shared" si="161"/>
        <v/>
      </c>
    </row>
    <row r="2080" spans="2:12" x14ac:dyDescent="0.25">
      <c r="C2080" t="s">
        <v>1864</v>
      </c>
      <c r="D2080" t="s">
        <v>3944</v>
      </c>
      <c r="E2080" t="s">
        <v>1864</v>
      </c>
      <c r="F2080" s="1" t="s">
        <v>1620</v>
      </c>
      <c r="G2080" t="str">
        <f t="shared" si="163"/>
        <v>N</v>
      </c>
      <c r="H2080" t="str">
        <f t="shared" si="163"/>
        <v>80</v>
      </c>
      <c r="I2080" t="str">
        <f t="shared" si="163"/>
        <v>803</v>
      </c>
      <c r="J2080" t="str">
        <f t="shared" si="163"/>
        <v>80307</v>
      </c>
      <c r="K2080" t="str">
        <f t="shared" si="161"/>
        <v/>
      </c>
    </row>
    <row r="2081" spans="2:12" x14ac:dyDescent="0.25">
      <c r="C2081" t="s">
        <v>1864</v>
      </c>
      <c r="D2081" t="s">
        <v>1864</v>
      </c>
      <c r="E2081" t="s">
        <v>3945</v>
      </c>
      <c r="F2081" s="1" t="s">
        <v>1620</v>
      </c>
      <c r="G2081" t="str">
        <f t="shared" si="163"/>
        <v>N</v>
      </c>
      <c r="H2081" t="str">
        <f t="shared" si="163"/>
        <v>80</v>
      </c>
      <c r="I2081" t="str">
        <f t="shared" si="163"/>
        <v>803</v>
      </c>
      <c r="J2081" t="str">
        <f t="shared" si="163"/>
        <v>80307</v>
      </c>
      <c r="K2081" t="str">
        <f t="shared" si="161"/>
        <v>8030700</v>
      </c>
      <c r="L2081">
        <v>0</v>
      </c>
    </row>
    <row r="2082" spans="2:12" x14ac:dyDescent="0.25">
      <c r="B2082" t="s">
        <v>3946</v>
      </c>
      <c r="C2082" t="s">
        <v>1864</v>
      </c>
      <c r="D2082" t="s">
        <v>1864</v>
      </c>
      <c r="E2082" t="s">
        <v>1864</v>
      </c>
      <c r="F2082" s="1" t="s">
        <v>1621</v>
      </c>
      <c r="G2082" t="str">
        <f t="shared" si="163"/>
        <v>N</v>
      </c>
      <c r="H2082" t="str">
        <f t="shared" si="163"/>
        <v>81</v>
      </c>
      <c r="I2082" t="str">
        <f t="shared" si="163"/>
        <v>803</v>
      </c>
      <c r="J2082" t="str">
        <f t="shared" si="163"/>
        <v>80307</v>
      </c>
      <c r="K2082" t="str">
        <f t="shared" si="161"/>
        <v/>
      </c>
    </row>
    <row r="2083" spans="2:12" x14ac:dyDescent="0.25">
      <c r="C2083" t="s">
        <v>3947</v>
      </c>
      <c r="D2083" t="s">
        <v>1864</v>
      </c>
      <c r="E2083" t="s">
        <v>1864</v>
      </c>
      <c r="F2083" s="1" t="s">
        <v>1622</v>
      </c>
      <c r="G2083" t="str">
        <f t="shared" si="163"/>
        <v>N</v>
      </c>
      <c r="H2083" t="str">
        <f t="shared" si="163"/>
        <v>81</v>
      </c>
      <c r="I2083" t="str">
        <f t="shared" si="163"/>
        <v>811</v>
      </c>
      <c r="J2083" t="str">
        <f t="shared" si="163"/>
        <v>80307</v>
      </c>
      <c r="K2083" t="str">
        <f t="shared" si="161"/>
        <v/>
      </c>
    </row>
    <row r="2084" spans="2:12" x14ac:dyDescent="0.25">
      <c r="C2084" t="s">
        <v>1864</v>
      </c>
      <c r="D2084" t="s">
        <v>3948</v>
      </c>
      <c r="E2084" t="s">
        <v>1864</v>
      </c>
      <c r="F2084" s="1" t="s">
        <v>1623</v>
      </c>
      <c r="G2084" t="str">
        <f t="shared" si="163"/>
        <v>N</v>
      </c>
      <c r="H2084" t="str">
        <f t="shared" si="163"/>
        <v>81</v>
      </c>
      <c r="I2084" t="str">
        <f t="shared" si="163"/>
        <v>811</v>
      </c>
      <c r="J2084" t="str">
        <f t="shared" si="163"/>
        <v>81117</v>
      </c>
      <c r="K2084" t="str">
        <f t="shared" si="161"/>
        <v/>
      </c>
    </row>
    <row r="2085" spans="2:12" x14ac:dyDescent="0.25">
      <c r="C2085" t="s">
        <v>1864</v>
      </c>
      <c r="D2085" t="s">
        <v>1864</v>
      </c>
      <c r="E2085" t="s">
        <v>3949</v>
      </c>
      <c r="F2085" s="1" t="s">
        <v>1623</v>
      </c>
      <c r="G2085" t="str">
        <f t="shared" si="163"/>
        <v>N</v>
      </c>
      <c r="H2085" t="str">
        <f t="shared" si="163"/>
        <v>81</v>
      </c>
      <c r="I2085" t="str">
        <f t="shared" si="163"/>
        <v>811</v>
      </c>
      <c r="J2085" t="str">
        <f t="shared" si="163"/>
        <v>81117</v>
      </c>
      <c r="K2085" t="str">
        <f t="shared" si="161"/>
        <v>8111700</v>
      </c>
      <c r="L2085">
        <v>0</v>
      </c>
    </row>
    <row r="2086" spans="2:12" x14ac:dyDescent="0.25">
      <c r="C2086" t="s">
        <v>1864</v>
      </c>
      <c r="D2086" t="s">
        <v>3950</v>
      </c>
      <c r="E2086" t="s">
        <v>1864</v>
      </c>
      <c r="F2086" s="1" t="s">
        <v>1624</v>
      </c>
      <c r="G2086" t="str">
        <f t="shared" si="163"/>
        <v>N</v>
      </c>
      <c r="H2086" t="str">
        <f t="shared" si="163"/>
        <v>81</v>
      </c>
      <c r="I2086" t="str">
        <f t="shared" si="163"/>
        <v>811</v>
      </c>
      <c r="J2086" t="str">
        <f t="shared" si="163"/>
        <v>81125</v>
      </c>
      <c r="K2086" t="str">
        <f t="shared" si="161"/>
        <v/>
      </c>
    </row>
    <row r="2087" spans="2:12" x14ac:dyDescent="0.25">
      <c r="C2087" t="s">
        <v>1864</v>
      </c>
      <c r="D2087" t="s">
        <v>1864</v>
      </c>
      <c r="E2087" t="s">
        <v>3951</v>
      </c>
      <c r="F2087" s="1" t="s">
        <v>1624</v>
      </c>
      <c r="G2087" t="str">
        <f t="shared" si="163"/>
        <v>N</v>
      </c>
      <c r="H2087" t="str">
        <f t="shared" si="163"/>
        <v>81</v>
      </c>
      <c r="I2087" t="str">
        <f t="shared" si="163"/>
        <v>811</v>
      </c>
      <c r="J2087" t="str">
        <f t="shared" si="163"/>
        <v>81125</v>
      </c>
      <c r="K2087" t="str">
        <f t="shared" si="161"/>
        <v>8112500</v>
      </c>
      <c r="L2087">
        <v>0</v>
      </c>
    </row>
    <row r="2088" spans="2:12" x14ac:dyDescent="0.25">
      <c r="C2088" t="s">
        <v>3952</v>
      </c>
      <c r="D2088" t="s">
        <v>1864</v>
      </c>
      <c r="E2088" t="s">
        <v>1864</v>
      </c>
      <c r="F2088" s="1" t="s">
        <v>1625</v>
      </c>
      <c r="G2088" t="str">
        <f t="shared" si="163"/>
        <v>N</v>
      </c>
      <c r="H2088" t="str">
        <f t="shared" si="163"/>
        <v>81</v>
      </c>
      <c r="I2088" t="str">
        <f t="shared" si="163"/>
        <v>812</v>
      </c>
      <c r="J2088" t="str">
        <f t="shared" si="163"/>
        <v>81125</v>
      </c>
      <c r="K2088" t="str">
        <f t="shared" si="161"/>
        <v/>
      </c>
    </row>
    <row r="2089" spans="2:12" x14ac:dyDescent="0.25">
      <c r="C2089" t="s">
        <v>1864</v>
      </c>
      <c r="D2089" t="s">
        <v>3953</v>
      </c>
      <c r="E2089" t="s">
        <v>1864</v>
      </c>
      <c r="F2089" s="1" t="s">
        <v>1626</v>
      </c>
      <c r="G2089" t="str">
        <f t="shared" ref="G2089:J2104" si="164">IF(A2089="",G2088,A2089)</f>
        <v>N</v>
      </c>
      <c r="H2089" t="str">
        <f t="shared" si="164"/>
        <v>81</v>
      </c>
      <c r="I2089" t="str">
        <f t="shared" si="164"/>
        <v>812</v>
      </c>
      <c r="J2089" t="str">
        <f t="shared" si="164"/>
        <v>81214</v>
      </c>
      <c r="K2089" t="str">
        <f t="shared" si="161"/>
        <v/>
      </c>
    </row>
    <row r="2090" spans="2:12" x14ac:dyDescent="0.25">
      <c r="C2090" t="s">
        <v>1864</v>
      </c>
      <c r="D2090" t="s">
        <v>1864</v>
      </c>
      <c r="E2090" t="s">
        <v>3954</v>
      </c>
      <c r="F2090" s="1" t="s">
        <v>1626</v>
      </c>
      <c r="G2090" t="str">
        <f t="shared" si="164"/>
        <v>N</v>
      </c>
      <c r="H2090" t="str">
        <f t="shared" si="164"/>
        <v>81</v>
      </c>
      <c r="I2090" t="str">
        <f t="shared" si="164"/>
        <v>812</v>
      </c>
      <c r="J2090" t="str">
        <f t="shared" si="164"/>
        <v>81214</v>
      </c>
      <c r="K2090" t="str">
        <f t="shared" si="161"/>
        <v>8121400</v>
      </c>
      <c r="L2090">
        <v>0</v>
      </c>
    </row>
    <row r="2091" spans="2:12" x14ac:dyDescent="0.25">
      <c r="C2091" t="s">
        <v>1864</v>
      </c>
      <c r="D2091" t="s">
        <v>3955</v>
      </c>
      <c r="E2091" t="s">
        <v>1864</v>
      </c>
      <c r="F2091" s="1" t="s">
        <v>1627</v>
      </c>
      <c r="G2091" t="str">
        <f t="shared" si="164"/>
        <v>N</v>
      </c>
      <c r="H2091" t="str">
        <f t="shared" si="164"/>
        <v>81</v>
      </c>
      <c r="I2091" t="str">
        <f t="shared" si="164"/>
        <v>812</v>
      </c>
      <c r="J2091" t="str">
        <f t="shared" si="164"/>
        <v>81222</v>
      </c>
      <c r="K2091" t="str">
        <f t="shared" si="161"/>
        <v/>
      </c>
    </row>
    <row r="2092" spans="2:12" x14ac:dyDescent="0.25">
      <c r="C2092" t="s">
        <v>1864</v>
      </c>
      <c r="D2092" t="s">
        <v>1864</v>
      </c>
      <c r="E2092" t="s">
        <v>3956</v>
      </c>
      <c r="F2092" s="1" t="s">
        <v>1627</v>
      </c>
      <c r="G2092" t="str">
        <f t="shared" si="164"/>
        <v>N</v>
      </c>
      <c r="H2092" t="str">
        <f t="shared" si="164"/>
        <v>81</v>
      </c>
      <c r="I2092" t="str">
        <f t="shared" si="164"/>
        <v>812</v>
      </c>
      <c r="J2092" t="str">
        <f t="shared" si="164"/>
        <v>81222</v>
      </c>
      <c r="K2092" t="str">
        <f t="shared" si="161"/>
        <v>8122200</v>
      </c>
      <c r="L2092">
        <v>0</v>
      </c>
    </row>
    <row r="2093" spans="2:12" x14ac:dyDescent="0.25">
      <c r="C2093" t="s">
        <v>1864</v>
      </c>
      <c r="D2093" t="s">
        <v>3957</v>
      </c>
      <c r="E2093" t="s">
        <v>1864</v>
      </c>
      <c r="F2093" s="1" t="s">
        <v>1628</v>
      </c>
      <c r="G2093" t="str">
        <f t="shared" si="164"/>
        <v>N</v>
      </c>
      <c r="H2093" t="str">
        <f t="shared" si="164"/>
        <v>81</v>
      </c>
      <c r="I2093" t="str">
        <f t="shared" si="164"/>
        <v>812</v>
      </c>
      <c r="J2093" t="str">
        <f t="shared" si="164"/>
        <v>81290</v>
      </c>
      <c r="K2093" t="str">
        <f t="shared" si="161"/>
        <v/>
      </c>
    </row>
    <row r="2094" spans="2:12" x14ac:dyDescent="0.25">
      <c r="C2094" t="s">
        <v>1864</v>
      </c>
      <c r="D2094" t="s">
        <v>1864</v>
      </c>
      <c r="E2094" t="s">
        <v>3958</v>
      </c>
      <c r="F2094" s="1" t="s">
        <v>1628</v>
      </c>
      <c r="G2094" t="str">
        <f t="shared" si="164"/>
        <v>N</v>
      </c>
      <c r="H2094" t="str">
        <f t="shared" si="164"/>
        <v>81</v>
      </c>
      <c r="I2094" t="str">
        <f t="shared" si="164"/>
        <v>812</v>
      </c>
      <c r="J2094" t="str">
        <f t="shared" si="164"/>
        <v>81290</v>
      </c>
      <c r="K2094" t="str">
        <f t="shared" si="161"/>
        <v>8129000</v>
      </c>
      <c r="L2094">
        <v>0</v>
      </c>
    </row>
    <row r="2095" spans="2:12" x14ac:dyDescent="0.25">
      <c r="C2095" t="s">
        <v>3959</v>
      </c>
      <c r="D2095" t="s">
        <v>1864</v>
      </c>
      <c r="E2095" t="s">
        <v>1864</v>
      </c>
      <c r="F2095" s="1" t="s">
        <v>1629</v>
      </c>
      <c r="G2095" t="str">
        <f t="shared" si="164"/>
        <v>N</v>
      </c>
      <c r="H2095" t="str">
        <f t="shared" si="164"/>
        <v>81</v>
      </c>
      <c r="I2095" t="str">
        <f t="shared" si="164"/>
        <v>813</v>
      </c>
      <c r="J2095" t="str">
        <f t="shared" si="164"/>
        <v>81290</v>
      </c>
      <c r="K2095" t="str">
        <f t="shared" si="161"/>
        <v/>
      </c>
    </row>
    <row r="2096" spans="2:12" x14ac:dyDescent="0.25">
      <c r="C2096" t="s">
        <v>1864</v>
      </c>
      <c r="D2096" t="s">
        <v>3960</v>
      </c>
      <c r="E2096" t="s">
        <v>1864</v>
      </c>
      <c r="F2096" s="1" t="s">
        <v>1629</v>
      </c>
      <c r="G2096" t="str">
        <f t="shared" si="164"/>
        <v>N</v>
      </c>
      <c r="H2096" t="str">
        <f t="shared" si="164"/>
        <v>81</v>
      </c>
      <c r="I2096" t="str">
        <f t="shared" si="164"/>
        <v>813</v>
      </c>
      <c r="J2096" t="str">
        <f t="shared" si="164"/>
        <v>81303</v>
      </c>
      <c r="K2096" t="str">
        <f t="shared" si="161"/>
        <v/>
      </c>
    </row>
    <row r="2097" spans="2:12" x14ac:dyDescent="0.25">
      <c r="C2097" t="s">
        <v>1864</v>
      </c>
      <c r="D2097" t="s">
        <v>1864</v>
      </c>
      <c r="E2097" t="s">
        <v>3961</v>
      </c>
      <c r="F2097" s="1" t="s">
        <v>1629</v>
      </c>
      <c r="G2097" t="str">
        <f t="shared" si="164"/>
        <v>N</v>
      </c>
      <c r="H2097" t="str">
        <f t="shared" si="164"/>
        <v>81</v>
      </c>
      <c r="I2097" t="str">
        <f t="shared" si="164"/>
        <v>813</v>
      </c>
      <c r="J2097" t="str">
        <f t="shared" si="164"/>
        <v>81303</v>
      </c>
      <c r="K2097" t="str">
        <f t="shared" si="161"/>
        <v>8130300</v>
      </c>
      <c r="L2097">
        <v>0</v>
      </c>
    </row>
    <row r="2098" spans="2:12" x14ac:dyDescent="0.25">
      <c r="B2098" t="s">
        <v>3962</v>
      </c>
      <c r="C2098" t="s">
        <v>1864</v>
      </c>
      <c r="D2098" t="s">
        <v>1864</v>
      </c>
      <c r="E2098" t="s">
        <v>1864</v>
      </c>
      <c r="F2098" s="1" t="s">
        <v>1630</v>
      </c>
      <c r="G2098" t="str">
        <f t="shared" si="164"/>
        <v>N</v>
      </c>
      <c r="H2098" t="str">
        <f t="shared" si="164"/>
        <v>82</v>
      </c>
      <c r="I2098" t="str">
        <f t="shared" si="164"/>
        <v>813</v>
      </c>
      <c r="J2098" t="str">
        <f t="shared" si="164"/>
        <v>81303</v>
      </c>
      <c r="K2098" t="str">
        <f t="shared" si="161"/>
        <v/>
      </c>
    </row>
    <row r="2099" spans="2:12" x14ac:dyDescent="0.25">
      <c r="C2099" t="s">
        <v>3963</v>
      </c>
      <c r="D2099" t="s">
        <v>1864</v>
      </c>
      <c r="E2099" t="s">
        <v>1864</v>
      </c>
      <c r="F2099" s="1" t="s">
        <v>1631</v>
      </c>
      <c r="G2099" t="str">
        <f t="shared" si="164"/>
        <v>N</v>
      </c>
      <c r="H2099" t="str">
        <f t="shared" si="164"/>
        <v>82</v>
      </c>
      <c r="I2099" t="str">
        <f t="shared" si="164"/>
        <v>821</v>
      </c>
      <c r="J2099" t="str">
        <f t="shared" si="164"/>
        <v>81303</v>
      </c>
      <c r="K2099" t="str">
        <f t="shared" si="161"/>
        <v/>
      </c>
    </row>
    <row r="2100" spans="2:12" x14ac:dyDescent="0.25">
      <c r="C2100" t="s">
        <v>1864</v>
      </c>
      <c r="D2100" t="s">
        <v>3964</v>
      </c>
      <c r="E2100" t="s">
        <v>1864</v>
      </c>
      <c r="F2100" s="1" t="s">
        <v>1632</v>
      </c>
      <c r="G2100" t="str">
        <f t="shared" si="164"/>
        <v>N</v>
      </c>
      <c r="H2100" t="str">
        <f t="shared" si="164"/>
        <v>82</v>
      </c>
      <c r="I2100" t="str">
        <f t="shared" si="164"/>
        <v>821</v>
      </c>
      <c r="J2100" t="str">
        <f t="shared" si="164"/>
        <v>82113</v>
      </c>
      <c r="K2100" t="str">
        <f t="shared" si="161"/>
        <v/>
      </c>
    </row>
    <row r="2101" spans="2:12" x14ac:dyDescent="0.25">
      <c r="C2101" t="s">
        <v>1864</v>
      </c>
      <c r="D2101" t="s">
        <v>1864</v>
      </c>
      <c r="E2101" t="s">
        <v>3965</v>
      </c>
      <c r="F2101" s="1" t="s">
        <v>1632</v>
      </c>
      <c r="G2101" t="str">
        <f t="shared" si="164"/>
        <v>N</v>
      </c>
      <c r="H2101" t="str">
        <f t="shared" si="164"/>
        <v>82</v>
      </c>
      <c r="I2101" t="str">
        <f t="shared" si="164"/>
        <v>821</v>
      </c>
      <c r="J2101" t="str">
        <f t="shared" si="164"/>
        <v>82113</v>
      </c>
      <c r="K2101" t="str">
        <f t="shared" si="161"/>
        <v>8211300</v>
      </c>
      <c r="L2101">
        <v>0</v>
      </c>
    </row>
    <row r="2102" spans="2:12" x14ac:dyDescent="0.25">
      <c r="C2102" t="s">
        <v>1864</v>
      </c>
      <c r="D2102" t="s">
        <v>3966</v>
      </c>
      <c r="E2102" t="s">
        <v>1864</v>
      </c>
      <c r="F2102" s="1" t="s">
        <v>1633</v>
      </c>
      <c r="G2102" t="str">
        <f t="shared" si="164"/>
        <v>N</v>
      </c>
      <c r="H2102" t="str">
        <f t="shared" si="164"/>
        <v>82</v>
      </c>
      <c r="I2102" t="str">
        <f t="shared" si="164"/>
        <v>821</v>
      </c>
      <c r="J2102" t="str">
        <f t="shared" si="164"/>
        <v>82199</v>
      </c>
      <c r="K2102" t="str">
        <f t="shared" si="161"/>
        <v/>
      </c>
    </row>
    <row r="2103" spans="2:12" x14ac:dyDescent="0.25">
      <c r="C2103" t="s">
        <v>1864</v>
      </c>
      <c r="D2103" t="s">
        <v>1864</v>
      </c>
      <c r="E2103" t="s">
        <v>3967</v>
      </c>
      <c r="F2103" s="1" t="s">
        <v>1634</v>
      </c>
      <c r="G2103" t="str">
        <f t="shared" si="164"/>
        <v>N</v>
      </c>
      <c r="H2103" t="str">
        <f t="shared" si="164"/>
        <v>82</v>
      </c>
      <c r="I2103" t="str">
        <f t="shared" si="164"/>
        <v>821</v>
      </c>
      <c r="J2103" t="str">
        <f t="shared" si="164"/>
        <v>82199</v>
      </c>
      <c r="K2103" t="str">
        <f t="shared" si="161"/>
        <v>8219901</v>
      </c>
      <c r="L2103">
        <v>0</v>
      </c>
    </row>
    <row r="2104" spans="2:12" x14ac:dyDescent="0.25">
      <c r="C2104" t="s">
        <v>1864</v>
      </c>
      <c r="D2104" t="s">
        <v>1864</v>
      </c>
      <c r="E2104" t="s">
        <v>3968</v>
      </c>
      <c r="F2104" s="1" t="s">
        <v>1635</v>
      </c>
      <c r="G2104" t="str">
        <f t="shared" si="164"/>
        <v>N</v>
      </c>
      <c r="H2104" t="str">
        <f t="shared" si="164"/>
        <v>82</v>
      </c>
      <c r="I2104" t="str">
        <f t="shared" si="164"/>
        <v>821</v>
      </c>
      <c r="J2104" t="str">
        <f t="shared" si="164"/>
        <v>82199</v>
      </c>
      <c r="K2104" t="str">
        <f t="shared" si="161"/>
        <v>8219999</v>
      </c>
      <c r="L2104">
        <v>0</v>
      </c>
    </row>
    <row r="2105" spans="2:12" x14ac:dyDescent="0.25">
      <c r="C2105" t="s">
        <v>3969</v>
      </c>
      <c r="D2105" t="s">
        <v>1864</v>
      </c>
      <c r="E2105" t="s">
        <v>1864</v>
      </c>
      <c r="F2105" s="1" t="s">
        <v>1636</v>
      </c>
      <c r="G2105" t="str">
        <f t="shared" ref="G2105:J2120" si="165">IF(A2105="",G2104,A2105)</f>
        <v>N</v>
      </c>
      <c r="H2105" t="str">
        <f t="shared" si="165"/>
        <v>82</v>
      </c>
      <c r="I2105" t="str">
        <f t="shared" si="165"/>
        <v>822</v>
      </c>
      <c r="J2105" t="str">
        <f t="shared" si="165"/>
        <v>82199</v>
      </c>
      <c r="K2105" t="str">
        <f t="shared" si="161"/>
        <v/>
      </c>
    </row>
    <row r="2106" spans="2:12" x14ac:dyDescent="0.25">
      <c r="C2106" t="s">
        <v>1864</v>
      </c>
      <c r="D2106" t="s">
        <v>3970</v>
      </c>
      <c r="E2106" t="s">
        <v>1864</v>
      </c>
      <c r="F2106" s="1" t="s">
        <v>1636</v>
      </c>
      <c r="G2106" t="str">
        <f t="shared" si="165"/>
        <v>N</v>
      </c>
      <c r="H2106" t="str">
        <f t="shared" si="165"/>
        <v>82</v>
      </c>
      <c r="I2106" t="str">
        <f t="shared" si="165"/>
        <v>822</v>
      </c>
      <c r="J2106" t="str">
        <f t="shared" si="165"/>
        <v>82202</v>
      </c>
      <c r="K2106" t="str">
        <f t="shared" si="161"/>
        <v/>
      </c>
    </row>
    <row r="2107" spans="2:12" x14ac:dyDescent="0.25">
      <c r="C2107" t="s">
        <v>1864</v>
      </c>
      <c r="D2107" t="s">
        <v>1864</v>
      </c>
      <c r="E2107" t="s">
        <v>3971</v>
      </c>
      <c r="F2107" s="1" t="s">
        <v>1636</v>
      </c>
      <c r="G2107" t="str">
        <f t="shared" si="165"/>
        <v>N</v>
      </c>
      <c r="H2107" t="str">
        <f t="shared" si="165"/>
        <v>82</v>
      </c>
      <c r="I2107" t="str">
        <f t="shared" si="165"/>
        <v>822</v>
      </c>
      <c r="J2107" t="str">
        <f t="shared" si="165"/>
        <v>82202</v>
      </c>
      <c r="K2107" t="str">
        <f t="shared" si="161"/>
        <v>8220200</v>
      </c>
      <c r="L2107">
        <v>0</v>
      </c>
    </row>
    <row r="2108" spans="2:12" x14ac:dyDescent="0.25">
      <c r="C2108" t="s">
        <v>3972</v>
      </c>
      <c r="D2108" t="s">
        <v>1864</v>
      </c>
      <c r="E2108" t="s">
        <v>1864</v>
      </c>
      <c r="F2108" s="1" t="s">
        <v>1637</v>
      </c>
      <c r="G2108" t="str">
        <f t="shared" si="165"/>
        <v>N</v>
      </c>
      <c r="H2108" t="str">
        <f t="shared" si="165"/>
        <v>82</v>
      </c>
      <c r="I2108" t="str">
        <f t="shared" si="165"/>
        <v>823</v>
      </c>
      <c r="J2108" t="str">
        <f t="shared" si="165"/>
        <v>82202</v>
      </c>
      <c r="K2108" t="str">
        <f t="shared" si="161"/>
        <v/>
      </c>
    </row>
    <row r="2109" spans="2:12" x14ac:dyDescent="0.25">
      <c r="C2109" t="s">
        <v>1864</v>
      </c>
      <c r="D2109" t="s">
        <v>3973</v>
      </c>
      <c r="E2109" t="s">
        <v>1864</v>
      </c>
      <c r="F2109" s="1" t="s">
        <v>1637</v>
      </c>
      <c r="G2109" t="str">
        <f t="shared" si="165"/>
        <v>N</v>
      </c>
      <c r="H2109" t="str">
        <f t="shared" si="165"/>
        <v>82</v>
      </c>
      <c r="I2109" t="str">
        <f t="shared" si="165"/>
        <v>823</v>
      </c>
      <c r="J2109" t="str">
        <f t="shared" si="165"/>
        <v>82300</v>
      </c>
      <c r="K2109" t="str">
        <f t="shared" si="161"/>
        <v/>
      </c>
    </row>
    <row r="2110" spans="2:12" x14ac:dyDescent="0.25">
      <c r="C2110" t="s">
        <v>1864</v>
      </c>
      <c r="D2110" t="s">
        <v>1864</v>
      </c>
      <c r="E2110" t="s">
        <v>3974</v>
      </c>
      <c r="F2110" s="1" t="s">
        <v>1638</v>
      </c>
      <c r="G2110" t="str">
        <f t="shared" si="165"/>
        <v>N</v>
      </c>
      <c r="H2110" t="str">
        <f t="shared" si="165"/>
        <v>82</v>
      </c>
      <c r="I2110" t="str">
        <f t="shared" si="165"/>
        <v>823</v>
      </c>
      <c r="J2110" t="str">
        <f t="shared" si="165"/>
        <v>82300</v>
      </c>
      <c r="K2110" t="str">
        <f t="shared" si="161"/>
        <v>8230001</v>
      </c>
      <c r="L2110">
        <v>0</v>
      </c>
    </row>
    <row r="2111" spans="2:12" x14ac:dyDescent="0.25">
      <c r="C2111" t="s">
        <v>1864</v>
      </c>
      <c r="D2111" t="s">
        <v>1864</v>
      </c>
      <c r="E2111" t="s">
        <v>3975</v>
      </c>
      <c r="F2111" s="1" t="s">
        <v>1639</v>
      </c>
      <c r="G2111" t="str">
        <f t="shared" si="165"/>
        <v>N</v>
      </c>
      <c r="H2111" t="str">
        <f t="shared" si="165"/>
        <v>82</v>
      </c>
      <c r="I2111" t="str">
        <f t="shared" si="165"/>
        <v>823</v>
      </c>
      <c r="J2111" t="str">
        <f t="shared" si="165"/>
        <v>82300</v>
      </c>
      <c r="K2111" t="str">
        <f t="shared" si="161"/>
        <v>8230002</v>
      </c>
      <c r="L2111">
        <v>0</v>
      </c>
    </row>
    <row r="2112" spans="2:12" x14ac:dyDescent="0.25">
      <c r="C2112" t="s">
        <v>3976</v>
      </c>
      <c r="D2112" t="s">
        <v>1864</v>
      </c>
      <c r="E2112" t="s">
        <v>1864</v>
      </c>
      <c r="F2112" s="1" t="s">
        <v>1640</v>
      </c>
      <c r="G2112" t="str">
        <f t="shared" si="165"/>
        <v>N</v>
      </c>
      <c r="H2112" t="str">
        <f t="shared" si="165"/>
        <v>82</v>
      </c>
      <c r="I2112" t="str">
        <f t="shared" si="165"/>
        <v>829</v>
      </c>
      <c r="J2112" t="str">
        <f t="shared" si="165"/>
        <v>82300</v>
      </c>
      <c r="K2112" t="str">
        <f t="shared" si="161"/>
        <v/>
      </c>
    </row>
    <row r="2113" spans="1:12" x14ac:dyDescent="0.25">
      <c r="C2113" t="s">
        <v>1864</v>
      </c>
      <c r="D2113" t="s">
        <v>3977</v>
      </c>
      <c r="E2113" t="s">
        <v>1864</v>
      </c>
      <c r="F2113" s="1" t="s">
        <v>1641</v>
      </c>
      <c r="G2113" t="str">
        <f t="shared" si="165"/>
        <v>N</v>
      </c>
      <c r="H2113" t="str">
        <f t="shared" si="165"/>
        <v>82</v>
      </c>
      <c r="I2113" t="str">
        <f t="shared" si="165"/>
        <v>829</v>
      </c>
      <c r="J2113" t="str">
        <f t="shared" si="165"/>
        <v>82911</v>
      </c>
      <c r="K2113" t="str">
        <f t="shared" si="161"/>
        <v/>
      </c>
    </row>
    <row r="2114" spans="1:12" x14ac:dyDescent="0.25">
      <c r="C2114" t="s">
        <v>1864</v>
      </c>
      <c r="D2114" t="s">
        <v>1864</v>
      </c>
      <c r="E2114" t="s">
        <v>3978</v>
      </c>
      <c r="F2114" s="1" t="s">
        <v>1641</v>
      </c>
      <c r="G2114" t="str">
        <f t="shared" si="165"/>
        <v>N</v>
      </c>
      <c r="H2114" t="str">
        <f t="shared" si="165"/>
        <v>82</v>
      </c>
      <c r="I2114" t="str">
        <f t="shared" si="165"/>
        <v>829</v>
      </c>
      <c r="J2114" t="str">
        <f t="shared" si="165"/>
        <v>82911</v>
      </c>
      <c r="K2114" t="str">
        <f t="shared" si="161"/>
        <v>8291100</v>
      </c>
      <c r="L2114">
        <v>0</v>
      </c>
    </row>
    <row r="2115" spans="1:12" x14ac:dyDescent="0.25">
      <c r="C2115" t="s">
        <v>1864</v>
      </c>
      <c r="D2115" t="s">
        <v>3979</v>
      </c>
      <c r="E2115" t="s">
        <v>1864</v>
      </c>
      <c r="F2115" s="1" t="s">
        <v>1642</v>
      </c>
      <c r="G2115" t="str">
        <f t="shared" si="165"/>
        <v>N</v>
      </c>
      <c r="H2115" t="str">
        <f t="shared" si="165"/>
        <v>82</v>
      </c>
      <c r="I2115" t="str">
        <f t="shared" si="165"/>
        <v>829</v>
      </c>
      <c r="J2115" t="str">
        <f t="shared" si="165"/>
        <v>82920</v>
      </c>
      <c r="K2115" t="str">
        <f t="shared" si="161"/>
        <v/>
      </c>
    </row>
    <row r="2116" spans="1:12" x14ac:dyDescent="0.25">
      <c r="C2116" t="s">
        <v>1864</v>
      </c>
      <c r="D2116" t="s">
        <v>1864</v>
      </c>
      <c r="E2116" t="s">
        <v>3980</v>
      </c>
      <c r="F2116" s="1" t="s">
        <v>1642</v>
      </c>
      <c r="G2116" t="str">
        <f t="shared" si="165"/>
        <v>N</v>
      </c>
      <c r="H2116" t="str">
        <f t="shared" si="165"/>
        <v>82</v>
      </c>
      <c r="I2116" t="str">
        <f t="shared" si="165"/>
        <v>829</v>
      </c>
      <c r="J2116" t="str">
        <f t="shared" si="165"/>
        <v>82920</v>
      </c>
      <c r="K2116" t="str">
        <f t="shared" si="161"/>
        <v>8292000</v>
      </c>
      <c r="L2116">
        <v>0</v>
      </c>
    </row>
    <row r="2117" spans="1:12" x14ac:dyDescent="0.25">
      <c r="C2117" t="s">
        <v>1864</v>
      </c>
      <c r="D2117" t="s">
        <v>3981</v>
      </c>
      <c r="E2117" t="s">
        <v>1864</v>
      </c>
      <c r="F2117" s="1" t="s">
        <v>1643</v>
      </c>
      <c r="G2117" t="str">
        <f t="shared" si="165"/>
        <v>N</v>
      </c>
      <c r="H2117" t="str">
        <f t="shared" si="165"/>
        <v>82</v>
      </c>
      <c r="I2117" t="str">
        <f t="shared" si="165"/>
        <v>829</v>
      </c>
      <c r="J2117" t="str">
        <f t="shared" si="165"/>
        <v>82997</v>
      </c>
      <c r="K2117" t="str">
        <f t="shared" si="161"/>
        <v/>
      </c>
    </row>
    <row r="2118" spans="1:12" x14ac:dyDescent="0.25">
      <c r="C2118" t="s">
        <v>1864</v>
      </c>
      <c r="D2118" t="s">
        <v>1864</v>
      </c>
      <c r="E2118" t="s">
        <v>3982</v>
      </c>
      <c r="F2118" s="1" t="s">
        <v>1644</v>
      </c>
      <c r="G2118" t="str">
        <f t="shared" si="165"/>
        <v>N</v>
      </c>
      <c r="H2118" t="str">
        <f t="shared" si="165"/>
        <v>82</v>
      </c>
      <c r="I2118" t="str">
        <f t="shared" si="165"/>
        <v>829</v>
      </c>
      <c r="J2118" t="str">
        <f t="shared" si="165"/>
        <v>82997</v>
      </c>
      <c r="K2118" t="str">
        <f t="shared" si="161"/>
        <v>8299701</v>
      </c>
      <c r="L2118">
        <v>0</v>
      </c>
    </row>
    <row r="2119" spans="1:12" x14ac:dyDescent="0.25">
      <c r="C2119" t="s">
        <v>1864</v>
      </c>
      <c r="D2119" t="s">
        <v>1864</v>
      </c>
      <c r="E2119" t="s">
        <v>3983</v>
      </c>
      <c r="F2119" s="1" t="s">
        <v>1645</v>
      </c>
      <c r="G2119" t="str">
        <f t="shared" si="165"/>
        <v>N</v>
      </c>
      <c r="H2119" t="str">
        <f t="shared" si="165"/>
        <v>82</v>
      </c>
      <c r="I2119" t="str">
        <f t="shared" si="165"/>
        <v>829</v>
      </c>
      <c r="J2119" t="str">
        <f t="shared" si="165"/>
        <v>82997</v>
      </c>
      <c r="K2119" t="str">
        <f t="shared" si="161"/>
        <v>8299702</v>
      </c>
      <c r="L2119">
        <v>0</v>
      </c>
    </row>
    <row r="2120" spans="1:12" x14ac:dyDescent="0.25">
      <c r="C2120" t="s">
        <v>1864</v>
      </c>
      <c r="D2120" t="s">
        <v>1864</v>
      </c>
      <c r="E2120" t="s">
        <v>3984</v>
      </c>
      <c r="F2120" s="1" t="s">
        <v>1646</v>
      </c>
      <c r="G2120" t="str">
        <f t="shared" si="165"/>
        <v>N</v>
      </c>
      <c r="H2120" t="str">
        <f t="shared" si="165"/>
        <v>82</v>
      </c>
      <c r="I2120" t="str">
        <f t="shared" si="165"/>
        <v>829</v>
      </c>
      <c r="J2120" t="str">
        <f t="shared" si="165"/>
        <v>82997</v>
      </c>
      <c r="K2120" t="str">
        <f t="shared" ref="K2120:K2183" si="166">E2120</f>
        <v>8299703</v>
      </c>
      <c r="L2120">
        <v>0</v>
      </c>
    </row>
    <row r="2121" spans="1:12" x14ac:dyDescent="0.25">
      <c r="C2121" t="s">
        <v>1864</v>
      </c>
      <c r="D2121" t="s">
        <v>1864</v>
      </c>
      <c r="E2121" t="s">
        <v>3985</v>
      </c>
      <c r="F2121" s="1" t="s">
        <v>1647</v>
      </c>
      <c r="G2121" t="str">
        <f t="shared" ref="G2121:J2136" si="167">IF(A2121="",G2120,A2121)</f>
        <v>N</v>
      </c>
      <c r="H2121" t="str">
        <f t="shared" si="167"/>
        <v>82</v>
      </c>
      <c r="I2121" t="str">
        <f t="shared" si="167"/>
        <v>829</v>
      </c>
      <c r="J2121" t="str">
        <f t="shared" si="167"/>
        <v>82997</v>
      </c>
      <c r="K2121" t="str">
        <f t="shared" si="166"/>
        <v>8299704</v>
      </c>
      <c r="L2121">
        <v>0</v>
      </c>
    </row>
    <row r="2122" spans="1:12" x14ac:dyDescent="0.25">
      <c r="C2122" t="s">
        <v>1864</v>
      </c>
      <c r="D2122" t="s">
        <v>1864</v>
      </c>
      <c r="E2122" t="s">
        <v>3986</v>
      </c>
      <c r="F2122" s="1" t="s">
        <v>1648</v>
      </c>
      <c r="G2122" t="str">
        <f t="shared" si="167"/>
        <v>N</v>
      </c>
      <c r="H2122" t="str">
        <f t="shared" si="167"/>
        <v>82</v>
      </c>
      <c r="I2122" t="str">
        <f t="shared" si="167"/>
        <v>829</v>
      </c>
      <c r="J2122" t="str">
        <f t="shared" si="167"/>
        <v>82997</v>
      </c>
      <c r="K2122" t="str">
        <f t="shared" si="166"/>
        <v>8299705</v>
      </c>
      <c r="L2122">
        <v>0</v>
      </c>
    </row>
    <row r="2123" spans="1:12" x14ac:dyDescent="0.25">
      <c r="C2123" t="s">
        <v>1864</v>
      </c>
      <c r="D2123" t="s">
        <v>1864</v>
      </c>
      <c r="E2123" t="s">
        <v>3987</v>
      </c>
      <c r="F2123" s="1" t="s">
        <v>1649</v>
      </c>
      <c r="G2123" t="str">
        <f t="shared" si="167"/>
        <v>N</v>
      </c>
      <c r="H2123" t="str">
        <f t="shared" si="167"/>
        <v>82</v>
      </c>
      <c r="I2123" t="str">
        <f t="shared" si="167"/>
        <v>829</v>
      </c>
      <c r="J2123" t="str">
        <f t="shared" si="167"/>
        <v>82997</v>
      </c>
      <c r="K2123" t="str">
        <f t="shared" si="166"/>
        <v>8299706</v>
      </c>
      <c r="L2123">
        <v>0</v>
      </c>
    </row>
    <row r="2124" spans="1:12" x14ac:dyDescent="0.25">
      <c r="C2124" t="s">
        <v>1864</v>
      </c>
      <c r="D2124" t="s">
        <v>1864</v>
      </c>
      <c r="E2124" t="s">
        <v>3988</v>
      </c>
      <c r="F2124" s="1" t="s">
        <v>1650</v>
      </c>
      <c r="G2124" t="str">
        <f t="shared" si="167"/>
        <v>N</v>
      </c>
      <c r="H2124" t="str">
        <f t="shared" si="167"/>
        <v>82</v>
      </c>
      <c r="I2124" t="str">
        <f t="shared" si="167"/>
        <v>829</v>
      </c>
      <c r="J2124" t="str">
        <f t="shared" si="167"/>
        <v>82997</v>
      </c>
      <c r="K2124" t="str">
        <f t="shared" si="166"/>
        <v>8299707</v>
      </c>
      <c r="L2124">
        <v>0</v>
      </c>
    </row>
    <row r="2125" spans="1:12" x14ac:dyDescent="0.25">
      <c r="C2125" t="s">
        <v>1864</v>
      </c>
      <c r="D2125" t="s">
        <v>1864</v>
      </c>
      <c r="E2125" t="s">
        <v>3989</v>
      </c>
      <c r="F2125" s="1" t="s">
        <v>1651</v>
      </c>
      <c r="G2125" t="str">
        <f t="shared" si="167"/>
        <v>N</v>
      </c>
      <c r="H2125" t="str">
        <f t="shared" si="167"/>
        <v>82</v>
      </c>
      <c r="I2125" t="str">
        <f t="shared" si="167"/>
        <v>829</v>
      </c>
      <c r="J2125" t="str">
        <f t="shared" si="167"/>
        <v>82997</v>
      </c>
      <c r="K2125" t="str">
        <f t="shared" si="166"/>
        <v>8299799</v>
      </c>
      <c r="L2125">
        <v>0</v>
      </c>
    </row>
    <row r="2126" spans="1:12" x14ac:dyDescent="0.25">
      <c r="A2126" t="s">
        <v>3990</v>
      </c>
      <c r="C2126" t="s">
        <v>1864</v>
      </c>
      <c r="D2126" t="s">
        <v>1864</v>
      </c>
      <c r="E2126" t="s">
        <v>1864</v>
      </c>
      <c r="F2126" t="s">
        <v>1652</v>
      </c>
      <c r="G2126" t="str">
        <f t="shared" si="167"/>
        <v>O</v>
      </c>
      <c r="H2126" t="str">
        <f t="shared" si="167"/>
        <v>82</v>
      </c>
      <c r="I2126" t="str">
        <f t="shared" si="167"/>
        <v>829</v>
      </c>
      <c r="J2126" t="str">
        <f t="shared" si="167"/>
        <v>82997</v>
      </c>
      <c r="K2126" t="str">
        <f t="shared" si="166"/>
        <v/>
      </c>
    </row>
    <row r="2127" spans="1:12" x14ac:dyDescent="0.25">
      <c r="B2127" t="s">
        <v>3991</v>
      </c>
      <c r="C2127" t="s">
        <v>1864</v>
      </c>
      <c r="D2127" t="s">
        <v>1864</v>
      </c>
      <c r="E2127" t="s">
        <v>1864</v>
      </c>
      <c r="F2127" t="s">
        <v>1652</v>
      </c>
      <c r="G2127" t="str">
        <f t="shared" si="167"/>
        <v>O</v>
      </c>
      <c r="H2127" t="str">
        <f t="shared" si="167"/>
        <v>84</v>
      </c>
      <c r="I2127" t="str">
        <f t="shared" si="167"/>
        <v>829</v>
      </c>
      <c r="J2127" t="str">
        <f t="shared" si="167"/>
        <v>82997</v>
      </c>
      <c r="K2127" t="str">
        <f t="shared" si="166"/>
        <v/>
      </c>
    </row>
    <row r="2128" spans="1:12" x14ac:dyDescent="0.25">
      <c r="C2128" t="s">
        <v>3992</v>
      </c>
      <c r="D2128" t="s">
        <v>1864</v>
      </c>
      <c r="E2128" t="s">
        <v>1864</v>
      </c>
      <c r="F2128" t="s">
        <v>1653</v>
      </c>
      <c r="G2128" t="str">
        <f t="shared" si="167"/>
        <v>O</v>
      </c>
      <c r="H2128" t="str">
        <f t="shared" si="167"/>
        <v>84</v>
      </c>
      <c r="I2128" t="str">
        <f t="shared" si="167"/>
        <v>841</v>
      </c>
      <c r="J2128" t="str">
        <f t="shared" si="167"/>
        <v>82997</v>
      </c>
      <c r="K2128" t="str">
        <f t="shared" si="166"/>
        <v/>
      </c>
    </row>
    <row r="2129" spans="3:12" x14ac:dyDescent="0.25">
      <c r="C2129" t="s">
        <v>1864</v>
      </c>
      <c r="D2129" t="s">
        <v>3993</v>
      </c>
      <c r="E2129" t="s">
        <v>1864</v>
      </c>
      <c r="F2129" t="s">
        <v>1654</v>
      </c>
      <c r="G2129" t="str">
        <f t="shared" si="167"/>
        <v>O</v>
      </c>
      <c r="H2129" t="str">
        <f t="shared" si="167"/>
        <v>84</v>
      </c>
      <c r="I2129" t="str">
        <f t="shared" si="167"/>
        <v>841</v>
      </c>
      <c r="J2129" t="str">
        <f t="shared" si="167"/>
        <v>84116</v>
      </c>
      <c r="K2129" t="str">
        <f t="shared" si="166"/>
        <v/>
      </c>
    </row>
    <row r="2130" spans="3:12" x14ac:dyDescent="0.25">
      <c r="C2130" t="s">
        <v>1864</v>
      </c>
      <c r="D2130" t="s">
        <v>1864</v>
      </c>
      <c r="E2130" t="s">
        <v>3994</v>
      </c>
      <c r="F2130" t="s">
        <v>1654</v>
      </c>
      <c r="G2130" t="str">
        <f t="shared" si="167"/>
        <v>O</v>
      </c>
      <c r="H2130" t="str">
        <f t="shared" si="167"/>
        <v>84</v>
      </c>
      <c r="I2130" t="str">
        <f t="shared" si="167"/>
        <v>841</v>
      </c>
      <c r="J2130" t="str">
        <f t="shared" si="167"/>
        <v>84116</v>
      </c>
      <c r="K2130" t="str">
        <f t="shared" si="166"/>
        <v>8411600</v>
      </c>
      <c r="L2130">
        <v>0</v>
      </c>
    </row>
    <row r="2131" spans="3:12" x14ac:dyDescent="0.25">
      <c r="C2131" t="s">
        <v>1864</v>
      </c>
      <c r="D2131" t="s">
        <v>3995</v>
      </c>
      <c r="E2131" t="s">
        <v>1864</v>
      </c>
      <c r="F2131" t="s">
        <v>1655</v>
      </c>
      <c r="G2131" t="str">
        <f t="shared" si="167"/>
        <v>O</v>
      </c>
      <c r="H2131" t="str">
        <f t="shared" si="167"/>
        <v>84</v>
      </c>
      <c r="I2131" t="str">
        <f t="shared" si="167"/>
        <v>841</v>
      </c>
      <c r="J2131" t="str">
        <f t="shared" si="167"/>
        <v>84124</v>
      </c>
      <c r="K2131" t="str">
        <f t="shared" si="166"/>
        <v/>
      </c>
    </row>
    <row r="2132" spans="3:12" x14ac:dyDescent="0.25">
      <c r="C2132" t="s">
        <v>1864</v>
      </c>
      <c r="D2132" t="s">
        <v>1864</v>
      </c>
      <c r="E2132" t="s">
        <v>3996</v>
      </c>
      <c r="F2132" t="s">
        <v>1655</v>
      </c>
      <c r="G2132" t="str">
        <f t="shared" si="167"/>
        <v>O</v>
      </c>
      <c r="H2132" t="str">
        <f t="shared" si="167"/>
        <v>84</v>
      </c>
      <c r="I2132" t="str">
        <f t="shared" si="167"/>
        <v>841</v>
      </c>
      <c r="J2132" t="str">
        <f t="shared" si="167"/>
        <v>84124</v>
      </c>
      <c r="K2132" t="str">
        <f t="shared" si="166"/>
        <v>8412400</v>
      </c>
      <c r="L2132">
        <v>0</v>
      </c>
    </row>
    <row r="2133" spans="3:12" x14ac:dyDescent="0.25">
      <c r="C2133" t="s">
        <v>1864</v>
      </c>
      <c r="D2133" t="s">
        <v>3997</v>
      </c>
      <c r="E2133" t="s">
        <v>1864</v>
      </c>
      <c r="F2133" t="s">
        <v>1656</v>
      </c>
      <c r="G2133" t="str">
        <f t="shared" si="167"/>
        <v>O</v>
      </c>
      <c r="H2133" t="str">
        <f t="shared" si="167"/>
        <v>84</v>
      </c>
      <c r="I2133" t="str">
        <f t="shared" si="167"/>
        <v>841</v>
      </c>
      <c r="J2133" t="str">
        <f t="shared" si="167"/>
        <v>84132</v>
      </c>
      <c r="K2133" t="str">
        <f t="shared" si="166"/>
        <v/>
      </c>
    </row>
    <row r="2134" spans="3:12" x14ac:dyDescent="0.25">
      <c r="C2134" t="s">
        <v>1864</v>
      </c>
      <c r="D2134" t="s">
        <v>1864</v>
      </c>
      <c r="E2134" t="s">
        <v>3998</v>
      </c>
      <c r="F2134" t="s">
        <v>1656</v>
      </c>
      <c r="G2134" t="str">
        <f t="shared" si="167"/>
        <v>O</v>
      </c>
      <c r="H2134" t="str">
        <f t="shared" si="167"/>
        <v>84</v>
      </c>
      <c r="I2134" t="str">
        <f t="shared" si="167"/>
        <v>841</v>
      </c>
      <c r="J2134" t="str">
        <f t="shared" si="167"/>
        <v>84132</v>
      </c>
      <c r="K2134" t="str">
        <f t="shared" si="166"/>
        <v>8413200</v>
      </c>
      <c r="L2134">
        <v>0</v>
      </c>
    </row>
    <row r="2135" spans="3:12" x14ac:dyDescent="0.25">
      <c r="C2135" t="s">
        <v>3999</v>
      </c>
      <c r="D2135" t="s">
        <v>1864</v>
      </c>
      <c r="E2135" t="s">
        <v>1864</v>
      </c>
      <c r="F2135" t="s">
        <v>1657</v>
      </c>
      <c r="G2135" t="str">
        <f t="shared" si="167"/>
        <v>O</v>
      </c>
      <c r="H2135" t="str">
        <f t="shared" si="167"/>
        <v>84</v>
      </c>
      <c r="I2135" t="str">
        <f t="shared" si="167"/>
        <v>842</v>
      </c>
      <c r="J2135" t="str">
        <f t="shared" si="167"/>
        <v>84132</v>
      </c>
      <c r="K2135" t="str">
        <f t="shared" si="166"/>
        <v/>
      </c>
    </row>
    <row r="2136" spans="3:12" x14ac:dyDescent="0.25">
      <c r="C2136" t="s">
        <v>1864</v>
      </c>
      <c r="D2136" t="s">
        <v>4000</v>
      </c>
      <c r="E2136" t="s">
        <v>1864</v>
      </c>
      <c r="F2136" t="s">
        <v>1658</v>
      </c>
      <c r="G2136" t="str">
        <f t="shared" si="167"/>
        <v>O</v>
      </c>
      <c r="H2136" t="str">
        <f t="shared" si="167"/>
        <v>84</v>
      </c>
      <c r="I2136" t="str">
        <f t="shared" si="167"/>
        <v>842</v>
      </c>
      <c r="J2136" t="str">
        <f t="shared" si="167"/>
        <v>84213</v>
      </c>
      <c r="K2136" t="str">
        <f t="shared" si="166"/>
        <v/>
      </c>
    </row>
    <row r="2137" spans="3:12" x14ac:dyDescent="0.25">
      <c r="C2137" t="s">
        <v>1864</v>
      </c>
      <c r="D2137" t="s">
        <v>1864</v>
      </c>
      <c r="E2137" t="s">
        <v>4001</v>
      </c>
      <c r="F2137" t="s">
        <v>1658</v>
      </c>
      <c r="G2137" t="str">
        <f t="shared" ref="G2137:J2152" si="168">IF(A2137="",G2136,A2137)</f>
        <v>O</v>
      </c>
      <c r="H2137" t="str">
        <f t="shared" si="168"/>
        <v>84</v>
      </c>
      <c r="I2137" t="str">
        <f t="shared" si="168"/>
        <v>842</v>
      </c>
      <c r="J2137" t="str">
        <f t="shared" si="168"/>
        <v>84213</v>
      </c>
      <c r="K2137" t="str">
        <f t="shared" si="166"/>
        <v>8421300</v>
      </c>
      <c r="L2137">
        <v>0</v>
      </c>
    </row>
    <row r="2138" spans="3:12" x14ac:dyDescent="0.25">
      <c r="C2138" t="s">
        <v>1864</v>
      </c>
      <c r="D2138" t="s">
        <v>4002</v>
      </c>
      <c r="E2138" t="s">
        <v>1864</v>
      </c>
      <c r="F2138" t="s">
        <v>1659</v>
      </c>
      <c r="G2138" t="str">
        <f t="shared" si="168"/>
        <v>O</v>
      </c>
      <c r="H2138" t="str">
        <f t="shared" si="168"/>
        <v>84</v>
      </c>
      <c r="I2138" t="str">
        <f t="shared" si="168"/>
        <v>842</v>
      </c>
      <c r="J2138" t="str">
        <f t="shared" si="168"/>
        <v>84221</v>
      </c>
      <c r="K2138" t="str">
        <f t="shared" si="166"/>
        <v/>
      </c>
    </row>
    <row r="2139" spans="3:12" x14ac:dyDescent="0.25">
      <c r="C2139" t="s">
        <v>1864</v>
      </c>
      <c r="D2139" t="s">
        <v>1864</v>
      </c>
      <c r="E2139" t="s">
        <v>4003</v>
      </c>
      <c r="F2139" t="s">
        <v>1659</v>
      </c>
      <c r="G2139" t="str">
        <f t="shared" si="168"/>
        <v>O</v>
      </c>
      <c r="H2139" t="str">
        <f t="shared" si="168"/>
        <v>84</v>
      </c>
      <c r="I2139" t="str">
        <f t="shared" si="168"/>
        <v>842</v>
      </c>
      <c r="J2139" t="str">
        <f t="shared" si="168"/>
        <v>84221</v>
      </c>
      <c r="K2139" t="str">
        <f t="shared" si="166"/>
        <v>8422100</v>
      </c>
      <c r="L2139">
        <v>0</v>
      </c>
    </row>
    <row r="2140" spans="3:12" x14ac:dyDescent="0.25">
      <c r="C2140" t="s">
        <v>1864</v>
      </c>
      <c r="D2140" t="s">
        <v>4004</v>
      </c>
      <c r="E2140" t="s">
        <v>1864</v>
      </c>
      <c r="F2140" t="s">
        <v>1660</v>
      </c>
      <c r="G2140" t="str">
        <f t="shared" si="168"/>
        <v>O</v>
      </c>
      <c r="H2140" t="str">
        <f t="shared" si="168"/>
        <v>84</v>
      </c>
      <c r="I2140" t="str">
        <f t="shared" si="168"/>
        <v>842</v>
      </c>
      <c r="J2140" t="str">
        <f t="shared" si="168"/>
        <v>84230</v>
      </c>
      <c r="K2140" t="str">
        <f t="shared" si="166"/>
        <v/>
      </c>
    </row>
    <row r="2141" spans="3:12" x14ac:dyDescent="0.25">
      <c r="C2141" t="s">
        <v>1864</v>
      </c>
      <c r="D2141" t="s">
        <v>1864</v>
      </c>
      <c r="E2141" t="s">
        <v>4005</v>
      </c>
      <c r="F2141" t="s">
        <v>1660</v>
      </c>
      <c r="G2141" t="str">
        <f t="shared" si="168"/>
        <v>O</v>
      </c>
      <c r="H2141" t="str">
        <f t="shared" si="168"/>
        <v>84</v>
      </c>
      <c r="I2141" t="str">
        <f t="shared" si="168"/>
        <v>842</v>
      </c>
      <c r="J2141" t="str">
        <f t="shared" si="168"/>
        <v>84230</v>
      </c>
      <c r="K2141" t="str">
        <f t="shared" si="166"/>
        <v>8423000</v>
      </c>
      <c r="L2141">
        <v>0</v>
      </c>
    </row>
    <row r="2142" spans="3:12" x14ac:dyDescent="0.25">
      <c r="C2142" t="s">
        <v>1864</v>
      </c>
      <c r="D2142" t="s">
        <v>4006</v>
      </c>
      <c r="E2142" t="s">
        <v>1864</v>
      </c>
      <c r="F2142" t="s">
        <v>1661</v>
      </c>
      <c r="G2142" t="str">
        <f t="shared" si="168"/>
        <v>O</v>
      </c>
      <c r="H2142" t="str">
        <f t="shared" si="168"/>
        <v>84</v>
      </c>
      <c r="I2142" t="str">
        <f t="shared" si="168"/>
        <v>842</v>
      </c>
      <c r="J2142" t="str">
        <f t="shared" si="168"/>
        <v>84248</v>
      </c>
      <c r="K2142" t="str">
        <f t="shared" si="166"/>
        <v/>
      </c>
    </row>
    <row r="2143" spans="3:12" x14ac:dyDescent="0.25">
      <c r="C2143" t="s">
        <v>1864</v>
      </c>
      <c r="D2143" t="s">
        <v>1864</v>
      </c>
      <c r="E2143" t="s">
        <v>4007</v>
      </c>
      <c r="F2143" t="s">
        <v>1661</v>
      </c>
      <c r="G2143" t="str">
        <f t="shared" si="168"/>
        <v>O</v>
      </c>
      <c r="H2143" t="str">
        <f t="shared" si="168"/>
        <v>84</v>
      </c>
      <c r="I2143" t="str">
        <f t="shared" si="168"/>
        <v>842</v>
      </c>
      <c r="J2143" t="str">
        <f t="shared" si="168"/>
        <v>84248</v>
      </c>
      <c r="K2143" t="str">
        <f t="shared" si="166"/>
        <v>8424800</v>
      </c>
      <c r="L2143">
        <v>0</v>
      </c>
    </row>
    <row r="2144" spans="3:12" x14ac:dyDescent="0.25">
      <c r="C2144" t="s">
        <v>1864</v>
      </c>
      <c r="D2144" t="s">
        <v>4008</v>
      </c>
      <c r="E2144" t="s">
        <v>1864</v>
      </c>
      <c r="F2144" t="s">
        <v>1662</v>
      </c>
      <c r="G2144" t="str">
        <f t="shared" si="168"/>
        <v>O</v>
      </c>
      <c r="H2144" t="str">
        <f t="shared" si="168"/>
        <v>84</v>
      </c>
      <c r="I2144" t="str">
        <f t="shared" si="168"/>
        <v>842</v>
      </c>
      <c r="J2144" t="str">
        <f t="shared" si="168"/>
        <v>84256</v>
      </c>
      <c r="K2144" t="str">
        <f t="shared" si="166"/>
        <v/>
      </c>
    </row>
    <row r="2145" spans="1:12" x14ac:dyDescent="0.25">
      <c r="C2145" t="s">
        <v>1864</v>
      </c>
      <c r="D2145" t="s">
        <v>1864</v>
      </c>
      <c r="E2145" t="s">
        <v>4009</v>
      </c>
      <c r="F2145" t="s">
        <v>1662</v>
      </c>
      <c r="G2145" t="str">
        <f t="shared" si="168"/>
        <v>O</v>
      </c>
      <c r="H2145" t="str">
        <f t="shared" si="168"/>
        <v>84</v>
      </c>
      <c r="I2145" t="str">
        <f t="shared" si="168"/>
        <v>842</v>
      </c>
      <c r="J2145" t="str">
        <f t="shared" si="168"/>
        <v>84256</v>
      </c>
      <c r="K2145" t="str">
        <f t="shared" si="166"/>
        <v>8425600</v>
      </c>
      <c r="L2145">
        <v>0</v>
      </c>
    </row>
    <row r="2146" spans="1:12" x14ac:dyDescent="0.25">
      <c r="C2146" t="s">
        <v>4010</v>
      </c>
      <c r="D2146" t="s">
        <v>1864</v>
      </c>
      <c r="E2146" t="s">
        <v>1864</v>
      </c>
      <c r="F2146" t="s">
        <v>1663</v>
      </c>
      <c r="G2146" t="str">
        <f t="shared" si="168"/>
        <v>O</v>
      </c>
      <c r="H2146" t="str">
        <f t="shared" si="168"/>
        <v>84</v>
      </c>
      <c r="I2146" t="str">
        <f t="shared" si="168"/>
        <v>843</v>
      </c>
      <c r="J2146" t="str">
        <f t="shared" si="168"/>
        <v>84256</v>
      </c>
      <c r="K2146" t="str">
        <f t="shared" si="166"/>
        <v/>
      </c>
    </row>
    <row r="2147" spans="1:12" x14ac:dyDescent="0.25">
      <c r="C2147" t="s">
        <v>1864</v>
      </c>
      <c r="D2147" t="s">
        <v>4011</v>
      </c>
      <c r="E2147" t="s">
        <v>1864</v>
      </c>
      <c r="F2147" t="s">
        <v>1663</v>
      </c>
      <c r="G2147" t="str">
        <f t="shared" si="168"/>
        <v>O</v>
      </c>
      <c r="H2147" t="str">
        <f t="shared" si="168"/>
        <v>84</v>
      </c>
      <c r="I2147" t="str">
        <f t="shared" si="168"/>
        <v>843</v>
      </c>
      <c r="J2147" t="str">
        <f t="shared" si="168"/>
        <v>84302</v>
      </c>
      <c r="K2147" t="str">
        <f t="shared" si="166"/>
        <v/>
      </c>
    </row>
    <row r="2148" spans="1:12" x14ac:dyDescent="0.25">
      <c r="C2148" t="s">
        <v>1864</v>
      </c>
      <c r="D2148" t="s">
        <v>1864</v>
      </c>
      <c r="E2148" t="s">
        <v>4012</v>
      </c>
      <c r="F2148" t="s">
        <v>1663</v>
      </c>
      <c r="G2148" t="str">
        <f t="shared" si="168"/>
        <v>O</v>
      </c>
      <c r="H2148" t="str">
        <f t="shared" si="168"/>
        <v>84</v>
      </c>
      <c r="I2148" t="str">
        <f t="shared" si="168"/>
        <v>843</v>
      </c>
      <c r="J2148" t="str">
        <f t="shared" si="168"/>
        <v>84302</v>
      </c>
      <c r="K2148" t="str">
        <f t="shared" si="166"/>
        <v>8430200</v>
      </c>
      <c r="L2148">
        <v>0</v>
      </c>
    </row>
    <row r="2149" spans="1:12" x14ac:dyDescent="0.25">
      <c r="A2149" t="s">
        <v>4013</v>
      </c>
      <c r="C2149" t="s">
        <v>1864</v>
      </c>
      <c r="D2149" t="s">
        <v>1864</v>
      </c>
      <c r="E2149" t="s">
        <v>1864</v>
      </c>
      <c r="F2149" t="s">
        <v>1664</v>
      </c>
      <c r="G2149" t="str">
        <f t="shared" si="168"/>
        <v>P</v>
      </c>
      <c r="H2149" t="str">
        <f t="shared" si="168"/>
        <v>84</v>
      </c>
      <c r="I2149" t="str">
        <f t="shared" si="168"/>
        <v>843</v>
      </c>
      <c r="J2149" t="str">
        <f t="shared" si="168"/>
        <v>84302</v>
      </c>
      <c r="K2149" t="str">
        <f t="shared" si="166"/>
        <v/>
      </c>
    </row>
    <row r="2150" spans="1:12" x14ac:dyDescent="0.25">
      <c r="B2150" t="s">
        <v>4014</v>
      </c>
      <c r="C2150" t="s">
        <v>1864</v>
      </c>
      <c r="D2150" t="s">
        <v>1864</v>
      </c>
      <c r="E2150" t="s">
        <v>1864</v>
      </c>
      <c r="F2150" t="s">
        <v>1664</v>
      </c>
      <c r="G2150" t="str">
        <f t="shared" si="168"/>
        <v>P</v>
      </c>
      <c r="H2150" t="str">
        <f t="shared" si="168"/>
        <v>85</v>
      </c>
      <c r="I2150" t="str">
        <f t="shared" si="168"/>
        <v>843</v>
      </c>
      <c r="J2150" t="str">
        <f t="shared" si="168"/>
        <v>84302</v>
      </c>
      <c r="K2150" t="str">
        <f t="shared" si="166"/>
        <v/>
      </c>
    </row>
    <row r="2151" spans="1:12" x14ac:dyDescent="0.25">
      <c r="C2151" t="s">
        <v>4015</v>
      </c>
      <c r="D2151" t="s">
        <v>1864</v>
      </c>
      <c r="E2151" t="s">
        <v>1864</v>
      </c>
      <c r="F2151" t="s">
        <v>1665</v>
      </c>
      <c r="G2151" t="str">
        <f t="shared" si="168"/>
        <v>P</v>
      </c>
      <c r="H2151" t="str">
        <f t="shared" si="168"/>
        <v>85</v>
      </c>
      <c r="I2151" t="str">
        <f t="shared" si="168"/>
        <v>851</v>
      </c>
      <c r="J2151" t="str">
        <f t="shared" si="168"/>
        <v>84302</v>
      </c>
      <c r="K2151" t="str">
        <f t="shared" si="166"/>
        <v/>
      </c>
    </row>
    <row r="2152" spans="1:12" x14ac:dyDescent="0.25">
      <c r="C2152" t="s">
        <v>1864</v>
      </c>
      <c r="D2152" t="s">
        <v>4016</v>
      </c>
      <c r="E2152" t="s">
        <v>1864</v>
      </c>
      <c r="F2152" t="s">
        <v>1666</v>
      </c>
      <c r="G2152" t="str">
        <f t="shared" si="168"/>
        <v>P</v>
      </c>
      <c r="H2152" t="str">
        <f t="shared" si="168"/>
        <v>85</v>
      </c>
      <c r="I2152" t="str">
        <f t="shared" si="168"/>
        <v>851</v>
      </c>
      <c r="J2152" t="str">
        <f t="shared" si="168"/>
        <v>85112</v>
      </c>
      <c r="K2152" t="str">
        <f t="shared" si="166"/>
        <v/>
      </c>
    </row>
    <row r="2153" spans="1:12" x14ac:dyDescent="0.25">
      <c r="C2153" t="s">
        <v>1864</v>
      </c>
      <c r="D2153" t="s">
        <v>1864</v>
      </c>
      <c r="E2153" t="s">
        <v>4017</v>
      </c>
      <c r="F2153" t="s">
        <v>1666</v>
      </c>
      <c r="G2153" t="str">
        <f t="shared" ref="G2153:J2168" si="169">IF(A2153="",G2152,A2153)</f>
        <v>P</v>
      </c>
      <c r="H2153" t="str">
        <f t="shared" si="169"/>
        <v>85</v>
      </c>
      <c r="I2153" t="str">
        <f t="shared" si="169"/>
        <v>851</v>
      </c>
      <c r="J2153" t="str">
        <f t="shared" si="169"/>
        <v>85112</v>
      </c>
      <c r="K2153" t="str">
        <f t="shared" si="166"/>
        <v>8511200</v>
      </c>
      <c r="L2153">
        <v>1</v>
      </c>
    </row>
    <row r="2154" spans="1:12" x14ac:dyDescent="0.25">
      <c r="C2154" t="s">
        <v>1864</v>
      </c>
      <c r="D2154" t="s">
        <v>4018</v>
      </c>
      <c r="E2154" t="s">
        <v>1864</v>
      </c>
      <c r="F2154" t="s">
        <v>1667</v>
      </c>
      <c r="G2154" t="str">
        <f t="shared" si="169"/>
        <v>P</v>
      </c>
      <c r="H2154" t="str">
        <f t="shared" si="169"/>
        <v>85</v>
      </c>
      <c r="I2154" t="str">
        <f t="shared" si="169"/>
        <v>851</v>
      </c>
      <c r="J2154" t="str">
        <f t="shared" si="169"/>
        <v>85121</v>
      </c>
      <c r="K2154" t="str">
        <f t="shared" si="166"/>
        <v/>
      </c>
    </row>
    <row r="2155" spans="1:12" x14ac:dyDescent="0.25">
      <c r="C2155" t="s">
        <v>1864</v>
      </c>
      <c r="D2155" t="s">
        <v>1864</v>
      </c>
      <c r="E2155" t="s">
        <v>4019</v>
      </c>
      <c r="F2155" t="s">
        <v>1667</v>
      </c>
      <c r="G2155" t="str">
        <f t="shared" si="169"/>
        <v>P</v>
      </c>
      <c r="H2155" t="str">
        <f t="shared" si="169"/>
        <v>85</v>
      </c>
      <c r="I2155" t="str">
        <f t="shared" si="169"/>
        <v>851</v>
      </c>
      <c r="J2155" t="str">
        <f t="shared" si="169"/>
        <v>85121</v>
      </c>
      <c r="K2155" t="str">
        <f t="shared" si="166"/>
        <v>8512100</v>
      </c>
      <c r="L2155">
        <v>1</v>
      </c>
    </row>
    <row r="2156" spans="1:12" x14ac:dyDescent="0.25">
      <c r="C2156" t="s">
        <v>1864</v>
      </c>
      <c r="D2156" t="s">
        <v>4020</v>
      </c>
      <c r="E2156" t="s">
        <v>1864</v>
      </c>
      <c r="F2156" t="s">
        <v>1668</v>
      </c>
      <c r="G2156" t="str">
        <f t="shared" si="169"/>
        <v>P</v>
      </c>
      <c r="H2156" t="str">
        <f t="shared" si="169"/>
        <v>85</v>
      </c>
      <c r="I2156" t="str">
        <f t="shared" si="169"/>
        <v>851</v>
      </c>
      <c r="J2156" t="str">
        <f t="shared" si="169"/>
        <v>85139</v>
      </c>
      <c r="K2156" t="str">
        <f t="shared" si="166"/>
        <v/>
      </c>
    </row>
    <row r="2157" spans="1:12" x14ac:dyDescent="0.25">
      <c r="C2157" t="s">
        <v>1864</v>
      </c>
      <c r="D2157" t="s">
        <v>1864</v>
      </c>
      <c r="E2157" t="s">
        <v>4021</v>
      </c>
      <c r="F2157" t="s">
        <v>1668</v>
      </c>
      <c r="G2157" t="str">
        <f t="shared" si="169"/>
        <v>P</v>
      </c>
      <c r="H2157" t="str">
        <f t="shared" si="169"/>
        <v>85</v>
      </c>
      <c r="I2157" t="str">
        <f t="shared" si="169"/>
        <v>851</v>
      </c>
      <c r="J2157" t="str">
        <f t="shared" si="169"/>
        <v>85139</v>
      </c>
      <c r="K2157" t="str">
        <f t="shared" si="166"/>
        <v>8513900</v>
      </c>
      <c r="L2157">
        <v>1</v>
      </c>
    </row>
    <row r="2158" spans="1:12" x14ac:dyDescent="0.25">
      <c r="C2158" t="s">
        <v>4022</v>
      </c>
      <c r="D2158" t="s">
        <v>1864</v>
      </c>
      <c r="E2158" t="s">
        <v>1864</v>
      </c>
      <c r="F2158" t="s">
        <v>1669</v>
      </c>
      <c r="G2158" t="str">
        <f t="shared" si="169"/>
        <v>P</v>
      </c>
      <c r="H2158" t="str">
        <f t="shared" si="169"/>
        <v>85</v>
      </c>
      <c r="I2158" t="str">
        <f t="shared" si="169"/>
        <v>852</v>
      </c>
      <c r="J2158" t="str">
        <f t="shared" si="169"/>
        <v>85139</v>
      </c>
      <c r="K2158" t="str">
        <f t="shared" si="166"/>
        <v/>
      </c>
    </row>
    <row r="2159" spans="1:12" x14ac:dyDescent="0.25">
      <c r="C2159" t="s">
        <v>1864</v>
      </c>
      <c r="D2159" t="s">
        <v>4023</v>
      </c>
      <c r="E2159" t="s">
        <v>1864</v>
      </c>
      <c r="F2159" t="s">
        <v>1669</v>
      </c>
      <c r="G2159" t="str">
        <f t="shared" si="169"/>
        <v>P</v>
      </c>
      <c r="H2159" t="str">
        <f t="shared" si="169"/>
        <v>85</v>
      </c>
      <c r="I2159" t="str">
        <f t="shared" si="169"/>
        <v>852</v>
      </c>
      <c r="J2159" t="str">
        <f t="shared" si="169"/>
        <v>85201</v>
      </c>
      <c r="K2159" t="str">
        <f t="shared" si="166"/>
        <v/>
      </c>
    </row>
    <row r="2160" spans="1:12" x14ac:dyDescent="0.25">
      <c r="C2160" t="s">
        <v>1864</v>
      </c>
      <c r="D2160" t="s">
        <v>1864</v>
      </c>
      <c r="E2160" t="s">
        <v>4024</v>
      </c>
      <c r="F2160" t="s">
        <v>1669</v>
      </c>
      <c r="G2160" t="str">
        <f t="shared" si="169"/>
        <v>P</v>
      </c>
      <c r="H2160" t="str">
        <f t="shared" si="169"/>
        <v>85</v>
      </c>
      <c r="I2160" t="str">
        <f t="shared" si="169"/>
        <v>852</v>
      </c>
      <c r="J2160" t="str">
        <f t="shared" si="169"/>
        <v>85201</v>
      </c>
      <c r="K2160" t="str">
        <f t="shared" si="166"/>
        <v>8520100</v>
      </c>
      <c r="L2160">
        <v>1</v>
      </c>
    </row>
    <row r="2161" spans="3:12" x14ac:dyDescent="0.25">
      <c r="C2161" t="s">
        <v>4025</v>
      </c>
      <c r="D2161" t="s">
        <v>1864</v>
      </c>
      <c r="E2161" t="s">
        <v>1864</v>
      </c>
      <c r="F2161" t="s">
        <v>1670</v>
      </c>
      <c r="G2161" t="str">
        <f t="shared" si="169"/>
        <v>P</v>
      </c>
      <c r="H2161" t="str">
        <f t="shared" si="169"/>
        <v>85</v>
      </c>
      <c r="I2161" t="str">
        <f t="shared" si="169"/>
        <v>853</v>
      </c>
      <c r="J2161" t="str">
        <f t="shared" si="169"/>
        <v>85201</v>
      </c>
      <c r="K2161" t="str">
        <f t="shared" si="166"/>
        <v/>
      </c>
    </row>
    <row r="2162" spans="3:12" x14ac:dyDescent="0.25">
      <c r="C2162" t="s">
        <v>1864</v>
      </c>
      <c r="D2162" t="s">
        <v>4026</v>
      </c>
      <c r="E2162" t="s">
        <v>1864</v>
      </c>
      <c r="F2162" t="s">
        <v>1671</v>
      </c>
      <c r="G2162" t="str">
        <f t="shared" si="169"/>
        <v>P</v>
      </c>
      <c r="H2162" t="str">
        <f t="shared" si="169"/>
        <v>85</v>
      </c>
      <c r="I2162" t="str">
        <f t="shared" si="169"/>
        <v>853</v>
      </c>
      <c r="J2162" t="str">
        <f t="shared" si="169"/>
        <v>85317</v>
      </c>
      <c r="K2162" t="str">
        <f t="shared" si="166"/>
        <v/>
      </c>
    </row>
    <row r="2163" spans="3:12" x14ac:dyDescent="0.25">
      <c r="C2163" t="s">
        <v>1864</v>
      </c>
      <c r="D2163" t="s">
        <v>1864</v>
      </c>
      <c r="E2163" t="s">
        <v>4027</v>
      </c>
      <c r="F2163" t="s">
        <v>1671</v>
      </c>
      <c r="G2163" t="str">
        <f t="shared" si="169"/>
        <v>P</v>
      </c>
      <c r="H2163" t="str">
        <f t="shared" si="169"/>
        <v>85</v>
      </c>
      <c r="I2163" t="str">
        <f t="shared" si="169"/>
        <v>853</v>
      </c>
      <c r="J2163" t="str">
        <f t="shared" si="169"/>
        <v>85317</v>
      </c>
      <c r="K2163" t="str">
        <f t="shared" si="166"/>
        <v>8531700</v>
      </c>
      <c r="L2163">
        <v>1</v>
      </c>
    </row>
    <row r="2164" spans="3:12" x14ac:dyDescent="0.25">
      <c r="C2164" t="s">
        <v>1864</v>
      </c>
      <c r="D2164" t="s">
        <v>4028</v>
      </c>
      <c r="E2164" t="s">
        <v>1864</v>
      </c>
      <c r="F2164" t="s">
        <v>1672</v>
      </c>
      <c r="G2164" t="str">
        <f t="shared" si="169"/>
        <v>P</v>
      </c>
      <c r="H2164" t="str">
        <f t="shared" si="169"/>
        <v>85</v>
      </c>
      <c r="I2164" t="str">
        <f t="shared" si="169"/>
        <v>853</v>
      </c>
      <c r="J2164" t="str">
        <f t="shared" si="169"/>
        <v>85325</v>
      </c>
      <c r="K2164" t="str">
        <f t="shared" si="166"/>
        <v/>
      </c>
    </row>
    <row r="2165" spans="3:12" x14ac:dyDescent="0.25">
      <c r="C2165" t="s">
        <v>1864</v>
      </c>
      <c r="D2165" t="s">
        <v>1864</v>
      </c>
      <c r="E2165" t="s">
        <v>4029</v>
      </c>
      <c r="F2165" t="s">
        <v>1672</v>
      </c>
      <c r="G2165" t="str">
        <f t="shared" si="169"/>
        <v>P</v>
      </c>
      <c r="H2165" t="str">
        <f t="shared" si="169"/>
        <v>85</v>
      </c>
      <c r="I2165" t="str">
        <f t="shared" si="169"/>
        <v>853</v>
      </c>
      <c r="J2165" t="str">
        <f t="shared" si="169"/>
        <v>85325</v>
      </c>
      <c r="K2165" t="str">
        <f t="shared" si="166"/>
        <v>8532500</v>
      </c>
      <c r="L2165">
        <v>1</v>
      </c>
    </row>
    <row r="2166" spans="3:12" x14ac:dyDescent="0.25">
      <c r="C2166" t="s">
        <v>1864</v>
      </c>
      <c r="D2166" t="s">
        <v>4030</v>
      </c>
      <c r="E2166" t="s">
        <v>1864</v>
      </c>
      <c r="F2166" t="s">
        <v>1673</v>
      </c>
      <c r="G2166" t="str">
        <f t="shared" si="169"/>
        <v>P</v>
      </c>
      <c r="H2166" t="str">
        <f t="shared" si="169"/>
        <v>85</v>
      </c>
      <c r="I2166" t="str">
        <f t="shared" si="169"/>
        <v>853</v>
      </c>
      <c r="J2166" t="str">
        <f t="shared" si="169"/>
        <v>85333</v>
      </c>
      <c r="K2166" t="str">
        <f t="shared" si="166"/>
        <v/>
      </c>
    </row>
    <row r="2167" spans="3:12" x14ac:dyDescent="0.25">
      <c r="C2167" t="s">
        <v>1864</v>
      </c>
      <c r="D2167" t="s">
        <v>1864</v>
      </c>
      <c r="E2167" t="s">
        <v>4031</v>
      </c>
      <c r="F2167" t="s">
        <v>1673</v>
      </c>
      <c r="G2167" t="str">
        <f t="shared" si="169"/>
        <v>P</v>
      </c>
      <c r="H2167" t="str">
        <f t="shared" si="169"/>
        <v>85</v>
      </c>
      <c r="I2167" t="str">
        <f t="shared" si="169"/>
        <v>853</v>
      </c>
      <c r="J2167" t="str">
        <f t="shared" si="169"/>
        <v>85333</v>
      </c>
      <c r="K2167" t="str">
        <f t="shared" si="166"/>
        <v>8533300</v>
      </c>
      <c r="L2167">
        <v>1</v>
      </c>
    </row>
    <row r="2168" spans="3:12" x14ac:dyDescent="0.25">
      <c r="C2168" t="s">
        <v>4032</v>
      </c>
      <c r="D2168" t="s">
        <v>1864</v>
      </c>
      <c r="E2168" t="s">
        <v>1864</v>
      </c>
      <c r="F2168" t="s">
        <v>1674</v>
      </c>
      <c r="G2168" t="str">
        <f t="shared" si="169"/>
        <v>P</v>
      </c>
      <c r="H2168" t="str">
        <f t="shared" si="169"/>
        <v>85</v>
      </c>
      <c r="I2168" t="str">
        <f t="shared" si="169"/>
        <v>854</v>
      </c>
      <c r="J2168" t="str">
        <f t="shared" si="169"/>
        <v>85333</v>
      </c>
      <c r="K2168" t="str">
        <f t="shared" si="166"/>
        <v/>
      </c>
    </row>
    <row r="2169" spans="3:12" x14ac:dyDescent="0.25">
      <c r="C2169" t="s">
        <v>1864</v>
      </c>
      <c r="D2169" t="s">
        <v>4033</v>
      </c>
      <c r="E2169" t="s">
        <v>1864</v>
      </c>
      <c r="F2169" t="s">
        <v>1675</v>
      </c>
      <c r="G2169" t="str">
        <f t="shared" ref="G2169:J2184" si="170">IF(A2169="",G2168,A2169)</f>
        <v>P</v>
      </c>
      <c r="H2169" t="str">
        <f t="shared" si="170"/>
        <v>85</v>
      </c>
      <c r="I2169" t="str">
        <f t="shared" si="170"/>
        <v>854</v>
      </c>
      <c r="J2169" t="str">
        <f t="shared" si="170"/>
        <v>85414</v>
      </c>
      <c r="K2169" t="str">
        <f t="shared" si="166"/>
        <v/>
      </c>
    </row>
    <row r="2170" spans="3:12" x14ac:dyDescent="0.25">
      <c r="C2170" t="s">
        <v>1864</v>
      </c>
      <c r="D2170" t="s">
        <v>1864</v>
      </c>
      <c r="E2170" t="s">
        <v>4034</v>
      </c>
      <c r="F2170" t="s">
        <v>1675</v>
      </c>
      <c r="G2170" t="str">
        <f t="shared" si="170"/>
        <v>P</v>
      </c>
      <c r="H2170" t="str">
        <f t="shared" si="170"/>
        <v>85</v>
      </c>
      <c r="I2170" t="str">
        <f t="shared" si="170"/>
        <v>854</v>
      </c>
      <c r="J2170" t="str">
        <f t="shared" si="170"/>
        <v>85414</v>
      </c>
      <c r="K2170" t="str">
        <f t="shared" si="166"/>
        <v>8541400</v>
      </c>
      <c r="L2170">
        <v>1</v>
      </c>
    </row>
    <row r="2171" spans="3:12" x14ac:dyDescent="0.25">
      <c r="C2171" t="s">
        <v>1864</v>
      </c>
      <c r="D2171" t="s">
        <v>4035</v>
      </c>
      <c r="E2171" t="s">
        <v>1864</v>
      </c>
      <c r="F2171" t="s">
        <v>1676</v>
      </c>
      <c r="G2171" t="str">
        <f t="shared" si="170"/>
        <v>P</v>
      </c>
      <c r="H2171" t="str">
        <f t="shared" si="170"/>
        <v>85</v>
      </c>
      <c r="I2171" t="str">
        <f t="shared" si="170"/>
        <v>854</v>
      </c>
      <c r="J2171" t="str">
        <f t="shared" si="170"/>
        <v>85422</v>
      </c>
      <c r="K2171" t="str">
        <f t="shared" si="166"/>
        <v/>
      </c>
    </row>
    <row r="2172" spans="3:12" x14ac:dyDescent="0.25">
      <c r="C2172" t="s">
        <v>1864</v>
      </c>
      <c r="D2172" t="s">
        <v>1864</v>
      </c>
      <c r="E2172" t="s">
        <v>4036</v>
      </c>
      <c r="F2172" t="s">
        <v>1676</v>
      </c>
      <c r="G2172" t="str">
        <f t="shared" si="170"/>
        <v>P</v>
      </c>
      <c r="H2172" t="str">
        <f t="shared" si="170"/>
        <v>85</v>
      </c>
      <c r="I2172" t="str">
        <f t="shared" si="170"/>
        <v>854</v>
      </c>
      <c r="J2172" t="str">
        <f t="shared" si="170"/>
        <v>85422</v>
      </c>
      <c r="K2172" t="str">
        <f t="shared" si="166"/>
        <v>8542200</v>
      </c>
      <c r="L2172">
        <v>1</v>
      </c>
    </row>
    <row r="2173" spans="3:12" x14ac:dyDescent="0.25">
      <c r="C2173" t="s">
        <v>4037</v>
      </c>
      <c r="D2173" t="s">
        <v>1864</v>
      </c>
      <c r="E2173" t="s">
        <v>1864</v>
      </c>
      <c r="F2173" t="s">
        <v>1677</v>
      </c>
      <c r="G2173" t="str">
        <f t="shared" si="170"/>
        <v>P</v>
      </c>
      <c r="H2173" t="str">
        <f t="shared" si="170"/>
        <v>85</v>
      </c>
      <c r="I2173" t="str">
        <f t="shared" si="170"/>
        <v>855</v>
      </c>
      <c r="J2173" t="str">
        <f t="shared" si="170"/>
        <v>85422</v>
      </c>
      <c r="K2173" t="str">
        <f t="shared" si="166"/>
        <v/>
      </c>
    </row>
    <row r="2174" spans="3:12" x14ac:dyDescent="0.25">
      <c r="C2174" t="s">
        <v>1864</v>
      </c>
      <c r="D2174" t="s">
        <v>4038</v>
      </c>
      <c r="E2174" t="s">
        <v>1864</v>
      </c>
      <c r="F2174" t="s">
        <v>1677</v>
      </c>
      <c r="G2174" t="str">
        <f t="shared" si="170"/>
        <v>P</v>
      </c>
      <c r="H2174" t="str">
        <f t="shared" si="170"/>
        <v>85</v>
      </c>
      <c r="I2174" t="str">
        <f t="shared" si="170"/>
        <v>855</v>
      </c>
      <c r="J2174" t="str">
        <f t="shared" si="170"/>
        <v>85503</v>
      </c>
      <c r="K2174" t="str">
        <f t="shared" si="166"/>
        <v/>
      </c>
    </row>
    <row r="2175" spans="3:12" x14ac:dyDescent="0.25">
      <c r="C2175" t="s">
        <v>1864</v>
      </c>
      <c r="D2175" t="s">
        <v>1864</v>
      </c>
      <c r="E2175" t="s">
        <v>4039</v>
      </c>
      <c r="F2175" t="s">
        <v>1678</v>
      </c>
      <c r="G2175" t="str">
        <f t="shared" si="170"/>
        <v>P</v>
      </c>
      <c r="H2175" t="str">
        <f t="shared" si="170"/>
        <v>85</v>
      </c>
      <c r="I2175" t="str">
        <f t="shared" si="170"/>
        <v>855</v>
      </c>
      <c r="J2175" t="str">
        <f t="shared" si="170"/>
        <v>85503</v>
      </c>
      <c r="K2175" t="str">
        <f t="shared" si="166"/>
        <v>8550301</v>
      </c>
      <c r="L2175">
        <v>1</v>
      </c>
    </row>
    <row r="2176" spans="3:12" x14ac:dyDescent="0.25">
      <c r="C2176" t="s">
        <v>1864</v>
      </c>
      <c r="D2176" t="s">
        <v>1864</v>
      </c>
      <c r="E2176" t="s">
        <v>4040</v>
      </c>
      <c r="F2176" t="s">
        <v>1679</v>
      </c>
      <c r="G2176" t="str">
        <f t="shared" si="170"/>
        <v>P</v>
      </c>
      <c r="H2176" t="str">
        <f t="shared" si="170"/>
        <v>85</v>
      </c>
      <c r="I2176" t="str">
        <f t="shared" si="170"/>
        <v>855</v>
      </c>
      <c r="J2176" t="str">
        <f t="shared" si="170"/>
        <v>85503</v>
      </c>
      <c r="K2176" t="str">
        <f t="shared" si="166"/>
        <v>8550302</v>
      </c>
      <c r="L2176">
        <v>1</v>
      </c>
    </row>
    <row r="2177" spans="3:12" x14ac:dyDescent="0.25">
      <c r="C2177" t="s">
        <v>4041</v>
      </c>
      <c r="D2177" t="s">
        <v>1864</v>
      </c>
      <c r="E2177" t="s">
        <v>1864</v>
      </c>
      <c r="F2177" t="s">
        <v>1680</v>
      </c>
      <c r="G2177" t="str">
        <f t="shared" si="170"/>
        <v>P</v>
      </c>
      <c r="H2177" t="str">
        <f t="shared" si="170"/>
        <v>85</v>
      </c>
      <c r="I2177" t="str">
        <f t="shared" si="170"/>
        <v>859</v>
      </c>
      <c r="J2177" t="str">
        <f t="shared" si="170"/>
        <v>85503</v>
      </c>
      <c r="K2177" t="str">
        <f t="shared" si="166"/>
        <v/>
      </c>
    </row>
    <row r="2178" spans="3:12" x14ac:dyDescent="0.25">
      <c r="C2178" t="s">
        <v>1864</v>
      </c>
      <c r="D2178" t="s">
        <v>4042</v>
      </c>
      <c r="E2178" t="s">
        <v>1864</v>
      </c>
      <c r="F2178" t="s">
        <v>1681</v>
      </c>
      <c r="G2178" t="str">
        <f t="shared" si="170"/>
        <v>P</v>
      </c>
      <c r="H2178" t="str">
        <f t="shared" si="170"/>
        <v>85</v>
      </c>
      <c r="I2178" t="str">
        <f t="shared" si="170"/>
        <v>859</v>
      </c>
      <c r="J2178" t="str">
        <f t="shared" si="170"/>
        <v>85911</v>
      </c>
      <c r="K2178" t="str">
        <f t="shared" si="166"/>
        <v/>
      </c>
    </row>
    <row r="2179" spans="3:12" x14ac:dyDescent="0.25">
      <c r="C2179" t="s">
        <v>1864</v>
      </c>
      <c r="D2179" t="s">
        <v>1864</v>
      </c>
      <c r="E2179" t="s">
        <v>4043</v>
      </c>
      <c r="F2179" t="s">
        <v>1681</v>
      </c>
      <c r="G2179" t="str">
        <f t="shared" si="170"/>
        <v>P</v>
      </c>
      <c r="H2179" t="str">
        <f t="shared" si="170"/>
        <v>85</v>
      </c>
      <c r="I2179" t="str">
        <f t="shared" si="170"/>
        <v>859</v>
      </c>
      <c r="J2179" t="str">
        <f t="shared" si="170"/>
        <v>85911</v>
      </c>
      <c r="K2179" t="str">
        <f t="shared" si="166"/>
        <v>8591100</v>
      </c>
      <c r="L2179">
        <v>1</v>
      </c>
    </row>
    <row r="2180" spans="3:12" x14ac:dyDescent="0.25">
      <c r="C2180" t="s">
        <v>1864</v>
      </c>
      <c r="D2180" t="s">
        <v>4044</v>
      </c>
      <c r="E2180" t="s">
        <v>1864</v>
      </c>
      <c r="F2180" t="s">
        <v>1682</v>
      </c>
      <c r="G2180" t="str">
        <f t="shared" si="170"/>
        <v>P</v>
      </c>
      <c r="H2180" t="str">
        <f t="shared" si="170"/>
        <v>85</v>
      </c>
      <c r="I2180" t="str">
        <f t="shared" si="170"/>
        <v>859</v>
      </c>
      <c r="J2180" t="str">
        <f t="shared" si="170"/>
        <v>85929</v>
      </c>
      <c r="K2180" t="str">
        <f t="shared" si="166"/>
        <v/>
      </c>
    </row>
    <row r="2181" spans="3:12" x14ac:dyDescent="0.25">
      <c r="C2181" t="s">
        <v>1864</v>
      </c>
      <c r="D2181" t="s">
        <v>1864</v>
      </c>
      <c r="E2181" t="s">
        <v>4045</v>
      </c>
      <c r="F2181" t="s">
        <v>1683</v>
      </c>
      <c r="G2181" t="str">
        <f t="shared" si="170"/>
        <v>P</v>
      </c>
      <c r="H2181" t="str">
        <f t="shared" si="170"/>
        <v>85</v>
      </c>
      <c r="I2181" t="str">
        <f t="shared" si="170"/>
        <v>859</v>
      </c>
      <c r="J2181" t="str">
        <f t="shared" si="170"/>
        <v>85929</v>
      </c>
      <c r="K2181" t="str">
        <f t="shared" si="166"/>
        <v>8592901</v>
      </c>
      <c r="L2181">
        <v>1</v>
      </c>
    </row>
    <row r="2182" spans="3:12" x14ac:dyDescent="0.25">
      <c r="C2182" t="s">
        <v>1864</v>
      </c>
      <c r="D2182" t="s">
        <v>1864</v>
      </c>
      <c r="E2182" t="s">
        <v>4046</v>
      </c>
      <c r="F2182" t="s">
        <v>1684</v>
      </c>
      <c r="G2182" t="str">
        <f t="shared" si="170"/>
        <v>P</v>
      </c>
      <c r="H2182" t="str">
        <f t="shared" si="170"/>
        <v>85</v>
      </c>
      <c r="I2182" t="str">
        <f t="shared" si="170"/>
        <v>859</v>
      </c>
      <c r="J2182" t="str">
        <f t="shared" si="170"/>
        <v>85929</v>
      </c>
      <c r="K2182" t="str">
        <f t="shared" si="166"/>
        <v>8592902</v>
      </c>
      <c r="L2182">
        <v>1</v>
      </c>
    </row>
    <row r="2183" spans="3:12" x14ac:dyDescent="0.25">
      <c r="C2183" t="s">
        <v>1864</v>
      </c>
      <c r="D2183" t="s">
        <v>1864</v>
      </c>
      <c r="E2183" t="s">
        <v>4047</v>
      </c>
      <c r="F2183" t="s">
        <v>1685</v>
      </c>
      <c r="G2183" t="str">
        <f t="shared" si="170"/>
        <v>P</v>
      </c>
      <c r="H2183" t="str">
        <f t="shared" si="170"/>
        <v>85</v>
      </c>
      <c r="I2183" t="str">
        <f t="shared" si="170"/>
        <v>859</v>
      </c>
      <c r="J2183" t="str">
        <f t="shared" si="170"/>
        <v>85929</v>
      </c>
      <c r="K2183" t="str">
        <f t="shared" si="166"/>
        <v>8592903</v>
      </c>
      <c r="L2183">
        <v>1</v>
      </c>
    </row>
    <row r="2184" spans="3:12" x14ac:dyDescent="0.25">
      <c r="C2184" t="s">
        <v>1864</v>
      </c>
      <c r="D2184" t="s">
        <v>1864</v>
      </c>
      <c r="E2184" t="s">
        <v>4048</v>
      </c>
      <c r="F2184" t="s">
        <v>1686</v>
      </c>
      <c r="G2184" t="str">
        <f t="shared" si="170"/>
        <v>P</v>
      </c>
      <c r="H2184" t="str">
        <f t="shared" si="170"/>
        <v>85</v>
      </c>
      <c r="I2184" t="str">
        <f t="shared" si="170"/>
        <v>859</v>
      </c>
      <c r="J2184" t="str">
        <f t="shared" si="170"/>
        <v>85929</v>
      </c>
      <c r="K2184" t="str">
        <f t="shared" ref="K2184:K2247" si="171">E2184</f>
        <v>8592999</v>
      </c>
      <c r="L2184">
        <v>1</v>
      </c>
    </row>
    <row r="2185" spans="3:12" x14ac:dyDescent="0.25">
      <c r="C2185" t="s">
        <v>1864</v>
      </c>
      <c r="D2185" t="s">
        <v>4049</v>
      </c>
      <c r="E2185" t="s">
        <v>1864</v>
      </c>
      <c r="F2185" t="s">
        <v>1687</v>
      </c>
      <c r="G2185" t="str">
        <f t="shared" ref="G2185:J2200" si="172">IF(A2185="",G2184,A2185)</f>
        <v>P</v>
      </c>
      <c r="H2185" t="str">
        <f t="shared" si="172"/>
        <v>85</v>
      </c>
      <c r="I2185" t="str">
        <f t="shared" si="172"/>
        <v>859</v>
      </c>
      <c r="J2185" t="str">
        <f t="shared" si="172"/>
        <v>85937</v>
      </c>
      <c r="K2185" t="str">
        <f t="shared" si="171"/>
        <v/>
      </c>
    </row>
    <row r="2186" spans="3:12" x14ac:dyDescent="0.25">
      <c r="C2186" t="s">
        <v>1864</v>
      </c>
      <c r="D2186" t="s">
        <v>1864</v>
      </c>
      <c r="E2186" t="s">
        <v>4050</v>
      </c>
      <c r="F2186" t="s">
        <v>1687</v>
      </c>
      <c r="G2186" t="str">
        <f t="shared" si="172"/>
        <v>P</v>
      </c>
      <c r="H2186" t="str">
        <f t="shared" si="172"/>
        <v>85</v>
      </c>
      <c r="I2186" t="str">
        <f t="shared" si="172"/>
        <v>859</v>
      </c>
      <c r="J2186" t="str">
        <f t="shared" si="172"/>
        <v>85937</v>
      </c>
      <c r="K2186" t="str">
        <f t="shared" si="171"/>
        <v>8593700</v>
      </c>
      <c r="L2186">
        <v>1</v>
      </c>
    </row>
    <row r="2187" spans="3:12" x14ac:dyDescent="0.25">
      <c r="C2187" t="s">
        <v>1864</v>
      </c>
      <c r="D2187" t="s">
        <v>4051</v>
      </c>
      <c r="E2187" t="s">
        <v>1864</v>
      </c>
      <c r="F2187" t="s">
        <v>1688</v>
      </c>
      <c r="G2187" t="str">
        <f t="shared" si="172"/>
        <v>P</v>
      </c>
      <c r="H2187" t="str">
        <f t="shared" si="172"/>
        <v>85</v>
      </c>
      <c r="I2187" t="str">
        <f t="shared" si="172"/>
        <v>859</v>
      </c>
      <c r="J2187" t="str">
        <f t="shared" si="172"/>
        <v>85996</v>
      </c>
      <c r="K2187" t="str">
        <f t="shared" si="171"/>
        <v/>
      </c>
    </row>
    <row r="2188" spans="3:12" x14ac:dyDescent="0.25">
      <c r="C2188" t="s">
        <v>1864</v>
      </c>
      <c r="D2188" t="s">
        <v>1864</v>
      </c>
      <c r="E2188" t="s">
        <v>4052</v>
      </c>
      <c r="F2188" t="s">
        <v>1689</v>
      </c>
      <c r="G2188" t="str">
        <f t="shared" si="172"/>
        <v>P</v>
      </c>
      <c r="H2188" t="str">
        <f t="shared" si="172"/>
        <v>85</v>
      </c>
      <c r="I2188" t="str">
        <f t="shared" si="172"/>
        <v>859</v>
      </c>
      <c r="J2188" t="str">
        <f t="shared" si="172"/>
        <v>85996</v>
      </c>
      <c r="K2188" t="str">
        <f t="shared" si="171"/>
        <v>8599601</v>
      </c>
      <c r="L2188">
        <v>1</v>
      </c>
    </row>
    <row r="2189" spans="3:12" x14ac:dyDescent="0.25">
      <c r="C2189" t="s">
        <v>1864</v>
      </c>
      <c r="D2189" t="s">
        <v>1864</v>
      </c>
      <c r="E2189" t="s">
        <v>4053</v>
      </c>
      <c r="F2189" t="s">
        <v>1690</v>
      </c>
      <c r="G2189" t="str">
        <f t="shared" si="172"/>
        <v>P</v>
      </c>
      <c r="H2189" t="str">
        <f t="shared" si="172"/>
        <v>85</v>
      </c>
      <c r="I2189" t="str">
        <f t="shared" si="172"/>
        <v>859</v>
      </c>
      <c r="J2189" t="str">
        <f t="shared" si="172"/>
        <v>85996</v>
      </c>
      <c r="K2189" t="str">
        <f t="shared" si="171"/>
        <v>8599602</v>
      </c>
      <c r="L2189">
        <v>1</v>
      </c>
    </row>
    <row r="2190" spans="3:12" x14ac:dyDescent="0.25">
      <c r="C2190" t="s">
        <v>1864</v>
      </c>
      <c r="D2190" t="s">
        <v>1864</v>
      </c>
      <c r="E2190" t="s">
        <v>4054</v>
      </c>
      <c r="F2190" t="s">
        <v>1691</v>
      </c>
      <c r="G2190" t="str">
        <f t="shared" si="172"/>
        <v>P</v>
      </c>
      <c r="H2190" t="str">
        <f t="shared" si="172"/>
        <v>85</v>
      </c>
      <c r="I2190" t="str">
        <f t="shared" si="172"/>
        <v>859</v>
      </c>
      <c r="J2190" t="str">
        <f t="shared" si="172"/>
        <v>85996</v>
      </c>
      <c r="K2190" t="str">
        <f t="shared" si="171"/>
        <v>8599603</v>
      </c>
      <c r="L2190">
        <v>1</v>
      </c>
    </row>
    <row r="2191" spans="3:12" x14ac:dyDescent="0.25">
      <c r="C2191" t="s">
        <v>1864</v>
      </c>
      <c r="D2191" t="s">
        <v>1864</v>
      </c>
      <c r="E2191" t="s">
        <v>4055</v>
      </c>
      <c r="F2191" t="s">
        <v>1692</v>
      </c>
      <c r="G2191" t="str">
        <f t="shared" si="172"/>
        <v>P</v>
      </c>
      <c r="H2191" t="str">
        <f t="shared" si="172"/>
        <v>85</v>
      </c>
      <c r="I2191" t="str">
        <f t="shared" si="172"/>
        <v>859</v>
      </c>
      <c r="J2191" t="str">
        <f t="shared" si="172"/>
        <v>85996</v>
      </c>
      <c r="K2191" t="str">
        <f t="shared" si="171"/>
        <v>8599604</v>
      </c>
      <c r="L2191">
        <v>1</v>
      </c>
    </row>
    <row r="2192" spans="3:12" x14ac:dyDescent="0.25">
      <c r="C2192" t="s">
        <v>1864</v>
      </c>
      <c r="D2192" t="s">
        <v>1864</v>
      </c>
      <c r="E2192" t="s">
        <v>4056</v>
      </c>
      <c r="F2192" t="s">
        <v>1693</v>
      </c>
      <c r="G2192" t="str">
        <f t="shared" si="172"/>
        <v>P</v>
      </c>
      <c r="H2192" t="str">
        <f t="shared" si="172"/>
        <v>85</v>
      </c>
      <c r="I2192" t="str">
        <f t="shared" si="172"/>
        <v>859</v>
      </c>
      <c r="J2192" t="str">
        <f t="shared" si="172"/>
        <v>85996</v>
      </c>
      <c r="K2192" t="str">
        <f t="shared" si="171"/>
        <v>8599605</v>
      </c>
      <c r="L2192">
        <v>1</v>
      </c>
    </row>
    <row r="2193" spans="1:12" x14ac:dyDescent="0.25">
      <c r="C2193" t="s">
        <v>1864</v>
      </c>
      <c r="D2193" t="s">
        <v>1864</v>
      </c>
      <c r="E2193" t="s">
        <v>4057</v>
      </c>
      <c r="F2193" t="s">
        <v>1694</v>
      </c>
      <c r="G2193" t="str">
        <f t="shared" si="172"/>
        <v>P</v>
      </c>
      <c r="H2193" t="str">
        <f t="shared" si="172"/>
        <v>85</v>
      </c>
      <c r="I2193" t="str">
        <f t="shared" si="172"/>
        <v>859</v>
      </c>
      <c r="J2193" t="str">
        <f t="shared" si="172"/>
        <v>85996</v>
      </c>
      <c r="K2193" t="str">
        <f t="shared" si="171"/>
        <v>8599699</v>
      </c>
      <c r="L2193">
        <v>1</v>
      </c>
    </row>
    <row r="2194" spans="1:12" x14ac:dyDescent="0.25">
      <c r="A2194" t="s">
        <v>4058</v>
      </c>
      <c r="C2194" t="s">
        <v>1864</v>
      </c>
      <c r="D2194" t="s">
        <v>1864</v>
      </c>
      <c r="E2194" t="s">
        <v>1864</v>
      </c>
      <c r="F2194" t="s">
        <v>1695</v>
      </c>
      <c r="G2194" t="str">
        <f t="shared" si="172"/>
        <v>Q</v>
      </c>
      <c r="H2194" t="str">
        <f t="shared" si="172"/>
        <v>85</v>
      </c>
      <c r="I2194" t="str">
        <f t="shared" si="172"/>
        <v>859</v>
      </c>
      <c r="J2194" t="str">
        <f t="shared" si="172"/>
        <v>85996</v>
      </c>
      <c r="K2194" t="str">
        <f t="shared" si="171"/>
        <v/>
      </c>
    </row>
    <row r="2195" spans="1:12" x14ac:dyDescent="0.25">
      <c r="B2195" t="s">
        <v>4059</v>
      </c>
      <c r="C2195" t="s">
        <v>1864</v>
      </c>
      <c r="D2195" t="s">
        <v>1864</v>
      </c>
      <c r="E2195" t="s">
        <v>1864</v>
      </c>
      <c r="F2195" t="s">
        <v>1696</v>
      </c>
      <c r="G2195" t="str">
        <f t="shared" si="172"/>
        <v>Q</v>
      </c>
      <c r="H2195" t="str">
        <f t="shared" si="172"/>
        <v>86</v>
      </c>
      <c r="I2195" t="str">
        <f t="shared" si="172"/>
        <v>859</v>
      </c>
      <c r="J2195" t="str">
        <f t="shared" si="172"/>
        <v>85996</v>
      </c>
      <c r="K2195" t="str">
        <f t="shared" si="171"/>
        <v/>
      </c>
    </row>
    <row r="2196" spans="1:12" x14ac:dyDescent="0.25">
      <c r="C2196" t="s">
        <v>4060</v>
      </c>
      <c r="D2196" t="s">
        <v>1864</v>
      </c>
      <c r="E2196" t="s">
        <v>1864</v>
      </c>
      <c r="F2196" t="s">
        <v>1697</v>
      </c>
      <c r="G2196" t="str">
        <f t="shared" si="172"/>
        <v>Q</v>
      </c>
      <c r="H2196" t="str">
        <f t="shared" si="172"/>
        <v>86</v>
      </c>
      <c r="I2196" t="str">
        <f t="shared" si="172"/>
        <v>861</v>
      </c>
      <c r="J2196" t="str">
        <f t="shared" si="172"/>
        <v>85996</v>
      </c>
      <c r="K2196" t="str">
        <f t="shared" si="171"/>
        <v/>
      </c>
    </row>
    <row r="2197" spans="1:12" x14ac:dyDescent="0.25">
      <c r="C2197" t="s">
        <v>1864</v>
      </c>
      <c r="D2197" t="s">
        <v>4061</v>
      </c>
      <c r="E2197" t="s">
        <v>1864</v>
      </c>
      <c r="F2197" t="s">
        <v>1697</v>
      </c>
      <c r="G2197" t="str">
        <f t="shared" si="172"/>
        <v>Q</v>
      </c>
      <c r="H2197" t="str">
        <f t="shared" si="172"/>
        <v>86</v>
      </c>
      <c r="I2197" t="str">
        <f t="shared" si="172"/>
        <v>861</v>
      </c>
      <c r="J2197" t="str">
        <f t="shared" si="172"/>
        <v>86101</v>
      </c>
      <c r="K2197" t="str">
        <f t="shared" si="171"/>
        <v/>
      </c>
    </row>
    <row r="2198" spans="1:12" x14ac:dyDescent="0.25">
      <c r="C2198" t="s">
        <v>1864</v>
      </c>
      <c r="D2198" t="s">
        <v>1864</v>
      </c>
      <c r="E2198" t="s">
        <v>4062</v>
      </c>
      <c r="F2198" t="s">
        <v>1698</v>
      </c>
      <c r="G2198" t="str">
        <f t="shared" si="172"/>
        <v>Q</v>
      </c>
      <c r="H2198" t="str">
        <f t="shared" si="172"/>
        <v>86</v>
      </c>
      <c r="I2198" t="str">
        <f t="shared" si="172"/>
        <v>861</v>
      </c>
      <c r="J2198" t="str">
        <f t="shared" si="172"/>
        <v>86101</v>
      </c>
      <c r="K2198" t="str">
        <f t="shared" si="171"/>
        <v>8610101</v>
      </c>
      <c r="L2198">
        <v>1</v>
      </c>
    </row>
    <row r="2199" spans="1:12" x14ac:dyDescent="0.25">
      <c r="C2199" t="s">
        <v>1864</v>
      </c>
      <c r="D2199" t="s">
        <v>1864</v>
      </c>
      <c r="E2199" t="s">
        <v>4063</v>
      </c>
      <c r="F2199" t="s">
        <v>1699</v>
      </c>
      <c r="G2199" t="str">
        <f t="shared" si="172"/>
        <v>Q</v>
      </c>
      <c r="H2199" t="str">
        <f t="shared" si="172"/>
        <v>86</v>
      </c>
      <c r="I2199" t="str">
        <f t="shared" si="172"/>
        <v>861</v>
      </c>
      <c r="J2199" t="str">
        <f t="shared" si="172"/>
        <v>86101</v>
      </c>
      <c r="K2199" t="str">
        <f t="shared" si="171"/>
        <v>8610102</v>
      </c>
      <c r="L2199">
        <v>1</v>
      </c>
    </row>
    <row r="2200" spans="1:12" x14ac:dyDescent="0.25">
      <c r="C2200" t="s">
        <v>4064</v>
      </c>
      <c r="D2200" t="s">
        <v>1864</v>
      </c>
      <c r="E2200" t="s">
        <v>1864</v>
      </c>
      <c r="F2200" t="s">
        <v>1700</v>
      </c>
      <c r="G2200" t="str">
        <f t="shared" si="172"/>
        <v>Q</v>
      </c>
      <c r="H2200" t="str">
        <f t="shared" si="172"/>
        <v>86</v>
      </c>
      <c r="I2200" t="str">
        <f t="shared" si="172"/>
        <v>862</v>
      </c>
      <c r="J2200" t="str">
        <f t="shared" si="172"/>
        <v>86101</v>
      </c>
      <c r="K2200" t="str">
        <f t="shared" si="171"/>
        <v/>
      </c>
    </row>
    <row r="2201" spans="1:12" x14ac:dyDescent="0.25">
      <c r="C2201" t="s">
        <v>1864</v>
      </c>
      <c r="D2201" t="s">
        <v>4065</v>
      </c>
      <c r="E2201" t="s">
        <v>1864</v>
      </c>
      <c r="F2201" t="s">
        <v>1701</v>
      </c>
      <c r="G2201" t="str">
        <f t="shared" ref="G2201:J2216" si="173">IF(A2201="",G2200,A2201)</f>
        <v>Q</v>
      </c>
      <c r="H2201" t="str">
        <f t="shared" si="173"/>
        <v>86</v>
      </c>
      <c r="I2201" t="str">
        <f t="shared" si="173"/>
        <v>862</v>
      </c>
      <c r="J2201" t="str">
        <f t="shared" si="173"/>
        <v>86216</v>
      </c>
      <c r="K2201" t="str">
        <f t="shared" si="171"/>
        <v/>
      </c>
    </row>
    <row r="2202" spans="1:12" x14ac:dyDescent="0.25">
      <c r="C2202" t="s">
        <v>1864</v>
      </c>
      <c r="D2202" t="s">
        <v>1864</v>
      </c>
      <c r="E2202" t="s">
        <v>4066</v>
      </c>
      <c r="F2202" t="s">
        <v>1702</v>
      </c>
      <c r="G2202" t="str">
        <f t="shared" si="173"/>
        <v>Q</v>
      </c>
      <c r="H2202" t="str">
        <f t="shared" si="173"/>
        <v>86</v>
      </c>
      <c r="I2202" t="str">
        <f t="shared" si="173"/>
        <v>862</v>
      </c>
      <c r="J2202" t="str">
        <f t="shared" si="173"/>
        <v>86216</v>
      </c>
      <c r="K2202" t="str">
        <f t="shared" si="171"/>
        <v>8621601</v>
      </c>
      <c r="L2202">
        <v>1</v>
      </c>
    </row>
    <row r="2203" spans="1:12" x14ac:dyDescent="0.25">
      <c r="C2203" t="s">
        <v>1864</v>
      </c>
      <c r="D2203" t="s">
        <v>1864</v>
      </c>
      <c r="E2203" t="s">
        <v>4067</v>
      </c>
      <c r="F2203" t="s">
        <v>1703</v>
      </c>
      <c r="G2203" t="str">
        <f t="shared" si="173"/>
        <v>Q</v>
      </c>
      <c r="H2203" t="str">
        <f t="shared" si="173"/>
        <v>86</v>
      </c>
      <c r="I2203" t="str">
        <f t="shared" si="173"/>
        <v>862</v>
      </c>
      <c r="J2203" t="str">
        <f t="shared" si="173"/>
        <v>86216</v>
      </c>
      <c r="K2203" t="str">
        <f t="shared" si="171"/>
        <v>8621602</v>
      </c>
      <c r="L2203">
        <v>1</v>
      </c>
    </row>
    <row r="2204" spans="1:12" x14ac:dyDescent="0.25">
      <c r="C2204" t="s">
        <v>1864</v>
      </c>
      <c r="D2204" t="s">
        <v>4068</v>
      </c>
      <c r="E2204" t="s">
        <v>1864</v>
      </c>
      <c r="F2204" t="s">
        <v>1704</v>
      </c>
      <c r="G2204" t="str">
        <f t="shared" si="173"/>
        <v>Q</v>
      </c>
      <c r="H2204" t="str">
        <f t="shared" si="173"/>
        <v>86</v>
      </c>
      <c r="I2204" t="str">
        <f t="shared" si="173"/>
        <v>862</v>
      </c>
      <c r="J2204" t="str">
        <f t="shared" si="173"/>
        <v>86224</v>
      </c>
      <c r="K2204" t="str">
        <f t="shared" si="171"/>
        <v/>
      </c>
    </row>
    <row r="2205" spans="1:12" x14ac:dyDescent="0.25">
      <c r="C2205" t="s">
        <v>1864</v>
      </c>
      <c r="D2205" t="s">
        <v>1864</v>
      </c>
      <c r="E2205" t="s">
        <v>4069</v>
      </c>
      <c r="F2205" t="s">
        <v>1704</v>
      </c>
      <c r="G2205" t="str">
        <f t="shared" si="173"/>
        <v>Q</v>
      </c>
      <c r="H2205" t="str">
        <f t="shared" si="173"/>
        <v>86</v>
      </c>
      <c r="I2205" t="str">
        <f t="shared" si="173"/>
        <v>862</v>
      </c>
      <c r="J2205" t="str">
        <f t="shared" si="173"/>
        <v>86224</v>
      </c>
      <c r="K2205" t="str">
        <f t="shared" si="171"/>
        <v>8622400</v>
      </c>
      <c r="L2205">
        <v>1</v>
      </c>
    </row>
    <row r="2206" spans="1:12" x14ac:dyDescent="0.25">
      <c r="C2206" t="s">
        <v>4070</v>
      </c>
      <c r="D2206" t="s">
        <v>1864</v>
      </c>
      <c r="E2206" t="s">
        <v>1864</v>
      </c>
      <c r="F2206" t="s">
        <v>1705</v>
      </c>
      <c r="G2206" t="str">
        <f t="shared" si="173"/>
        <v>Q</v>
      </c>
      <c r="H2206" t="str">
        <f t="shared" si="173"/>
        <v>86</v>
      </c>
      <c r="I2206" t="str">
        <f t="shared" si="173"/>
        <v>863</v>
      </c>
      <c r="J2206" t="str">
        <f t="shared" si="173"/>
        <v>86224</v>
      </c>
      <c r="K2206" t="str">
        <f t="shared" si="171"/>
        <v/>
      </c>
    </row>
    <row r="2207" spans="1:12" x14ac:dyDescent="0.25">
      <c r="C2207" t="s">
        <v>1864</v>
      </c>
      <c r="D2207" t="s">
        <v>4071</v>
      </c>
      <c r="E2207" t="s">
        <v>1864</v>
      </c>
      <c r="F2207" t="s">
        <v>1705</v>
      </c>
      <c r="G2207" t="str">
        <f t="shared" si="173"/>
        <v>Q</v>
      </c>
      <c r="H2207" t="str">
        <f t="shared" si="173"/>
        <v>86</v>
      </c>
      <c r="I2207" t="str">
        <f t="shared" si="173"/>
        <v>863</v>
      </c>
      <c r="J2207" t="str">
        <f t="shared" si="173"/>
        <v>86305</v>
      </c>
      <c r="K2207" t="str">
        <f t="shared" si="171"/>
        <v/>
      </c>
    </row>
    <row r="2208" spans="1:12" x14ac:dyDescent="0.25">
      <c r="C2208" t="s">
        <v>1864</v>
      </c>
      <c r="D2208" t="s">
        <v>1864</v>
      </c>
      <c r="E2208" t="s">
        <v>4072</v>
      </c>
      <c r="F2208" t="s">
        <v>1706</v>
      </c>
      <c r="G2208" t="str">
        <f t="shared" si="173"/>
        <v>Q</v>
      </c>
      <c r="H2208" t="str">
        <f t="shared" si="173"/>
        <v>86</v>
      </c>
      <c r="I2208" t="str">
        <f t="shared" si="173"/>
        <v>863</v>
      </c>
      <c r="J2208" t="str">
        <f t="shared" si="173"/>
        <v>86305</v>
      </c>
      <c r="K2208" t="str">
        <f t="shared" si="171"/>
        <v>8630501</v>
      </c>
      <c r="L2208">
        <v>1</v>
      </c>
    </row>
    <row r="2209" spans="3:12" x14ac:dyDescent="0.25">
      <c r="C2209" t="s">
        <v>1864</v>
      </c>
      <c r="D2209" t="s">
        <v>1864</v>
      </c>
      <c r="E2209" t="s">
        <v>4073</v>
      </c>
      <c r="F2209" t="s">
        <v>1707</v>
      </c>
      <c r="G2209" t="str">
        <f t="shared" si="173"/>
        <v>Q</v>
      </c>
      <c r="H2209" t="str">
        <f t="shared" si="173"/>
        <v>86</v>
      </c>
      <c r="I2209" t="str">
        <f t="shared" si="173"/>
        <v>863</v>
      </c>
      <c r="J2209" t="str">
        <f t="shared" si="173"/>
        <v>86305</v>
      </c>
      <c r="K2209" t="str">
        <f t="shared" si="171"/>
        <v>8630502</v>
      </c>
      <c r="L2209">
        <v>1</v>
      </c>
    </row>
    <row r="2210" spans="3:12" x14ac:dyDescent="0.25">
      <c r="C2210" t="s">
        <v>1864</v>
      </c>
      <c r="D2210" t="s">
        <v>1864</v>
      </c>
      <c r="E2210" t="s">
        <v>4074</v>
      </c>
      <c r="F2210" t="s">
        <v>1708</v>
      </c>
      <c r="G2210" t="str">
        <f t="shared" si="173"/>
        <v>Q</v>
      </c>
      <c r="H2210" t="str">
        <f t="shared" si="173"/>
        <v>86</v>
      </c>
      <c r="I2210" t="str">
        <f t="shared" si="173"/>
        <v>863</v>
      </c>
      <c r="J2210" t="str">
        <f t="shared" si="173"/>
        <v>86305</v>
      </c>
      <c r="K2210" t="str">
        <f t="shared" si="171"/>
        <v>8630503</v>
      </c>
      <c r="L2210">
        <v>1</v>
      </c>
    </row>
    <row r="2211" spans="3:12" x14ac:dyDescent="0.25">
      <c r="C2211" t="s">
        <v>1864</v>
      </c>
      <c r="D2211" t="s">
        <v>1864</v>
      </c>
      <c r="E2211" t="s">
        <v>4075</v>
      </c>
      <c r="F2211" t="s">
        <v>1709</v>
      </c>
      <c r="G2211" t="str">
        <f t="shared" si="173"/>
        <v>Q</v>
      </c>
      <c r="H2211" t="str">
        <f t="shared" si="173"/>
        <v>86</v>
      </c>
      <c r="I2211" t="str">
        <f t="shared" si="173"/>
        <v>863</v>
      </c>
      <c r="J2211" t="str">
        <f t="shared" si="173"/>
        <v>86305</v>
      </c>
      <c r="K2211" t="str">
        <f t="shared" si="171"/>
        <v>8630504</v>
      </c>
      <c r="L2211">
        <v>1</v>
      </c>
    </row>
    <row r="2212" spans="3:12" x14ac:dyDescent="0.25">
      <c r="C2212" t="s">
        <v>1864</v>
      </c>
      <c r="D2212" t="s">
        <v>1864</v>
      </c>
      <c r="E2212" t="s">
        <v>4076</v>
      </c>
      <c r="F2212" t="s">
        <v>1710</v>
      </c>
      <c r="G2212" t="str">
        <f t="shared" si="173"/>
        <v>Q</v>
      </c>
      <c r="H2212" t="str">
        <f t="shared" si="173"/>
        <v>86</v>
      </c>
      <c r="I2212" t="str">
        <f t="shared" si="173"/>
        <v>863</v>
      </c>
      <c r="J2212" t="str">
        <f t="shared" si="173"/>
        <v>86305</v>
      </c>
      <c r="K2212" t="str">
        <f t="shared" si="171"/>
        <v>8630506</v>
      </c>
      <c r="L2212">
        <v>1</v>
      </c>
    </row>
    <row r="2213" spans="3:12" x14ac:dyDescent="0.25">
      <c r="C2213" t="s">
        <v>1864</v>
      </c>
      <c r="D2213" t="s">
        <v>1864</v>
      </c>
      <c r="E2213" t="s">
        <v>4077</v>
      </c>
      <c r="F2213" t="s">
        <v>1711</v>
      </c>
      <c r="G2213" t="str">
        <f t="shared" si="173"/>
        <v>Q</v>
      </c>
      <c r="H2213" t="str">
        <f t="shared" si="173"/>
        <v>86</v>
      </c>
      <c r="I2213" t="str">
        <f t="shared" si="173"/>
        <v>863</v>
      </c>
      <c r="J2213" t="str">
        <f t="shared" si="173"/>
        <v>86305</v>
      </c>
      <c r="K2213" t="str">
        <f t="shared" si="171"/>
        <v>8630507</v>
      </c>
      <c r="L2213">
        <v>1</v>
      </c>
    </row>
    <row r="2214" spans="3:12" x14ac:dyDescent="0.25">
      <c r="C2214" t="s">
        <v>1864</v>
      </c>
      <c r="D2214" t="s">
        <v>1864</v>
      </c>
      <c r="E2214" t="s">
        <v>4078</v>
      </c>
      <c r="F2214" t="s">
        <v>1712</v>
      </c>
      <c r="G2214" t="str">
        <f t="shared" si="173"/>
        <v>Q</v>
      </c>
      <c r="H2214" t="str">
        <f t="shared" si="173"/>
        <v>86</v>
      </c>
      <c r="I2214" t="str">
        <f t="shared" si="173"/>
        <v>863</v>
      </c>
      <c r="J2214" t="str">
        <f t="shared" si="173"/>
        <v>86305</v>
      </c>
      <c r="K2214" t="str">
        <f t="shared" si="171"/>
        <v>8630599</v>
      </c>
      <c r="L2214">
        <v>1</v>
      </c>
    </row>
    <row r="2215" spans="3:12" x14ac:dyDescent="0.25">
      <c r="C2215" t="s">
        <v>4079</v>
      </c>
      <c r="D2215" t="s">
        <v>1864</v>
      </c>
      <c r="E2215" t="s">
        <v>1864</v>
      </c>
      <c r="F2215" t="s">
        <v>1713</v>
      </c>
      <c r="G2215" t="str">
        <f t="shared" si="173"/>
        <v>Q</v>
      </c>
      <c r="H2215" t="str">
        <f t="shared" si="173"/>
        <v>86</v>
      </c>
      <c r="I2215" t="str">
        <f t="shared" si="173"/>
        <v>864</v>
      </c>
      <c r="J2215" t="str">
        <f t="shared" si="173"/>
        <v>86305</v>
      </c>
      <c r="K2215" t="str">
        <f t="shared" si="171"/>
        <v/>
      </c>
    </row>
    <row r="2216" spans="3:12" x14ac:dyDescent="0.25">
      <c r="C2216" t="s">
        <v>1864</v>
      </c>
      <c r="D2216" t="s">
        <v>4080</v>
      </c>
      <c r="E2216" t="s">
        <v>1864</v>
      </c>
      <c r="F2216" t="s">
        <v>1713</v>
      </c>
      <c r="G2216" t="str">
        <f t="shared" si="173"/>
        <v>Q</v>
      </c>
      <c r="H2216" t="str">
        <f t="shared" si="173"/>
        <v>86</v>
      </c>
      <c r="I2216" t="str">
        <f t="shared" si="173"/>
        <v>864</v>
      </c>
      <c r="J2216" t="str">
        <f t="shared" si="173"/>
        <v>86402</v>
      </c>
      <c r="K2216" t="str">
        <f t="shared" si="171"/>
        <v/>
      </c>
    </row>
    <row r="2217" spans="3:12" x14ac:dyDescent="0.25">
      <c r="C2217" t="s">
        <v>1864</v>
      </c>
      <c r="D2217" t="s">
        <v>1864</v>
      </c>
      <c r="E2217" t="s">
        <v>4081</v>
      </c>
      <c r="F2217" t="s">
        <v>1714</v>
      </c>
      <c r="G2217" t="str">
        <f t="shared" ref="G2217:J2232" si="174">IF(A2217="",G2216,A2217)</f>
        <v>Q</v>
      </c>
      <c r="H2217" t="str">
        <f t="shared" si="174"/>
        <v>86</v>
      </c>
      <c r="I2217" t="str">
        <f t="shared" si="174"/>
        <v>864</v>
      </c>
      <c r="J2217" t="str">
        <f t="shared" si="174"/>
        <v>86402</v>
      </c>
      <c r="K2217" t="str">
        <f t="shared" si="171"/>
        <v>8640201</v>
      </c>
      <c r="L2217">
        <v>1</v>
      </c>
    </row>
    <row r="2218" spans="3:12" x14ac:dyDescent="0.25">
      <c r="C2218" t="s">
        <v>1864</v>
      </c>
      <c r="D2218" t="s">
        <v>1864</v>
      </c>
      <c r="E2218" t="s">
        <v>4082</v>
      </c>
      <c r="F2218" t="s">
        <v>1715</v>
      </c>
      <c r="G2218" t="str">
        <f t="shared" si="174"/>
        <v>Q</v>
      </c>
      <c r="H2218" t="str">
        <f t="shared" si="174"/>
        <v>86</v>
      </c>
      <c r="I2218" t="str">
        <f t="shared" si="174"/>
        <v>864</v>
      </c>
      <c r="J2218" t="str">
        <f t="shared" si="174"/>
        <v>86402</v>
      </c>
      <c r="K2218" t="str">
        <f t="shared" si="171"/>
        <v>8640202</v>
      </c>
      <c r="L2218">
        <v>1</v>
      </c>
    </row>
    <row r="2219" spans="3:12" x14ac:dyDescent="0.25">
      <c r="C2219" t="s">
        <v>1864</v>
      </c>
      <c r="D2219" t="s">
        <v>1864</v>
      </c>
      <c r="E2219" t="s">
        <v>4083</v>
      </c>
      <c r="F2219" t="s">
        <v>1716</v>
      </c>
      <c r="G2219" t="str">
        <f t="shared" si="174"/>
        <v>Q</v>
      </c>
      <c r="H2219" t="str">
        <f t="shared" si="174"/>
        <v>86</v>
      </c>
      <c r="I2219" t="str">
        <f t="shared" si="174"/>
        <v>864</v>
      </c>
      <c r="J2219" t="str">
        <f t="shared" si="174"/>
        <v>86402</v>
      </c>
      <c r="K2219" t="str">
        <f t="shared" si="171"/>
        <v>8640203</v>
      </c>
      <c r="L2219">
        <v>1</v>
      </c>
    </row>
    <row r="2220" spans="3:12" x14ac:dyDescent="0.25">
      <c r="C2220" t="s">
        <v>1864</v>
      </c>
      <c r="D2220" t="s">
        <v>1864</v>
      </c>
      <c r="E2220" t="s">
        <v>4084</v>
      </c>
      <c r="F2220" t="s">
        <v>1717</v>
      </c>
      <c r="G2220" t="str">
        <f t="shared" si="174"/>
        <v>Q</v>
      </c>
      <c r="H2220" t="str">
        <f t="shared" si="174"/>
        <v>86</v>
      </c>
      <c r="I2220" t="str">
        <f t="shared" si="174"/>
        <v>864</v>
      </c>
      <c r="J2220" t="str">
        <f t="shared" si="174"/>
        <v>86402</v>
      </c>
      <c r="K2220" t="str">
        <f t="shared" si="171"/>
        <v>8640204</v>
      </c>
      <c r="L2220">
        <v>1</v>
      </c>
    </row>
    <row r="2221" spans="3:12" x14ac:dyDescent="0.25">
      <c r="C2221" t="s">
        <v>1864</v>
      </c>
      <c r="D2221" t="s">
        <v>1864</v>
      </c>
      <c r="E2221" t="s">
        <v>4085</v>
      </c>
      <c r="F2221" t="s">
        <v>1718</v>
      </c>
      <c r="G2221" t="str">
        <f t="shared" si="174"/>
        <v>Q</v>
      </c>
      <c r="H2221" t="str">
        <f t="shared" si="174"/>
        <v>86</v>
      </c>
      <c r="I2221" t="str">
        <f t="shared" si="174"/>
        <v>864</v>
      </c>
      <c r="J2221" t="str">
        <f t="shared" si="174"/>
        <v>86402</v>
      </c>
      <c r="K2221" t="str">
        <f t="shared" si="171"/>
        <v>8640205</v>
      </c>
      <c r="L2221">
        <v>1</v>
      </c>
    </row>
    <row r="2222" spans="3:12" x14ac:dyDescent="0.25">
      <c r="C2222" t="s">
        <v>1864</v>
      </c>
      <c r="D2222" t="s">
        <v>1864</v>
      </c>
      <c r="E2222" t="s">
        <v>4086</v>
      </c>
      <c r="F2222" t="s">
        <v>1719</v>
      </c>
      <c r="G2222" t="str">
        <f t="shared" si="174"/>
        <v>Q</v>
      </c>
      <c r="H2222" t="str">
        <f t="shared" si="174"/>
        <v>86</v>
      </c>
      <c r="I2222" t="str">
        <f t="shared" si="174"/>
        <v>864</v>
      </c>
      <c r="J2222" t="str">
        <f t="shared" si="174"/>
        <v>86402</v>
      </c>
      <c r="K2222" t="str">
        <f t="shared" si="171"/>
        <v>8640206</v>
      </c>
      <c r="L2222">
        <v>1</v>
      </c>
    </row>
    <row r="2223" spans="3:12" x14ac:dyDescent="0.25">
      <c r="C2223" t="s">
        <v>1864</v>
      </c>
      <c r="D2223" t="s">
        <v>1864</v>
      </c>
      <c r="E2223" t="s">
        <v>4087</v>
      </c>
      <c r="F2223" t="s">
        <v>1720</v>
      </c>
      <c r="G2223" t="str">
        <f t="shared" si="174"/>
        <v>Q</v>
      </c>
      <c r="H2223" t="str">
        <f t="shared" si="174"/>
        <v>86</v>
      </c>
      <c r="I2223" t="str">
        <f t="shared" si="174"/>
        <v>864</v>
      </c>
      <c r="J2223" t="str">
        <f t="shared" si="174"/>
        <v>86402</v>
      </c>
      <c r="K2223" t="str">
        <f t="shared" si="171"/>
        <v>8640207</v>
      </c>
      <c r="L2223">
        <v>1</v>
      </c>
    </row>
    <row r="2224" spans="3:12" x14ac:dyDescent="0.25">
      <c r="C2224" t="s">
        <v>1864</v>
      </c>
      <c r="D2224" t="s">
        <v>1864</v>
      </c>
      <c r="E2224" t="s">
        <v>4088</v>
      </c>
      <c r="F2224" t="s">
        <v>1721</v>
      </c>
      <c r="G2224" t="str">
        <f t="shared" si="174"/>
        <v>Q</v>
      </c>
      <c r="H2224" t="str">
        <f t="shared" si="174"/>
        <v>86</v>
      </c>
      <c r="I2224" t="str">
        <f t="shared" si="174"/>
        <v>864</v>
      </c>
      <c r="J2224" t="str">
        <f t="shared" si="174"/>
        <v>86402</v>
      </c>
      <c r="K2224" t="str">
        <f t="shared" si="171"/>
        <v>8640208</v>
      </c>
      <c r="L2224">
        <v>1</v>
      </c>
    </row>
    <row r="2225" spans="3:12" x14ac:dyDescent="0.25">
      <c r="C2225" t="s">
        <v>1864</v>
      </c>
      <c r="D2225" t="s">
        <v>1864</v>
      </c>
      <c r="E2225" t="s">
        <v>4089</v>
      </c>
      <c r="F2225" t="s">
        <v>1722</v>
      </c>
      <c r="G2225" t="str">
        <f t="shared" si="174"/>
        <v>Q</v>
      </c>
      <c r="H2225" t="str">
        <f t="shared" si="174"/>
        <v>86</v>
      </c>
      <c r="I2225" t="str">
        <f t="shared" si="174"/>
        <v>864</v>
      </c>
      <c r="J2225" t="str">
        <f t="shared" si="174"/>
        <v>86402</v>
      </c>
      <c r="K2225" t="str">
        <f t="shared" si="171"/>
        <v>8640209</v>
      </c>
      <c r="L2225">
        <v>1</v>
      </c>
    </row>
    <row r="2226" spans="3:12" x14ac:dyDescent="0.25">
      <c r="C2226" t="s">
        <v>1864</v>
      </c>
      <c r="D2226" t="s">
        <v>1864</v>
      </c>
      <c r="E2226" t="s">
        <v>4090</v>
      </c>
      <c r="F2226" t="s">
        <v>1723</v>
      </c>
      <c r="G2226" t="str">
        <f t="shared" si="174"/>
        <v>Q</v>
      </c>
      <c r="H2226" t="str">
        <f t="shared" si="174"/>
        <v>86</v>
      </c>
      <c r="I2226" t="str">
        <f t="shared" si="174"/>
        <v>864</v>
      </c>
      <c r="J2226" t="str">
        <f t="shared" si="174"/>
        <v>86402</v>
      </c>
      <c r="K2226" t="str">
        <f t="shared" si="171"/>
        <v>8640210</v>
      </c>
      <c r="L2226">
        <v>1</v>
      </c>
    </row>
    <row r="2227" spans="3:12" x14ac:dyDescent="0.25">
      <c r="C2227" t="s">
        <v>1864</v>
      </c>
      <c r="D2227" t="s">
        <v>1864</v>
      </c>
      <c r="E2227" t="s">
        <v>4091</v>
      </c>
      <c r="F2227" t="s">
        <v>1724</v>
      </c>
      <c r="G2227" t="str">
        <f t="shared" si="174"/>
        <v>Q</v>
      </c>
      <c r="H2227" t="str">
        <f t="shared" si="174"/>
        <v>86</v>
      </c>
      <c r="I2227" t="str">
        <f t="shared" si="174"/>
        <v>864</v>
      </c>
      <c r="J2227" t="str">
        <f t="shared" si="174"/>
        <v>86402</v>
      </c>
      <c r="K2227" t="str">
        <f t="shared" si="171"/>
        <v>8640211</v>
      </c>
      <c r="L2227">
        <v>1</v>
      </c>
    </row>
    <row r="2228" spans="3:12" x14ac:dyDescent="0.25">
      <c r="C2228" t="s">
        <v>1864</v>
      </c>
      <c r="D2228" t="s">
        <v>1864</v>
      </c>
      <c r="E2228" t="s">
        <v>4092</v>
      </c>
      <c r="F2228" t="s">
        <v>1725</v>
      </c>
      <c r="G2228" t="str">
        <f t="shared" si="174"/>
        <v>Q</v>
      </c>
      <c r="H2228" t="str">
        <f t="shared" si="174"/>
        <v>86</v>
      </c>
      <c r="I2228" t="str">
        <f t="shared" si="174"/>
        <v>864</v>
      </c>
      <c r="J2228" t="str">
        <f t="shared" si="174"/>
        <v>86402</v>
      </c>
      <c r="K2228" t="str">
        <f t="shared" si="171"/>
        <v>8640212</v>
      </c>
      <c r="L2228">
        <v>1</v>
      </c>
    </row>
    <row r="2229" spans="3:12" x14ac:dyDescent="0.25">
      <c r="C2229" t="s">
        <v>1864</v>
      </c>
      <c r="D2229" t="s">
        <v>1864</v>
      </c>
      <c r="E2229" t="s">
        <v>4093</v>
      </c>
      <c r="F2229" t="s">
        <v>1726</v>
      </c>
      <c r="G2229" t="str">
        <f t="shared" si="174"/>
        <v>Q</v>
      </c>
      <c r="H2229" t="str">
        <f t="shared" si="174"/>
        <v>86</v>
      </c>
      <c r="I2229" t="str">
        <f t="shared" si="174"/>
        <v>864</v>
      </c>
      <c r="J2229" t="str">
        <f t="shared" si="174"/>
        <v>86402</v>
      </c>
      <c r="K2229" t="str">
        <f t="shared" si="171"/>
        <v>8640213</v>
      </c>
      <c r="L2229">
        <v>1</v>
      </c>
    </row>
    <row r="2230" spans="3:12" x14ac:dyDescent="0.25">
      <c r="C2230" t="s">
        <v>1864</v>
      </c>
      <c r="D2230" t="s">
        <v>1864</v>
      </c>
      <c r="E2230" t="s">
        <v>4094</v>
      </c>
      <c r="F2230" t="s">
        <v>1727</v>
      </c>
      <c r="G2230" t="str">
        <f t="shared" si="174"/>
        <v>Q</v>
      </c>
      <c r="H2230" t="str">
        <f t="shared" si="174"/>
        <v>86</v>
      </c>
      <c r="I2230" t="str">
        <f t="shared" si="174"/>
        <v>864</v>
      </c>
      <c r="J2230" t="str">
        <f t="shared" si="174"/>
        <v>86402</v>
      </c>
      <c r="K2230" t="str">
        <f t="shared" si="171"/>
        <v>8640214</v>
      </c>
      <c r="L2230">
        <v>1</v>
      </c>
    </row>
    <row r="2231" spans="3:12" x14ac:dyDescent="0.25">
      <c r="C2231" t="s">
        <v>1864</v>
      </c>
      <c r="D2231" t="s">
        <v>1864</v>
      </c>
      <c r="E2231" t="s">
        <v>4095</v>
      </c>
      <c r="F2231" t="s">
        <v>1728</v>
      </c>
      <c r="G2231" t="str">
        <f t="shared" si="174"/>
        <v>Q</v>
      </c>
      <c r="H2231" t="str">
        <f t="shared" si="174"/>
        <v>86</v>
      </c>
      <c r="I2231" t="str">
        <f t="shared" si="174"/>
        <v>864</v>
      </c>
      <c r="J2231" t="str">
        <f t="shared" si="174"/>
        <v>86402</v>
      </c>
      <c r="K2231" t="str">
        <f t="shared" si="171"/>
        <v>8640299</v>
      </c>
      <c r="L2231">
        <v>1</v>
      </c>
    </row>
    <row r="2232" spans="3:12" x14ac:dyDescent="0.25">
      <c r="C2232" t="s">
        <v>4096</v>
      </c>
      <c r="D2232" t="s">
        <v>1864</v>
      </c>
      <c r="E2232" t="s">
        <v>1864</v>
      </c>
      <c r="F2232" t="s">
        <v>1729</v>
      </c>
      <c r="G2232" t="str">
        <f t="shared" si="174"/>
        <v>Q</v>
      </c>
      <c r="H2232" t="str">
        <f t="shared" si="174"/>
        <v>86</v>
      </c>
      <c r="I2232" t="str">
        <f t="shared" si="174"/>
        <v>865</v>
      </c>
      <c r="J2232" t="str">
        <f t="shared" si="174"/>
        <v>86402</v>
      </c>
      <c r="K2232" t="str">
        <f t="shared" si="171"/>
        <v/>
      </c>
    </row>
    <row r="2233" spans="3:12" x14ac:dyDescent="0.25">
      <c r="C2233" t="s">
        <v>1864</v>
      </c>
      <c r="D2233" t="s">
        <v>4097</v>
      </c>
      <c r="E2233" t="s">
        <v>1864</v>
      </c>
      <c r="F2233" t="s">
        <v>1729</v>
      </c>
      <c r="G2233" t="str">
        <f t="shared" ref="G2233:J2248" si="175">IF(A2233="",G2232,A2233)</f>
        <v>Q</v>
      </c>
      <c r="H2233" t="str">
        <f t="shared" si="175"/>
        <v>86</v>
      </c>
      <c r="I2233" t="str">
        <f t="shared" si="175"/>
        <v>865</v>
      </c>
      <c r="J2233" t="str">
        <f t="shared" si="175"/>
        <v>86500</v>
      </c>
      <c r="K2233" t="str">
        <f t="shared" si="171"/>
        <v/>
      </c>
    </row>
    <row r="2234" spans="3:12" x14ac:dyDescent="0.25">
      <c r="C2234" t="s">
        <v>1864</v>
      </c>
      <c r="D2234" t="s">
        <v>1864</v>
      </c>
      <c r="E2234" t="s">
        <v>4098</v>
      </c>
      <c r="F2234" t="s">
        <v>1730</v>
      </c>
      <c r="G2234" t="str">
        <f t="shared" si="175"/>
        <v>Q</v>
      </c>
      <c r="H2234" t="str">
        <f t="shared" si="175"/>
        <v>86</v>
      </c>
      <c r="I2234" t="str">
        <f t="shared" si="175"/>
        <v>865</v>
      </c>
      <c r="J2234" t="str">
        <f t="shared" si="175"/>
        <v>86500</v>
      </c>
      <c r="K2234" t="str">
        <f t="shared" si="171"/>
        <v>8650001</v>
      </c>
      <c r="L2234">
        <v>1</v>
      </c>
    </row>
    <row r="2235" spans="3:12" x14ac:dyDescent="0.25">
      <c r="C2235" t="s">
        <v>1864</v>
      </c>
      <c r="D2235" t="s">
        <v>1864</v>
      </c>
      <c r="E2235" t="s">
        <v>4099</v>
      </c>
      <c r="F2235" t="s">
        <v>1731</v>
      </c>
      <c r="G2235" t="str">
        <f t="shared" si="175"/>
        <v>Q</v>
      </c>
      <c r="H2235" t="str">
        <f t="shared" si="175"/>
        <v>86</v>
      </c>
      <c r="I2235" t="str">
        <f t="shared" si="175"/>
        <v>865</v>
      </c>
      <c r="J2235" t="str">
        <f t="shared" si="175"/>
        <v>86500</v>
      </c>
      <c r="K2235" t="str">
        <f t="shared" si="171"/>
        <v>8650002</v>
      </c>
      <c r="L2235">
        <v>1</v>
      </c>
    </row>
    <row r="2236" spans="3:12" x14ac:dyDescent="0.25">
      <c r="C2236" t="s">
        <v>1864</v>
      </c>
      <c r="D2236" t="s">
        <v>1864</v>
      </c>
      <c r="E2236" t="s">
        <v>4100</v>
      </c>
      <c r="F2236" t="s">
        <v>1732</v>
      </c>
      <c r="G2236" t="str">
        <f t="shared" si="175"/>
        <v>Q</v>
      </c>
      <c r="H2236" t="str">
        <f t="shared" si="175"/>
        <v>86</v>
      </c>
      <c r="I2236" t="str">
        <f t="shared" si="175"/>
        <v>865</v>
      </c>
      <c r="J2236" t="str">
        <f t="shared" si="175"/>
        <v>86500</v>
      </c>
      <c r="K2236" t="str">
        <f t="shared" si="171"/>
        <v>8650003</v>
      </c>
      <c r="L2236">
        <v>1</v>
      </c>
    </row>
    <row r="2237" spans="3:12" x14ac:dyDescent="0.25">
      <c r="C2237" t="s">
        <v>1864</v>
      </c>
      <c r="D2237" t="s">
        <v>1864</v>
      </c>
      <c r="E2237" t="s">
        <v>4101</v>
      </c>
      <c r="F2237" t="s">
        <v>1733</v>
      </c>
      <c r="G2237" t="str">
        <f t="shared" si="175"/>
        <v>Q</v>
      </c>
      <c r="H2237" t="str">
        <f t="shared" si="175"/>
        <v>86</v>
      </c>
      <c r="I2237" t="str">
        <f t="shared" si="175"/>
        <v>865</v>
      </c>
      <c r="J2237" t="str">
        <f t="shared" si="175"/>
        <v>86500</v>
      </c>
      <c r="K2237" t="str">
        <f t="shared" si="171"/>
        <v>8650004</v>
      </c>
      <c r="L2237">
        <v>1</v>
      </c>
    </row>
    <row r="2238" spans="3:12" x14ac:dyDescent="0.25">
      <c r="C2238" t="s">
        <v>1864</v>
      </c>
      <c r="D2238" t="s">
        <v>1864</v>
      </c>
      <c r="E2238" t="s">
        <v>4102</v>
      </c>
      <c r="F2238" t="s">
        <v>1734</v>
      </c>
      <c r="G2238" t="str">
        <f t="shared" si="175"/>
        <v>Q</v>
      </c>
      <c r="H2238" t="str">
        <f t="shared" si="175"/>
        <v>86</v>
      </c>
      <c r="I2238" t="str">
        <f t="shared" si="175"/>
        <v>865</v>
      </c>
      <c r="J2238" t="str">
        <f t="shared" si="175"/>
        <v>86500</v>
      </c>
      <c r="K2238" t="str">
        <f t="shared" si="171"/>
        <v>8650005</v>
      </c>
      <c r="L2238">
        <v>1</v>
      </c>
    </row>
    <row r="2239" spans="3:12" x14ac:dyDescent="0.25">
      <c r="C2239" t="s">
        <v>1864</v>
      </c>
      <c r="D2239" t="s">
        <v>1864</v>
      </c>
      <c r="E2239" t="s">
        <v>4103</v>
      </c>
      <c r="F2239" t="s">
        <v>1735</v>
      </c>
      <c r="G2239" t="str">
        <f t="shared" si="175"/>
        <v>Q</v>
      </c>
      <c r="H2239" t="str">
        <f t="shared" si="175"/>
        <v>86</v>
      </c>
      <c r="I2239" t="str">
        <f t="shared" si="175"/>
        <v>865</v>
      </c>
      <c r="J2239" t="str">
        <f t="shared" si="175"/>
        <v>86500</v>
      </c>
      <c r="K2239" t="str">
        <f t="shared" si="171"/>
        <v>8650006</v>
      </c>
      <c r="L2239">
        <v>1</v>
      </c>
    </row>
    <row r="2240" spans="3:12" x14ac:dyDescent="0.25">
      <c r="C2240" t="s">
        <v>1864</v>
      </c>
      <c r="D2240" t="s">
        <v>1864</v>
      </c>
      <c r="E2240" t="s">
        <v>4104</v>
      </c>
      <c r="F2240" t="s">
        <v>1736</v>
      </c>
      <c r="G2240" t="str">
        <f t="shared" si="175"/>
        <v>Q</v>
      </c>
      <c r="H2240" t="str">
        <f t="shared" si="175"/>
        <v>86</v>
      </c>
      <c r="I2240" t="str">
        <f t="shared" si="175"/>
        <v>865</v>
      </c>
      <c r="J2240" t="str">
        <f t="shared" si="175"/>
        <v>86500</v>
      </c>
      <c r="K2240" t="str">
        <f t="shared" si="171"/>
        <v>8650007</v>
      </c>
      <c r="L2240">
        <v>1</v>
      </c>
    </row>
    <row r="2241" spans="2:12" x14ac:dyDescent="0.25">
      <c r="C2241" t="s">
        <v>1864</v>
      </c>
      <c r="D2241" t="s">
        <v>1864</v>
      </c>
      <c r="E2241" t="s">
        <v>4105</v>
      </c>
      <c r="F2241" t="s">
        <v>1737</v>
      </c>
      <c r="G2241" t="str">
        <f t="shared" si="175"/>
        <v>Q</v>
      </c>
      <c r="H2241" t="str">
        <f t="shared" si="175"/>
        <v>86</v>
      </c>
      <c r="I2241" t="str">
        <f t="shared" si="175"/>
        <v>865</v>
      </c>
      <c r="J2241" t="str">
        <f t="shared" si="175"/>
        <v>86500</v>
      </c>
      <c r="K2241" t="str">
        <f t="shared" si="171"/>
        <v>8650099</v>
      </c>
      <c r="L2241">
        <v>1</v>
      </c>
    </row>
    <row r="2242" spans="2:12" x14ac:dyDescent="0.25">
      <c r="C2242" t="s">
        <v>4106</v>
      </c>
      <c r="D2242" t="s">
        <v>1864</v>
      </c>
      <c r="E2242" t="s">
        <v>1864</v>
      </c>
      <c r="F2242" t="s">
        <v>1738</v>
      </c>
      <c r="G2242" t="str">
        <f t="shared" si="175"/>
        <v>Q</v>
      </c>
      <c r="H2242" t="str">
        <f t="shared" si="175"/>
        <v>86</v>
      </c>
      <c r="I2242" t="str">
        <f t="shared" si="175"/>
        <v>866</v>
      </c>
      <c r="J2242" t="str">
        <f t="shared" si="175"/>
        <v>86500</v>
      </c>
      <c r="K2242" t="str">
        <f t="shared" si="171"/>
        <v/>
      </c>
    </row>
    <row r="2243" spans="2:12" x14ac:dyDescent="0.25">
      <c r="C2243" t="s">
        <v>1864</v>
      </c>
      <c r="D2243" t="s">
        <v>4107</v>
      </c>
      <c r="E2243" t="s">
        <v>1864</v>
      </c>
      <c r="F2243" t="s">
        <v>1738</v>
      </c>
      <c r="G2243" t="str">
        <f t="shared" si="175"/>
        <v>Q</v>
      </c>
      <c r="H2243" t="str">
        <f t="shared" si="175"/>
        <v>86</v>
      </c>
      <c r="I2243" t="str">
        <f t="shared" si="175"/>
        <v>866</v>
      </c>
      <c r="J2243" t="str">
        <f t="shared" si="175"/>
        <v>86607</v>
      </c>
      <c r="K2243" t="str">
        <f t="shared" si="171"/>
        <v/>
      </c>
    </row>
    <row r="2244" spans="2:12" x14ac:dyDescent="0.25">
      <c r="C2244" t="s">
        <v>1864</v>
      </c>
      <c r="D2244" t="s">
        <v>1864</v>
      </c>
      <c r="E2244" t="s">
        <v>4108</v>
      </c>
      <c r="F2244" t="s">
        <v>1738</v>
      </c>
      <c r="G2244" t="str">
        <f t="shared" si="175"/>
        <v>Q</v>
      </c>
      <c r="H2244" t="str">
        <f t="shared" si="175"/>
        <v>86</v>
      </c>
      <c r="I2244" t="str">
        <f t="shared" si="175"/>
        <v>866</v>
      </c>
      <c r="J2244" t="str">
        <f t="shared" si="175"/>
        <v>86607</v>
      </c>
      <c r="K2244" t="str">
        <f t="shared" si="171"/>
        <v>8660700</v>
      </c>
      <c r="L2244">
        <v>1</v>
      </c>
    </row>
    <row r="2245" spans="2:12" x14ac:dyDescent="0.25">
      <c r="C2245" t="s">
        <v>4109</v>
      </c>
      <c r="D2245" t="s">
        <v>1864</v>
      </c>
      <c r="E2245" t="s">
        <v>1864</v>
      </c>
      <c r="F2245" t="s">
        <v>1739</v>
      </c>
      <c r="G2245" t="str">
        <f t="shared" si="175"/>
        <v>Q</v>
      </c>
      <c r="H2245" t="str">
        <f t="shared" si="175"/>
        <v>86</v>
      </c>
      <c r="I2245" t="str">
        <f t="shared" si="175"/>
        <v>869</v>
      </c>
      <c r="J2245" t="str">
        <f t="shared" si="175"/>
        <v>86607</v>
      </c>
      <c r="K2245" t="str">
        <f t="shared" si="171"/>
        <v/>
      </c>
    </row>
    <row r="2246" spans="2:12" x14ac:dyDescent="0.25">
      <c r="C2246" t="s">
        <v>1864</v>
      </c>
      <c r="D2246" t="s">
        <v>4110</v>
      </c>
      <c r="E2246" t="s">
        <v>1864</v>
      </c>
      <c r="F2246" t="s">
        <v>1739</v>
      </c>
      <c r="G2246" t="str">
        <f t="shared" si="175"/>
        <v>Q</v>
      </c>
      <c r="H2246" t="str">
        <f t="shared" si="175"/>
        <v>86</v>
      </c>
      <c r="I2246" t="str">
        <f t="shared" si="175"/>
        <v>869</v>
      </c>
      <c r="J2246" t="str">
        <f t="shared" si="175"/>
        <v>86909</v>
      </c>
      <c r="K2246" t="str">
        <f t="shared" si="171"/>
        <v/>
      </c>
    </row>
    <row r="2247" spans="2:12" x14ac:dyDescent="0.25">
      <c r="C2247" t="s">
        <v>1864</v>
      </c>
      <c r="D2247" t="s">
        <v>1864</v>
      </c>
      <c r="E2247" t="s">
        <v>4111</v>
      </c>
      <c r="F2247" t="s">
        <v>1740</v>
      </c>
      <c r="G2247" t="str">
        <f t="shared" si="175"/>
        <v>Q</v>
      </c>
      <c r="H2247" t="str">
        <f t="shared" si="175"/>
        <v>86</v>
      </c>
      <c r="I2247" t="str">
        <f t="shared" si="175"/>
        <v>869</v>
      </c>
      <c r="J2247" t="str">
        <f t="shared" si="175"/>
        <v>86909</v>
      </c>
      <c r="K2247" t="str">
        <f t="shared" si="171"/>
        <v>8690901</v>
      </c>
      <c r="L2247">
        <v>1</v>
      </c>
    </row>
    <row r="2248" spans="2:12" x14ac:dyDescent="0.25">
      <c r="C2248" t="s">
        <v>1864</v>
      </c>
      <c r="D2248" t="s">
        <v>1864</v>
      </c>
      <c r="E2248" t="s">
        <v>4112</v>
      </c>
      <c r="F2248" t="s">
        <v>1741</v>
      </c>
      <c r="G2248" t="str">
        <f t="shared" si="175"/>
        <v>Q</v>
      </c>
      <c r="H2248" t="str">
        <f t="shared" si="175"/>
        <v>86</v>
      </c>
      <c r="I2248" t="str">
        <f t="shared" si="175"/>
        <v>869</v>
      </c>
      <c r="J2248" t="str">
        <f t="shared" si="175"/>
        <v>86909</v>
      </c>
      <c r="K2248" t="str">
        <f t="shared" ref="K2248:K2311" si="176">E2248</f>
        <v>8690902</v>
      </c>
      <c r="L2248">
        <v>1</v>
      </c>
    </row>
    <row r="2249" spans="2:12" x14ac:dyDescent="0.25">
      <c r="C2249" t="s">
        <v>1864</v>
      </c>
      <c r="D2249" t="s">
        <v>1864</v>
      </c>
      <c r="E2249" t="s">
        <v>4113</v>
      </c>
      <c r="F2249" t="s">
        <v>1742</v>
      </c>
      <c r="G2249" t="str">
        <f t="shared" ref="G2249:J2264" si="177">IF(A2249="",G2248,A2249)</f>
        <v>Q</v>
      </c>
      <c r="H2249" t="str">
        <f t="shared" si="177"/>
        <v>86</v>
      </c>
      <c r="I2249" t="str">
        <f t="shared" si="177"/>
        <v>869</v>
      </c>
      <c r="J2249" t="str">
        <f t="shared" si="177"/>
        <v>86909</v>
      </c>
      <c r="K2249" t="str">
        <f t="shared" si="176"/>
        <v>8690903</v>
      </c>
      <c r="L2249">
        <v>1</v>
      </c>
    </row>
    <row r="2250" spans="2:12" x14ac:dyDescent="0.25">
      <c r="C2250" t="s">
        <v>1864</v>
      </c>
      <c r="D2250" t="s">
        <v>1864</v>
      </c>
      <c r="E2250" t="s">
        <v>4114</v>
      </c>
      <c r="F2250" t="s">
        <v>1743</v>
      </c>
      <c r="G2250" t="str">
        <f t="shared" si="177"/>
        <v>Q</v>
      </c>
      <c r="H2250" t="str">
        <f t="shared" si="177"/>
        <v>86</v>
      </c>
      <c r="I2250" t="str">
        <f t="shared" si="177"/>
        <v>869</v>
      </c>
      <c r="J2250" t="str">
        <f t="shared" si="177"/>
        <v>86909</v>
      </c>
      <c r="K2250" t="str">
        <f t="shared" si="176"/>
        <v>8690904</v>
      </c>
      <c r="L2250">
        <v>1</v>
      </c>
    </row>
    <row r="2251" spans="2:12" x14ac:dyDescent="0.25">
      <c r="C2251" t="s">
        <v>1864</v>
      </c>
      <c r="D2251" t="s">
        <v>1864</v>
      </c>
      <c r="E2251" t="s">
        <v>4115</v>
      </c>
      <c r="F2251" t="s">
        <v>1744</v>
      </c>
      <c r="G2251" t="str">
        <f t="shared" si="177"/>
        <v>Q</v>
      </c>
      <c r="H2251" t="str">
        <f t="shared" si="177"/>
        <v>86</v>
      </c>
      <c r="I2251" t="str">
        <f t="shared" si="177"/>
        <v>869</v>
      </c>
      <c r="J2251" t="str">
        <f t="shared" si="177"/>
        <v>86909</v>
      </c>
      <c r="K2251" t="str">
        <f t="shared" si="176"/>
        <v>8690999</v>
      </c>
      <c r="L2251">
        <v>1</v>
      </c>
    </row>
    <row r="2252" spans="2:12" x14ac:dyDescent="0.25">
      <c r="B2252" t="s">
        <v>4116</v>
      </c>
      <c r="C2252" t="s">
        <v>1864</v>
      </c>
      <c r="D2252" t="s">
        <v>1864</v>
      </c>
      <c r="E2252" t="s">
        <v>1864</v>
      </c>
      <c r="F2252" t="s">
        <v>1745</v>
      </c>
      <c r="G2252" t="str">
        <f t="shared" si="177"/>
        <v>Q</v>
      </c>
      <c r="H2252" t="str">
        <f t="shared" si="177"/>
        <v>87</v>
      </c>
      <c r="I2252" t="str">
        <f t="shared" si="177"/>
        <v>869</v>
      </c>
      <c r="J2252" t="str">
        <f t="shared" si="177"/>
        <v>86909</v>
      </c>
      <c r="K2252" t="str">
        <f t="shared" si="176"/>
        <v/>
      </c>
    </row>
    <row r="2253" spans="2:12" x14ac:dyDescent="0.25">
      <c r="C2253" t="s">
        <v>4117</v>
      </c>
      <c r="D2253" t="s">
        <v>1864</v>
      </c>
      <c r="E2253" t="s">
        <v>1864</v>
      </c>
      <c r="F2253" t="s">
        <v>1746</v>
      </c>
      <c r="G2253" t="str">
        <f t="shared" si="177"/>
        <v>Q</v>
      </c>
      <c r="H2253" t="str">
        <f t="shared" si="177"/>
        <v>87</v>
      </c>
      <c r="I2253" t="str">
        <f t="shared" si="177"/>
        <v>871</v>
      </c>
      <c r="J2253" t="str">
        <f t="shared" si="177"/>
        <v>86909</v>
      </c>
      <c r="K2253" t="str">
        <f t="shared" si="176"/>
        <v/>
      </c>
    </row>
    <row r="2254" spans="2:12" x14ac:dyDescent="0.25">
      <c r="C2254" t="s">
        <v>1864</v>
      </c>
      <c r="D2254" t="s">
        <v>4118</v>
      </c>
      <c r="E2254" t="s">
        <v>1864</v>
      </c>
      <c r="F2254" t="s">
        <v>1747</v>
      </c>
      <c r="G2254" t="str">
        <f t="shared" si="177"/>
        <v>Q</v>
      </c>
      <c r="H2254" t="str">
        <f t="shared" si="177"/>
        <v>87</v>
      </c>
      <c r="I2254" t="str">
        <f t="shared" si="177"/>
        <v>871</v>
      </c>
      <c r="J2254" t="str">
        <f t="shared" si="177"/>
        <v>87115</v>
      </c>
      <c r="K2254" t="str">
        <f t="shared" si="176"/>
        <v/>
      </c>
    </row>
    <row r="2255" spans="2:12" x14ac:dyDescent="0.25">
      <c r="C2255" t="s">
        <v>1864</v>
      </c>
      <c r="D2255" t="s">
        <v>1864</v>
      </c>
      <c r="E2255" t="s">
        <v>4119</v>
      </c>
      <c r="F2255" t="s">
        <v>1748</v>
      </c>
      <c r="G2255" t="str">
        <f t="shared" si="177"/>
        <v>Q</v>
      </c>
      <c r="H2255" t="str">
        <f t="shared" si="177"/>
        <v>87</v>
      </c>
      <c r="I2255" t="str">
        <f t="shared" si="177"/>
        <v>871</v>
      </c>
      <c r="J2255" t="str">
        <f t="shared" si="177"/>
        <v>87115</v>
      </c>
      <c r="K2255" t="str">
        <f t="shared" si="176"/>
        <v>8711501</v>
      </c>
      <c r="L2255">
        <v>1</v>
      </c>
    </row>
    <row r="2256" spans="2:12" x14ac:dyDescent="0.25">
      <c r="C2256" t="s">
        <v>1864</v>
      </c>
      <c r="D2256" t="s">
        <v>1864</v>
      </c>
      <c r="E2256" t="s">
        <v>4120</v>
      </c>
      <c r="F2256" t="s">
        <v>1749</v>
      </c>
      <c r="G2256" t="str">
        <f t="shared" si="177"/>
        <v>Q</v>
      </c>
      <c r="H2256" t="str">
        <f t="shared" si="177"/>
        <v>87</v>
      </c>
      <c r="I2256" t="str">
        <f t="shared" si="177"/>
        <v>871</v>
      </c>
      <c r="J2256" t="str">
        <f t="shared" si="177"/>
        <v>87115</v>
      </c>
      <c r="K2256" t="str">
        <f t="shared" si="176"/>
        <v>8711502</v>
      </c>
      <c r="L2256">
        <v>1</v>
      </c>
    </row>
    <row r="2257" spans="2:12" x14ac:dyDescent="0.25">
      <c r="C2257" t="s">
        <v>1864</v>
      </c>
      <c r="D2257" t="s">
        <v>1864</v>
      </c>
      <c r="E2257" t="s">
        <v>4121</v>
      </c>
      <c r="F2257" t="s">
        <v>1750</v>
      </c>
      <c r="G2257" t="str">
        <f t="shared" si="177"/>
        <v>Q</v>
      </c>
      <c r="H2257" t="str">
        <f t="shared" si="177"/>
        <v>87</v>
      </c>
      <c r="I2257" t="str">
        <f t="shared" si="177"/>
        <v>871</v>
      </c>
      <c r="J2257" t="str">
        <f t="shared" si="177"/>
        <v>87115</v>
      </c>
      <c r="K2257" t="str">
        <f t="shared" si="176"/>
        <v>8711503</v>
      </c>
      <c r="L2257">
        <v>1</v>
      </c>
    </row>
    <row r="2258" spans="2:12" x14ac:dyDescent="0.25">
      <c r="C2258" t="s">
        <v>1864</v>
      </c>
      <c r="D2258" t="s">
        <v>1864</v>
      </c>
      <c r="E2258" t="s">
        <v>4122</v>
      </c>
      <c r="F2258" t="s">
        <v>1751</v>
      </c>
      <c r="G2258" t="str">
        <f t="shared" si="177"/>
        <v>Q</v>
      </c>
      <c r="H2258" t="str">
        <f t="shared" si="177"/>
        <v>87</v>
      </c>
      <c r="I2258" t="str">
        <f t="shared" si="177"/>
        <v>871</v>
      </c>
      <c r="J2258" t="str">
        <f t="shared" si="177"/>
        <v>87115</v>
      </c>
      <c r="K2258" t="str">
        <f t="shared" si="176"/>
        <v>8711504</v>
      </c>
      <c r="L2258">
        <v>1</v>
      </c>
    </row>
    <row r="2259" spans="2:12" x14ac:dyDescent="0.25">
      <c r="C2259" t="s">
        <v>1864</v>
      </c>
      <c r="D2259" t="s">
        <v>1864</v>
      </c>
      <c r="E2259" t="s">
        <v>4123</v>
      </c>
      <c r="F2259" t="s">
        <v>1752</v>
      </c>
      <c r="G2259" t="str">
        <f t="shared" si="177"/>
        <v>Q</v>
      </c>
      <c r="H2259" t="str">
        <f t="shared" si="177"/>
        <v>87</v>
      </c>
      <c r="I2259" t="str">
        <f t="shared" si="177"/>
        <v>871</v>
      </c>
      <c r="J2259" t="str">
        <f t="shared" si="177"/>
        <v>87115</v>
      </c>
      <c r="K2259" t="str">
        <f t="shared" si="176"/>
        <v>8711505</v>
      </c>
      <c r="L2259">
        <v>1</v>
      </c>
    </row>
    <row r="2260" spans="2:12" x14ac:dyDescent="0.25">
      <c r="C2260" t="s">
        <v>1864</v>
      </c>
      <c r="D2260" t="s">
        <v>4124</v>
      </c>
      <c r="E2260" t="s">
        <v>1864</v>
      </c>
      <c r="F2260" t="s">
        <v>1753</v>
      </c>
      <c r="G2260" t="str">
        <f t="shared" si="177"/>
        <v>Q</v>
      </c>
      <c r="H2260" t="str">
        <f t="shared" si="177"/>
        <v>87</v>
      </c>
      <c r="I2260" t="str">
        <f t="shared" si="177"/>
        <v>871</v>
      </c>
      <c r="J2260" t="str">
        <f t="shared" si="177"/>
        <v>87123</v>
      </c>
      <c r="K2260" t="str">
        <f t="shared" si="176"/>
        <v/>
      </c>
    </row>
    <row r="2261" spans="2:12" x14ac:dyDescent="0.25">
      <c r="C2261" t="s">
        <v>1864</v>
      </c>
      <c r="D2261" t="s">
        <v>1864</v>
      </c>
      <c r="E2261" t="s">
        <v>4125</v>
      </c>
      <c r="F2261" t="s">
        <v>1753</v>
      </c>
      <c r="G2261" t="str">
        <f t="shared" si="177"/>
        <v>Q</v>
      </c>
      <c r="H2261" t="str">
        <f t="shared" si="177"/>
        <v>87</v>
      </c>
      <c r="I2261" t="str">
        <f t="shared" si="177"/>
        <v>871</v>
      </c>
      <c r="J2261" t="str">
        <f t="shared" si="177"/>
        <v>87123</v>
      </c>
      <c r="K2261" t="str">
        <f t="shared" si="176"/>
        <v>8712300</v>
      </c>
      <c r="L2261">
        <v>1</v>
      </c>
    </row>
    <row r="2262" spans="2:12" x14ac:dyDescent="0.25">
      <c r="C2262" t="s">
        <v>4126</v>
      </c>
      <c r="D2262" t="s">
        <v>1864</v>
      </c>
      <c r="E2262" t="s">
        <v>1864</v>
      </c>
      <c r="F2262" t="s">
        <v>1754</v>
      </c>
      <c r="G2262" t="str">
        <f t="shared" si="177"/>
        <v>Q</v>
      </c>
      <c r="H2262" t="str">
        <f t="shared" si="177"/>
        <v>87</v>
      </c>
      <c r="I2262" t="str">
        <f t="shared" si="177"/>
        <v>872</v>
      </c>
      <c r="J2262" t="str">
        <f t="shared" si="177"/>
        <v>87123</v>
      </c>
      <c r="K2262" t="str">
        <f t="shared" si="176"/>
        <v/>
      </c>
    </row>
    <row r="2263" spans="2:12" x14ac:dyDescent="0.25">
      <c r="C2263" t="s">
        <v>1864</v>
      </c>
      <c r="D2263" t="s">
        <v>4127</v>
      </c>
      <c r="E2263" t="s">
        <v>1864</v>
      </c>
      <c r="F2263" t="s">
        <v>1754</v>
      </c>
      <c r="G2263" t="str">
        <f t="shared" si="177"/>
        <v>Q</v>
      </c>
      <c r="H2263" t="str">
        <f t="shared" si="177"/>
        <v>87</v>
      </c>
      <c r="I2263" t="str">
        <f t="shared" si="177"/>
        <v>872</v>
      </c>
      <c r="J2263" t="str">
        <f t="shared" si="177"/>
        <v>87204</v>
      </c>
      <c r="K2263" t="str">
        <f t="shared" si="176"/>
        <v/>
      </c>
    </row>
    <row r="2264" spans="2:12" x14ac:dyDescent="0.25">
      <c r="C2264" t="s">
        <v>1864</v>
      </c>
      <c r="D2264" t="s">
        <v>1864</v>
      </c>
      <c r="E2264" t="s">
        <v>4128</v>
      </c>
      <c r="F2264" t="s">
        <v>1755</v>
      </c>
      <c r="G2264" t="str">
        <f t="shared" si="177"/>
        <v>Q</v>
      </c>
      <c r="H2264" t="str">
        <f t="shared" si="177"/>
        <v>87</v>
      </c>
      <c r="I2264" t="str">
        <f t="shared" si="177"/>
        <v>872</v>
      </c>
      <c r="J2264" t="str">
        <f t="shared" si="177"/>
        <v>87204</v>
      </c>
      <c r="K2264" t="str">
        <f t="shared" si="176"/>
        <v>8720401</v>
      </c>
      <c r="L2264">
        <v>1</v>
      </c>
    </row>
    <row r="2265" spans="2:12" x14ac:dyDescent="0.25">
      <c r="C2265" t="s">
        <v>1864</v>
      </c>
      <c r="D2265" t="s">
        <v>1864</v>
      </c>
      <c r="E2265" t="s">
        <v>4129</v>
      </c>
      <c r="F2265" t="s">
        <v>1756</v>
      </c>
      <c r="G2265" t="str">
        <f t="shared" ref="G2265:J2280" si="178">IF(A2265="",G2264,A2265)</f>
        <v>Q</v>
      </c>
      <c r="H2265" t="str">
        <f t="shared" si="178"/>
        <v>87</v>
      </c>
      <c r="I2265" t="str">
        <f t="shared" si="178"/>
        <v>872</v>
      </c>
      <c r="J2265" t="str">
        <f t="shared" si="178"/>
        <v>87204</v>
      </c>
      <c r="K2265" t="str">
        <f t="shared" si="176"/>
        <v>8720499</v>
      </c>
      <c r="L2265">
        <v>1</v>
      </c>
    </row>
    <row r="2266" spans="2:12" x14ac:dyDescent="0.25">
      <c r="C2266" t="s">
        <v>4130</v>
      </c>
      <c r="D2266" t="s">
        <v>1864</v>
      </c>
      <c r="E2266" t="s">
        <v>1864</v>
      </c>
      <c r="F2266" t="s">
        <v>1757</v>
      </c>
      <c r="G2266" t="str">
        <f t="shared" si="178"/>
        <v>Q</v>
      </c>
      <c r="H2266" t="str">
        <f t="shared" si="178"/>
        <v>87</v>
      </c>
      <c r="I2266" t="str">
        <f t="shared" si="178"/>
        <v>873</v>
      </c>
      <c r="J2266" t="str">
        <f t="shared" si="178"/>
        <v>87204</v>
      </c>
      <c r="K2266" t="str">
        <f t="shared" si="176"/>
        <v/>
      </c>
    </row>
    <row r="2267" spans="2:12" x14ac:dyDescent="0.25">
      <c r="C2267" t="s">
        <v>1864</v>
      </c>
      <c r="D2267" t="s">
        <v>4131</v>
      </c>
      <c r="E2267" t="s">
        <v>1864</v>
      </c>
      <c r="F2267" t="s">
        <v>1757</v>
      </c>
      <c r="G2267" t="str">
        <f t="shared" si="178"/>
        <v>Q</v>
      </c>
      <c r="H2267" t="str">
        <f t="shared" si="178"/>
        <v>87</v>
      </c>
      <c r="I2267" t="str">
        <f t="shared" si="178"/>
        <v>873</v>
      </c>
      <c r="J2267" t="str">
        <f t="shared" si="178"/>
        <v>87301</v>
      </c>
      <c r="K2267" t="str">
        <f t="shared" si="176"/>
        <v/>
      </c>
    </row>
    <row r="2268" spans="2:12" x14ac:dyDescent="0.25">
      <c r="C2268" t="s">
        <v>1864</v>
      </c>
      <c r="D2268" t="s">
        <v>1864</v>
      </c>
      <c r="E2268" t="s">
        <v>4132</v>
      </c>
      <c r="F2268" t="s">
        <v>1758</v>
      </c>
      <c r="G2268" t="str">
        <f t="shared" si="178"/>
        <v>Q</v>
      </c>
      <c r="H2268" t="str">
        <f t="shared" si="178"/>
        <v>87</v>
      </c>
      <c r="I2268" t="str">
        <f t="shared" si="178"/>
        <v>873</v>
      </c>
      <c r="J2268" t="str">
        <f t="shared" si="178"/>
        <v>87301</v>
      </c>
      <c r="K2268" t="str">
        <f t="shared" si="176"/>
        <v>8730101</v>
      </c>
      <c r="L2268">
        <v>1</v>
      </c>
    </row>
    <row r="2269" spans="2:12" x14ac:dyDescent="0.25">
      <c r="C2269" t="s">
        <v>1864</v>
      </c>
      <c r="D2269" t="s">
        <v>1864</v>
      </c>
      <c r="E2269" t="s">
        <v>4133</v>
      </c>
      <c r="F2269" t="s">
        <v>1759</v>
      </c>
      <c r="G2269" t="str">
        <f t="shared" si="178"/>
        <v>Q</v>
      </c>
      <c r="H2269" t="str">
        <f t="shared" si="178"/>
        <v>87</v>
      </c>
      <c r="I2269" t="str">
        <f t="shared" si="178"/>
        <v>873</v>
      </c>
      <c r="J2269" t="str">
        <f t="shared" si="178"/>
        <v>87301</v>
      </c>
      <c r="K2269" t="str">
        <f t="shared" si="176"/>
        <v>8730102</v>
      </c>
      <c r="L2269">
        <v>1</v>
      </c>
    </row>
    <row r="2270" spans="2:12" x14ac:dyDescent="0.25">
      <c r="C2270" t="s">
        <v>1864</v>
      </c>
      <c r="D2270" t="s">
        <v>1864</v>
      </c>
      <c r="E2270" t="s">
        <v>4134</v>
      </c>
      <c r="F2270" t="s">
        <v>1760</v>
      </c>
      <c r="G2270" t="str">
        <f t="shared" si="178"/>
        <v>Q</v>
      </c>
      <c r="H2270" t="str">
        <f t="shared" si="178"/>
        <v>87</v>
      </c>
      <c r="I2270" t="str">
        <f t="shared" si="178"/>
        <v>873</v>
      </c>
      <c r="J2270" t="str">
        <f t="shared" si="178"/>
        <v>87301</v>
      </c>
      <c r="K2270" t="str">
        <f t="shared" si="176"/>
        <v>8730199</v>
      </c>
      <c r="L2270">
        <v>1</v>
      </c>
    </row>
    <row r="2271" spans="2:12" x14ac:dyDescent="0.25">
      <c r="B2271" t="s">
        <v>4135</v>
      </c>
      <c r="C2271" t="s">
        <v>1864</v>
      </c>
      <c r="D2271" t="s">
        <v>1864</v>
      </c>
      <c r="E2271" t="s">
        <v>1864</v>
      </c>
      <c r="F2271" t="s">
        <v>1761</v>
      </c>
      <c r="G2271" t="str">
        <f t="shared" si="178"/>
        <v>Q</v>
      </c>
      <c r="H2271" t="str">
        <f t="shared" si="178"/>
        <v>88</v>
      </c>
      <c r="I2271" t="str">
        <f t="shared" si="178"/>
        <v>873</v>
      </c>
      <c r="J2271" t="str">
        <f t="shared" si="178"/>
        <v>87301</v>
      </c>
      <c r="K2271" t="str">
        <f t="shared" si="176"/>
        <v/>
      </c>
    </row>
    <row r="2272" spans="2:12" x14ac:dyDescent="0.25">
      <c r="C2272" t="s">
        <v>4136</v>
      </c>
      <c r="D2272" t="s">
        <v>1864</v>
      </c>
      <c r="E2272" t="s">
        <v>1864</v>
      </c>
      <c r="F2272" t="s">
        <v>1762</v>
      </c>
      <c r="G2272" t="str">
        <f t="shared" si="178"/>
        <v>Q</v>
      </c>
      <c r="H2272" t="str">
        <f t="shared" si="178"/>
        <v>88</v>
      </c>
      <c r="I2272" t="str">
        <f t="shared" si="178"/>
        <v>880</v>
      </c>
      <c r="J2272" t="str">
        <f t="shared" si="178"/>
        <v>87301</v>
      </c>
      <c r="K2272" t="str">
        <f t="shared" si="176"/>
        <v/>
      </c>
    </row>
    <row r="2273" spans="1:12" x14ac:dyDescent="0.25">
      <c r="C2273" t="s">
        <v>1864</v>
      </c>
      <c r="D2273" t="s">
        <v>4137</v>
      </c>
      <c r="E2273" t="s">
        <v>1864</v>
      </c>
      <c r="F2273" t="s">
        <v>1762</v>
      </c>
      <c r="G2273" t="str">
        <f t="shared" si="178"/>
        <v>Q</v>
      </c>
      <c r="H2273" t="str">
        <f t="shared" si="178"/>
        <v>88</v>
      </c>
      <c r="I2273" t="str">
        <f t="shared" si="178"/>
        <v>880</v>
      </c>
      <c r="J2273" t="str">
        <f t="shared" si="178"/>
        <v>88006</v>
      </c>
      <c r="K2273" t="str">
        <f t="shared" si="176"/>
        <v/>
      </c>
    </row>
    <row r="2274" spans="1:12" x14ac:dyDescent="0.25">
      <c r="C2274" t="s">
        <v>1864</v>
      </c>
      <c r="D2274" t="s">
        <v>1864</v>
      </c>
      <c r="E2274" t="s">
        <v>4138</v>
      </c>
      <c r="F2274" t="s">
        <v>1762</v>
      </c>
      <c r="G2274" t="str">
        <f t="shared" si="178"/>
        <v>Q</v>
      </c>
      <c r="H2274" t="str">
        <f t="shared" si="178"/>
        <v>88</v>
      </c>
      <c r="I2274" t="str">
        <f t="shared" si="178"/>
        <v>880</v>
      </c>
      <c r="J2274" t="str">
        <f t="shared" si="178"/>
        <v>88006</v>
      </c>
      <c r="K2274" t="str">
        <f t="shared" si="176"/>
        <v>8800600</v>
      </c>
      <c r="L2274">
        <v>1</v>
      </c>
    </row>
    <row r="2275" spans="1:12" x14ac:dyDescent="0.25">
      <c r="A2275" t="s">
        <v>4139</v>
      </c>
      <c r="C2275" t="s">
        <v>1864</v>
      </c>
      <c r="D2275" t="s">
        <v>1864</v>
      </c>
      <c r="E2275" t="s">
        <v>1864</v>
      </c>
      <c r="F2275" t="s">
        <v>1763</v>
      </c>
      <c r="G2275" t="str">
        <f t="shared" si="178"/>
        <v>R</v>
      </c>
      <c r="H2275" t="str">
        <f t="shared" si="178"/>
        <v>88</v>
      </c>
      <c r="I2275" t="str">
        <f t="shared" si="178"/>
        <v>880</v>
      </c>
      <c r="J2275" t="str">
        <f t="shared" si="178"/>
        <v>88006</v>
      </c>
      <c r="K2275" t="str">
        <f t="shared" si="176"/>
        <v/>
      </c>
    </row>
    <row r="2276" spans="1:12" x14ac:dyDescent="0.25">
      <c r="B2276" t="s">
        <v>4140</v>
      </c>
      <c r="C2276" t="s">
        <v>1864</v>
      </c>
      <c r="D2276" t="s">
        <v>1864</v>
      </c>
      <c r="E2276" t="s">
        <v>1864</v>
      </c>
      <c r="F2276" t="s">
        <v>1764</v>
      </c>
      <c r="G2276" t="str">
        <f t="shared" si="178"/>
        <v>R</v>
      </c>
      <c r="H2276" t="str">
        <f t="shared" si="178"/>
        <v>90</v>
      </c>
      <c r="I2276" t="str">
        <f t="shared" si="178"/>
        <v>880</v>
      </c>
      <c r="J2276" t="str">
        <f t="shared" si="178"/>
        <v>88006</v>
      </c>
      <c r="K2276" t="str">
        <f t="shared" si="176"/>
        <v/>
      </c>
    </row>
    <row r="2277" spans="1:12" x14ac:dyDescent="0.25">
      <c r="C2277" t="s">
        <v>4141</v>
      </c>
      <c r="D2277" t="s">
        <v>1864</v>
      </c>
      <c r="E2277" t="s">
        <v>1864</v>
      </c>
      <c r="F2277" t="s">
        <v>1765</v>
      </c>
      <c r="G2277" t="str">
        <f t="shared" si="178"/>
        <v>R</v>
      </c>
      <c r="H2277" t="str">
        <f t="shared" si="178"/>
        <v>90</v>
      </c>
      <c r="I2277" t="str">
        <f t="shared" si="178"/>
        <v>900</v>
      </c>
      <c r="J2277" t="str">
        <f t="shared" si="178"/>
        <v>88006</v>
      </c>
      <c r="K2277" t="str">
        <f t="shared" si="176"/>
        <v/>
      </c>
    </row>
    <row r="2278" spans="1:12" x14ac:dyDescent="0.25">
      <c r="C2278" t="s">
        <v>1864</v>
      </c>
      <c r="D2278" t="s">
        <v>4142</v>
      </c>
      <c r="E2278" t="s">
        <v>1864</v>
      </c>
      <c r="F2278" t="s">
        <v>1766</v>
      </c>
      <c r="G2278" t="str">
        <f t="shared" si="178"/>
        <v>R</v>
      </c>
      <c r="H2278" t="str">
        <f t="shared" si="178"/>
        <v>90</v>
      </c>
      <c r="I2278" t="str">
        <f t="shared" si="178"/>
        <v>900</v>
      </c>
      <c r="J2278" t="str">
        <f t="shared" si="178"/>
        <v>90019</v>
      </c>
      <c r="K2278" t="str">
        <f t="shared" si="176"/>
        <v/>
      </c>
    </row>
    <row r="2279" spans="1:12" x14ac:dyDescent="0.25">
      <c r="C2279" t="s">
        <v>1864</v>
      </c>
      <c r="D2279" t="s">
        <v>1864</v>
      </c>
      <c r="E2279" t="s">
        <v>4143</v>
      </c>
      <c r="F2279" t="s">
        <v>1767</v>
      </c>
      <c r="G2279" t="str">
        <f t="shared" si="178"/>
        <v>R</v>
      </c>
      <c r="H2279" t="str">
        <f t="shared" si="178"/>
        <v>90</v>
      </c>
      <c r="I2279" t="str">
        <f t="shared" si="178"/>
        <v>900</v>
      </c>
      <c r="J2279" t="str">
        <f t="shared" si="178"/>
        <v>90019</v>
      </c>
      <c r="K2279" t="str">
        <f t="shared" si="176"/>
        <v>9001901</v>
      </c>
      <c r="L2279">
        <v>1</v>
      </c>
    </row>
    <row r="2280" spans="1:12" x14ac:dyDescent="0.25">
      <c r="C2280" t="s">
        <v>1864</v>
      </c>
      <c r="D2280" t="s">
        <v>1864</v>
      </c>
      <c r="E2280" t="s">
        <v>4144</v>
      </c>
      <c r="F2280" t="s">
        <v>1768</v>
      </c>
      <c r="G2280" t="str">
        <f t="shared" si="178"/>
        <v>R</v>
      </c>
      <c r="H2280" t="str">
        <f t="shared" si="178"/>
        <v>90</v>
      </c>
      <c r="I2280" t="str">
        <f t="shared" si="178"/>
        <v>900</v>
      </c>
      <c r="J2280" t="str">
        <f t="shared" si="178"/>
        <v>90019</v>
      </c>
      <c r="K2280" t="str">
        <f t="shared" si="176"/>
        <v>9001902</v>
      </c>
      <c r="L2280">
        <v>1</v>
      </c>
    </row>
    <row r="2281" spans="1:12" x14ac:dyDescent="0.25">
      <c r="C2281" t="s">
        <v>1864</v>
      </c>
      <c r="D2281" t="s">
        <v>1864</v>
      </c>
      <c r="E2281" t="s">
        <v>4145</v>
      </c>
      <c r="F2281" t="s">
        <v>1769</v>
      </c>
      <c r="G2281" t="str">
        <f t="shared" ref="G2281:J2296" si="179">IF(A2281="",G2280,A2281)</f>
        <v>R</v>
      </c>
      <c r="H2281" t="str">
        <f t="shared" si="179"/>
        <v>90</v>
      </c>
      <c r="I2281" t="str">
        <f t="shared" si="179"/>
        <v>900</v>
      </c>
      <c r="J2281" t="str">
        <f t="shared" si="179"/>
        <v>90019</v>
      </c>
      <c r="K2281" t="str">
        <f t="shared" si="176"/>
        <v>9001903</v>
      </c>
      <c r="L2281">
        <v>1</v>
      </c>
    </row>
    <row r="2282" spans="1:12" x14ac:dyDescent="0.25">
      <c r="C2282" t="s">
        <v>1864</v>
      </c>
      <c r="D2282" t="s">
        <v>1864</v>
      </c>
      <c r="E2282" t="s">
        <v>4146</v>
      </c>
      <c r="F2282" t="s">
        <v>1770</v>
      </c>
      <c r="G2282" t="str">
        <f t="shared" si="179"/>
        <v>R</v>
      </c>
      <c r="H2282" t="str">
        <f t="shared" si="179"/>
        <v>90</v>
      </c>
      <c r="I2282" t="str">
        <f t="shared" si="179"/>
        <v>900</v>
      </c>
      <c r="J2282" t="str">
        <f t="shared" si="179"/>
        <v>90019</v>
      </c>
      <c r="K2282" t="str">
        <f t="shared" si="176"/>
        <v>9001904</v>
      </c>
      <c r="L2282">
        <v>1</v>
      </c>
    </row>
    <row r="2283" spans="1:12" x14ac:dyDescent="0.25">
      <c r="C2283" t="s">
        <v>1864</v>
      </c>
      <c r="D2283" t="s">
        <v>1864</v>
      </c>
      <c r="E2283" t="s">
        <v>4147</v>
      </c>
      <c r="F2283" t="s">
        <v>1771</v>
      </c>
      <c r="G2283" t="str">
        <f t="shared" si="179"/>
        <v>R</v>
      </c>
      <c r="H2283" t="str">
        <f t="shared" si="179"/>
        <v>90</v>
      </c>
      <c r="I2283" t="str">
        <f t="shared" si="179"/>
        <v>900</v>
      </c>
      <c r="J2283" t="str">
        <f t="shared" si="179"/>
        <v>90019</v>
      </c>
      <c r="K2283" t="str">
        <f t="shared" si="176"/>
        <v>9001905</v>
      </c>
      <c r="L2283">
        <v>1</v>
      </c>
    </row>
    <row r="2284" spans="1:12" x14ac:dyDescent="0.25">
      <c r="C2284" t="s">
        <v>1864</v>
      </c>
      <c r="D2284" t="s">
        <v>1864</v>
      </c>
      <c r="E2284" t="s">
        <v>4148</v>
      </c>
      <c r="F2284" t="s">
        <v>1772</v>
      </c>
      <c r="G2284" t="str">
        <f t="shared" si="179"/>
        <v>R</v>
      </c>
      <c r="H2284" t="str">
        <f t="shared" si="179"/>
        <v>90</v>
      </c>
      <c r="I2284" t="str">
        <f t="shared" si="179"/>
        <v>900</v>
      </c>
      <c r="J2284" t="str">
        <f t="shared" si="179"/>
        <v>90019</v>
      </c>
      <c r="K2284" t="str">
        <f t="shared" si="176"/>
        <v>9001906</v>
      </c>
      <c r="L2284">
        <v>1</v>
      </c>
    </row>
    <row r="2285" spans="1:12" x14ac:dyDescent="0.25">
      <c r="C2285" t="s">
        <v>1864</v>
      </c>
      <c r="D2285" t="s">
        <v>1864</v>
      </c>
      <c r="E2285" t="s">
        <v>4149</v>
      </c>
      <c r="F2285" t="s">
        <v>1773</v>
      </c>
      <c r="G2285" t="str">
        <f t="shared" si="179"/>
        <v>R</v>
      </c>
      <c r="H2285" t="str">
        <f t="shared" si="179"/>
        <v>90</v>
      </c>
      <c r="I2285" t="str">
        <f t="shared" si="179"/>
        <v>900</v>
      </c>
      <c r="J2285" t="str">
        <f t="shared" si="179"/>
        <v>90019</v>
      </c>
      <c r="K2285" t="str">
        <f t="shared" si="176"/>
        <v>9001999</v>
      </c>
      <c r="L2285">
        <v>1</v>
      </c>
    </row>
    <row r="2286" spans="1:12" x14ac:dyDescent="0.25">
      <c r="C2286" t="s">
        <v>1864</v>
      </c>
      <c r="D2286" t="s">
        <v>4150</v>
      </c>
      <c r="E2286" t="s">
        <v>1864</v>
      </c>
      <c r="F2286" t="s">
        <v>1774</v>
      </c>
      <c r="G2286" t="str">
        <f t="shared" si="179"/>
        <v>R</v>
      </c>
      <c r="H2286" t="str">
        <f t="shared" si="179"/>
        <v>90</v>
      </c>
      <c r="I2286" t="str">
        <f t="shared" si="179"/>
        <v>900</v>
      </c>
      <c r="J2286" t="str">
        <f t="shared" si="179"/>
        <v>90027</v>
      </c>
      <c r="K2286" t="str">
        <f t="shared" si="176"/>
        <v/>
      </c>
    </row>
    <row r="2287" spans="1:12" x14ac:dyDescent="0.25">
      <c r="C2287" t="s">
        <v>1864</v>
      </c>
      <c r="D2287" t="s">
        <v>1864</v>
      </c>
      <c r="E2287" t="s">
        <v>4151</v>
      </c>
      <c r="F2287" t="s">
        <v>1775</v>
      </c>
      <c r="G2287" t="str">
        <f t="shared" si="179"/>
        <v>R</v>
      </c>
      <c r="H2287" t="str">
        <f t="shared" si="179"/>
        <v>90</v>
      </c>
      <c r="I2287" t="str">
        <f t="shared" si="179"/>
        <v>900</v>
      </c>
      <c r="J2287" t="str">
        <f t="shared" si="179"/>
        <v>90027</v>
      </c>
      <c r="K2287" t="str">
        <f t="shared" si="176"/>
        <v>9002701</v>
      </c>
      <c r="L2287">
        <v>1</v>
      </c>
    </row>
    <row r="2288" spans="1:12" x14ac:dyDescent="0.25">
      <c r="C2288" t="s">
        <v>1864</v>
      </c>
      <c r="D2288" t="s">
        <v>1864</v>
      </c>
      <c r="E2288" t="s">
        <v>4152</v>
      </c>
      <c r="F2288" t="s">
        <v>1776</v>
      </c>
      <c r="G2288" t="str">
        <f t="shared" si="179"/>
        <v>R</v>
      </c>
      <c r="H2288" t="str">
        <f t="shared" si="179"/>
        <v>90</v>
      </c>
      <c r="I2288" t="str">
        <f t="shared" si="179"/>
        <v>900</v>
      </c>
      <c r="J2288" t="str">
        <f t="shared" si="179"/>
        <v>90027</v>
      </c>
      <c r="K2288" t="str">
        <f t="shared" si="176"/>
        <v>9002702</v>
      </c>
      <c r="L2288">
        <v>1</v>
      </c>
    </row>
    <row r="2289" spans="2:12" x14ac:dyDescent="0.25">
      <c r="C2289" t="s">
        <v>1864</v>
      </c>
      <c r="D2289" t="s">
        <v>4153</v>
      </c>
      <c r="E2289" t="s">
        <v>1864</v>
      </c>
      <c r="F2289" t="s">
        <v>1777</v>
      </c>
      <c r="G2289" t="str">
        <f t="shared" si="179"/>
        <v>R</v>
      </c>
      <c r="H2289" t="str">
        <f t="shared" si="179"/>
        <v>90</v>
      </c>
      <c r="I2289" t="str">
        <f t="shared" si="179"/>
        <v>900</v>
      </c>
      <c r="J2289" t="str">
        <f t="shared" si="179"/>
        <v>90035</v>
      </c>
      <c r="K2289" t="str">
        <f t="shared" si="176"/>
        <v/>
      </c>
    </row>
    <row r="2290" spans="2:12" x14ac:dyDescent="0.25">
      <c r="C2290" t="s">
        <v>1864</v>
      </c>
      <c r="D2290" t="s">
        <v>1864</v>
      </c>
      <c r="E2290" t="s">
        <v>4154</v>
      </c>
      <c r="F2290" t="s">
        <v>1777</v>
      </c>
      <c r="G2290" t="str">
        <f t="shared" si="179"/>
        <v>R</v>
      </c>
      <c r="H2290" t="str">
        <f t="shared" si="179"/>
        <v>90</v>
      </c>
      <c r="I2290" t="str">
        <f t="shared" si="179"/>
        <v>900</v>
      </c>
      <c r="J2290" t="str">
        <f t="shared" si="179"/>
        <v>90035</v>
      </c>
      <c r="K2290" t="str">
        <f t="shared" si="176"/>
        <v>9003500</v>
      </c>
      <c r="L2290">
        <v>1</v>
      </c>
    </row>
    <row r="2291" spans="2:12" x14ac:dyDescent="0.25">
      <c r="B2291" s="1" t="s">
        <v>4155</v>
      </c>
      <c r="C2291" s="1" t="s">
        <v>1864</v>
      </c>
      <c r="D2291" s="1" t="s">
        <v>1864</v>
      </c>
      <c r="E2291" s="1" t="s">
        <v>1864</v>
      </c>
      <c r="F2291" s="1" t="s">
        <v>1778</v>
      </c>
      <c r="G2291" t="str">
        <f t="shared" si="179"/>
        <v>R</v>
      </c>
      <c r="H2291" t="str">
        <f t="shared" si="179"/>
        <v>91</v>
      </c>
      <c r="I2291" t="str">
        <f t="shared" si="179"/>
        <v>900</v>
      </c>
      <c r="J2291" t="str">
        <f t="shared" si="179"/>
        <v>90035</v>
      </c>
      <c r="K2291" t="str">
        <f t="shared" si="176"/>
        <v/>
      </c>
    </row>
    <row r="2292" spans="2:12" x14ac:dyDescent="0.25">
      <c r="B2292" s="1"/>
      <c r="C2292" s="1" t="s">
        <v>4156</v>
      </c>
      <c r="D2292" s="1" t="s">
        <v>1864</v>
      </c>
      <c r="E2292" s="1" t="s">
        <v>1864</v>
      </c>
      <c r="F2292" s="1" t="s">
        <v>1779</v>
      </c>
      <c r="G2292" t="str">
        <f t="shared" si="179"/>
        <v>R</v>
      </c>
      <c r="H2292" t="str">
        <f t="shared" si="179"/>
        <v>91</v>
      </c>
      <c r="I2292" t="str">
        <f t="shared" si="179"/>
        <v>910</v>
      </c>
      <c r="J2292" t="str">
        <f t="shared" si="179"/>
        <v>90035</v>
      </c>
      <c r="K2292" t="str">
        <f t="shared" si="176"/>
        <v/>
      </c>
    </row>
    <row r="2293" spans="2:12" x14ac:dyDescent="0.25">
      <c r="B2293" s="1"/>
      <c r="C2293" s="1" t="s">
        <v>1864</v>
      </c>
      <c r="D2293" s="1" t="s">
        <v>4157</v>
      </c>
      <c r="E2293" s="1" t="s">
        <v>1864</v>
      </c>
      <c r="F2293" s="1" t="s">
        <v>1780</v>
      </c>
      <c r="G2293" t="str">
        <f t="shared" si="179"/>
        <v>R</v>
      </c>
      <c r="H2293" t="str">
        <f t="shared" si="179"/>
        <v>91</v>
      </c>
      <c r="I2293" t="str">
        <f t="shared" si="179"/>
        <v>910</v>
      </c>
      <c r="J2293" t="str">
        <f t="shared" si="179"/>
        <v>91015</v>
      </c>
      <c r="K2293" t="str">
        <f t="shared" si="176"/>
        <v/>
      </c>
    </row>
    <row r="2294" spans="2:12" x14ac:dyDescent="0.25">
      <c r="B2294" s="1"/>
      <c r="C2294" s="1" t="s">
        <v>1864</v>
      </c>
      <c r="D2294" s="1" t="s">
        <v>1864</v>
      </c>
      <c r="E2294" s="1" t="s">
        <v>4158</v>
      </c>
      <c r="F2294" s="1" t="s">
        <v>1780</v>
      </c>
      <c r="G2294" t="str">
        <f t="shared" si="179"/>
        <v>R</v>
      </c>
      <c r="H2294" t="str">
        <f t="shared" si="179"/>
        <v>91</v>
      </c>
      <c r="I2294" t="str">
        <f t="shared" si="179"/>
        <v>910</v>
      </c>
      <c r="J2294" t="str">
        <f t="shared" si="179"/>
        <v>91015</v>
      </c>
      <c r="K2294" t="str">
        <f t="shared" si="176"/>
        <v>9101500</v>
      </c>
      <c r="L2294">
        <v>1</v>
      </c>
    </row>
    <row r="2295" spans="2:12" x14ac:dyDescent="0.25">
      <c r="B2295" s="1"/>
      <c r="C2295" s="1" t="s">
        <v>1864</v>
      </c>
      <c r="D2295" s="1" t="s">
        <v>4159</v>
      </c>
      <c r="E2295" s="1" t="s">
        <v>1864</v>
      </c>
      <c r="F2295" s="1" t="s">
        <v>1781</v>
      </c>
      <c r="G2295" t="str">
        <f t="shared" si="179"/>
        <v>R</v>
      </c>
      <c r="H2295" t="str">
        <f t="shared" si="179"/>
        <v>91</v>
      </c>
      <c r="I2295" t="str">
        <f t="shared" si="179"/>
        <v>910</v>
      </c>
      <c r="J2295" t="str">
        <f t="shared" si="179"/>
        <v>91023</v>
      </c>
      <c r="K2295" t="str">
        <f t="shared" si="176"/>
        <v/>
      </c>
    </row>
    <row r="2296" spans="2:12" x14ac:dyDescent="0.25">
      <c r="B2296" s="1"/>
      <c r="C2296" s="1" t="s">
        <v>1864</v>
      </c>
      <c r="D2296" s="1" t="s">
        <v>1864</v>
      </c>
      <c r="E2296" s="1" t="s">
        <v>4160</v>
      </c>
      <c r="F2296" s="1" t="s">
        <v>1782</v>
      </c>
      <c r="G2296" t="str">
        <f t="shared" si="179"/>
        <v>R</v>
      </c>
      <c r="H2296" t="str">
        <f t="shared" si="179"/>
        <v>91</v>
      </c>
      <c r="I2296" t="str">
        <f t="shared" si="179"/>
        <v>910</v>
      </c>
      <c r="J2296" t="str">
        <f t="shared" si="179"/>
        <v>91023</v>
      </c>
      <c r="K2296" t="str">
        <f t="shared" si="176"/>
        <v>9102301</v>
      </c>
      <c r="L2296">
        <v>1</v>
      </c>
    </row>
    <row r="2297" spans="2:12" x14ac:dyDescent="0.25">
      <c r="B2297" s="1"/>
      <c r="C2297" s="1" t="s">
        <v>1864</v>
      </c>
      <c r="D2297" s="1" t="s">
        <v>1864</v>
      </c>
      <c r="E2297" s="1" t="s">
        <v>4161</v>
      </c>
      <c r="F2297" s="1" t="s">
        <v>1783</v>
      </c>
      <c r="G2297" t="str">
        <f t="shared" ref="G2297:J2312" si="180">IF(A2297="",G2296,A2297)</f>
        <v>R</v>
      </c>
      <c r="H2297" t="str">
        <f t="shared" si="180"/>
        <v>91</v>
      </c>
      <c r="I2297" t="str">
        <f t="shared" si="180"/>
        <v>910</v>
      </c>
      <c r="J2297" t="str">
        <f t="shared" si="180"/>
        <v>91023</v>
      </c>
      <c r="K2297" t="str">
        <f t="shared" si="176"/>
        <v>9102302</v>
      </c>
      <c r="L2297">
        <v>1</v>
      </c>
    </row>
    <row r="2298" spans="2:12" x14ac:dyDescent="0.25">
      <c r="B2298" s="1"/>
      <c r="C2298" s="1" t="s">
        <v>1864</v>
      </c>
      <c r="D2298" s="1" t="s">
        <v>4162</v>
      </c>
      <c r="E2298" s="1" t="s">
        <v>1864</v>
      </c>
      <c r="F2298" s="1" t="s">
        <v>1784</v>
      </c>
      <c r="G2298" t="str">
        <f t="shared" si="180"/>
        <v>R</v>
      </c>
      <c r="H2298" t="str">
        <f t="shared" si="180"/>
        <v>91</v>
      </c>
      <c r="I2298" t="str">
        <f t="shared" si="180"/>
        <v>910</v>
      </c>
      <c r="J2298" t="str">
        <f t="shared" si="180"/>
        <v>91031</v>
      </c>
      <c r="K2298" t="str">
        <f t="shared" si="176"/>
        <v/>
      </c>
    </row>
    <row r="2299" spans="2:12" x14ac:dyDescent="0.25">
      <c r="B2299" s="1"/>
      <c r="C2299" s="1" t="s">
        <v>1864</v>
      </c>
      <c r="D2299" s="1" t="s">
        <v>1864</v>
      </c>
      <c r="E2299" s="1" t="s">
        <v>4163</v>
      </c>
      <c r="F2299" s="1" t="s">
        <v>1784</v>
      </c>
      <c r="G2299" t="str">
        <f t="shared" si="180"/>
        <v>R</v>
      </c>
      <c r="H2299" t="str">
        <f t="shared" si="180"/>
        <v>91</v>
      </c>
      <c r="I2299" t="str">
        <f t="shared" si="180"/>
        <v>910</v>
      </c>
      <c r="J2299" t="str">
        <f t="shared" si="180"/>
        <v>91031</v>
      </c>
      <c r="K2299" t="str">
        <f t="shared" si="176"/>
        <v>9103100</v>
      </c>
      <c r="L2299">
        <v>1</v>
      </c>
    </row>
    <row r="2300" spans="2:12" x14ac:dyDescent="0.25">
      <c r="B2300" s="1" t="s">
        <v>4164</v>
      </c>
      <c r="C2300" s="1" t="s">
        <v>1864</v>
      </c>
      <c r="D2300" s="1" t="s">
        <v>1864</v>
      </c>
      <c r="E2300" s="1" t="s">
        <v>1864</v>
      </c>
      <c r="F2300" s="1" t="s">
        <v>1785</v>
      </c>
      <c r="G2300" t="str">
        <f t="shared" si="180"/>
        <v>R</v>
      </c>
      <c r="H2300" t="str">
        <f t="shared" si="180"/>
        <v>92</v>
      </c>
      <c r="I2300" t="str">
        <f t="shared" si="180"/>
        <v>910</v>
      </c>
      <c r="J2300" t="str">
        <f t="shared" si="180"/>
        <v>91031</v>
      </c>
      <c r="K2300" t="str">
        <f t="shared" si="176"/>
        <v/>
      </c>
    </row>
    <row r="2301" spans="2:12" x14ac:dyDescent="0.25">
      <c r="B2301" s="1"/>
      <c r="C2301" s="1" t="s">
        <v>4165</v>
      </c>
      <c r="D2301" s="1" t="s">
        <v>1864</v>
      </c>
      <c r="E2301" s="1" t="s">
        <v>1864</v>
      </c>
      <c r="F2301" s="1" t="s">
        <v>1786</v>
      </c>
      <c r="G2301" t="str">
        <f t="shared" si="180"/>
        <v>R</v>
      </c>
      <c r="H2301" t="str">
        <f t="shared" si="180"/>
        <v>92</v>
      </c>
      <c r="I2301" t="str">
        <f t="shared" si="180"/>
        <v>920</v>
      </c>
      <c r="J2301" t="str">
        <f t="shared" si="180"/>
        <v>91031</v>
      </c>
      <c r="K2301" t="str">
        <f t="shared" si="176"/>
        <v/>
      </c>
    </row>
    <row r="2302" spans="2:12" x14ac:dyDescent="0.25">
      <c r="B2302" s="1"/>
      <c r="C2302" s="1" t="s">
        <v>1864</v>
      </c>
      <c r="D2302" s="1" t="s">
        <v>4166</v>
      </c>
      <c r="E2302" s="1" t="s">
        <v>1864</v>
      </c>
      <c r="F2302" s="1" t="s">
        <v>1786</v>
      </c>
      <c r="G2302" t="str">
        <f t="shared" si="180"/>
        <v>R</v>
      </c>
      <c r="H2302" t="str">
        <f t="shared" si="180"/>
        <v>92</v>
      </c>
      <c r="I2302" t="str">
        <f t="shared" si="180"/>
        <v>920</v>
      </c>
      <c r="J2302" t="str">
        <f t="shared" si="180"/>
        <v>92003</v>
      </c>
      <c r="K2302" t="str">
        <f t="shared" si="176"/>
        <v/>
      </c>
    </row>
    <row r="2303" spans="2:12" x14ac:dyDescent="0.25">
      <c r="B2303" s="1"/>
      <c r="C2303" s="1" t="s">
        <v>1864</v>
      </c>
      <c r="D2303" s="1" t="s">
        <v>1864</v>
      </c>
      <c r="E2303" s="1" t="s">
        <v>4167</v>
      </c>
      <c r="F2303" s="1" t="s">
        <v>1787</v>
      </c>
      <c r="G2303" t="str">
        <f t="shared" si="180"/>
        <v>R</v>
      </c>
      <c r="H2303" t="str">
        <f t="shared" si="180"/>
        <v>92</v>
      </c>
      <c r="I2303" t="str">
        <f t="shared" si="180"/>
        <v>920</v>
      </c>
      <c r="J2303" t="str">
        <f t="shared" si="180"/>
        <v>92003</v>
      </c>
      <c r="K2303" t="str">
        <f t="shared" si="176"/>
        <v>9200301</v>
      </c>
      <c r="L2303">
        <v>0</v>
      </c>
    </row>
    <row r="2304" spans="2:12" x14ac:dyDescent="0.25">
      <c r="B2304" s="1"/>
      <c r="C2304" s="1" t="s">
        <v>1864</v>
      </c>
      <c r="D2304" s="1" t="s">
        <v>1864</v>
      </c>
      <c r="E2304" s="1" t="s">
        <v>4168</v>
      </c>
      <c r="F2304" s="1" t="s">
        <v>1788</v>
      </c>
      <c r="G2304" t="str">
        <f t="shared" si="180"/>
        <v>R</v>
      </c>
      <c r="H2304" t="str">
        <f t="shared" si="180"/>
        <v>92</v>
      </c>
      <c r="I2304" t="str">
        <f t="shared" si="180"/>
        <v>920</v>
      </c>
      <c r="J2304" t="str">
        <f t="shared" si="180"/>
        <v>92003</v>
      </c>
      <c r="K2304" t="str">
        <f t="shared" si="176"/>
        <v>9200302</v>
      </c>
      <c r="L2304">
        <v>0</v>
      </c>
    </row>
    <row r="2305" spans="2:12" x14ac:dyDescent="0.25">
      <c r="B2305" s="1"/>
      <c r="C2305" s="1" t="s">
        <v>1864</v>
      </c>
      <c r="D2305" s="1" t="s">
        <v>1864</v>
      </c>
      <c r="E2305" s="1" t="s">
        <v>4169</v>
      </c>
      <c r="F2305" s="1" t="s">
        <v>1789</v>
      </c>
      <c r="G2305" t="str">
        <f t="shared" si="180"/>
        <v>R</v>
      </c>
      <c r="H2305" t="str">
        <f t="shared" si="180"/>
        <v>92</v>
      </c>
      <c r="I2305" t="str">
        <f t="shared" si="180"/>
        <v>920</v>
      </c>
      <c r="J2305" t="str">
        <f t="shared" si="180"/>
        <v>92003</v>
      </c>
      <c r="K2305" t="str">
        <f t="shared" si="176"/>
        <v>9200399</v>
      </c>
      <c r="L2305">
        <v>0</v>
      </c>
    </row>
    <row r="2306" spans="2:12" x14ac:dyDescent="0.25">
      <c r="B2306" s="1" t="s">
        <v>4170</v>
      </c>
      <c r="C2306" s="1" t="s">
        <v>1864</v>
      </c>
      <c r="D2306" s="1" t="s">
        <v>1864</v>
      </c>
      <c r="E2306" s="1" t="s">
        <v>1864</v>
      </c>
      <c r="F2306" s="1" t="s">
        <v>1790</v>
      </c>
      <c r="G2306" t="str">
        <f t="shared" si="180"/>
        <v>R</v>
      </c>
      <c r="H2306" t="str">
        <f t="shared" si="180"/>
        <v>93</v>
      </c>
      <c r="I2306" t="str">
        <f t="shared" si="180"/>
        <v>920</v>
      </c>
      <c r="J2306" t="str">
        <f t="shared" si="180"/>
        <v>92003</v>
      </c>
      <c r="K2306" t="str">
        <f t="shared" si="176"/>
        <v/>
      </c>
    </row>
    <row r="2307" spans="2:12" x14ac:dyDescent="0.25">
      <c r="B2307" s="1"/>
      <c r="C2307" s="1" t="s">
        <v>4171</v>
      </c>
      <c r="D2307" s="1" t="s">
        <v>1864</v>
      </c>
      <c r="E2307" s="1" t="s">
        <v>1864</v>
      </c>
      <c r="F2307" s="1" t="s">
        <v>1791</v>
      </c>
      <c r="G2307" t="str">
        <f t="shared" si="180"/>
        <v>R</v>
      </c>
      <c r="H2307" t="str">
        <f t="shared" si="180"/>
        <v>93</v>
      </c>
      <c r="I2307" t="str">
        <f t="shared" si="180"/>
        <v>931</v>
      </c>
      <c r="J2307" t="str">
        <f t="shared" si="180"/>
        <v>92003</v>
      </c>
      <c r="K2307" t="str">
        <f t="shared" si="176"/>
        <v/>
      </c>
    </row>
    <row r="2308" spans="2:12" x14ac:dyDescent="0.25">
      <c r="B2308" s="1"/>
      <c r="C2308" s="1" t="s">
        <v>1864</v>
      </c>
      <c r="D2308" s="1" t="s">
        <v>4172</v>
      </c>
      <c r="E2308" s="1" t="s">
        <v>1864</v>
      </c>
      <c r="F2308" s="1" t="s">
        <v>1792</v>
      </c>
      <c r="G2308" t="str">
        <f t="shared" si="180"/>
        <v>R</v>
      </c>
      <c r="H2308" t="str">
        <f t="shared" si="180"/>
        <v>93</v>
      </c>
      <c r="I2308" t="str">
        <f t="shared" si="180"/>
        <v>931</v>
      </c>
      <c r="J2308" t="str">
        <f t="shared" si="180"/>
        <v>93115</v>
      </c>
      <c r="K2308" t="str">
        <f t="shared" si="176"/>
        <v/>
      </c>
    </row>
    <row r="2309" spans="2:12" x14ac:dyDescent="0.25">
      <c r="B2309" s="1"/>
      <c r="C2309" s="1" t="s">
        <v>1864</v>
      </c>
      <c r="D2309" s="1" t="s">
        <v>1864</v>
      </c>
      <c r="E2309" s="1" t="s">
        <v>4173</v>
      </c>
      <c r="F2309" s="1" t="s">
        <v>1792</v>
      </c>
      <c r="G2309" t="str">
        <f t="shared" si="180"/>
        <v>R</v>
      </c>
      <c r="H2309" t="str">
        <f t="shared" si="180"/>
        <v>93</v>
      </c>
      <c r="I2309" t="str">
        <f t="shared" si="180"/>
        <v>931</v>
      </c>
      <c r="J2309" t="str">
        <f t="shared" si="180"/>
        <v>93115</v>
      </c>
      <c r="K2309" t="str">
        <f t="shared" si="176"/>
        <v>9311500</v>
      </c>
      <c r="L2309">
        <v>0</v>
      </c>
    </row>
    <row r="2310" spans="2:12" x14ac:dyDescent="0.25">
      <c r="B2310" s="1"/>
      <c r="C2310" s="1" t="s">
        <v>1864</v>
      </c>
      <c r="D2310" s="1" t="s">
        <v>4174</v>
      </c>
      <c r="E2310" s="1" t="s">
        <v>1864</v>
      </c>
      <c r="F2310" s="1" t="s">
        <v>1793</v>
      </c>
      <c r="G2310" t="str">
        <f t="shared" si="180"/>
        <v>R</v>
      </c>
      <c r="H2310" t="str">
        <f t="shared" si="180"/>
        <v>93</v>
      </c>
      <c r="I2310" t="str">
        <f t="shared" si="180"/>
        <v>931</v>
      </c>
      <c r="J2310" t="str">
        <f t="shared" si="180"/>
        <v>93123</v>
      </c>
      <c r="K2310" t="str">
        <f t="shared" si="176"/>
        <v/>
      </c>
    </row>
    <row r="2311" spans="2:12" x14ac:dyDescent="0.25">
      <c r="B2311" s="1"/>
      <c r="C2311" s="1" t="s">
        <v>1864</v>
      </c>
      <c r="D2311" s="1" t="s">
        <v>1864</v>
      </c>
      <c r="E2311" s="1" t="s">
        <v>4175</v>
      </c>
      <c r="F2311" s="1" t="s">
        <v>1793</v>
      </c>
      <c r="G2311" t="str">
        <f t="shared" si="180"/>
        <v>R</v>
      </c>
      <c r="H2311" t="str">
        <f t="shared" si="180"/>
        <v>93</v>
      </c>
      <c r="I2311" t="str">
        <f t="shared" si="180"/>
        <v>931</v>
      </c>
      <c r="J2311" t="str">
        <f t="shared" si="180"/>
        <v>93123</v>
      </c>
      <c r="K2311" t="str">
        <f t="shared" si="176"/>
        <v>9312300</v>
      </c>
      <c r="L2311">
        <v>0</v>
      </c>
    </row>
    <row r="2312" spans="2:12" x14ac:dyDescent="0.25">
      <c r="B2312" s="1"/>
      <c r="C2312" s="1" t="s">
        <v>1864</v>
      </c>
      <c r="D2312" s="1" t="s">
        <v>4176</v>
      </c>
      <c r="E2312" s="1" t="s">
        <v>1864</v>
      </c>
      <c r="F2312" s="1" t="s">
        <v>1794</v>
      </c>
      <c r="G2312" t="str">
        <f t="shared" si="180"/>
        <v>R</v>
      </c>
      <c r="H2312" t="str">
        <f t="shared" si="180"/>
        <v>93</v>
      </c>
      <c r="I2312" t="str">
        <f t="shared" si="180"/>
        <v>931</v>
      </c>
      <c r="J2312" t="str">
        <f t="shared" si="180"/>
        <v>93131</v>
      </c>
      <c r="K2312" t="str">
        <f t="shared" ref="K2312:K2375" si="181">E2312</f>
        <v/>
      </c>
    </row>
    <row r="2313" spans="2:12" x14ac:dyDescent="0.25">
      <c r="B2313" s="1"/>
      <c r="C2313" s="1" t="s">
        <v>1864</v>
      </c>
      <c r="D2313" s="1" t="s">
        <v>1864</v>
      </c>
      <c r="E2313" s="1" t="s">
        <v>4177</v>
      </c>
      <c r="F2313" s="1" t="s">
        <v>1794</v>
      </c>
      <c r="G2313" t="str">
        <f t="shared" ref="G2313:J2328" si="182">IF(A2313="",G2312,A2313)</f>
        <v>R</v>
      </c>
      <c r="H2313" t="str">
        <f t="shared" si="182"/>
        <v>93</v>
      </c>
      <c r="I2313" t="str">
        <f t="shared" si="182"/>
        <v>931</v>
      </c>
      <c r="J2313" t="str">
        <f t="shared" si="182"/>
        <v>93131</v>
      </c>
      <c r="K2313" t="str">
        <f t="shared" si="181"/>
        <v>9313100</v>
      </c>
      <c r="L2313">
        <v>0</v>
      </c>
    </row>
    <row r="2314" spans="2:12" x14ac:dyDescent="0.25">
      <c r="B2314" s="1"/>
      <c r="C2314" s="1" t="s">
        <v>1864</v>
      </c>
      <c r="D2314" s="1" t="s">
        <v>4178</v>
      </c>
      <c r="E2314" s="1" t="s">
        <v>1864</v>
      </c>
      <c r="F2314" s="1" t="s">
        <v>1795</v>
      </c>
      <c r="G2314" t="str">
        <f t="shared" si="182"/>
        <v>R</v>
      </c>
      <c r="H2314" t="str">
        <f t="shared" si="182"/>
        <v>93</v>
      </c>
      <c r="I2314" t="str">
        <f t="shared" si="182"/>
        <v>931</v>
      </c>
      <c r="J2314" t="str">
        <f t="shared" si="182"/>
        <v>93191</v>
      </c>
      <c r="K2314" t="str">
        <f t="shared" si="181"/>
        <v/>
      </c>
    </row>
    <row r="2315" spans="2:12" x14ac:dyDescent="0.25">
      <c r="B2315" s="1"/>
      <c r="C2315" s="1" t="s">
        <v>1864</v>
      </c>
      <c r="D2315" s="1" t="s">
        <v>1864</v>
      </c>
      <c r="E2315" s="1" t="s">
        <v>4179</v>
      </c>
      <c r="F2315" s="1" t="s">
        <v>1796</v>
      </c>
      <c r="G2315" t="str">
        <f t="shared" si="182"/>
        <v>R</v>
      </c>
      <c r="H2315" t="str">
        <f t="shared" si="182"/>
        <v>93</v>
      </c>
      <c r="I2315" t="str">
        <f t="shared" si="182"/>
        <v>931</v>
      </c>
      <c r="J2315" t="str">
        <f t="shared" si="182"/>
        <v>93191</v>
      </c>
      <c r="K2315" t="str">
        <f t="shared" si="181"/>
        <v>9319101</v>
      </c>
      <c r="L2315">
        <v>0</v>
      </c>
    </row>
    <row r="2316" spans="2:12" x14ac:dyDescent="0.25">
      <c r="B2316" s="1"/>
      <c r="C2316" s="1" t="s">
        <v>1864</v>
      </c>
      <c r="D2316" s="1" t="s">
        <v>1864</v>
      </c>
      <c r="E2316" s="1" t="s">
        <v>4180</v>
      </c>
      <c r="F2316" s="1" t="s">
        <v>1797</v>
      </c>
      <c r="G2316" t="str">
        <f t="shared" si="182"/>
        <v>R</v>
      </c>
      <c r="H2316" t="str">
        <f t="shared" si="182"/>
        <v>93</v>
      </c>
      <c r="I2316" t="str">
        <f t="shared" si="182"/>
        <v>931</v>
      </c>
      <c r="J2316" t="str">
        <f t="shared" si="182"/>
        <v>93191</v>
      </c>
      <c r="K2316" t="str">
        <f t="shared" si="181"/>
        <v>9319199</v>
      </c>
      <c r="L2316">
        <v>0</v>
      </c>
    </row>
    <row r="2317" spans="2:12" x14ac:dyDescent="0.25">
      <c r="B2317" s="1"/>
      <c r="C2317" s="1" t="s">
        <v>4181</v>
      </c>
      <c r="D2317" s="1" t="s">
        <v>1864</v>
      </c>
      <c r="E2317" s="1" t="s">
        <v>1864</v>
      </c>
      <c r="F2317" s="1" t="s">
        <v>1798</v>
      </c>
      <c r="G2317" t="str">
        <f t="shared" si="182"/>
        <v>R</v>
      </c>
      <c r="H2317" t="str">
        <f t="shared" si="182"/>
        <v>93</v>
      </c>
      <c r="I2317" t="str">
        <f t="shared" si="182"/>
        <v>932</v>
      </c>
      <c r="J2317" t="str">
        <f t="shared" si="182"/>
        <v>93191</v>
      </c>
      <c r="K2317" t="str">
        <f t="shared" si="181"/>
        <v/>
      </c>
    </row>
    <row r="2318" spans="2:12" x14ac:dyDescent="0.25">
      <c r="B2318" s="1"/>
      <c r="C2318" s="1" t="s">
        <v>1864</v>
      </c>
      <c r="D2318" s="1" t="s">
        <v>4182</v>
      </c>
      <c r="E2318" s="1" t="s">
        <v>1864</v>
      </c>
      <c r="F2318" s="1" t="s">
        <v>1799</v>
      </c>
      <c r="G2318" t="str">
        <f t="shared" si="182"/>
        <v>R</v>
      </c>
      <c r="H2318" t="str">
        <f t="shared" si="182"/>
        <v>93</v>
      </c>
      <c r="I2318" t="str">
        <f t="shared" si="182"/>
        <v>932</v>
      </c>
      <c r="J2318" t="str">
        <f t="shared" si="182"/>
        <v>93212</v>
      </c>
      <c r="K2318" t="str">
        <f t="shared" si="181"/>
        <v/>
      </c>
    </row>
    <row r="2319" spans="2:12" x14ac:dyDescent="0.25">
      <c r="B2319" s="1"/>
      <c r="C2319" s="1" t="s">
        <v>1864</v>
      </c>
      <c r="D2319" s="1" t="s">
        <v>1864</v>
      </c>
      <c r="E2319" s="1" t="s">
        <v>4183</v>
      </c>
      <c r="F2319" s="1" t="s">
        <v>1799</v>
      </c>
      <c r="G2319" t="str">
        <f t="shared" si="182"/>
        <v>R</v>
      </c>
      <c r="H2319" t="str">
        <f t="shared" si="182"/>
        <v>93</v>
      </c>
      <c r="I2319" t="str">
        <f t="shared" si="182"/>
        <v>932</v>
      </c>
      <c r="J2319" t="str">
        <f t="shared" si="182"/>
        <v>93212</v>
      </c>
      <c r="K2319" t="str">
        <f t="shared" si="181"/>
        <v>9321200</v>
      </c>
      <c r="L2319">
        <v>0</v>
      </c>
    </row>
    <row r="2320" spans="2:12" x14ac:dyDescent="0.25">
      <c r="B2320" s="1"/>
      <c r="C2320" s="1" t="s">
        <v>1864</v>
      </c>
      <c r="D2320" s="1" t="s">
        <v>4184</v>
      </c>
      <c r="E2320" s="1" t="s">
        <v>1864</v>
      </c>
      <c r="F2320" s="1" t="s">
        <v>1800</v>
      </c>
      <c r="G2320" t="str">
        <f t="shared" si="182"/>
        <v>R</v>
      </c>
      <c r="H2320" t="str">
        <f t="shared" si="182"/>
        <v>93</v>
      </c>
      <c r="I2320" t="str">
        <f t="shared" si="182"/>
        <v>932</v>
      </c>
      <c r="J2320" t="str">
        <f t="shared" si="182"/>
        <v>93298</v>
      </c>
      <c r="K2320" t="str">
        <f t="shared" si="181"/>
        <v/>
      </c>
    </row>
    <row r="2321" spans="1:12" x14ac:dyDescent="0.25">
      <c r="B2321" s="1"/>
      <c r="C2321" s="1" t="s">
        <v>1864</v>
      </c>
      <c r="D2321" s="1" t="s">
        <v>1864</v>
      </c>
      <c r="E2321" s="1" t="s">
        <v>4185</v>
      </c>
      <c r="F2321" s="1" t="s">
        <v>1801</v>
      </c>
      <c r="G2321" t="str">
        <f t="shared" si="182"/>
        <v>R</v>
      </c>
      <c r="H2321" t="str">
        <f t="shared" si="182"/>
        <v>93</v>
      </c>
      <c r="I2321" t="str">
        <f t="shared" si="182"/>
        <v>932</v>
      </c>
      <c r="J2321" t="str">
        <f t="shared" si="182"/>
        <v>93298</v>
      </c>
      <c r="K2321" t="str">
        <f t="shared" si="181"/>
        <v>9329801</v>
      </c>
      <c r="L2321">
        <v>0</v>
      </c>
    </row>
    <row r="2322" spans="1:12" x14ac:dyDescent="0.25">
      <c r="B2322" s="1"/>
      <c r="C2322" s="1" t="s">
        <v>1864</v>
      </c>
      <c r="D2322" s="1" t="s">
        <v>1864</v>
      </c>
      <c r="E2322" s="1" t="s">
        <v>4186</v>
      </c>
      <c r="F2322" s="1" t="s">
        <v>1802</v>
      </c>
      <c r="G2322" t="str">
        <f t="shared" si="182"/>
        <v>R</v>
      </c>
      <c r="H2322" t="str">
        <f t="shared" si="182"/>
        <v>93</v>
      </c>
      <c r="I2322" t="str">
        <f t="shared" si="182"/>
        <v>932</v>
      </c>
      <c r="J2322" t="str">
        <f t="shared" si="182"/>
        <v>93298</v>
      </c>
      <c r="K2322" t="str">
        <f t="shared" si="181"/>
        <v>9329802</v>
      </c>
      <c r="L2322">
        <v>0</v>
      </c>
    </row>
    <row r="2323" spans="1:12" x14ac:dyDescent="0.25">
      <c r="B2323" s="1"/>
      <c r="C2323" s="1" t="s">
        <v>1864</v>
      </c>
      <c r="D2323" s="1" t="s">
        <v>1864</v>
      </c>
      <c r="E2323" s="1" t="s">
        <v>4187</v>
      </c>
      <c r="F2323" s="1" t="s">
        <v>1803</v>
      </c>
      <c r="G2323" t="str">
        <f t="shared" si="182"/>
        <v>R</v>
      </c>
      <c r="H2323" t="str">
        <f t="shared" si="182"/>
        <v>93</v>
      </c>
      <c r="I2323" t="str">
        <f t="shared" si="182"/>
        <v>932</v>
      </c>
      <c r="J2323" t="str">
        <f t="shared" si="182"/>
        <v>93298</v>
      </c>
      <c r="K2323" t="str">
        <f t="shared" si="181"/>
        <v>9329803</v>
      </c>
      <c r="L2323">
        <v>0</v>
      </c>
    </row>
    <row r="2324" spans="1:12" x14ac:dyDescent="0.25">
      <c r="B2324" s="1"/>
      <c r="C2324" s="1" t="s">
        <v>1864</v>
      </c>
      <c r="D2324" s="1" t="s">
        <v>1864</v>
      </c>
      <c r="E2324" s="1" t="s">
        <v>4188</v>
      </c>
      <c r="F2324" s="1" t="s">
        <v>1804</v>
      </c>
      <c r="G2324" t="str">
        <f t="shared" si="182"/>
        <v>R</v>
      </c>
      <c r="H2324" t="str">
        <f t="shared" si="182"/>
        <v>93</v>
      </c>
      <c r="I2324" t="str">
        <f t="shared" si="182"/>
        <v>932</v>
      </c>
      <c r="J2324" t="str">
        <f t="shared" si="182"/>
        <v>93298</v>
      </c>
      <c r="K2324" t="str">
        <f t="shared" si="181"/>
        <v>9329804</v>
      </c>
      <c r="L2324">
        <v>0</v>
      </c>
    </row>
    <row r="2325" spans="1:12" x14ac:dyDescent="0.25">
      <c r="B2325" s="1"/>
      <c r="C2325" s="1" t="s">
        <v>1864</v>
      </c>
      <c r="D2325" s="1" t="s">
        <v>1864</v>
      </c>
      <c r="E2325" s="1" t="s">
        <v>4189</v>
      </c>
      <c r="F2325" s="1" t="s">
        <v>1805</v>
      </c>
      <c r="G2325" t="str">
        <f t="shared" si="182"/>
        <v>R</v>
      </c>
      <c r="H2325" t="str">
        <f t="shared" si="182"/>
        <v>93</v>
      </c>
      <c r="I2325" t="str">
        <f t="shared" si="182"/>
        <v>932</v>
      </c>
      <c r="J2325" t="str">
        <f t="shared" si="182"/>
        <v>93298</v>
      </c>
      <c r="K2325" t="str">
        <f t="shared" si="181"/>
        <v>9329899</v>
      </c>
      <c r="L2325">
        <v>0</v>
      </c>
    </row>
    <row r="2326" spans="1:12" x14ac:dyDescent="0.25">
      <c r="A2326" t="s">
        <v>4190</v>
      </c>
      <c r="C2326" t="s">
        <v>1864</v>
      </c>
      <c r="D2326" t="s">
        <v>1864</v>
      </c>
      <c r="E2326" t="s">
        <v>1864</v>
      </c>
      <c r="F2326" t="s">
        <v>1806</v>
      </c>
      <c r="G2326" t="str">
        <f t="shared" si="182"/>
        <v>S</v>
      </c>
      <c r="H2326" t="str">
        <f t="shared" si="182"/>
        <v>93</v>
      </c>
      <c r="I2326" t="str">
        <f t="shared" si="182"/>
        <v>932</v>
      </c>
      <c r="J2326" t="str">
        <f t="shared" si="182"/>
        <v>93298</v>
      </c>
      <c r="K2326" t="str">
        <f t="shared" si="181"/>
        <v/>
      </c>
    </row>
    <row r="2327" spans="1:12" x14ac:dyDescent="0.25">
      <c r="B2327">
        <v>94</v>
      </c>
      <c r="C2327" t="s">
        <v>1864</v>
      </c>
      <c r="D2327" t="s">
        <v>1864</v>
      </c>
      <c r="E2327" t="s">
        <v>1864</v>
      </c>
      <c r="F2327" t="s">
        <v>1807</v>
      </c>
      <c r="G2327" t="str">
        <f t="shared" si="182"/>
        <v>S</v>
      </c>
      <c r="H2327">
        <f t="shared" si="182"/>
        <v>94</v>
      </c>
      <c r="I2327" t="str">
        <f t="shared" si="182"/>
        <v>932</v>
      </c>
      <c r="J2327" t="str">
        <f t="shared" si="182"/>
        <v>93298</v>
      </c>
      <c r="K2327" t="str">
        <f t="shared" si="181"/>
        <v/>
      </c>
    </row>
    <row r="2328" spans="1:12" x14ac:dyDescent="0.25">
      <c r="C2328" t="s">
        <v>4191</v>
      </c>
      <c r="D2328" t="s">
        <v>1864</v>
      </c>
      <c r="E2328" t="s">
        <v>1864</v>
      </c>
      <c r="F2328" t="s">
        <v>1808</v>
      </c>
      <c r="G2328" t="str">
        <f t="shared" si="182"/>
        <v>S</v>
      </c>
      <c r="H2328">
        <f t="shared" si="182"/>
        <v>94</v>
      </c>
      <c r="I2328" t="str">
        <f t="shared" si="182"/>
        <v>941</v>
      </c>
      <c r="J2328" t="str">
        <f t="shared" si="182"/>
        <v>93298</v>
      </c>
      <c r="K2328" t="str">
        <f t="shared" si="181"/>
        <v/>
      </c>
    </row>
    <row r="2329" spans="1:12" x14ac:dyDescent="0.25">
      <c r="C2329" t="s">
        <v>1864</v>
      </c>
      <c r="D2329" t="s">
        <v>4192</v>
      </c>
      <c r="E2329" t="s">
        <v>1864</v>
      </c>
      <c r="F2329" t="s">
        <v>1809</v>
      </c>
      <c r="G2329" t="str">
        <f t="shared" ref="G2329:J2344" si="183">IF(A2329="",G2328,A2329)</f>
        <v>S</v>
      </c>
      <c r="H2329">
        <f t="shared" si="183"/>
        <v>94</v>
      </c>
      <c r="I2329" t="str">
        <f t="shared" si="183"/>
        <v>941</v>
      </c>
      <c r="J2329" t="str">
        <f t="shared" si="183"/>
        <v>94111</v>
      </c>
      <c r="K2329" t="str">
        <f t="shared" si="181"/>
        <v/>
      </c>
    </row>
    <row r="2330" spans="1:12" x14ac:dyDescent="0.25">
      <c r="C2330" t="s">
        <v>1864</v>
      </c>
      <c r="D2330" t="s">
        <v>1864</v>
      </c>
      <c r="E2330" t="s">
        <v>4193</v>
      </c>
      <c r="F2330" t="s">
        <v>1809</v>
      </c>
      <c r="G2330" t="str">
        <f t="shared" si="183"/>
        <v>S</v>
      </c>
      <c r="H2330">
        <f t="shared" si="183"/>
        <v>94</v>
      </c>
      <c r="I2330" t="str">
        <f t="shared" si="183"/>
        <v>941</v>
      </c>
      <c r="J2330" t="str">
        <f t="shared" si="183"/>
        <v>94111</v>
      </c>
      <c r="K2330" t="str">
        <f t="shared" si="181"/>
        <v>9411100</v>
      </c>
      <c r="L2330">
        <v>0</v>
      </c>
    </row>
    <row r="2331" spans="1:12" x14ac:dyDescent="0.25">
      <c r="C2331" t="s">
        <v>1864</v>
      </c>
      <c r="D2331" t="s">
        <v>4194</v>
      </c>
      <c r="E2331" t="s">
        <v>1864</v>
      </c>
      <c r="F2331" t="s">
        <v>1810</v>
      </c>
      <c r="G2331" t="str">
        <f t="shared" si="183"/>
        <v>S</v>
      </c>
      <c r="H2331">
        <f t="shared" si="183"/>
        <v>94</v>
      </c>
      <c r="I2331" t="str">
        <f t="shared" si="183"/>
        <v>941</v>
      </c>
      <c r="J2331" t="str">
        <f t="shared" si="183"/>
        <v>94120</v>
      </c>
      <c r="K2331" t="str">
        <f t="shared" si="181"/>
        <v/>
      </c>
    </row>
    <row r="2332" spans="1:12" x14ac:dyDescent="0.25">
      <c r="C2332" t="s">
        <v>1864</v>
      </c>
      <c r="D2332" t="s">
        <v>1864</v>
      </c>
      <c r="E2332" t="s">
        <v>4195</v>
      </c>
      <c r="F2332" t="s">
        <v>1811</v>
      </c>
      <c r="G2332" t="str">
        <f t="shared" si="183"/>
        <v>S</v>
      </c>
      <c r="H2332">
        <f t="shared" si="183"/>
        <v>94</v>
      </c>
      <c r="I2332" t="str">
        <f t="shared" si="183"/>
        <v>941</v>
      </c>
      <c r="J2332" t="str">
        <f t="shared" si="183"/>
        <v>94120</v>
      </c>
      <c r="K2332" t="str">
        <f t="shared" si="181"/>
        <v>9412001</v>
      </c>
      <c r="L2332">
        <v>0</v>
      </c>
    </row>
    <row r="2333" spans="1:12" x14ac:dyDescent="0.25">
      <c r="C2333" t="s">
        <v>1864</v>
      </c>
      <c r="D2333" t="s">
        <v>1864</v>
      </c>
      <c r="E2333" t="s">
        <v>4196</v>
      </c>
      <c r="F2333" t="s">
        <v>1812</v>
      </c>
      <c r="G2333" t="str">
        <f t="shared" si="183"/>
        <v>S</v>
      </c>
      <c r="H2333">
        <f t="shared" si="183"/>
        <v>94</v>
      </c>
      <c r="I2333" t="str">
        <f t="shared" si="183"/>
        <v>941</v>
      </c>
      <c r="J2333" t="str">
        <f t="shared" si="183"/>
        <v>94120</v>
      </c>
      <c r="K2333" t="str">
        <f t="shared" si="181"/>
        <v>9412099</v>
      </c>
      <c r="L2333">
        <v>0</v>
      </c>
    </row>
    <row r="2334" spans="1:12" x14ac:dyDescent="0.25">
      <c r="C2334" t="s">
        <v>4197</v>
      </c>
      <c r="D2334" t="s">
        <v>1864</v>
      </c>
      <c r="E2334" t="s">
        <v>1864</v>
      </c>
      <c r="F2334" t="s">
        <v>1813</v>
      </c>
      <c r="G2334" t="str">
        <f t="shared" si="183"/>
        <v>S</v>
      </c>
      <c r="H2334">
        <f t="shared" si="183"/>
        <v>94</v>
      </c>
      <c r="I2334" t="str">
        <f t="shared" si="183"/>
        <v>942</v>
      </c>
      <c r="J2334" t="str">
        <f t="shared" si="183"/>
        <v>94120</v>
      </c>
      <c r="K2334" t="str">
        <f t="shared" si="181"/>
        <v/>
      </c>
    </row>
    <row r="2335" spans="1:12" x14ac:dyDescent="0.25">
      <c r="C2335" t="s">
        <v>1864</v>
      </c>
      <c r="D2335" t="s">
        <v>4198</v>
      </c>
      <c r="E2335" t="s">
        <v>1864</v>
      </c>
      <c r="F2335" t="s">
        <v>1813</v>
      </c>
      <c r="G2335" t="str">
        <f t="shared" si="183"/>
        <v>S</v>
      </c>
      <c r="H2335">
        <f t="shared" si="183"/>
        <v>94</v>
      </c>
      <c r="I2335" t="str">
        <f t="shared" si="183"/>
        <v>942</v>
      </c>
      <c r="J2335" t="str">
        <f t="shared" si="183"/>
        <v>94201</v>
      </c>
      <c r="K2335" t="str">
        <f t="shared" si="181"/>
        <v/>
      </c>
    </row>
    <row r="2336" spans="1:12" x14ac:dyDescent="0.25">
      <c r="C2336" t="s">
        <v>1864</v>
      </c>
      <c r="D2336" t="s">
        <v>1864</v>
      </c>
      <c r="E2336" t="s">
        <v>4199</v>
      </c>
      <c r="F2336" t="s">
        <v>1813</v>
      </c>
      <c r="G2336" t="str">
        <f t="shared" si="183"/>
        <v>S</v>
      </c>
      <c r="H2336">
        <f t="shared" si="183"/>
        <v>94</v>
      </c>
      <c r="I2336" t="str">
        <f t="shared" si="183"/>
        <v>942</v>
      </c>
      <c r="J2336" t="str">
        <f t="shared" si="183"/>
        <v>94201</v>
      </c>
      <c r="K2336" t="str">
        <f t="shared" si="181"/>
        <v>9420100</v>
      </c>
      <c r="L2336">
        <v>0</v>
      </c>
    </row>
    <row r="2337" spans="2:12" x14ac:dyDescent="0.25">
      <c r="C2337" t="s">
        <v>4200</v>
      </c>
      <c r="D2337" t="s">
        <v>1864</v>
      </c>
      <c r="E2337" t="s">
        <v>1864</v>
      </c>
      <c r="F2337" t="s">
        <v>1814</v>
      </c>
      <c r="G2337" t="str">
        <f t="shared" si="183"/>
        <v>S</v>
      </c>
      <c r="H2337">
        <f t="shared" si="183"/>
        <v>94</v>
      </c>
      <c r="I2337" t="str">
        <f t="shared" si="183"/>
        <v>943</v>
      </c>
      <c r="J2337" t="str">
        <f t="shared" si="183"/>
        <v>94201</v>
      </c>
      <c r="K2337" t="str">
        <f t="shared" si="181"/>
        <v/>
      </c>
    </row>
    <row r="2338" spans="2:12" x14ac:dyDescent="0.25">
      <c r="C2338" t="s">
        <v>1864</v>
      </c>
      <c r="D2338" t="s">
        <v>4201</v>
      </c>
      <c r="E2338" t="s">
        <v>1864</v>
      </c>
      <c r="F2338" t="s">
        <v>1814</v>
      </c>
      <c r="G2338" t="str">
        <f t="shared" si="183"/>
        <v>S</v>
      </c>
      <c r="H2338">
        <f t="shared" si="183"/>
        <v>94</v>
      </c>
      <c r="I2338" t="str">
        <f t="shared" si="183"/>
        <v>943</v>
      </c>
      <c r="J2338" t="str">
        <f t="shared" si="183"/>
        <v>94308</v>
      </c>
      <c r="K2338" t="str">
        <f t="shared" si="181"/>
        <v/>
      </c>
    </row>
    <row r="2339" spans="2:12" x14ac:dyDescent="0.25">
      <c r="C2339" t="s">
        <v>1864</v>
      </c>
      <c r="D2339" t="s">
        <v>1864</v>
      </c>
      <c r="E2339" t="s">
        <v>4202</v>
      </c>
      <c r="F2339" t="s">
        <v>1814</v>
      </c>
      <c r="G2339" t="str">
        <f t="shared" si="183"/>
        <v>S</v>
      </c>
      <c r="H2339">
        <f t="shared" si="183"/>
        <v>94</v>
      </c>
      <c r="I2339" t="str">
        <f t="shared" si="183"/>
        <v>943</v>
      </c>
      <c r="J2339" t="str">
        <f t="shared" si="183"/>
        <v>94308</v>
      </c>
      <c r="K2339" t="str">
        <f t="shared" si="181"/>
        <v>9430800</v>
      </c>
      <c r="L2339">
        <v>0</v>
      </c>
    </row>
    <row r="2340" spans="2:12" x14ac:dyDescent="0.25">
      <c r="C2340" t="s">
        <v>4203</v>
      </c>
      <c r="D2340" t="s">
        <v>1864</v>
      </c>
      <c r="E2340" t="s">
        <v>1864</v>
      </c>
      <c r="F2340" t="s">
        <v>1815</v>
      </c>
      <c r="G2340" t="str">
        <f t="shared" si="183"/>
        <v>S</v>
      </c>
      <c r="H2340">
        <f t="shared" si="183"/>
        <v>94</v>
      </c>
      <c r="I2340" t="str">
        <f t="shared" si="183"/>
        <v>949</v>
      </c>
      <c r="J2340" t="str">
        <f t="shared" si="183"/>
        <v>94308</v>
      </c>
      <c r="K2340" t="str">
        <f t="shared" si="181"/>
        <v/>
      </c>
    </row>
    <row r="2341" spans="2:12" x14ac:dyDescent="0.25">
      <c r="C2341" t="s">
        <v>1864</v>
      </c>
      <c r="D2341" t="s">
        <v>4204</v>
      </c>
      <c r="E2341" t="s">
        <v>1864</v>
      </c>
      <c r="F2341" t="s">
        <v>1816</v>
      </c>
      <c r="G2341" t="str">
        <f t="shared" si="183"/>
        <v>S</v>
      </c>
      <c r="H2341">
        <f t="shared" si="183"/>
        <v>94</v>
      </c>
      <c r="I2341" t="str">
        <f t="shared" si="183"/>
        <v>949</v>
      </c>
      <c r="J2341" t="str">
        <f t="shared" si="183"/>
        <v>94910</v>
      </c>
      <c r="K2341" t="str">
        <f t="shared" si="181"/>
        <v/>
      </c>
    </row>
    <row r="2342" spans="2:12" x14ac:dyDescent="0.25">
      <c r="C2342" t="s">
        <v>1864</v>
      </c>
      <c r="D2342" t="s">
        <v>1864</v>
      </c>
      <c r="E2342" t="s">
        <v>4205</v>
      </c>
      <c r="F2342" t="s">
        <v>1817</v>
      </c>
      <c r="G2342" t="str">
        <f t="shared" si="183"/>
        <v>S</v>
      </c>
      <c r="H2342">
        <f t="shared" si="183"/>
        <v>94</v>
      </c>
      <c r="I2342" t="str">
        <f t="shared" si="183"/>
        <v>949</v>
      </c>
      <c r="J2342" t="str">
        <f t="shared" si="183"/>
        <v>94910</v>
      </c>
      <c r="K2342" t="str">
        <f t="shared" si="181"/>
        <v>9491000</v>
      </c>
      <c r="L2342">
        <v>0</v>
      </c>
    </row>
    <row r="2343" spans="2:12" x14ac:dyDescent="0.25">
      <c r="C2343" t="s">
        <v>1864</v>
      </c>
      <c r="D2343" t="s">
        <v>4206</v>
      </c>
      <c r="E2343" t="s">
        <v>1864</v>
      </c>
      <c r="F2343" t="s">
        <v>1818</v>
      </c>
      <c r="G2343" t="str">
        <f t="shared" si="183"/>
        <v>S</v>
      </c>
      <c r="H2343">
        <f t="shared" si="183"/>
        <v>94</v>
      </c>
      <c r="I2343" t="str">
        <f t="shared" si="183"/>
        <v>949</v>
      </c>
      <c r="J2343" t="str">
        <f t="shared" si="183"/>
        <v>94928</v>
      </c>
      <c r="K2343" t="str">
        <f t="shared" si="181"/>
        <v/>
      </c>
    </row>
    <row r="2344" spans="2:12" x14ac:dyDescent="0.25">
      <c r="C2344" t="s">
        <v>1864</v>
      </c>
      <c r="D2344" t="s">
        <v>1864</v>
      </c>
      <c r="E2344" t="s">
        <v>4207</v>
      </c>
      <c r="F2344" t="s">
        <v>1818</v>
      </c>
      <c r="G2344" t="str">
        <f t="shared" si="183"/>
        <v>S</v>
      </c>
      <c r="H2344">
        <f t="shared" si="183"/>
        <v>94</v>
      </c>
      <c r="I2344" t="str">
        <f t="shared" si="183"/>
        <v>949</v>
      </c>
      <c r="J2344" t="str">
        <f t="shared" si="183"/>
        <v>94928</v>
      </c>
      <c r="K2344" t="str">
        <f t="shared" si="181"/>
        <v>9492800</v>
      </c>
      <c r="L2344">
        <v>0</v>
      </c>
    </row>
    <row r="2345" spans="2:12" x14ac:dyDescent="0.25">
      <c r="C2345" t="s">
        <v>1864</v>
      </c>
      <c r="D2345" t="s">
        <v>4208</v>
      </c>
      <c r="E2345" t="s">
        <v>1864</v>
      </c>
      <c r="F2345" t="s">
        <v>1819</v>
      </c>
      <c r="G2345" t="str">
        <f t="shared" ref="G2345:J2360" si="184">IF(A2345="",G2344,A2345)</f>
        <v>S</v>
      </c>
      <c r="H2345">
        <f t="shared" si="184"/>
        <v>94</v>
      </c>
      <c r="I2345" t="str">
        <f t="shared" si="184"/>
        <v>949</v>
      </c>
      <c r="J2345" t="str">
        <f t="shared" si="184"/>
        <v>94936</v>
      </c>
      <c r="K2345" t="str">
        <f t="shared" si="181"/>
        <v/>
      </c>
    </row>
    <row r="2346" spans="2:12" x14ac:dyDescent="0.25">
      <c r="C2346" t="s">
        <v>1864</v>
      </c>
      <c r="D2346" t="s">
        <v>1864</v>
      </c>
      <c r="E2346" t="s">
        <v>4209</v>
      </c>
      <c r="F2346" t="s">
        <v>1820</v>
      </c>
      <c r="G2346" t="str">
        <f t="shared" si="184"/>
        <v>S</v>
      </c>
      <c r="H2346">
        <f t="shared" si="184"/>
        <v>94</v>
      </c>
      <c r="I2346" t="str">
        <f t="shared" si="184"/>
        <v>949</v>
      </c>
      <c r="J2346" t="str">
        <f t="shared" si="184"/>
        <v>94936</v>
      </c>
      <c r="K2346" t="str">
        <f t="shared" si="181"/>
        <v>9493600</v>
      </c>
      <c r="L2346">
        <v>0</v>
      </c>
    </row>
    <row r="2347" spans="2:12" x14ac:dyDescent="0.25">
      <c r="C2347" t="s">
        <v>1864</v>
      </c>
      <c r="D2347" t="s">
        <v>4210</v>
      </c>
      <c r="E2347" t="s">
        <v>1864</v>
      </c>
      <c r="F2347" t="s">
        <v>1821</v>
      </c>
      <c r="G2347" t="str">
        <f t="shared" si="184"/>
        <v>S</v>
      </c>
      <c r="H2347">
        <f t="shared" si="184"/>
        <v>94</v>
      </c>
      <c r="I2347" t="str">
        <f t="shared" si="184"/>
        <v>949</v>
      </c>
      <c r="J2347" t="str">
        <f t="shared" si="184"/>
        <v>94995</v>
      </c>
      <c r="K2347" t="str">
        <f t="shared" si="181"/>
        <v/>
      </c>
    </row>
    <row r="2348" spans="2:12" x14ac:dyDescent="0.25">
      <c r="C2348" t="s">
        <v>1864</v>
      </c>
      <c r="D2348" t="s">
        <v>1864</v>
      </c>
      <c r="E2348" t="s">
        <v>4211</v>
      </c>
      <c r="F2348" t="s">
        <v>1821</v>
      </c>
      <c r="G2348" t="str">
        <f t="shared" si="184"/>
        <v>S</v>
      </c>
      <c r="H2348">
        <f t="shared" si="184"/>
        <v>94</v>
      </c>
      <c r="I2348" t="str">
        <f t="shared" si="184"/>
        <v>949</v>
      </c>
      <c r="J2348" t="str">
        <f t="shared" si="184"/>
        <v>94995</v>
      </c>
      <c r="K2348" t="str">
        <f t="shared" si="181"/>
        <v>9499500</v>
      </c>
      <c r="L2348">
        <v>0</v>
      </c>
    </row>
    <row r="2349" spans="2:12" x14ac:dyDescent="0.25">
      <c r="B2349">
        <v>95</v>
      </c>
      <c r="C2349" t="s">
        <v>1864</v>
      </c>
      <c r="D2349" t="s">
        <v>1864</v>
      </c>
      <c r="E2349" t="s">
        <v>1864</v>
      </c>
      <c r="F2349" t="s">
        <v>1822</v>
      </c>
      <c r="G2349" t="str">
        <f t="shared" si="184"/>
        <v>S</v>
      </c>
      <c r="H2349">
        <f t="shared" si="184"/>
        <v>95</v>
      </c>
      <c r="I2349" t="str">
        <f t="shared" si="184"/>
        <v>949</v>
      </c>
      <c r="J2349" t="str">
        <f t="shared" si="184"/>
        <v>94995</v>
      </c>
      <c r="K2349" t="str">
        <f t="shared" si="181"/>
        <v/>
      </c>
    </row>
    <row r="2350" spans="2:12" x14ac:dyDescent="0.25">
      <c r="C2350" t="s">
        <v>4212</v>
      </c>
      <c r="D2350" t="s">
        <v>1864</v>
      </c>
      <c r="E2350" t="s">
        <v>1864</v>
      </c>
      <c r="F2350" t="s">
        <v>1823</v>
      </c>
      <c r="G2350" t="str">
        <f t="shared" si="184"/>
        <v>S</v>
      </c>
      <c r="H2350">
        <f t="shared" si="184"/>
        <v>95</v>
      </c>
      <c r="I2350" t="str">
        <f t="shared" si="184"/>
        <v>951</v>
      </c>
      <c r="J2350" t="str">
        <f t="shared" si="184"/>
        <v>94995</v>
      </c>
      <c r="K2350" t="str">
        <f t="shared" si="181"/>
        <v/>
      </c>
    </row>
    <row r="2351" spans="2:12" x14ac:dyDescent="0.25">
      <c r="C2351" t="s">
        <v>1864</v>
      </c>
      <c r="D2351" t="s">
        <v>4213</v>
      </c>
      <c r="E2351" t="s">
        <v>1864</v>
      </c>
      <c r="F2351" t="s">
        <v>1824</v>
      </c>
      <c r="G2351" t="str">
        <f t="shared" si="184"/>
        <v>S</v>
      </c>
      <c r="H2351">
        <f t="shared" si="184"/>
        <v>95</v>
      </c>
      <c r="I2351" t="str">
        <f t="shared" si="184"/>
        <v>951</v>
      </c>
      <c r="J2351" t="str">
        <f t="shared" si="184"/>
        <v>95118</v>
      </c>
      <c r="K2351" t="str">
        <f t="shared" si="181"/>
        <v/>
      </c>
    </row>
    <row r="2352" spans="2:12" x14ac:dyDescent="0.25">
      <c r="C2352" t="s">
        <v>1864</v>
      </c>
      <c r="D2352" t="s">
        <v>1864</v>
      </c>
      <c r="E2352" t="s">
        <v>4214</v>
      </c>
      <c r="F2352" t="s">
        <v>1824</v>
      </c>
      <c r="G2352" t="str">
        <f t="shared" si="184"/>
        <v>S</v>
      </c>
      <c r="H2352">
        <f t="shared" si="184"/>
        <v>95</v>
      </c>
      <c r="I2352" t="str">
        <f t="shared" si="184"/>
        <v>951</v>
      </c>
      <c r="J2352" t="str">
        <f t="shared" si="184"/>
        <v>95118</v>
      </c>
      <c r="K2352" t="str">
        <f t="shared" si="181"/>
        <v>9511800</v>
      </c>
      <c r="L2352">
        <v>1</v>
      </c>
    </row>
    <row r="2353" spans="2:12" x14ac:dyDescent="0.25">
      <c r="C2353" t="s">
        <v>1864</v>
      </c>
      <c r="D2353" t="s">
        <v>4215</v>
      </c>
      <c r="E2353" t="s">
        <v>1864</v>
      </c>
      <c r="F2353" t="s">
        <v>1825</v>
      </c>
      <c r="G2353" t="str">
        <f t="shared" si="184"/>
        <v>S</v>
      </c>
      <c r="H2353">
        <f t="shared" si="184"/>
        <v>95</v>
      </c>
      <c r="I2353" t="str">
        <f t="shared" si="184"/>
        <v>951</v>
      </c>
      <c r="J2353" t="str">
        <f t="shared" si="184"/>
        <v>95126</v>
      </c>
      <c r="K2353" t="str">
        <f t="shared" si="181"/>
        <v/>
      </c>
    </row>
    <row r="2354" spans="2:12" x14ac:dyDescent="0.25">
      <c r="C2354" t="s">
        <v>1864</v>
      </c>
      <c r="D2354" t="s">
        <v>1864</v>
      </c>
      <c r="E2354" t="s">
        <v>4216</v>
      </c>
      <c r="F2354" t="s">
        <v>1825</v>
      </c>
      <c r="G2354" t="str">
        <f t="shared" si="184"/>
        <v>S</v>
      </c>
      <c r="H2354">
        <f t="shared" si="184"/>
        <v>95</v>
      </c>
      <c r="I2354" t="str">
        <f t="shared" si="184"/>
        <v>951</v>
      </c>
      <c r="J2354" t="str">
        <f t="shared" si="184"/>
        <v>95126</v>
      </c>
      <c r="K2354" t="str">
        <f t="shared" si="181"/>
        <v>9512600</v>
      </c>
      <c r="L2354">
        <v>1</v>
      </c>
    </row>
    <row r="2355" spans="2:12" x14ac:dyDescent="0.25">
      <c r="C2355" t="s">
        <v>4217</v>
      </c>
      <c r="D2355" t="s">
        <v>1864</v>
      </c>
      <c r="E2355" t="s">
        <v>1864</v>
      </c>
      <c r="F2355" t="s">
        <v>1826</v>
      </c>
      <c r="G2355" t="str">
        <f t="shared" si="184"/>
        <v>S</v>
      </c>
      <c r="H2355">
        <f t="shared" si="184"/>
        <v>95</v>
      </c>
      <c r="I2355" t="str">
        <f t="shared" si="184"/>
        <v>952</v>
      </c>
      <c r="J2355" t="str">
        <f t="shared" si="184"/>
        <v>95126</v>
      </c>
      <c r="K2355" t="str">
        <f t="shared" si="181"/>
        <v/>
      </c>
    </row>
    <row r="2356" spans="2:12" x14ac:dyDescent="0.25">
      <c r="C2356" t="s">
        <v>1864</v>
      </c>
      <c r="D2356" t="s">
        <v>4218</v>
      </c>
      <c r="E2356" t="s">
        <v>1864</v>
      </c>
      <c r="F2356" t="s">
        <v>1827</v>
      </c>
      <c r="G2356" t="str">
        <f t="shared" si="184"/>
        <v>S</v>
      </c>
      <c r="H2356">
        <f t="shared" si="184"/>
        <v>95</v>
      </c>
      <c r="I2356" t="str">
        <f t="shared" si="184"/>
        <v>952</v>
      </c>
      <c r="J2356" t="str">
        <f t="shared" si="184"/>
        <v>95215</v>
      </c>
      <c r="K2356" t="str">
        <f t="shared" si="181"/>
        <v/>
      </c>
    </row>
    <row r="2357" spans="2:12" x14ac:dyDescent="0.25">
      <c r="C2357" t="s">
        <v>1864</v>
      </c>
      <c r="D2357" t="s">
        <v>1864</v>
      </c>
      <c r="E2357" t="s">
        <v>4219</v>
      </c>
      <c r="F2357" t="s">
        <v>1827</v>
      </c>
      <c r="G2357" t="str">
        <f t="shared" si="184"/>
        <v>S</v>
      </c>
      <c r="H2357">
        <f t="shared" si="184"/>
        <v>95</v>
      </c>
      <c r="I2357" t="str">
        <f t="shared" si="184"/>
        <v>952</v>
      </c>
      <c r="J2357" t="str">
        <f t="shared" si="184"/>
        <v>95215</v>
      </c>
      <c r="K2357" t="str">
        <f t="shared" si="181"/>
        <v>9521500</v>
      </c>
      <c r="L2357">
        <v>1</v>
      </c>
    </row>
    <row r="2358" spans="2:12" x14ac:dyDescent="0.25">
      <c r="C2358" t="s">
        <v>1864</v>
      </c>
      <c r="D2358" t="s">
        <v>4220</v>
      </c>
      <c r="E2358" t="s">
        <v>1864</v>
      </c>
      <c r="F2358" t="s">
        <v>1828</v>
      </c>
      <c r="G2358" t="str">
        <f t="shared" si="184"/>
        <v>S</v>
      </c>
      <c r="H2358">
        <f t="shared" si="184"/>
        <v>95</v>
      </c>
      <c r="I2358" t="str">
        <f t="shared" si="184"/>
        <v>952</v>
      </c>
      <c r="J2358" t="str">
        <f t="shared" si="184"/>
        <v>95291</v>
      </c>
      <c r="K2358" t="str">
        <f t="shared" si="181"/>
        <v/>
      </c>
    </row>
    <row r="2359" spans="2:12" x14ac:dyDescent="0.25">
      <c r="C2359" t="s">
        <v>1864</v>
      </c>
      <c r="D2359" t="s">
        <v>1864</v>
      </c>
      <c r="E2359" t="s">
        <v>4221</v>
      </c>
      <c r="F2359" t="s">
        <v>1829</v>
      </c>
      <c r="G2359" t="str">
        <f t="shared" si="184"/>
        <v>S</v>
      </c>
      <c r="H2359">
        <f t="shared" si="184"/>
        <v>95</v>
      </c>
      <c r="I2359" t="str">
        <f t="shared" si="184"/>
        <v>952</v>
      </c>
      <c r="J2359" t="str">
        <f t="shared" si="184"/>
        <v>95291</v>
      </c>
      <c r="K2359" t="str">
        <f t="shared" si="181"/>
        <v>9529101</v>
      </c>
      <c r="L2359">
        <v>1</v>
      </c>
    </row>
    <row r="2360" spans="2:12" x14ac:dyDescent="0.25">
      <c r="C2360" t="s">
        <v>1864</v>
      </c>
      <c r="D2360" t="s">
        <v>1864</v>
      </c>
      <c r="E2360" t="s">
        <v>4222</v>
      </c>
      <c r="F2360" t="s">
        <v>1830</v>
      </c>
      <c r="G2360" t="str">
        <f t="shared" si="184"/>
        <v>S</v>
      </c>
      <c r="H2360">
        <f t="shared" si="184"/>
        <v>95</v>
      </c>
      <c r="I2360" t="str">
        <f t="shared" si="184"/>
        <v>952</v>
      </c>
      <c r="J2360" t="str">
        <f t="shared" si="184"/>
        <v>95291</v>
      </c>
      <c r="K2360" t="str">
        <f t="shared" si="181"/>
        <v>9529102</v>
      </c>
      <c r="L2360">
        <v>1</v>
      </c>
    </row>
    <row r="2361" spans="2:12" x14ac:dyDescent="0.25">
      <c r="C2361" t="s">
        <v>1864</v>
      </c>
      <c r="D2361" t="s">
        <v>1864</v>
      </c>
      <c r="E2361" t="s">
        <v>4223</v>
      </c>
      <c r="F2361" t="s">
        <v>1831</v>
      </c>
      <c r="G2361" t="str">
        <f t="shared" ref="G2361:J2376" si="185">IF(A2361="",G2360,A2361)</f>
        <v>S</v>
      </c>
      <c r="H2361">
        <f t="shared" si="185"/>
        <v>95</v>
      </c>
      <c r="I2361" t="str">
        <f t="shared" si="185"/>
        <v>952</v>
      </c>
      <c r="J2361" t="str">
        <f t="shared" si="185"/>
        <v>95291</v>
      </c>
      <c r="K2361" t="str">
        <f t="shared" si="181"/>
        <v>9529103</v>
      </c>
      <c r="L2361">
        <v>1</v>
      </c>
    </row>
    <row r="2362" spans="2:12" x14ac:dyDescent="0.25">
      <c r="C2362" t="s">
        <v>1864</v>
      </c>
      <c r="D2362" t="s">
        <v>1864</v>
      </c>
      <c r="E2362" t="s">
        <v>4224</v>
      </c>
      <c r="F2362" t="s">
        <v>1832</v>
      </c>
      <c r="G2362" t="str">
        <f t="shared" si="185"/>
        <v>S</v>
      </c>
      <c r="H2362">
        <f t="shared" si="185"/>
        <v>95</v>
      </c>
      <c r="I2362" t="str">
        <f t="shared" si="185"/>
        <v>952</v>
      </c>
      <c r="J2362" t="str">
        <f t="shared" si="185"/>
        <v>95291</v>
      </c>
      <c r="K2362" t="str">
        <f t="shared" si="181"/>
        <v>9529104</v>
      </c>
      <c r="L2362">
        <v>1</v>
      </c>
    </row>
    <row r="2363" spans="2:12" x14ac:dyDescent="0.25">
      <c r="C2363" t="s">
        <v>1864</v>
      </c>
      <c r="D2363" t="s">
        <v>1864</v>
      </c>
      <c r="E2363" t="s">
        <v>4225</v>
      </c>
      <c r="F2363" t="s">
        <v>1833</v>
      </c>
      <c r="G2363" t="str">
        <f t="shared" si="185"/>
        <v>S</v>
      </c>
      <c r="H2363">
        <f t="shared" si="185"/>
        <v>95</v>
      </c>
      <c r="I2363" t="str">
        <f t="shared" si="185"/>
        <v>952</v>
      </c>
      <c r="J2363" t="str">
        <f t="shared" si="185"/>
        <v>95291</v>
      </c>
      <c r="K2363" t="str">
        <f t="shared" si="181"/>
        <v>9529105</v>
      </c>
      <c r="L2363">
        <v>1</v>
      </c>
    </row>
    <row r="2364" spans="2:12" x14ac:dyDescent="0.25">
      <c r="C2364" t="s">
        <v>1864</v>
      </c>
      <c r="D2364" t="s">
        <v>1864</v>
      </c>
      <c r="E2364" t="s">
        <v>4226</v>
      </c>
      <c r="F2364" t="s">
        <v>1834</v>
      </c>
      <c r="G2364" t="str">
        <f t="shared" si="185"/>
        <v>S</v>
      </c>
      <c r="H2364">
        <f t="shared" si="185"/>
        <v>95</v>
      </c>
      <c r="I2364" t="str">
        <f t="shared" si="185"/>
        <v>952</v>
      </c>
      <c r="J2364" t="str">
        <f t="shared" si="185"/>
        <v>95291</v>
      </c>
      <c r="K2364" t="str">
        <f t="shared" si="181"/>
        <v>9529106</v>
      </c>
      <c r="L2364">
        <v>1</v>
      </c>
    </row>
    <row r="2365" spans="2:12" x14ac:dyDescent="0.25">
      <c r="C2365" t="s">
        <v>1864</v>
      </c>
      <c r="D2365" t="s">
        <v>1864</v>
      </c>
      <c r="E2365" t="s">
        <v>4227</v>
      </c>
      <c r="F2365" t="s">
        <v>1835</v>
      </c>
      <c r="G2365" t="str">
        <f t="shared" si="185"/>
        <v>S</v>
      </c>
      <c r="H2365">
        <f t="shared" si="185"/>
        <v>95</v>
      </c>
      <c r="I2365" t="str">
        <f t="shared" si="185"/>
        <v>952</v>
      </c>
      <c r="J2365" t="str">
        <f t="shared" si="185"/>
        <v>95291</v>
      </c>
      <c r="K2365" t="str">
        <f t="shared" si="181"/>
        <v>9529199</v>
      </c>
      <c r="L2365">
        <v>1</v>
      </c>
    </row>
    <row r="2366" spans="2:12" x14ac:dyDescent="0.25">
      <c r="B2366" t="s">
        <v>4228</v>
      </c>
      <c r="C2366" t="s">
        <v>1864</v>
      </c>
      <c r="D2366" t="s">
        <v>1864</v>
      </c>
      <c r="E2366" t="s">
        <v>1864</v>
      </c>
      <c r="F2366" t="s">
        <v>1836</v>
      </c>
      <c r="G2366" t="str">
        <f t="shared" si="185"/>
        <v>S</v>
      </c>
      <c r="H2366" t="str">
        <f t="shared" si="185"/>
        <v>96</v>
      </c>
      <c r="I2366" t="str">
        <f t="shared" si="185"/>
        <v>952</v>
      </c>
      <c r="J2366" t="str">
        <f t="shared" si="185"/>
        <v>95291</v>
      </c>
      <c r="K2366" t="str">
        <f t="shared" si="181"/>
        <v/>
      </c>
    </row>
    <row r="2367" spans="2:12" x14ac:dyDescent="0.25">
      <c r="C2367" t="s">
        <v>4229</v>
      </c>
      <c r="D2367" t="s">
        <v>1864</v>
      </c>
      <c r="E2367" t="s">
        <v>1864</v>
      </c>
      <c r="F2367" t="s">
        <v>1837</v>
      </c>
      <c r="G2367" t="str">
        <f t="shared" si="185"/>
        <v>S</v>
      </c>
      <c r="H2367" t="str">
        <f t="shared" si="185"/>
        <v>96</v>
      </c>
      <c r="I2367" t="str">
        <f t="shared" si="185"/>
        <v>960</v>
      </c>
      <c r="J2367" t="str">
        <f t="shared" si="185"/>
        <v>95291</v>
      </c>
      <c r="K2367" t="str">
        <f t="shared" si="181"/>
        <v/>
      </c>
    </row>
    <row r="2368" spans="2:12" x14ac:dyDescent="0.25">
      <c r="C2368" t="s">
        <v>1864</v>
      </c>
      <c r="D2368" t="s">
        <v>4230</v>
      </c>
      <c r="E2368" t="s">
        <v>1864</v>
      </c>
      <c r="F2368" t="s">
        <v>1838</v>
      </c>
      <c r="G2368" t="str">
        <f t="shared" si="185"/>
        <v>S</v>
      </c>
      <c r="H2368" t="str">
        <f t="shared" si="185"/>
        <v>96</v>
      </c>
      <c r="I2368" t="str">
        <f t="shared" si="185"/>
        <v>960</v>
      </c>
      <c r="J2368" t="str">
        <f t="shared" si="185"/>
        <v>96017</v>
      </c>
      <c r="K2368" t="str">
        <f t="shared" si="181"/>
        <v/>
      </c>
    </row>
    <row r="2369" spans="3:12" x14ac:dyDescent="0.25">
      <c r="C2369" t="s">
        <v>1864</v>
      </c>
      <c r="D2369" t="s">
        <v>1864</v>
      </c>
      <c r="E2369" t="s">
        <v>4231</v>
      </c>
      <c r="F2369" t="s">
        <v>1839</v>
      </c>
      <c r="G2369" t="str">
        <f t="shared" si="185"/>
        <v>S</v>
      </c>
      <c r="H2369" t="str">
        <f t="shared" si="185"/>
        <v>96</v>
      </c>
      <c r="I2369" t="str">
        <f t="shared" si="185"/>
        <v>960</v>
      </c>
      <c r="J2369" t="str">
        <f t="shared" si="185"/>
        <v>96017</v>
      </c>
      <c r="K2369" t="str">
        <f t="shared" si="181"/>
        <v>9601701</v>
      </c>
      <c r="L2369">
        <v>0</v>
      </c>
    </row>
    <row r="2370" spans="3:12" x14ac:dyDescent="0.25">
      <c r="C2370" t="s">
        <v>1864</v>
      </c>
      <c r="D2370" t="s">
        <v>1864</v>
      </c>
      <c r="E2370" t="s">
        <v>4232</v>
      </c>
      <c r="F2370" t="s">
        <v>1840</v>
      </c>
      <c r="G2370" t="str">
        <f t="shared" si="185"/>
        <v>S</v>
      </c>
      <c r="H2370" t="str">
        <f t="shared" si="185"/>
        <v>96</v>
      </c>
      <c r="I2370" t="str">
        <f t="shared" si="185"/>
        <v>960</v>
      </c>
      <c r="J2370" t="str">
        <f t="shared" si="185"/>
        <v>96017</v>
      </c>
      <c r="K2370" t="str">
        <f t="shared" si="181"/>
        <v>9601702</v>
      </c>
      <c r="L2370">
        <v>0</v>
      </c>
    </row>
    <row r="2371" spans="3:12" x14ac:dyDescent="0.25">
      <c r="C2371" t="s">
        <v>1864</v>
      </c>
      <c r="D2371" t="s">
        <v>1864</v>
      </c>
      <c r="E2371" t="s">
        <v>4233</v>
      </c>
      <c r="F2371" t="s">
        <v>1841</v>
      </c>
      <c r="G2371" t="str">
        <f t="shared" si="185"/>
        <v>S</v>
      </c>
      <c r="H2371" t="str">
        <f t="shared" si="185"/>
        <v>96</v>
      </c>
      <c r="I2371" t="str">
        <f t="shared" si="185"/>
        <v>960</v>
      </c>
      <c r="J2371" t="str">
        <f t="shared" si="185"/>
        <v>96017</v>
      </c>
      <c r="K2371" t="str">
        <f t="shared" si="181"/>
        <v>9601703</v>
      </c>
      <c r="L2371">
        <v>0</v>
      </c>
    </row>
    <row r="2372" spans="3:12" x14ac:dyDescent="0.25">
      <c r="C2372" t="s">
        <v>1864</v>
      </c>
      <c r="D2372" t="s">
        <v>4234</v>
      </c>
      <c r="E2372" t="s">
        <v>1864</v>
      </c>
      <c r="F2372" t="s">
        <v>1842</v>
      </c>
      <c r="G2372" t="str">
        <f t="shared" si="185"/>
        <v>S</v>
      </c>
      <c r="H2372" t="str">
        <f t="shared" si="185"/>
        <v>96</v>
      </c>
      <c r="I2372" t="str">
        <f t="shared" si="185"/>
        <v>960</v>
      </c>
      <c r="J2372" t="str">
        <f t="shared" si="185"/>
        <v>96025</v>
      </c>
      <c r="K2372" t="str">
        <f t="shared" si="181"/>
        <v/>
      </c>
    </row>
    <row r="2373" spans="3:12" x14ac:dyDescent="0.25">
      <c r="C2373" t="s">
        <v>1864</v>
      </c>
      <c r="D2373" t="s">
        <v>1864</v>
      </c>
      <c r="E2373" t="s">
        <v>4235</v>
      </c>
      <c r="F2373" t="s">
        <v>1843</v>
      </c>
      <c r="G2373" t="str">
        <f t="shared" si="185"/>
        <v>S</v>
      </c>
      <c r="H2373" t="str">
        <f t="shared" si="185"/>
        <v>96</v>
      </c>
      <c r="I2373" t="str">
        <f t="shared" si="185"/>
        <v>960</v>
      </c>
      <c r="J2373" t="str">
        <f t="shared" si="185"/>
        <v>96025</v>
      </c>
      <c r="K2373" t="str">
        <f t="shared" si="181"/>
        <v>9602501</v>
      </c>
      <c r="L2373">
        <v>0</v>
      </c>
    </row>
    <row r="2374" spans="3:12" x14ac:dyDescent="0.25">
      <c r="C2374" t="s">
        <v>1864</v>
      </c>
      <c r="D2374" t="s">
        <v>1864</v>
      </c>
      <c r="E2374" t="s">
        <v>4236</v>
      </c>
      <c r="F2374" t="s">
        <v>1844</v>
      </c>
      <c r="G2374" t="str">
        <f t="shared" si="185"/>
        <v>S</v>
      </c>
      <c r="H2374" t="str">
        <f t="shared" si="185"/>
        <v>96</v>
      </c>
      <c r="I2374" t="str">
        <f t="shared" si="185"/>
        <v>960</v>
      </c>
      <c r="J2374" t="str">
        <f t="shared" si="185"/>
        <v>96025</v>
      </c>
      <c r="K2374" t="str">
        <f t="shared" si="181"/>
        <v>9602502</v>
      </c>
      <c r="L2374">
        <v>0</v>
      </c>
    </row>
    <row r="2375" spans="3:12" x14ac:dyDescent="0.25">
      <c r="C2375" t="s">
        <v>1864</v>
      </c>
      <c r="D2375" t="s">
        <v>4237</v>
      </c>
      <c r="E2375" t="s">
        <v>1864</v>
      </c>
      <c r="F2375" t="s">
        <v>1845</v>
      </c>
      <c r="G2375" t="str">
        <f t="shared" si="185"/>
        <v>S</v>
      </c>
      <c r="H2375" t="str">
        <f t="shared" si="185"/>
        <v>96</v>
      </c>
      <c r="I2375" t="str">
        <f t="shared" si="185"/>
        <v>960</v>
      </c>
      <c r="J2375" t="str">
        <f t="shared" si="185"/>
        <v>96033</v>
      </c>
      <c r="K2375" t="str">
        <f t="shared" si="181"/>
        <v/>
      </c>
    </row>
    <row r="2376" spans="3:12" x14ac:dyDescent="0.25">
      <c r="C2376" t="s">
        <v>1864</v>
      </c>
      <c r="D2376" t="s">
        <v>1864</v>
      </c>
      <c r="E2376" t="s">
        <v>4238</v>
      </c>
      <c r="F2376" t="s">
        <v>1846</v>
      </c>
      <c r="G2376" t="str">
        <f t="shared" si="185"/>
        <v>S</v>
      </c>
      <c r="H2376" t="str">
        <f t="shared" si="185"/>
        <v>96</v>
      </c>
      <c r="I2376" t="str">
        <f t="shared" si="185"/>
        <v>960</v>
      </c>
      <c r="J2376" t="str">
        <f t="shared" si="185"/>
        <v>96033</v>
      </c>
      <c r="K2376" t="str">
        <f t="shared" ref="K2376:K2398" si="186">E2376</f>
        <v>9603301</v>
      </c>
      <c r="L2376">
        <v>0</v>
      </c>
    </row>
    <row r="2377" spans="3:12" x14ac:dyDescent="0.25">
      <c r="C2377" t="s">
        <v>1864</v>
      </c>
      <c r="D2377" t="s">
        <v>1864</v>
      </c>
      <c r="E2377" t="s">
        <v>4239</v>
      </c>
      <c r="F2377" t="s">
        <v>1847</v>
      </c>
      <c r="G2377" t="str">
        <f t="shared" ref="G2377:J2392" si="187">IF(A2377="",G2376,A2377)</f>
        <v>S</v>
      </c>
      <c r="H2377" t="str">
        <f t="shared" si="187"/>
        <v>96</v>
      </c>
      <c r="I2377" t="str">
        <f t="shared" si="187"/>
        <v>960</v>
      </c>
      <c r="J2377" t="str">
        <f t="shared" si="187"/>
        <v>96033</v>
      </c>
      <c r="K2377" t="str">
        <f t="shared" si="186"/>
        <v>9603302</v>
      </c>
      <c r="L2377">
        <v>0</v>
      </c>
    </row>
    <row r="2378" spans="3:12" x14ac:dyDescent="0.25">
      <c r="C2378" t="s">
        <v>1864</v>
      </c>
      <c r="D2378" t="s">
        <v>1864</v>
      </c>
      <c r="E2378" t="s">
        <v>4240</v>
      </c>
      <c r="F2378" t="s">
        <v>1848</v>
      </c>
      <c r="G2378" t="str">
        <f t="shared" si="187"/>
        <v>S</v>
      </c>
      <c r="H2378" t="str">
        <f t="shared" si="187"/>
        <v>96</v>
      </c>
      <c r="I2378" t="str">
        <f t="shared" si="187"/>
        <v>960</v>
      </c>
      <c r="J2378" t="str">
        <f t="shared" si="187"/>
        <v>96033</v>
      </c>
      <c r="K2378" t="str">
        <f t="shared" si="186"/>
        <v>9603303</v>
      </c>
      <c r="L2378">
        <v>0</v>
      </c>
    </row>
    <row r="2379" spans="3:12" x14ac:dyDescent="0.25">
      <c r="C2379" t="s">
        <v>1864</v>
      </c>
      <c r="D2379" t="s">
        <v>1864</v>
      </c>
      <c r="E2379" t="s">
        <v>4241</v>
      </c>
      <c r="F2379" t="s">
        <v>1849</v>
      </c>
      <c r="G2379" t="str">
        <f t="shared" si="187"/>
        <v>S</v>
      </c>
      <c r="H2379" t="str">
        <f t="shared" si="187"/>
        <v>96</v>
      </c>
      <c r="I2379" t="str">
        <f t="shared" si="187"/>
        <v>960</v>
      </c>
      <c r="J2379" t="str">
        <f t="shared" si="187"/>
        <v>96033</v>
      </c>
      <c r="K2379" t="str">
        <f t="shared" si="186"/>
        <v>9603304</v>
      </c>
      <c r="L2379">
        <v>0</v>
      </c>
    </row>
    <row r="2380" spans="3:12" x14ac:dyDescent="0.25">
      <c r="C2380" t="s">
        <v>1864</v>
      </c>
      <c r="D2380" t="s">
        <v>1864</v>
      </c>
      <c r="E2380" t="s">
        <v>4242</v>
      </c>
      <c r="F2380" t="s">
        <v>1850</v>
      </c>
      <c r="G2380" t="str">
        <f t="shared" si="187"/>
        <v>S</v>
      </c>
      <c r="H2380" t="str">
        <f t="shared" si="187"/>
        <v>96</v>
      </c>
      <c r="I2380" t="str">
        <f t="shared" si="187"/>
        <v>960</v>
      </c>
      <c r="J2380" t="str">
        <f t="shared" si="187"/>
        <v>96033</v>
      </c>
      <c r="K2380" t="str">
        <f t="shared" si="186"/>
        <v>9603305</v>
      </c>
      <c r="L2380">
        <v>0</v>
      </c>
    </row>
    <row r="2381" spans="3:12" x14ac:dyDescent="0.25">
      <c r="C2381" t="s">
        <v>1864</v>
      </c>
      <c r="D2381" t="s">
        <v>1864</v>
      </c>
      <c r="E2381" t="s">
        <v>4243</v>
      </c>
      <c r="F2381" t="s">
        <v>1851</v>
      </c>
      <c r="G2381" t="str">
        <f t="shared" si="187"/>
        <v>S</v>
      </c>
      <c r="H2381" t="str">
        <f t="shared" si="187"/>
        <v>96</v>
      </c>
      <c r="I2381" t="str">
        <f t="shared" si="187"/>
        <v>960</v>
      </c>
      <c r="J2381" t="str">
        <f t="shared" si="187"/>
        <v>96033</v>
      </c>
      <c r="K2381" t="str">
        <f t="shared" si="186"/>
        <v>9603399</v>
      </c>
      <c r="L2381">
        <v>0</v>
      </c>
    </row>
    <row r="2382" spans="3:12" x14ac:dyDescent="0.25">
      <c r="C2382" t="s">
        <v>1864</v>
      </c>
      <c r="D2382" t="s">
        <v>4244</v>
      </c>
      <c r="E2382" t="s">
        <v>1864</v>
      </c>
      <c r="F2382" t="s">
        <v>1852</v>
      </c>
      <c r="G2382" t="str">
        <f t="shared" si="187"/>
        <v>S</v>
      </c>
      <c r="H2382" t="str">
        <f t="shared" si="187"/>
        <v>96</v>
      </c>
      <c r="I2382" t="str">
        <f t="shared" si="187"/>
        <v>960</v>
      </c>
      <c r="J2382" t="str">
        <f t="shared" si="187"/>
        <v>96092</v>
      </c>
      <c r="K2382" t="str">
        <f t="shared" si="186"/>
        <v/>
      </c>
    </row>
    <row r="2383" spans="3:12" x14ac:dyDescent="0.25">
      <c r="C2383" t="s">
        <v>1864</v>
      </c>
      <c r="D2383" t="s">
        <v>1864</v>
      </c>
      <c r="E2383" t="s">
        <v>4245</v>
      </c>
      <c r="F2383" t="s">
        <v>1853</v>
      </c>
      <c r="G2383" t="str">
        <f t="shared" si="187"/>
        <v>S</v>
      </c>
      <c r="H2383" t="str">
        <f t="shared" si="187"/>
        <v>96</v>
      </c>
      <c r="I2383" t="str">
        <f t="shared" si="187"/>
        <v>960</v>
      </c>
      <c r="J2383" t="str">
        <f t="shared" si="187"/>
        <v>96092</v>
      </c>
      <c r="K2383" t="str">
        <f t="shared" si="186"/>
        <v>9609202</v>
      </c>
      <c r="L2383">
        <v>0</v>
      </c>
    </row>
    <row r="2384" spans="3:12" x14ac:dyDescent="0.25">
      <c r="C2384" t="s">
        <v>1864</v>
      </c>
      <c r="D2384" t="s">
        <v>1864</v>
      </c>
      <c r="E2384" t="s">
        <v>4246</v>
      </c>
      <c r="F2384" t="s">
        <v>1854</v>
      </c>
      <c r="G2384" t="str">
        <f t="shared" si="187"/>
        <v>S</v>
      </c>
      <c r="H2384" t="str">
        <f t="shared" si="187"/>
        <v>96</v>
      </c>
      <c r="I2384" t="str">
        <f t="shared" si="187"/>
        <v>960</v>
      </c>
      <c r="J2384" t="str">
        <f t="shared" si="187"/>
        <v>96092</v>
      </c>
      <c r="K2384" t="str">
        <f t="shared" si="186"/>
        <v>9609204</v>
      </c>
      <c r="L2384">
        <v>0</v>
      </c>
    </row>
    <row r="2385" spans="1:12" x14ac:dyDescent="0.25">
      <c r="C2385" t="s">
        <v>1864</v>
      </c>
      <c r="D2385" t="s">
        <v>1864</v>
      </c>
      <c r="E2385" t="s">
        <v>4247</v>
      </c>
      <c r="F2385" t="s">
        <v>1855</v>
      </c>
      <c r="G2385" t="str">
        <f t="shared" si="187"/>
        <v>S</v>
      </c>
      <c r="H2385" t="str">
        <f t="shared" si="187"/>
        <v>96</v>
      </c>
      <c r="I2385" t="str">
        <f t="shared" si="187"/>
        <v>960</v>
      </c>
      <c r="J2385" t="str">
        <f t="shared" si="187"/>
        <v>96092</v>
      </c>
      <c r="K2385" t="str">
        <f t="shared" si="186"/>
        <v>9609205</v>
      </c>
      <c r="L2385">
        <v>0</v>
      </c>
    </row>
    <row r="2386" spans="1:12" x14ac:dyDescent="0.25">
      <c r="C2386" t="s">
        <v>1864</v>
      </c>
      <c r="D2386" t="s">
        <v>1864</v>
      </c>
      <c r="E2386" t="s">
        <v>4248</v>
      </c>
      <c r="F2386" t="s">
        <v>4249</v>
      </c>
      <c r="G2386" t="str">
        <f t="shared" si="187"/>
        <v>S</v>
      </c>
      <c r="H2386" t="str">
        <f t="shared" si="187"/>
        <v>96</v>
      </c>
      <c r="I2386" t="str">
        <f t="shared" si="187"/>
        <v>960</v>
      </c>
      <c r="J2386" t="str">
        <f t="shared" si="187"/>
        <v>96092</v>
      </c>
      <c r="K2386" t="str">
        <f t="shared" si="186"/>
        <v>9609206</v>
      </c>
      <c r="L2386">
        <v>0</v>
      </c>
    </row>
    <row r="2387" spans="1:12" x14ac:dyDescent="0.25">
      <c r="C2387" t="s">
        <v>1864</v>
      </c>
      <c r="D2387" t="s">
        <v>1864</v>
      </c>
      <c r="E2387" t="s">
        <v>4250</v>
      </c>
      <c r="F2387" t="s">
        <v>1856</v>
      </c>
      <c r="G2387" t="str">
        <f t="shared" si="187"/>
        <v>S</v>
      </c>
      <c r="H2387" t="str">
        <f t="shared" si="187"/>
        <v>96</v>
      </c>
      <c r="I2387" t="str">
        <f t="shared" si="187"/>
        <v>960</v>
      </c>
      <c r="J2387" t="str">
        <f t="shared" si="187"/>
        <v>96092</v>
      </c>
      <c r="K2387" t="str">
        <f t="shared" si="186"/>
        <v>9609207</v>
      </c>
      <c r="L2387">
        <v>0</v>
      </c>
    </row>
    <row r="2388" spans="1:12" x14ac:dyDescent="0.25">
      <c r="C2388" t="s">
        <v>1864</v>
      </c>
      <c r="D2388" t="s">
        <v>1864</v>
      </c>
      <c r="E2388" t="s">
        <v>4251</v>
      </c>
      <c r="F2388" t="s">
        <v>1857</v>
      </c>
      <c r="G2388" t="str">
        <f t="shared" si="187"/>
        <v>S</v>
      </c>
      <c r="H2388" t="str">
        <f t="shared" si="187"/>
        <v>96</v>
      </c>
      <c r="I2388" t="str">
        <f t="shared" si="187"/>
        <v>960</v>
      </c>
      <c r="J2388" t="str">
        <f t="shared" si="187"/>
        <v>96092</v>
      </c>
      <c r="K2388" t="str">
        <f t="shared" si="186"/>
        <v>9609208</v>
      </c>
      <c r="L2388">
        <v>0</v>
      </c>
    </row>
    <row r="2389" spans="1:12" x14ac:dyDescent="0.25">
      <c r="C2389" t="s">
        <v>1864</v>
      </c>
      <c r="D2389" t="s">
        <v>1864</v>
      </c>
      <c r="E2389" t="s">
        <v>4252</v>
      </c>
      <c r="F2389" t="s">
        <v>1858</v>
      </c>
      <c r="G2389" t="str">
        <f t="shared" si="187"/>
        <v>S</v>
      </c>
      <c r="H2389" t="str">
        <f t="shared" si="187"/>
        <v>96</v>
      </c>
      <c r="I2389" t="str">
        <f t="shared" si="187"/>
        <v>960</v>
      </c>
      <c r="J2389" t="str">
        <f t="shared" si="187"/>
        <v>96092</v>
      </c>
      <c r="K2389" t="str">
        <f t="shared" si="186"/>
        <v>9609299</v>
      </c>
      <c r="L2389">
        <v>0</v>
      </c>
    </row>
    <row r="2390" spans="1:12" x14ac:dyDescent="0.25">
      <c r="A2390" t="s">
        <v>4253</v>
      </c>
      <c r="C2390" t="s">
        <v>1864</v>
      </c>
      <c r="D2390" t="s">
        <v>1864</v>
      </c>
      <c r="E2390" t="s">
        <v>1864</v>
      </c>
      <c r="F2390" t="s">
        <v>1859</v>
      </c>
      <c r="G2390" t="str">
        <f t="shared" si="187"/>
        <v>T</v>
      </c>
      <c r="H2390" t="str">
        <f t="shared" si="187"/>
        <v>96</v>
      </c>
      <c r="I2390" t="str">
        <f t="shared" si="187"/>
        <v>960</v>
      </c>
      <c r="J2390" t="str">
        <f t="shared" si="187"/>
        <v>96092</v>
      </c>
      <c r="K2390" t="str">
        <f t="shared" si="186"/>
        <v/>
      </c>
    </row>
    <row r="2391" spans="1:12" x14ac:dyDescent="0.25">
      <c r="B2391" t="s">
        <v>4254</v>
      </c>
      <c r="C2391" t="s">
        <v>1864</v>
      </c>
      <c r="D2391" t="s">
        <v>1864</v>
      </c>
      <c r="E2391" t="s">
        <v>1864</v>
      </c>
      <c r="F2391" t="s">
        <v>1859</v>
      </c>
      <c r="G2391" t="str">
        <f t="shared" si="187"/>
        <v>T</v>
      </c>
      <c r="H2391" t="str">
        <f t="shared" si="187"/>
        <v>97</v>
      </c>
      <c r="I2391" t="str">
        <f t="shared" si="187"/>
        <v>960</v>
      </c>
      <c r="J2391" t="str">
        <f t="shared" si="187"/>
        <v>96092</v>
      </c>
      <c r="K2391" t="str">
        <f t="shared" si="186"/>
        <v/>
      </c>
    </row>
    <row r="2392" spans="1:12" x14ac:dyDescent="0.25">
      <c r="C2392" t="s">
        <v>4255</v>
      </c>
      <c r="D2392" t="s">
        <v>1864</v>
      </c>
      <c r="E2392" t="s">
        <v>1864</v>
      </c>
      <c r="F2392" t="s">
        <v>1860</v>
      </c>
      <c r="G2392" t="str">
        <f t="shared" si="187"/>
        <v>T</v>
      </c>
      <c r="H2392" t="str">
        <f t="shared" si="187"/>
        <v>97</v>
      </c>
      <c r="I2392" t="str">
        <f t="shared" si="187"/>
        <v>970</v>
      </c>
      <c r="J2392" t="str">
        <f t="shared" si="187"/>
        <v>96092</v>
      </c>
      <c r="K2392" t="str">
        <f t="shared" si="186"/>
        <v/>
      </c>
    </row>
    <row r="2393" spans="1:12" x14ac:dyDescent="0.25">
      <c r="C2393" t="s">
        <v>1864</v>
      </c>
      <c r="D2393" t="s">
        <v>4256</v>
      </c>
      <c r="E2393" t="s">
        <v>1864</v>
      </c>
      <c r="F2393" t="s">
        <v>1860</v>
      </c>
      <c r="G2393" t="str">
        <f t="shared" ref="G2393:J2398" si="188">IF(A2393="",G2392,A2393)</f>
        <v>T</v>
      </c>
      <c r="H2393" t="str">
        <f t="shared" si="188"/>
        <v>97</v>
      </c>
      <c r="I2393" t="str">
        <f t="shared" si="188"/>
        <v>970</v>
      </c>
      <c r="J2393" t="str">
        <f t="shared" si="188"/>
        <v>97005</v>
      </c>
      <c r="K2393" t="str">
        <f t="shared" si="186"/>
        <v/>
      </c>
    </row>
    <row r="2394" spans="1:12" x14ac:dyDescent="0.25">
      <c r="C2394" t="s">
        <v>1864</v>
      </c>
      <c r="D2394" t="s">
        <v>1864</v>
      </c>
      <c r="E2394" t="s">
        <v>4257</v>
      </c>
      <c r="F2394" t="s">
        <v>1860</v>
      </c>
      <c r="G2394" t="str">
        <f t="shared" si="188"/>
        <v>T</v>
      </c>
      <c r="H2394" t="str">
        <f t="shared" si="188"/>
        <v>97</v>
      </c>
      <c r="I2394" t="str">
        <f t="shared" si="188"/>
        <v>970</v>
      </c>
      <c r="J2394" t="str">
        <f t="shared" si="188"/>
        <v>97005</v>
      </c>
      <c r="K2394" t="str">
        <f t="shared" si="186"/>
        <v>9700500</v>
      </c>
      <c r="L2394">
        <v>0</v>
      </c>
    </row>
    <row r="2395" spans="1:12" x14ac:dyDescent="0.25">
      <c r="A2395" t="s">
        <v>4258</v>
      </c>
      <c r="C2395" t="s">
        <v>1864</v>
      </c>
      <c r="D2395" t="s">
        <v>1864</v>
      </c>
      <c r="E2395" t="s">
        <v>1864</v>
      </c>
      <c r="F2395" t="s">
        <v>1861</v>
      </c>
      <c r="G2395" t="str">
        <f t="shared" si="188"/>
        <v>U</v>
      </c>
      <c r="H2395" t="str">
        <f t="shared" si="188"/>
        <v>97</v>
      </c>
      <c r="I2395" t="str">
        <f t="shared" si="188"/>
        <v>970</v>
      </c>
      <c r="J2395" t="str">
        <f t="shared" si="188"/>
        <v>97005</v>
      </c>
      <c r="K2395" t="str">
        <f t="shared" si="186"/>
        <v/>
      </c>
    </row>
    <row r="2396" spans="1:12" x14ac:dyDescent="0.25">
      <c r="B2396" t="s">
        <v>4259</v>
      </c>
      <c r="C2396" t="s">
        <v>1864</v>
      </c>
      <c r="D2396" t="s">
        <v>1864</v>
      </c>
      <c r="E2396" t="s">
        <v>1864</v>
      </c>
      <c r="F2396" t="s">
        <v>1861</v>
      </c>
      <c r="G2396" t="str">
        <f t="shared" si="188"/>
        <v>U</v>
      </c>
      <c r="H2396" t="str">
        <f t="shared" si="188"/>
        <v>99</v>
      </c>
      <c r="I2396" t="str">
        <f t="shared" si="188"/>
        <v>970</v>
      </c>
      <c r="J2396" t="str">
        <f t="shared" si="188"/>
        <v>97005</v>
      </c>
      <c r="K2396" t="str">
        <f t="shared" si="186"/>
        <v/>
      </c>
    </row>
    <row r="2397" spans="1:12" x14ac:dyDescent="0.25">
      <c r="C2397" t="s">
        <v>4260</v>
      </c>
      <c r="D2397" t="s">
        <v>1864</v>
      </c>
      <c r="E2397" t="s">
        <v>1864</v>
      </c>
      <c r="F2397" t="s">
        <v>1862</v>
      </c>
      <c r="G2397" t="str">
        <f t="shared" si="188"/>
        <v>U</v>
      </c>
      <c r="H2397" t="str">
        <f t="shared" si="188"/>
        <v>99</v>
      </c>
      <c r="I2397" t="str">
        <f t="shared" si="188"/>
        <v>990</v>
      </c>
      <c r="J2397" t="str">
        <f t="shared" si="188"/>
        <v>97005</v>
      </c>
      <c r="K2397" t="str">
        <f t="shared" si="186"/>
        <v/>
      </c>
    </row>
    <row r="2398" spans="1:12" x14ac:dyDescent="0.25">
      <c r="C2398" t="s">
        <v>1864</v>
      </c>
      <c r="D2398" t="s">
        <v>4261</v>
      </c>
      <c r="E2398" t="s">
        <v>1864</v>
      </c>
      <c r="F2398" t="s">
        <v>1862</v>
      </c>
      <c r="G2398" t="str">
        <f t="shared" si="188"/>
        <v>U</v>
      </c>
      <c r="H2398" t="str">
        <f t="shared" si="188"/>
        <v>99</v>
      </c>
      <c r="I2398" t="str">
        <f t="shared" si="188"/>
        <v>990</v>
      </c>
      <c r="J2398" t="str">
        <f t="shared" si="188"/>
        <v>99008</v>
      </c>
      <c r="K2398" t="str">
        <f t="shared" si="186"/>
        <v/>
      </c>
    </row>
  </sheetData>
  <autoFilter ref="A1:L2398" xr:uid="{3E32E52C-4C8D-4CF1-B129-E9FBD269661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BancoAjustado</vt:lpstr>
      <vt:lpstr>Base</vt:lpstr>
      <vt:lpstr>Base_Atividades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Gianetti</dc:creator>
  <cp:lastModifiedBy>Giovani Gianetti</cp:lastModifiedBy>
  <dcterms:created xsi:type="dcterms:W3CDTF">2026-03-11T12:31:11Z</dcterms:created>
  <dcterms:modified xsi:type="dcterms:W3CDTF">2026-04-26T12:06:49Z</dcterms:modified>
</cp:coreProperties>
</file>